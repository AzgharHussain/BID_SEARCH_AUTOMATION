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 Rate BoQ" sheetId="1" state="visible" r:id="rId1"/>
    <sheet name="Milestone Schedule" sheetId="2" state="visible" r:id="rId2"/>
    <sheet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2026_UTT_9740231_18 | Authority: WATER RESOURCES &amp; IRRIGATION DEPARTMENT</t>
        </is>
      </c>
    </row>
    <row r="3">
      <c r="A3" s="3" t="inlineStr">
        <is>
          <t>Work: Water Resources-Based River Basin Hydro-Meteorological Sensor Network &amp; GIS Flood Simulation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Telemetry-enabled Automated Weather Stations (AWS) &amp; Rain Gauges (ARG) with Solar Power</t>
        </is>
      </c>
      <c r="C7" s="8" t="n">
        <v>40</v>
      </c>
      <c r="D7" s="6" t="inlineStr">
        <is>
          <t>Stations</t>
        </is>
      </c>
      <c r="E7" s="9" t="n">
        <v>340000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Water Level Radar Sensors &amp; Ultrasonic Stream Gauging Telemetry Equipment</t>
        </is>
      </c>
      <c r="C8" s="13" t="n">
        <v>30</v>
      </c>
      <c r="D8" s="11" t="inlineStr">
        <is>
          <t>Stations</t>
        </is>
      </c>
      <c r="E8" s="14" t="n">
        <v>420000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Real-Time SCADA Remote Terminal Units (RTU) &amp; GSM/GPRS IoT Gateway Units</t>
        </is>
      </c>
      <c r="C9" s="8" t="n">
        <v>70</v>
      </c>
      <c r="D9" s="6" t="inlineStr">
        <is>
          <t>Units</t>
        </is>
      </c>
      <c r="E9" s="9" t="n">
        <v>185000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1D/2D Hydrodynamic River Basin Flood Simulation Engine &amp; Inundation Mapping Module</t>
        </is>
      </c>
      <c r="C10" s="13" t="n">
        <v>1</v>
      </c>
      <c r="D10" s="11" t="inlineStr">
        <is>
          <t>System</t>
        </is>
      </c>
      <c r="E10" s="14" t="n">
        <v>6200000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Web GIS Early Warning Dashboard &amp; Citizen SMS Alert Dissemination System</t>
        </is>
      </c>
      <c r="C11" s="8" t="n">
        <v>1</v>
      </c>
      <c r="D11" s="6" t="inlineStr">
        <is>
          <t>Platform</t>
        </is>
      </c>
      <c r="E11" s="9" t="n">
        <v>3800000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Bathymetric Cross-Section Hydrographic Survey of Vulnerable River Reaches</t>
        </is>
      </c>
      <c r="C12" s="13" t="n">
        <v>180</v>
      </c>
      <c r="D12" s="11" t="inlineStr">
        <is>
          <t>River-Km</t>
        </is>
      </c>
      <c r="E12" s="14" t="n">
        <v>14500</v>
      </c>
      <c r="F12" s="14">
        <f>C12*E12</f>
        <v/>
      </c>
      <c r="G12" s="15" t="n">
        <v>18</v>
      </c>
      <c r="H12" s="14">
        <f>F12*(1+G12/100)</f>
        <v/>
      </c>
    </row>
    <row r="13" ht="28" customHeight="1">
      <c r="A13" s="6" t="inlineStr">
        <is>
          <t>1.07</t>
        </is>
      </c>
      <c r="B13" s="7" t="inlineStr">
        <is>
          <t>Annual Calibration, Sensor Maintenance, Data Assurance and 24x7 Flood Cell Support</t>
        </is>
      </c>
      <c r="C13" s="8" t="n">
        <v>36</v>
      </c>
      <c r="D13" s="6" t="inlineStr">
        <is>
          <t>Months</t>
        </is>
      </c>
      <c r="E13" s="9" t="n">
        <v>165000</v>
      </c>
      <c r="F13" s="9">
        <f>C13*E13</f>
        <v/>
      </c>
      <c r="G13" s="10" t="n">
        <v>18</v>
      </c>
      <c r="H13" s="9">
        <f>F13*(1+G13/100)</f>
        <v/>
      </c>
    </row>
    <row r="14" ht="24" customHeight="1">
      <c r="A14" s="16" t="inlineStr">
        <is>
          <t>SUB-TOTAL BASIC CONTRACT VALUE (INR)</t>
        </is>
      </c>
      <c r="B14" s="17" t="n"/>
      <c r="C14" s="17" t="n"/>
      <c r="D14" s="17" t="n"/>
      <c r="E14" s="17" t="n"/>
      <c r="F14" s="18">
        <f>SUM(F7:F13)</f>
        <v/>
      </c>
      <c r="G14" s="17" t="n"/>
      <c r="H14" s="17" t="n"/>
    </row>
    <row r="15" ht="24" customHeight="1">
      <c r="A15" s="16" t="inlineStr">
        <is>
          <t>APPLICABLE GOODS &amp; SERVICES TAX (GST @ 18%) (INR)</t>
        </is>
      </c>
      <c r="B15" s="17" t="n"/>
      <c r="C15" s="17" t="n"/>
      <c r="D15" s="17" t="n"/>
      <c r="E15" s="17" t="n"/>
      <c r="F15" s="18">
        <f>F14*0.18</f>
        <v/>
      </c>
      <c r="G15" s="17" t="n"/>
      <c r="H15" s="17" t="n"/>
    </row>
    <row r="16" ht="28" customHeight="1">
      <c r="A16" s="19" t="inlineStr">
        <is>
          <t>TOTAL ESTIMATED TENDER VALUE INCLUSIVE OF ALL TAXES (INR)</t>
        </is>
      </c>
      <c r="B16" s="20" t="n"/>
      <c r="C16" s="20" t="n"/>
      <c r="D16" s="20" t="n"/>
      <c r="E16" s="20" t="n"/>
      <c r="F16" s="21">
        <f>F14+F15</f>
        <v/>
      </c>
      <c r="G16" s="20" t="n"/>
      <c r="H16" s="21">
        <f>F16</f>
        <v/>
      </c>
    </row>
  </sheetData>
  <mergeCells count="7">
    <mergeCell ref="A1:H1"/>
    <mergeCell ref="A4:H4"/>
    <mergeCell ref="A3:H3"/>
    <mergeCell ref="A16:E16"/>
    <mergeCell ref="A15:E15"/>
    <mergeCell ref="A2:H2"/>
    <mergeCell ref="A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2026-10-21T10:26:29Z</dcterms:created>
  <dcterms:modified xsi:type="dcterms:W3CDTF">2026-10-21T10:26:29Z</dcterms:modified>
</cp:coreProperties>
</file>