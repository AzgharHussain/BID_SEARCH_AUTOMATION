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 Rate BoQ" sheetId="1" state="visible" r:id="rId1"/>
    <sheet xmlns:r="http://schemas.openxmlformats.org/officeDocument/2006/relationships" name="Milestone Schedule" sheetId="2" state="visible" r:id="rId2"/>
    <sheet xmlns:r="http://schemas.openxmlformats.org/officeDocument/2006/relationships" name="Bidder Decla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10">
    <font>
      <name val="Calibri"/>
      <family val="2"/>
      <color theme="1"/>
      <sz val="11"/>
      <scheme val="minor"/>
    </font>
    <font>
      <name val="Segoe UI"/>
      <b val="1"/>
      <color rgb="000F172A"/>
      <sz val="13"/>
    </font>
    <font>
      <name val="Segoe UI"/>
      <b val="1"/>
      <color rgb="00334155"/>
      <sz val="10"/>
    </font>
    <font>
      <name val="Segoe UI"/>
      <color rgb="001E293B"/>
      <sz val="9.5"/>
    </font>
    <font>
      <name val="Segoe UI"/>
      <i val="1"/>
      <color rgb="0064748B"/>
      <sz val="8.5"/>
    </font>
    <font>
      <name val="Segoe UI"/>
      <b val="1"/>
      <color rgb="00FFFFFF"/>
      <sz val="10"/>
    </font>
    <font>
      <name val="Segoe UI"/>
      <b val="1"/>
      <color rgb="000F172A"/>
      <sz val="9.5"/>
    </font>
    <font>
      <name val="Segoe UI"/>
      <b val="1"/>
      <color rgb="001E1B4B"/>
      <sz val="10"/>
    </font>
    <font>
      <name val="Segoe UI"/>
      <b val="1"/>
      <color rgb="000F172A"/>
      <sz val="10.5"/>
    </font>
    <font>
      <name val="Segoe UI"/>
      <b val="1"/>
      <color rgb="001E1B4B"/>
      <sz val="11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EEF2FF"/>
        <bgColor rgb="00EEF2FF"/>
      </patternFill>
    </fill>
    <fill>
      <patternFill patternType="solid">
        <fgColor rgb="00E0E7FF"/>
        <bgColor rgb="00E0E7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1B4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1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1" fontId="3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right" vertical="center"/>
    </xf>
    <xf numFmtId="0" fontId="0" fillId="4" borderId="1" pivotButton="0" quotePrefix="0" xfId="0"/>
    <xf numFmtId="4" fontId="7" fillId="4" borderId="1" applyAlignment="1" pivotButton="0" quotePrefix="0" xfId="0">
      <alignment horizontal="right" vertical="center"/>
    </xf>
    <xf numFmtId="0" fontId="8" fillId="5" borderId="2" applyAlignment="1" pivotButton="0" quotePrefix="0" xfId="0">
      <alignment horizontal="right" vertical="center"/>
    </xf>
    <xf numFmtId="0" fontId="0" fillId="5" borderId="2" pivotButton="0" quotePrefix="0" xfId="0"/>
    <xf numFmtId="4" fontId="9" fillId="5" borderId="2" applyAlignment="1" pivotButton="0" quotePrefix="0" xfId="0">
      <alignment horizontal="right" vertical="center"/>
    </xf>
    <xf numFmtId="0" fontId="1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1" customWidth="1" min="1" max="1"/>
    <col width="68" customWidth="1" min="2" max="2"/>
    <col width="13" customWidth="1" min="3" max="3"/>
    <col width="14" customWidth="1" min="4" max="4"/>
    <col width="24" customWidth="1" min="5" max="5"/>
    <col width="26" customWidth="1" min="6" max="6"/>
    <col width="13" customWidth="1" min="7" max="7"/>
    <col width="28" customWidth="1" min="8" max="8"/>
  </cols>
  <sheetData>
    <row r="1">
      <c r="A1" s="1" t="inlineStr">
        <is>
          <t>OFFICIAL GOVERNMENT BILL OF QUANTITIES (BOQ) — FINANCIAL SCHEDULE</t>
        </is>
      </c>
    </row>
    <row r="2">
      <c r="A2" s="2" t="inlineStr">
        <is>
          <t>Tender Ref: 2026_UTT_1201312_30 | Authority: STATE ELECTRONICS DEVELOPMENT CORPORATION</t>
        </is>
      </c>
    </row>
    <row r="3">
      <c r="A3" s="3" t="inlineStr">
        <is>
          <t>Work: Empanelment-Based Empanelment of Specialized Geospatial &amp; AI Solutions Consulting Agencies</t>
        </is>
      </c>
    </row>
    <row r="4">
      <c r="A4" s="4" t="inlineStr">
        <is>
          <t>Validate Price Bid: Rates entered by bidder must include all overheads, equipment deployment, field survey, processing &amp; software.</t>
        </is>
      </c>
    </row>
    <row r="6" ht="26" customHeight="1">
      <c r="A6" s="5" t="inlineStr">
        <is>
          <t>Item No.</t>
        </is>
      </c>
      <c r="B6" s="5" t="inlineStr">
        <is>
          <t>Item Description</t>
        </is>
      </c>
      <c r="C6" s="5" t="inlineStr">
        <is>
          <t>Quantity</t>
        </is>
      </c>
      <c r="D6" s="5" t="inlineStr">
        <is>
          <t>Units</t>
        </is>
      </c>
      <c r="E6" s="5" t="inlineStr">
        <is>
          <t>Basic Estimated Rate (INR)</t>
        </is>
      </c>
      <c r="F6" s="5" t="inlineStr">
        <is>
          <t>Basic Total Amount (INR)</t>
        </is>
      </c>
      <c r="G6" s="5" t="inlineStr">
        <is>
          <t>GST Rate (%)</t>
        </is>
      </c>
      <c r="H6" s="5" t="inlineStr">
        <is>
          <t>Total Amount with GST (INR)</t>
        </is>
      </c>
    </row>
    <row r="7" ht="28" customHeight="1">
      <c r="A7" s="6" t="inlineStr">
        <is>
          <t>1.01</t>
        </is>
      </c>
      <c r="B7" s="7" t="inlineStr">
        <is>
          <t>Inception Planning, High-Accuracy DGPS Ground Survey &amp; CORS Geo-referencing</t>
        </is>
      </c>
      <c r="C7" s="8" t="n">
        <v>1</v>
      </c>
      <c r="D7" s="6" t="inlineStr">
        <is>
          <t>Job</t>
        </is>
      </c>
      <c r="E7" s="9" t="n">
        <v>1800000</v>
      </c>
      <c r="F7" s="9">
        <f>C7*E7</f>
        <v/>
      </c>
      <c r="G7" s="10" t="n">
        <v>18</v>
      </c>
      <c r="H7" s="9">
        <f>F7*(1+G7/100)</f>
        <v/>
      </c>
    </row>
    <row r="8" ht="28" customHeight="1">
      <c r="A8" s="11" t="inlineStr">
        <is>
          <t>1.02</t>
        </is>
      </c>
      <c r="B8" s="12" t="inlineStr">
        <is>
          <t>Drone / Aerial Remote Sensing Imagery Acquisition &amp; Photogrammetry Ortho-mosaic</t>
        </is>
      </c>
      <c r="C8" s="13" t="n">
        <v>1</v>
      </c>
      <c r="D8" s="11" t="inlineStr">
        <is>
          <t>Job</t>
        </is>
      </c>
      <c r="E8" s="14" t="n">
        <v>3800000</v>
      </c>
      <c r="F8" s="14">
        <f>C8*E8</f>
        <v/>
      </c>
      <c r="G8" s="15" t="n">
        <v>18</v>
      </c>
      <c r="H8" s="14">
        <f>F8*(1+G8/100)</f>
        <v/>
      </c>
    </row>
    <row r="9" ht="28" customHeight="1">
      <c r="A9" s="6" t="inlineStr">
        <is>
          <t>1.03</t>
        </is>
      </c>
      <c r="B9" s="7" t="inlineStr">
        <is>
          <t>Spatial Vector Feature Extraction, Attribute Classification &amp; Quality Verification</t>
        </is>
      </c>
      <c r="C9" s="8" t="n">
        <v>1</v>
      </c>
      <c r="D9" s="6" t="inlineStr">
        <is>
          <t>Job</t>
        </is>
      </c>
      <c r="E9" s="9" t="n">
        <v>3200000</v>
      </c>
      <c r="F9" s="9">
        <f>C9*E9</f>
        <v/>
      </c>
      <c r="G9" s="10" t="n">
        <v>18</v>
      </c>
      <c r="H9" s="9">
        <f>F9*(1+G9/100)</f>
        <v/>
      </c>
    </row>
    <row r="10" ht="28" customHeight="1">
      <c r="A10" s="11" t="inlineStr">
        <is>
          <t>1.04</t>
        </is>
      </c>
      <c r="B10" s="12" t="inlineStr">
        <is>
          <t>Enterprise Geodatabase Architecture Design &amp; State Portal Integration</t>
        </is>
      </c>
      <c r="C10" s="13" t="n">
        <v>1</v>
      </c>
      <c r="D10" s="11" t="inlineStr">
        <is>
          <t>System</t>
        </is>
      </c>
      <c r="E10" s="14" t="n">
        <v>4500000</v>
      </c>
      <c r="F10" s="14">
        <f>C10*E10</f>
        <v/>
      </c>
      <c r="G10" s="15" t="n">
        <v>18</v>
      </c>
      <c r="H10" s="14">
        <f>F10*(1+G10/100)</f>
        <v/>
      </c>
    </row>
    <row r="11" ht="28" customHeight="1">
      <c r="A11" s="6" t="inlineStr">
        <is>
          <t>1.05</t>
        </is>
      </c>
      <c r="B11" s="7" t="inlineStr">
        <is>
          <t>Interactive Web GIS Dashboard Development with Spatial Query &amp; Decision Support</t>
        </is>
      </c>
      <c r="C11" s="8" t="n">
        <v>1</v>
      </c>
      <c r="D11" s="6" t="inlineStr">
        <is>
          <t>Platform</t>
        </is>
      </c>
      <c r="E11" s="9" t="n">
        <v>3600000</v>
      </c>
      <c r="F11" s="9">
        <f>C11*E11</f>
        <v/>
      </c>
      <c r="G11" s="10" t="n">
        <v>18</v>
      </c>
      <c r="H11" s="9">
        <f>F11*(1+G11/100)</f>
        <v/>
      </c>
    </row>
    <row r="12" ht="28" customHeight="1">
      <c r="A12" s="11" t="inlineStr">
        <is>
          <t>1.06</t>
        </is>
      </c>
      <c r="B12" s="12" t="inlineStr">
        <is>
          <t>Training, Technology Transfer, Cloud Infrastructure Setup &amp; 1-Year AMC Maintenance</t>
        </is>
      </c>
      <c r="C12" s="13" t="n">
        <v>12</v>
      </c>
      <c r="D12" s="11" t="inlineStr">
        <is>
          <t>Months</t>
        </is>
      </c>
      <c r="E12" s="14" t="n">
        <v>110000</v>
      </c>
      <c r="F12" s="14">
        <f>C12*E12</f>
        <v/>
      </c>
      <c r="G12" s="15" t="n">
        <v>18</v>
      </c>
      <c r="H12" s="14">
        <f>F12*(1+G12/100)</f>
        <v/>
      </c>
    </row>
    <row r="13" ht="24" customHeight="1">
      <c r="A13" s="16" t="inlineStr">
        <is>
          <t>SUB-TOTAL BASIC CONTRACT VALUE (INR)</t>
        </is>
      </c>
      <c r="B13" s="17" t="n"/>
      <c r="C13" s="17" t="n"/>
      <c r="D13" s="17" t="n"/>
      <c r="E13" s="17" t="n"/>
      <c r="F13" s="18">
        <f>SUM(F7:F12)</f>
        <v/>
      </c>
      <c r="G13" s="17" t="n"/>
      <c r="H13" s="17" t="n"/>
    </row>
    <row r="14" ht="24" customHeight="1">
      <c r="A14" s="16" t="inlineStr">
        <is>
          <t>APPLICABLE GOODS &amp; SERVICES TAX (GST @ 18%) (INR)</t>
        </is>
      </c>
      <c r="B14" s="17" t="n"/>
      <c r="C14" s="17" t="n"/>
      <c r="D14" s="17" t="n"/>
      <c r="E14" s="17" t="n"/>
      <c r="F14" s="18">
        <f>F13*0.18</f>
        <v/>
      </c>
      <c r="G14" s="17" t="n"/>
      <c r="H14" s="17" t="n"/>
    </row>
    <row r="15" ht="28" customHeight="1">
      <c r="A15" s="19" t="inlineStr">
        <is>
          <t>TOTAL ESTIMATED TENDER VALUE INCLUSIVE OF ALL TAXES (INR)</t>
        </is>
      </c>
      <c r="B15" s="20" t="n"/>
      <c r="C15" s="20" t="n"/>
      <c r="D15" s="20" t="n"/>
      <c r="E15" s="20" t="n"/>
      <c r="F15" s="21">
        <f>F13+F14</f>
        <v/>
      </c>
      <c r="G15" s="20" t="n"/>
      <c r="H15" s="21">
        <f>F15</f>
        <v/>
      </c>
    </row>
  </sheetData>
  <mergeCells count="7">
    <mergeCell ref="A4:H4"/>
    <mergeCell ref="A3:H3"/>
    <mergeCell ref="A14:E14"/>
    <mergeCell ref="A15:E15"/>
    <mergeCell ref="A2:H2"/>
    <mergeCell ref="A13:E13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  <col width="18" customWidth="1" min="3" max="3"/>
    <col width="20" customWidth="1" min="4" max="4"/>
    <col width="20" customWidth="1" min="5" max="5"/>
  </cols>
  <sheetData>
    <row r="1">
      <c r="A1" s="22" t="inlineStr">
        <is>
          <t>PROJECT DELIVERABLE MILESTONES &amp; DISBURSEMENT PERCENTAGES</t>
        </is>
      </c>
    </row>
    <row r="3">
      <c r="A3" s="23" t="inlineStr">
        <is>
          <t>Milestone</t>
        </is>
      </c>
      <c r="B3" s="23" t="inlineStr">
        <is>
          <t>Deliverable Scope</t>
        </is>
      </c>
      <c r="C3" s="23" t="inlineStr">
        <is>
          <t>Timeline</t>
        </is>
      </c>
      <c r="D3" s="23" t="inlineStr">
        <is>
          <t>Payment Share (%)</t>
        </is>
      </c>
      <c r="E3" s="23" t="inlineStr">
        <is>
          <t>Cumulative (%)</t>
        </is>
      </c>
    </row>
    <row r="4">
      <c r="A4" s="24" t="inlineStr">
        <is>
          <t>M-1</t>
        </is>
      </c>
      <c r="B4" s="25" t="inlineStr">
        <is>
          <t>Inception Report, Project Quality Plan &amp; Statutory Clearances</t>
        </is>
      </c>
      <c r="C4" s="24" t="inlineStr">
        <is>
          <t>T0 + 30 Days</t>
        </is>
      </c>
      <c r="D4" s="26" t="n">
        <v>10</v>
      </c>
      <c r="E4" s="26" t="n">
        <v>10</v>
      </c>
    </row>
    <row r="5">
      <c r="A5" s="24" t="inlineStr">
        <is>
          <t>M-2</t>
        </is>
      </c>
      <c r="B5" s="25" t="inlineStr">
        <is>
          <t>DGPS Ground Control Network, Flight Survey &amp; Raw Sensor Verification</t>
        </is>
      </c>
      <c r="C5" s="24" t="inlineStr">
        <is>
          <t>T0 + 90 Days</t>
        </is>
      </c>
      <c r="D5" s="26" t="n">
        <v>20</v>
      </c>
      <c r="E5" s="26" t="n">
        <v>30</v>
      </c>
    </row>
    <row r="6">
      <c r="A6" s="24" t="inlineStr">
        <is>
          <t>M-3</t>
        </is>
      </c>
      <c r="B6" s="25" t="inlineStr">
        <is>
          <t>Ortho-mosaic Processing, Feature Extraction &amp; 50% Field Verification</t>
        </is>
      </c>
      <c r="C6" s="24" t="inlineStr">
        <is>
          <t>T0 + 180 Days</t>
        </is>
      </c>
      <c r="D6" s="26" t="n">
        <v>25</v>
      </c>
      <c r="E6" s="26" t="n">
        <v>55</v>
      </c>
    </row>
    <row r="7">
      <c r="A7" s="24" t="inlineStr">
        <is>
          <t>M-4</t>
        </is>
      </c>
      <c r="B7" s="25" t="inlineStr">
        <is>
          <t>100% Survey Completion, UPIN Geo-tagging &amp; Database Validation</t>
        </is>
      </c>
      <c r="C7" s="24" t="inlineStr">
        <is>
          <t>T0 + 270 Days</t>
        </is>
      </c>
      <c r="D7" s="26" t="n">
        <v>25</v>
      </c>
      <c r="E7" s="26" t="n">
        <v>80</v>
      </c>
    </row>
    <row r="8">
      <c r="A8" s="24" t="inlineStr">
        <is>
          <t>M-5</t>
        </is>
      </c>
      <c r="B8" s="25" t="inlineStr">
        <is>
          <t>Web GIS Portal Deployment, User Acceptance Testing (UAT) &amp; Training</t>
        </is>
      </c>
      <c r="C8" s="24" t="inlineStr">
        <is>
          <t>T0 + 330 Days</t>
        </is>
      </c>
      <c r="D8" s="26" t="n">
        <v>10</v>
      </c>
      <c r="E8" s="26" t="n">
        <v>90</v>
      </c>
    </row>
    <row r="9">
      <c r="A9" s="24" t="inlineStr">
        <is>
          <t>M-6</t>
        </is>
      </c>
      <c r="B9" s="25" t="inlineStr">
        <is>
          <t>Final Handover Sign-off &amp; Commencement of AMC / Operations</t>
        </is>
      </c>
      <c r="C9" s="24" t="inlineStr">
        <is>
          <t>T0 + 365 Days</t>
        </is>
      </c>
      <c r="D9" s="26" t="n">
        <v>10</v>
      </c>
      <c r="E9" s="2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STATUTORY UNDERTAKING BY COMMERCIAL BIDDER</t>
        </is>
      </c>
    </row>
    <row r="2">
      <c r="A2" t="inlineStr"/>
    </row>
    <row r="3">
      <c r="A3" t="inlineStr">
        <is>
          <t>1. We confirm that the rates quoted above in the Item Rate BoQ are complete and inclusive of all taxes,</t>
        </is>
      </c>
    </row>
    <row r="4">
      <c r="A4" t="inlineStr">
        <is>
          <t xml:space="preserve">   duties, levies, transportation, insurance, survey sensor equipment, software licenses, and field manpower.</t>
        </is>
      </c>
    </row>
    <row r="5">
      <c r="A5" t="inlineStr">
        <is>
          <t>2. The financial proposal shall remain valid for 180 calendar days from the date of technical bid opening.</t>
        </is>
      </c>
    </row>
    <row r="6">
      <c r="A6" t="inlineStr">
        <is>
          <t>3. We understand that mathematical formulas in the official Excel BOQ are automated and verify all calculations.</t>
        </is>
      </c>
    </row>
    <row r="7">
      <c r="A7" t="inlineStr">
        <is>
          <t>4. In case of any mathematical discrepancy between unit rates and total amount, unit rates shall prevail.</t>
        </is>
      </c>
    </row>
    <row r="8">
      <c r="A8" t="inlineStr"/>
    </row>
    <row r="9">
      <c r="A9" t="inlineStr">
        <is>
          <t>Name of Authorized Signatory: ________________________________________________</t>
        </is>
      </c>
    </row>
    <row r="10">
      <c r="A10" t="inlineStr">
        <is>
          <t>Designation: _______________________________________________________________</t>
        </is>
      </c>
    </row>
    <row r="11">
      <c r="A11" t="inlineStr">
        <is>
          <t>Company Seal &amp; Digital Signature: ___________________________________________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2026-10-21T14:00:01Z</dcterms:created>
  <dcterms:modified xmlns:dcterms="http://purl.org/dc/terms/" xmlns:xsi="http://www.w3.org/2001/XMLSchema-instance" xsi:type="dcterms:W3CDTF">2026-10-21T14:00:01Z</dcterms:modified>
</cp:coreProperties>
</file>