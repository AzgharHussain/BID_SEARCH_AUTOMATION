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 Rate BoQ" sheetId="1" state="visible" r:id="rId1"/>
    <sheet name="Milestone Schedule" sheetId="2" state="visible" r:id="rId2"/>
    <sheet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2026_ARU_3001399_13 | Authority: DEPARTMENT OF INFORMATION TECHNOLOGY &amp; e-GOVERNANCE</t>
        </is>
      </c>
    </row>
    <row r="3">
      <c r="A3" s="3" t="inlineStr">
        <is>
          <t>Work: ICT-Based Cloud Data Center Modernization &amp; Statewide Integrated Video Command Analytics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Integrated Command and Control Center (ICCC) Video Wall Display System &amp; Workstation Infrastructure</t>
        </is>
      </c>
      <c r="C7" s="8" t="n">
        <v>1</v>
      </c>
      <c r="D7" s="6" t="inlineStr">
        <is>
          <t>System</t>
        </is>
      </c>
      <c r="E7" s="9" t="n">
        <v>8500000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AI-Powered Video Analytics Software (ANPR, Red Light Violation, Congestion Heatmaps)</t>
        </is>
      </c>
      <c r="C8" s="13" t="n">
        <v>250</v>
      </c>
      <c r="D8" s="11" t="inlineStr">
        <is>
          <t>Channels</t>
        </is>
      </c>
      <c r="E8" s="14" t="n">
        <v>32000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Adaptive Traffic Control System (ATCS) Junction Controller Supply &amp; Fiber Interface</t>
        </is>
      </c>
      <c r="C9" s="8" t="n">
        <v>45</v>
      </c>
      <c r="D9" s="6" t="inlineStr">
        <is>
          <t>Junctions</t>
        </is>
      </c>
      <c r="E9" s="9" t="n">
        <v>280000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Real-Time Spatial GIS Traffic Visualization Engine &amp; Digital Twin Dashboard</t>
        </is>
      </c>
      <c r="C10" s="13" t="n">
        <v>1</v>
      </c>
      <c r="D10" s="11" t="inlineStr">
        <is>
          <t>Platform</t>
        </is>
      </c>
      <c r="E10" s="14" t="n">
        <v>4800000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Cloud Data Center &amp; Disaster Recovery High-Availability Infrastructure Setup (SLA 99.9%)</t>
        </is>
      </c>
      <c r="C11" s="8" t="n">
        <v>1</v>
      </c>
      <c r="D11" s="6" t="inlineStr">
        <is>
          <t>System</t>
        </is>
      </c>
      <c r="E11" s="9" t="n">
        <v>6500000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Underground Optical Fiber Cable (OFC) Network Splicing, Testing and Termination</t>
        </is>
      </c>
      <c r="C12" s="13" t="n">
        <v>65</v>
      </c>
      <c r="D12" s="11" t="inlineStr">
        <is>
          <t>Km</t>
        </is>
      </c>
      <c r="E12" s="14" t="n">
        <v>125000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24x7 Operations, Control Room Staffing and Multi-Year Facility Management</t>
        </is>
      </c>
      <c r="C13" s="8" t="n">
        <v>36</v>
      </c>
      <c r="D13" s="6" t="inlineStr">
        <is>
          <t>Months</t>
        </is>
      </c>
      <c r="E13" s="9" t="n">
        <v>240000</v>
      </c>
      <c r="F13" s="9">
        <f>C13*E13</f>
        <v/>
      </c>
      <c r="G13" s="10" t="n">
        <v>18</v>
      </c>
      <c r="H13" s="9">
        <f>F13*(1+G13/100)</f>
        <v/>
      </c>
    </row>
    <row r="14" ht="24" customHeight="1">
      <c r="A14" s="16" t="inlineStr">
        <is>
          <t>SUB-TOTAL BASIC CONTRACT VALUE (INR)</t>
        </is>
      </c>
      <c r="B14" s="17" t="n"/>
      <c r="C14" s="17" t="n"/>
      <c r="D14" s="17" t="n"/>
      <c r="E14" s="17" t="n"/>
      <c r="F14" s="18">
        <f>SUM(F7:F13)</f>
        <v/>
      </c>
      <c r="G14" s="17" t="n"/>
      <c r="H14" s="17" t="n"/>
    </row>
    <row r="15" ht="24" customHeight="1">
      <c r="A15" s="16" t="inlineStr">
        <is>
          <t>APPLICABLE GOODS &amp; SERVICES TAX (GST @ 18%) (INR)</t>
        </is>
      </c>
      <c r="B15" s="17" t="n"/>
      <c r="C15" s="17" t="n"/>
      <c r="D15" s="17" t="n"/>
      <c r="E15" s="17" t="n"/>
      <c r="F15" s="18">
        <f>F14*0.18</f>
        <v/>
      </c>
      <c r="G15" s="17" t="n"/>
      <c r="H15" s="17" t="n"/>
    </row>
    <row r="16" ht="28" customHeight="1">
      <c r="A16" s="19" t="inlineStr">
        <is>
          <t>TOTAL ESTIMATED TENDER VALUE INCLUSIVE OF ALL TAXES (INR)</t>
        </is>
      </c>
      <c r="B16" s="20" t="n"/>
      <c r="C16" s="20" t="n"/>
      <c r="D16" s="20" t="n"/>
      <c r="E16" s="20" t="n"/>
      <c r="F16" s="21">
        <f>F14+F15</f>
        <v/>
      </c>
      <c r="G16" s="20" t="n"/>
      <c r="H16" s="21">
        <f>F16</f>
        <v/>
      </c>
    </row>
  </sheetData>
  <mergeCells count="7">
    <mergeCell ref="A1:H1"/>
    <mergeCell ref="A4:H4"/>
    <mergeCell ref="A3:H3"/>
    <mergeCell ref="A16:E16"/>
    <mergeCell ref="A15:E15"/>
    <mergeCell ref="A2:H2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2026-10-21T10:25:47Z</dcterms:created>
  <dcterms:modified xsi:type="dcterms:W3CDTF">2026-10-21T10:25:47Z</dcterms:modified>
</cp:coreProperties>
</file>