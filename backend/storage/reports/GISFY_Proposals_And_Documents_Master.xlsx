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s &amp; Documents" sheetId="1" state="visible" r:id="rId1"/>
    <sheet xmlns:r="http://schemas.openxmlformats.org/officeDocument/2006/relationships" name="State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1E1B4B"/>
      <sz val="14"/>
    </font>
    <font>
      <name val="Segoe UI"/>
      <i val="1"/>
      <color rgb="0064748B"/>
      <sz val="10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166534"/>
      <sz val="10"/>
    </font>
    <font>
      <name val="Segoe UI"/>
      <color rgb="002563EB"/>
      <sz val="10"/>
      <u val="single"/>
    </font>
  </fonts>
  <fills count="7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FFFFF"/>
        <bgColor rgb="00FFFFFF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312E81"/>
        <bgColor rgb="00312E81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3" fillId="6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7" fillId="3" borderId="1" pivotButton="0" quotePrefix="0" xfId="0"/>
    <xf numFmtId="0" fontId="5" fillId="3" borderId="1" pivotButton="0" quotePrefix="0" xfId="0"/>
    <xf numFmtId="0" fontId="4" fillId="5" borderId="1" pivotButton="0" quotePrefix="0" xfId="0"/>
    <xf numFmtId="0" fontId="7" fillId="5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4" customWidth="1" min="3" max="3"/>
    <col width="45" customWidth="1" min="4" max="4"/>
    <col width="35" customWidth="1" min="5" max="5"/>
    <col width="15" customWidth="1" min="6" max="6"/>
    <col width="18" customWidth="1" min="7" max="7"/>
    <col width="18" customWidth="1" min="8" max="8"/>
    <col width="40" customWidth="1" min="9" max="9"/>
    <col width="18" customWidth="1" min="10" max="10"/>
    <col width="14" customWidth="1" min="11" max="11"/>
    <col width="32" customWidth="1" min="12" max="12"/>
    <col width="22" customWidth="1" min="13" max="13"/>
  </cols>
  <sheetData>
    <row r="1" ht="28" customHeight="1">
      <c r="A1" s="1" t="inlineStr">
        <is>
          <t>GISFY Automated Proposals — Master State &amp; Keyword Intelligence</t>
        </is>
      </c>
    </row>
    <row r="2" ht="20" customHeight="1">
      <c r="A2" s="2" t="inlineStr">
        <is>
          <t>Generated on 22 October 2026, 08:46 PM • Interactive links included for instant document download &amp; portal navigation</t>
        </is>
      </c>
    </row>
    <row r="4" ht="28" customHeight="1">
      <c r="A4" s="3" t="inlineStr">
        <is>
          <t>State</t>
        </is>
      </c>
      <c r="B4" s="3" t="inlineStr">
        <is>
          <t>Keyword</t>
        </is>
      </c>
      <c r="C4" s="3" t="inlineStr">
        <is>
          <t>Tender ID / Ref</t>
        </is>
      </c>
      <c r="D4" s="3" t="inlineStr">
        <is>
          <t>Tender Title</t>
        </is>
      </c>
      <c r="E4" s="3" t="inlineStr">
        <is>
          <t>Department / Agency</t>
        </is>
      </c>
      <c r="F4" s="3" t="inlineStr">
        <is>
          <t>Published Date</t>
        </is>
      </c>
      <c r="G4" s="3" t="inlineStr">
        <is>
          <t>Submission Due Date</t>
        </is>
      </c>
      <c r="H4" s="3" t="inlineStr">
        <is>
          <t>Status</t>
        </is>
      </c>
      <c r="I4" s="3" t="inlineStr">
        <is>
          <t>Document File Name</t>
        </is>
      </c>
      <c r="J4" s="3" t="inlineStr">
        <is>
          <t>Document Type</t>
        </is>
      </c>
      <c r="K4" s="3" t="inlineStr">
        <is>
          <t>Size (KB)</t>
        </is>
      </c>
      <c r="L4" s="3" t="inlineStr">
        <is>
          <t>Direct Document Download (Click Link)</t>
        </is>
      </c>
      <c r="M4" s="3" t="inlineStr">
        <is>
          <t>Open in GISFY Portal</t>
        </is>
      </c>
    </row>
    <row r="5" ht="24" customHeight="1">
      <c r="A5" s="4" t="inlineStr">
        <is>
          <t>Madhya Pradesh</t>
        </is>
      </c>
      <c r="B5" s="5" t="inlineStr">
        <is>
          <t>GIS</t>
        </is>
      </c>
      <c r="C5" s="6" t="inlineStr">
        <is>
          <t>2026_DTCP_543285_1</t>
        </is>
      </c>
      <c r="D5" s="7" t="inlineStr">
        <is>
          <t>[Appointment of Chartered Accountant / Chartered Accountancy Firm for RERA Registration / Renewal, Quarterly Compliance, and Other Ancillary Activities for Real Estate/PMAY Projects Implemented by Ujjain Development Authority. UDA]</t>
        </is>
      </c>
      <c r="E5" s="7" t="n"/>
      <c r="F5" s="6" t="inlineStr">
        <is>
          <t>-</t>
        </is>
      </c>
      <c r="G5" s="5" t="inlineStr">
        <is>
          <t>-</t>
        </is>
      </c>
      <c r="H5" s="8" t="inlineStr">
        <is>
          <t>🟢 LIVE ACTIVE</t>
        </is>
      </c>
      <c r="I5" s="4" t="inlineStr">
        <is>
          <t>Tendernotice_1.pdf</t>
        </is>
      </c>
      <c r="J5" s="6" t="inlineStr">
        <is>
          <t>📕 PDF Document</t>
        </is>
      </c>
      <c r="K5" s="9" t="n">
        <v>37.4</v>
      </c>
      <c r="L5" s="10">
        <f>HYPERLINK("http://127.0.0.1:8000/api/documents/download?id=2916&amp;attachment=true", "⬇ Download Tendernotice_1.pdf")</f>
        <v/>
      </c>
      <c r="M5" s="10">
        <f>HYPERLINK("http://localhost:5173/?state=Madhya%20Pradesh&amp;keyword=GIS&amp;tender=2026_DTCP_543285_1", "🚀 Open in Portal")</f>
        <v/>
      </c>
    </row>
    <row r="6" ht="24" customHeight="1">
      <c r="A6" s="11" t="inlineStr">
        <is>
          <t>Madhya Pradesh</t>
        </is>
      </c>
      <c r="B6" s="12" t="inlineStr">
        <is>
          <t>GIS</t>
        </is>
      </c>
      <c r="C6" s="13" t="inlineStr">
        <is>
          <t>2026_DTCP_543285_1</t>
        </is>
      </c>
      <c r="D6" s="14" t="inlineStr">
        <is>
          <t>[Appointment of Chartered Accountant / Chartered Accountancy Firm for RERA Registration / Renewal, Quarterly Compliance, and Other Ancillary Activities for Real Estate/PMAY Projects Implemented by Ujjain Development Authority. UDA]</t>
        </is>
      </c>
      <c r="E6" s="14" t="n"/>
      <c r="F6" s="13" t="inlineStr">
        <is>
          <t>-</t>
        </is>
      </c>
      <c r="G6" s="12" t="inlineStr">
        <is>
          <t>-</t>
        </is>
      </c>
      <c r="H6" s="8" t="inlineStr">
        <is>
          <t>🟢 LIVE ACTIVE</t>
        </is>
      </c>
      <c r="I6" s="11" t="inlineStr">
        <is>
          <t>BOQ_653380.xls</t>
        </is>
      </c>
      <c r="J6" s="13" t="inlineStr">
        <is>
          <t>📊 Excel BOQ</t>
        </is>
      </c>
      <c r="K6" s="15" t="n">
        <v>8.800000000000001</v>
      </c>
      <c r="L6" s="16">
        <f>HYPERLINK("http://127.0.0.1:8000/api/documents/download?id=2917&amp;attachment=true", "⬇ Download BOQ_653380.xls")</f>
        <v/>
      </c>
      <c r="M6" s="16">
        <f>HYPERLINK("http://localhost:5173/?state=Madhya%20Pradesh&amp;keyword=GIS&amp;tender=2026_DTCP_543285_1", "🚀 Open in Portal")</f>
        <v/>
      </c>
    </row>
    <row r="7" ht="24" customHeight="1">
      <c r="A7" s="4" t="inlineStr">
        <is>
          <t>Madhya Pradesh</t>
        </is>
      </c>
      <c r="B7" s="5" t="inlineStr">
        <is>
          <t>GIS</t>
        </is>
      </c>
      <c r="C7" s="6" t="inlineStr">
        <is>
          <t>2026_DTCP_543285_1</t>
        </is>
      </c>
      <c r="D7" s="7" t="inlineStr">
        <is>
          <t>[Appointment of Chartered Accountant / Chartered Accountancy Firm for RERA Registration / Renewal, Quarterly Compliance, and Other Ancillary Activities for Real Estate/PMAY Projects Implemented by Ujjain Development Authority. UDA]</t>
        </is>
      </c>
      <c r="E7" s="7" t="n"/>
      <c r="F7" s="6" t="inlineStr">
        <is>
          <t>-</t>
        </is>
      </c>
      <c r="G7" s="5" t="inlineStr">
        <is>
          <t>-</t>
        </is>
      </c>
      <c r="H7" s="8" t="inlineStr">
        <is>
          <t>🟢 LIVE ACTIVE</t>
        </is>
      </c>
      <c r="I7" s="4" t="inlineStr">
        <is>
          <t>Tender_2026_DTCP_543285_1_All_Documents.zip</t>
        </is>
      </c>
      <c r="J7" s="6" t="inlineStr">
        <is>
          <t>📦 ZIP Package</t>
        </is>
      </c>
      <c r="K7" s="9" t="n">
        <v>36.8</v>
      </c>
      <c r="L7" s="10">
        <f>HYPERLINK("http://127.0.0.1:8000/api/documents/download?id=2918&amp;attachment=true", "⬇ Download Tender_2026_DTCP_543285_")</f>
        <v/>
      </c>
      <c r="M7" s="10">
        <f>HYPERLINK("http://localhost:5173/?state=Madhya%20Pradesh&amp;keyword=GIS&amp;tender=2026_DTCP_543285_1", "🚀 Open in Portal")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40" customWidth="1" min="3" max="3"/>
    <col width="22" customWidth="1" min="4" max="4"/>
    <col width="26" customWidth="1" min="5" max="5"/>
    <col width="25" customWidth="1" min="6" max="6"/>
  </cols>
  <sheetData>
    <row r="1" ht="28" customHeight="1">
      <c r="A1" s="17" t="inlineStr">
        <is>
          <t>GISFY Automated Proposals — Monitored States &amp; Keywords Matrix</t>
        </is>
      </c>
    </row>
    <row r="3" ht="26" customHeight="1">
      <c r="A3" s="18" t="inlineStr">
        <is>
          <t>State Name</t>
        </is>
      </c>
      <c r="B3" s="18" t="inlineStr">
        <is>
          <t>Official Portal URL</t>
        </is>
      </c>
      <c r="C3" s="18" t="inlineStr">
        <is>
          <t>Target Keywords Monitored</t>
        </is>
      </c>
      <c r="D3" s="18" t="inlineStr">
        <is>
          <t>Total Active Proposals</t>
        </is>
      </c>
      <c r="E3" s="18" t="inlineStr">
        <is>
          <t>Available Proposal Documents</t>
        </is>
      </c>
      <c r="F3" s="18" t="inlineStr">
        <is>
          <t>Launch State in Portal</t>
        </is>
      </c>
    </row>
    <row r="4" ht="22" customHeight="1">
      <c r="A4" s="19" t="inlineStr">
        <is>
          <t>Andhra Pradesh</t>
        </is>
      </c>
      <c r="B4" s="20">
        <f>HYPERLINK("https://tender.apeprocurement.gov.in", "Official Portal ↗")</f>
        <v/>
      </c>
      <c r="C4" s="21" t="inlineStr">
        <is>
          <t>All Configured</t>
        </is>
      </c>
      <c r="D4" s="5" t="n">
        <v>0</v>
      </c>
      <c r="E4" s="5" t="n">
        <v>0</v>
      </c>
      <c r="F4" s="10">
        <f>HYPERLINK("http://localhost:5173/?state=Andhra%20Pradesh", "🌐 Open State Portal")</f>
        <v/>
      </c>
    </row>
    <row r="5" ht="22" customHeight="1">
      <c r="A5" s="22" t="inlineStr">
        <is>
          <t>Arunachal Pradesh</t>
        </is>
      </c>
      <c r="B5" s="23">
        <f>HYPERLINK("https://arunachaltenders.gov.in", "Official Portal ↗")</f>
        <v/>
      </c>
      <c r="C5" s="24" t="inlineStr">
        <is>
          <t>All Configured</t>
        </is>
      </c>
      <c r="D5" s="12" t="n">
        <v>0</v>
      </c>
      <c r="E5" s="12" t="n">
        <v>0</v>
      </c>
      <c r="F5" s="16">
        <f>HYPERLINK("http://localhost:5173/?state=Arunachal%20Pradesh", "🌐 Open State Portal")</f>
        <v/>
      </c>
    </row>
    <row r="6" ht="22" customHeight="1">
      <c r="A6" s="19" t="inlineStr">
        <is>
          <t>Assam</t>
        </is>
      </c>
      <c r="B6" s="20">
        <f>HYPERLINK("https://assamtenders.gov.in", "Official Portal ↗")</f>
        <v/>
      </c>
      <c r="C6" s="21" t="inlineStr">
        <is>
          <t>All Configured</t>
        </is>
      </c>
      <c r="D6" s="5" t="n">
        <v>0</v>
      </c>
      <c r="E6" s="5" t="n">
        <v>0</v>
      </c>
      <c r="F6" s="10">
        <f>HYPERLINK("http://localhost:5173/?state=Assam", "🌐 Open State Portal")</f>
        <v/>
      </c>
    </row>
    <row r="7" ht="22" customHeight="1">
      <c r="A7" s="22" t="inlineStr">
        <is>
          <t>Bihar</t>
        </is>
      </c>
      <c r="B7" s="23">
        <f>HYPERLINK("https://eproc2.bihar.gov.in", "Official Portal ↗")</f>
        <v/>
      </c>
      <c r="C7" s="24" t="inlineStr">
        <is>
          <t>All Configured</t>
        </is>
      </c>
      <c r="D7" s="12" t="n">
        <v>0</v>
      </c>
      <c r="E7" s="12" t="n">
        <v>0</v>
      </c>
      <c r="F7" s="16">
        <f>HYPERLINK("http://localhost:5173/?state=Bihar", "🌐 Open State Portal")</f>
        <v/>
      </c>
    </row>
    <row r="8" ht="22" customHeight="1">
      <c r="A8" s="19" t="inlineStr">
        <is>
          <t>Chhattisgarh</t>
        </is>
      </c>
      <c r="B8" s="20">
        <f>HYPERLINK("https://eproc.cgstate.gov.in", "Official Portal ↗")</f>
        <v/>
      </c>
      <c r="C8" s="21" t="inlineStr">
        <is>
          <t>All Configured</t>
        </is>
      </c>
      <c r="D8" s="5" t="n">
        <v>0</v>
      </c>
      <c r="E8" s="5" t="n">
        <v>0</v>
      </c>
      <c r="F8" s="10">
        <f>HYPERLINK("http://localhost:5173/?state=Chhattisgarh", "🌐 Open State Portal")</f>
        <v/>
      </c>
    </row>
    <row r="9" ht="22" customHeight="1">
      <c r="A9" s="22" t="inlineStr">
        <is>
          <t>Delhi</t>
        </is>
      </c>
      <c r="B9" s="23">
        <f>HYPERLINK("https://govtprocurement.delhi.gov.in", "Official Portal ↗")</f>
        <v/>
      </c>
      <c r="C9" s="24" t="inlineStr">
        <is>
          <t>All Configured</t>
        </is>
      </c>
      <c r="D9" s="12" t="n">
        <v>0</v>
      </c>
      <c r="E9" s="12" t="n">
        <v>0</v>
      </c>
      <c r="F9" s="16">
        <f>HYPERLINK("http://localhost:5173/?state=Delhi", "🌐 Open State Portal")</f>
        <v/>
      </c>
    </row>
    <row r="10" ht="22" customHeight="1">
      <c r="A10" s="19" t="inlineStr">
        <is>
          <t>Goa</t>
        </is>
      </c>
      <c r="B10" s="20">
        <f>HYPERLINK("https://eprocure.goa.gov.in", "Official Portal ↗")</f>
        <v/>
      </c>
      <c r="C10" s="21" t="inlineStr">
        <is>
          <t>All Configured</t>
        </is>
      </c>
      <c r="D10" s="5" t="n">
        <v>0</v>
      </c>
      <c r="E10" s="5" t="n">
        <v>0</v>
      </c>
      <c r="F10" s="10">
        <f>HYPERLINK("http://localhost:5173/?state=Goa", "🌐 Open State Portal")</f>
        <v/>
      </c>
    </row>
    <row r="11" ht="22" customHeight="1">
      <c r="A11" s="22" t="inlineStr">
        <is>
          <t>Gujarat</t>
        </is>
      </c>
      <c r="B11" s="23">
        <f>HYPERLINK("https://tender.nprocure.com", "Official Portal ↗")</f>
        <v/>
      </c>
      <c r="C11" s="24" t="inlineStr">
        <is>
          <t>All Configured</t>
        </is>
      </c>
      <c r="D11" s="12" t="n">
        <v>0</v>
      </c>
      <c r="E11" s="12" t="n">
        <v>0</v>
      </c>
      <c r="F11" s="16">
        <f>HYPERLINK("http://localhost:5173/?state=Gujarat", "🌐 Open State Portal")</f>
        <v/>
      </c>
    </row>
    <row r="12" ht="22" customHeight="1">
      <c r="A12" s="19" t="inlineStr">
        <is>
          <t>Haryana</t>
        </is>
      </c>
      <c r="B12" s="20">
        <f>HYPERLINK("https://etenders.hry.nic.in", "Official Portal ↗")</f>
        <v/>
      </c>
      <c r="C12" s="21" t="inlineStr">
        <is>
          <t>All Configured</t>
        </is>
      </c>
      <c r="D12" s="5" t="n">
        <v>0</v>
      </c>
      <c r="E12" s="5" t="n">
        <v>0</v>
      </c>
      <c r="F12" s="10">
        <f>HYPERLINK("http://localhost:5173/?state=Haryana", "🌐 Open State Portal")</f>
        <v/>
      </c>
    </row>
    <row r="13" ht="22" customHeight="1">
      <c r="A13" s="22" t="inlineStr">
        <is>
          <t>Himachal Pradesh</t>
        </is>
      </c>
      <c r="B13" s="23">
        <f>HYPERLINK("https://hptenders.gov.in", "Official Portal ↗")</f>
        <v/>
      </c>
      <c r="C13" s="24" t="inlineStr">
        <is>
          <t>All Configured</t>
        </is>
      </c>
      <c r="D13" s="12" t="n">
        <v>0</v>
      </c>
      <c r="E13" s="12" t="n">
        <v>0</v>
      </c>
      <c r="F13" s="16">
        <f>HYPERLINK("http://localhost:5173/?state=Himachal%20Pradesh", "🌐 Open State Portal")</f>
        <v/>
      </c>
    </row>
    <row r="14" ht="22" customHeight="1">
      <c r="A14" s="19" t="inlineStr">
        <is>
          <t>Jharkhand</t>
        </is>
      </c>
      <c r="B14" s="20">
        <f>HYPERLINK("https://jharkhandtenders.gov.in", "Official Portal ↗")</f>
        <v/>
      </c>
      <c r="C14" s="21" t="inlineStr">
        <is>
          <t>All Configured</t>
        </is>
      </c>
      <c r="D14" s="5" t="n">
        <v>0</v>
      </c>
      <c r="E14" s="5" t="n">
        <v>0</v>
      </c>
      <c r="F14" s="10">
        <f>HYPERLINK("http://localhost:5173/?state=Jharkhand", "🌐 Open State Portal")</f>
        <v/>
      </c>
    </row>
    <row r="15" ht="22" customHeight="1">
      <c r="A15" s="22" t="inlineStr">
        <is>
          <t>Karnataka</t>
        </is>
      </c>
      <c r="B15" s="23">
        <f>HYPERLINK("https://kppp.karnataka.gov.in", "Official Portal ↗")</f>
        <v/>
      </c>
      <c r="C15" s="24" t="inlineStr">
        <is>
          <t>All Configured</t>
        </is>
      </c>
      <c r="D15" s="12" t="n">
        <v>0</v>
      </c>
      <c r="E15" s="12" t="n">
        <v>0</v>
      </c>
      <c r="F15" s="16">
        <f>HYPERLINK("http://localhost:5173/?state=Karnataka", "🌐 Open State Portal")</f>
        <v/>
      </c>
    </row>
    <row r="16" ht="22" customHeight="1">
      <c r="A16" s="19" t="inlineStr">
        <is>
          <t>Kerala</t>
        </is>
      </c>
      <c r="B16" s="20">
        <f>HYPERLINK("https://etenders.kerala.gov.in", "Official Portal ↗")</f>
        <v/>
      </c>
      <c r="C16" s="21" t="inlineStr">
        <is>
          <t>All Configured</t>
        </is>
      </c>
      <c r="D16" s="5" t="n">
        <v>0</v>
      </c>
      <c r="E16" s="5" t="n">
        <v>0</v>
      </c>
      <c r="F16" s="10">
        <f>HYPERLINK("http://localhost:5173/?state=Kerala", "🌐 Open State Portal")</f>
        <v/>
      </c>
    </row>
    <row r="17" ht="22" customHeight="1">
      <c r="A17" s="22" t="inlineStr">
        <is>
          <t>Madhya Pradesh</t>
        </is>
      </c>
      <c r="B17" s="23">
        <f>HYPERLINK("https://mptenders.gov.in", "Official Portal ↗")</f>
        <v/>
      </c>
      <c r="C17" s="24" t="inlineStr">
        <is>
          <t>GIS</t>
        </is>
      </c>
      <c r="D17" s="12" t="n">
        <v>1</v>
      </c>
      <c r="E17" s="12" t="n">
        <v>3</v>
      </c>
      <c r="F17" s="16">
        <f>HYPERLINK("http://localhost:5173/?state=Madhya%20Pradesh", "🌐 Open State Portal")</f>
        <v/>
      </c>
    </row>
    <row r="18" ht="22" customHeight="1">
      <c r="A18" s="19" t="inlineStr">
        <is>
          <t>Maharashtra</t>
        </is>
      </c>
      <c r="B18" s="20">
        <f>HYPERLINK("https://mahatenders.gov.in", "Official Portal ↗")</f>
        <v/>
      </c>
      <c r="C18" s="21" t="inlineStr">
        <is>
          <t>All Configured</t>
        </is>
      </c>
      <c r="D18" s="5" t="n">
        <v>0</v>
      </c>
      <c r="E18" s="5" t="n">
        <v>0</v>
      </c>
      <c r="F18" s="10">
        <f>HYPERLINK("http://localhost:5173/?state=Maharashtra", "🌐 Open State Portal")</f>
        <v/>
      </c>
    </row>
    <row r="19" ht="22" customHeight="1">
      <c r="A19" s="22" t="inlineStr">
        <is>
          <t>Manipur</t>
        </is>
      </c>
      <c r="B19" s="23">
        <f>HYPERLINK("https://manipurtenders.gov.in", "Official Portal ↗")</f>
        <v/>
      </c>
      <c r="C19" s="24" t="inlineStr">
        <is>
          <t>All Configured</t>
        </is>
      </c>
      <c r="D19" s="12" t="n">
        <v>0</v>
      </c>
      <c r="E19" s="12" t="n">
        <v>0</v>
      </c>
      <c r="F19" s="16">
        <f>HYPERLINK("http://localhost:5173/?state=Manipur", "🌐 Open State Portal")</f>
        <v/>
      </c>
    </row>
    <row r="20" ht="22" customHeight="1">
      <c r="A20" s="19" t="inlineStr">
        <is>
          <t>Meghalaya</t>
        </is>
      </c>
      <c r="B20" s="20">
        <f>HYPERLINK("https://meghalayatenders.gov.in", "Official Portal ↗")</f>
        <v/>
      </c>
      <c r="C20" s="21" t="inlineStr">
        <is>
          <t>All Configured</t>
        </is>
      </c>
      <c r="D20" s="5" t="n">
        <v>0</v>
      </c>
      <c r="E20" s="5" t="n">
        <v>0</v>
      </c>
      <c r="F20" s="10">
        <f>HYPERLINK("http://localhost:5173/?state=Meghalaya", "🌐 Open State Portal")</f>
        <v/>
      </c>
    </row>
    <row r="21" ht="22" customHeight="1">
      <c r="A21" s="22" t="inlineStr">
        <is>
          <t>Mizoram</t>
        </is>
      </c>
      <c r="B21" s="23">
        <f>HYPERLINK("https://mizoramtenders.gov.in", "Official Portal ↗")</f>
        <v/>
      </c>
      <c r="C21" s="24" t="inlineStr">
        <is>
          <t>All Configured</t>
        </is>
      </c>
      <c r="D21" s="12" t="n">
        <v>0</v>
      </c>
      <c r="E21" s="12" t="n">
        <v>0</v>
      </c>
      <c r="F21" s="16">
        <f>HYPERLINK("http://localhost:5173/?state=Mizoram", "🌐 Open State Portal")</f>
        <v/>
      </c>
    </row>
    <row r="22" ht="22" customHeight="1">
      <c r="A22" s="19" t="inlineStr">
        <is>
          <t>Nagaland</t>
        </is>
      </c>
      <c r="B22" s="20">
        <f>HYPERLINK("https://nagalandtenders.gov.in", "Official Portal ↗")</f>
        <v/>
      </c>
      <c r="C22" s="21" t="inlineStr">
        <is>
          <t>All Configured</t>
        </is>
      </c>
      <c r="D22" s="5" t="n">
        <v>0</v>
      </c>
      <c r="E22" s="5" t="n">
        <v>0</v>
      </c>
      <c r="F22" s="10">
        <f>HYPERLINK("http://localhost:5173/?state=Nagaland", "🌐 Open State Portal")</f>
        <v/>
      </c>
    </row>
    <row r="23" ht="22" customHeight="1">
      <c r="A23" s="22" t="inlineStr">
        <is>
          <t>Odisha</t>
        </is>
      </c>
      <c r="B23" s="23">
        <f>HYPERLINK("https://tendersodisha.gov.in", "Official Portal ↗")</f>
        <v/>
      </c>
      <c r="C23" s="24" t="inlineStr">
        <is>
          <t>All Configured</t>
        </is>
      </c>
      <c r="D23" s="12" t="n">
        <v>0</v>
      </c>
      <c r="E23" s="12" t="n">
        <v>0</v>
      </c>
      <c r="F23" s="16">
        <f>HYPERLINK("http://localhost:5173/?state=Odisha", "🌐 Open State Portal")</f>
        <v/>
      </c>
    </row>
    <row r="24" ht="22" customHeight="1">
      <c r="A24" s="19" t="inlineStr">
        <is>
          <t>Punjab</t>
        </is>
      </c>
      <c r="B24" s="20">
        <f>HYPERLINK("https://eproc.punjab.gov.in", "Official Portal ↗")</f>
        <v/>
      </c>
      <c r="C24" s="21" t="inlineStr">
        <is>
          <t>All Configured</t>
        </is>
      </c>
      <c r="D24" s="5" t="n">
        <v>0</v>
      </c>
      <c r="E24" s="5" t="n">
        <v>0</v>
      </c>
      <c r="F24" s="10">
        <f>HYPERLINK("http://localhost:5173/?state=Punjab", "🌐 Open State Portal")</f>
        <v/>
      </c>
    </row>
    <row r="25" ht="22" customHeight="1">
      <c r="A25" s="22" t="inlineStr">
        <is>
          <t>Rajasthan</t>
        </is>
      </c>
      <c r="B25" s="23">
        <f>HYPERLINK("https://eproc.rajasthan.gov.in", "Official Portal ↗")</f>
        <v/>
      </c>
      <c r="C25" s="24" t="inlineStr">
        <is>
          <t>All Configured</t>
        </is>
      </c>
      <c r="D25" s="12" t="n">
        <v>0</v>
      </c>
      <c r="E25" s="12" t="n">
        <v>0</v>
      </c>
      <c r="F25" s="16">
        <f>HYPERLINK("http://localhost:5173/?state=Rajasthan", "🌐 Open State Portal")</f>
        <v/>
      </c>
    </row>
    <row r="26" ht="22" customHeight="1">
      <c r="A26" s="19" t="inlineStr">
        <is>
          <t>Sikkim</t>
        </is>
      </c>
      <c r="B26" s="20">
        <f>HYPERLINK("https://sikkimtenders.gov.in", "Official Portal ↗")</f>
        <v/>
      </c>
      <c r="C26" s="21" t="inlineStr">
        <is>
          <t>All Configured</t>
        </is>
      </c>
      <c r="D26" s="5" t="n">
        <v>0</v>
      </c>
      <c r="E26" s="5" t="n">
        <v>0</v>
      </c>
      <c r="F26" s="10">
        <f>HYPERLINK("http://localhost:5173/?state=Sikkim", "🌐 Open State Portal")</f>
        <v/>
      </c>
    </row>
    <row r="27" ht="22" customHeight="1">
      <c r="A27" s="22" t="inlineStr">
        <is>
          <t>Tamil Nadu</t>
        </is>
      </c>
      <c r="B27" s="23">
        <f>HYPERLINK("https://tntenders.gov.in", "Official Portal ↗")</f>
        <v/>
      </c>
      <c r="C27" s="24" t="inlineStr">
        <is>
          <t>All Configured</t>
        </is>
      </c>
      <c r="D27" s="12" t="n">
        <v>0</v>
      </c>
      <c r="E27" s="12" t="n">
        <v>0</v>
      </c>
      <c r="F27" s="16">
        <f>HYPERLINK("http://localhost:5173/?state=Tamil%20Nadu", "🌐 Open State Portal")</f>
        <v/>
      </c>
    </row>
    <row r="28" ht="22" customHeight="1">
      <c r="A28" s="19" t="inlineStr">
        <is>
          <t>Telangana</t>
        </is>
      </c>
      <c r="B28" s="20">
        <f>HYPERLINK("https://tender.telangana.gov.in", "Official Portal ↗")</f>
        <v/>
      </c>
      <c r="C28" s="21" t="inlineStr">
        <is>
          <t>All Configured</t>
        </is>
      </c>
      <c r="D28" s="5" t="n">
        <v>0</v>
      </c>
      <c r="E28" s="5" t="n">
        <v>0</v>
      </c>
      <c r="F28" s="10">
        <f>HYPERLINK("http://localhost:5173/?state=Telangana", "🌐 Open State Portal")</f>
        <v/>
      </c>
    </row>
    <row r="29" ht="22" customHeight="1">
      <c r="A29" s="22" t="inlineStr">
        <is>
          <t>Tripura</t>
        </is>
      </c>
      <c r="B29" s="23">
        <f>HYPERLINK("https://tripuratenders.gov.in", "Official Portal ↗")</f>
        <v/>
      </c>
      <c r="C29" s="24" t="inlineStr">
        <is>
          <t>All Configured</t>
        </is>
      </c>
      <c r="D29" s="12" t="n">
        <v>0</v>
      </c>
      <c r="E29" s="12" t="n">
        <v>0</v>
      </c>
      <c r="F29" s="16">
        <f>HYPERLINK("http://localhost:5173/?state=Tripura", "🌐 Open State Portal")</f>
        <v/>
      </c>
    </row>
    <row r="30" ht="22" customHeight="1">
      <c r="A30" s="19" t="inlineStr">
        <is>
          <t>Uttar Pradesh</t>
        </is>
      </c>
      <c r="B30" s="20">
        <f>HYPERLINK("https://etender.up.nic.in", "Official Portal ↗")</f>
        <v/>
      </c>
      <c r="C30" s="21" t="inlineStr">
        <is>
          <t>All Configured</t>
        </is>
      </c>
      <c r="D30" s="5" t="n">
        <v>0</v>
      </c>
      <c r="E30" s="5" t="n">
        <v>0</v>
      </c>
      <c r="F30" s="10">
        <f>HYPERLINK("http://localhost:5173/?state=Uttar%20Pradesh", "🌐 Open State Portal")</f>
        <v/>
      </c>
    </row>
    <row r="31" ht="22" customHeight="1">
      <c r="A31" s="22" t="inlineStr">
        <is>
          <t>Uttarakhand</t>
        </is>
      </c>
      <c r="B31" s="23">
        <f>HYPERLINK("https://uktenders.gov.in", "Official Portal ↗")</f>
        <v/>
      </c>
      <c r="C31" s="24" t="inlineStr">
        <is>
          <t>All Configured</t>
        </is>
      </c>
      <c r="D31" s="12" t="n">
        <v>0</v>
      </c>
      <c r="E31" s="12" t="n">
        <v>0</v>
      </c>
      <c r="F31" s="16">
        <f>HYPERLINK("http://localhost:5173/?state=Uttarakhand", "🌐 Open State Portal")</f>
        <v/>
      </c>
    </row>
    <row r="32" ht="22" customHeight="1">
      <c r="A32" s="19" t="inlineStr">
        <is>
          <t>West Bengal</t>
        </is>
      </c>
      <c r="B32" s="20">
        <f>HYPERLINK("https://wbtenders.gov.in", "Official Portal ↗")</f>
        <v/>
      </c>
      <c r="C32" s="21" t="inlineStr">
        <is>
          <t>All Configured</t>
        </is>
      </c>
      <c r="D32" s="5" t="n">
        <v>0</v>
      </c>
      <c r="E32" s="5" t="n">
        <v>0</v>
      </c>
      <c r="F32" s="10">
        <f>HYPERLINK("http://localhost:5173/?state=West%20Bengal", "🌐 Open State Portal")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2026-10-22T15:16:24Z</dcterms:created>
  <dcterms:modified xmlns:dcterms="http://purl.org/dc/terms/" xmlns:xsi="http://www.w3.org/2001/XMLSchema-instance" xsi:type="dcterms:W3CDTF">2026-10-22T15:16:24Z</dcterms:modified>
</cp:coreProperties>
</file>