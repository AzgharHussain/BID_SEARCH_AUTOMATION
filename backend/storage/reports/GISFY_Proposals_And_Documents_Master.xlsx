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posals &amp; Documents" sheetId="1" state="visible" r:id="rId1"/>
    <sheet name="State Summary"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1E1B4B"/>
      <sz val="14"/>
    </font>
    <font>
      <name val="Segoe UI"/>
      <i val="1"/>
      <color rgb="0064748B"/>
      <sz val="10"/>
    </font>
    <font>
      <name val="Segoe UI"/>
      <b val="1"/>
      <color rgb="00FFFFFF"/>
      <sz val="11"/>
    </font>
    <font>
      <name val="Segoe UI"/>
      <b val="1"/>
      <color rgb="000F172A"/>
      <sz val="10"/>
    </font>
    <font>
      <name val="Segoe UI"/>
      <color rgb="000F172A"/>
      <sz val="10"/>
    </font>
    <font>
      <name val="Segoe UI"/>
      <b val="1"/>
      <color rgb="001E40AF"/>
      <sz val="10"/>
    </font>
    <font>
      <name val="Segoe UI"/>
      <color rgb="002563EB"/>
      <sz val="10"/>
      <u val="single"/>
    </font>
    <font>
      <name val="Segoe UI"/>
      <b val="1"/>
      <color rgb="00166534"/>
      <sz val="10"/>
    </font>
    <font>
      <name val="Segoe UI"/>
      <b val="1"/>
      <color rgb="00991B1B"/>
      <sz val="10"/>
    </font>
  </fonts>
  <fills count="10">
    <fill>
      <patternFill/>
    </fill>
    <fill>
      <patternFill patternType="gray125"/>
    </fill>
    <fill>
      <patternFill patternType="solid">
        <fgColor rgb="001E1B4B"/>
        <bgColor rgb="001E1B4B"/>
      </patternFill>
    </fill>
    <fill>
      <patternFill patternType="solid">
        <fgColor rgb="00FFFFFF"/>
        <bgColor rgb="00FFFFFF"/>
      </patternFill>
    </fill>
    <fill>
      <patternFill patternType="solid">
        <fgColor rgb="00EFF6FF"/>
        <bgColor rgb="00EFF6FF"/>
      </patternFill>
    </fill>
    <fill>
      <patternFill patternType="solid">
        <fgColor rgb="00F8FAFC"/>
        <bgColor rgb="00F8FAFC"/>
      </patternFill>
    </fill>
    <fill>
      <patternFill patternType="solid">
        <fgColor rgb="00DCFCE7"/>
        <bgColor rgb="00DCFCE7"/>
      </patternFill>
    </fill>
    <fill>
      <patternFill patternType="solid">
        <fgColor rgb="00FEE2E2"/>
        <bgColor rgb="00FEE2E2"/>
      </patternFill>
    </fill>
    <fill>
      <patternFill patternType="solid">
        <fgColor rgb="00F1F5F9"/>
        <bgColor rgb="00F1F5F9"/>
      </patternFill>
    </fill>
    <fill>
      <patternFill patternType="solid">
        <fgColor rgb="00312E81"/>
        <bgColor rgb="00312E81"/>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0">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4" fillId="3" borderId="1" applyAlignment="1" pivotButton="0" quotePrefix="0" xfId="0">
      <alignment horizontal="left" vertical="center" wrapText="1"/>
    </xf>
    <xf numFmtId="0" fontId="4"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3" borderId="1" applyAlignment="1" pivotButton="0" quotePrefix="0" xfId="0">
      <alignment horizontal="left" vertical="center" wrapText="1"/>
    </xf>
    <xf numFmtId="0" fontId="6" fillId="4" borderId="1" applyAlignment="1" pivotButton="0" quotePrefix="0" xfId="0">
      <alignment horizontal="center" vertical="center" wrapText="1"/>
    </xf>
    <xf numFmtId="0" fontId="5" fillId="3" borderId="1" applyAlignment="1" pivotButton="0" quotePrefix="0" xfId="0">
      <alignment horizontal="right" vertical="center"/>
    </xf>
    <xf numFmtId="0" fontId="7" fillId="3" borderId="1" applyAlignment="1" pivotButton="0" quotePrefix="0" xfId="0">
      <alignment horizontal="center" vertical="center" wrapText="1"/>
    </xf>
    <xf numFmtId="0" fontId="4" fillId="5" borderId="1" applyAlignment="1" pivotButton="0" quotePrefix="0" xfId="0">
      <alignment horizontal="left" vertical="center" wrapText="1"/>
    </xf>
    <xf numFmtId="0" fontId="4" fillId="5"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5" fillId="5" borderId="1" applyAlignment="1" pivotButton="0" quotePrefix="0" xfId="0">
      <alignment horizontal="right" vertical="center"/>
    </xf>
    <xf numFmtId="0" fontId="7"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9" fillId="7" borderId="1" applyAlignment="1" pivotButton="0" quotePrefix="0" xfId="0">
      <alignment horizontal="center" vertical="center" wrapText="1"/>
    </xf>
    <xf numFmtId="0" fontId="0" fillId="8" borderId="1" pivotButton="0" quotePrefix="0" xfId="0"/>
    <xf numFmtId="0" fontId="5" fillId="8" borderId="1" pivotButton="0" quotePrefix="0" xfId="0"/>
    <xf numFmtId="0" fontId="7" fillId="8" borderId="1" pivotButton="0" quotePrefix="0" xfId="0"/>
    <xf numFmtId="0" fontId="1" fillId="0" borderId="0" pivotButton="0" quotePrefix="0" xfId="0"/>
    <xf numFmtId="0" fontId="3" fillId="9" borderId="1" applyAlignment="1" pivotButton="0" quotePrefix="0" xfId="0">
      <alignment horizontal="center" vertical="center" wrapText="1"/>
    </xf>
    <xf numFmtId="0" fontId="4" fillId="3" borderId="1" pivotButton="0" quotePrefix="0" xfId="0"/>
    <xf numFmtId="0" fontId="7" fillId="3" borderId="1" pivotButton="0" quotePrefix="0" xfId="0"/>
    <xf numFmtId="0" fontId="5" fillId="3" borderId="1" pivotButton="0" quotePrefix="0" xfId="0"/>
    <xf numFmtId="0" fontId="4" fillId="5" borderId="1" pivotButton="0" quotePrefix="0" xfId="0"/>
    <xf numFmtId="0" fontId="7" fillId="5" borderId="1" pivotButton="0" quotePrefix="0" xfId="0"/>
    <xf numFmtId="0" fontId="5"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214"/>
  <sheetViews>
    <sheetView showGridLines="1" workbookViewId="0">
      <pane ySplit="4" topLeftCell="A5" activePane="bottomLeft" state="frozen"/>
      <selection pane="bottomLeft" activeCell="A1" sqref="A1"/>
    </sheetView>
  </sheetViews>
  <sheetFormatPr baseColWidth="8" defaultRowHeight="15"/>
  <cols>
    <col width="20" customWidth="1" min="1" max="1"/>
    <col width="18" customWidth="1" min="2" max="2"/>
    <col width="24" customWidth="1" min="3" max="3"/>
    <col width="45" customWidth="1" min="4" max="4"/>
    <col width="35" customWidth="1" min="5" max="5"/>
    <col width="15" customWidth="1" min="6" max="6"/>
    <col width="18" customWidth="1" min="7" max="7"/>
    <col width="18" customWidth="1" min="8" max="8"/>
    <col width="40" customWidth="1" min="9" max="9"/>
    <col width="18" customWidth="1" min="10" max="10"/>
    <col width="14" customWidth="1" min="11" max="11"/>
    <col width="32" customWidth="1" min="12" max="12"/>
    <col width="22" customWidth="1" min="13" max="13"/>
  </cols>
  <sheetData>
    <row r="1" ht="28" customHeight="1">
      <c r="A1" s="1" t="inlineStr">
        <is>
          <t>GISFY Automated Proposals — Master State &amp; Keyword Intelligence</t>
        </is>
      </c>
    </row>
    <row r="2" ht="20" customHeight="1">
      <c r="A2" s="2" t="inlineStr">
        <is>
          <t>Generated on 19 October 2026, 08:55 PM • Interactive links included for instant document download &amp; portal navigation</t>
        </is>
      </c>
    </row>
    <row r="4" ht="28" customHeight="1">
      <c r="A4" s="3" t="inlineStr">
        <is>
          <t>State</t>
        </is>
      </c>
      <c r="B4" s="3" t="inlineStr">
        <is>
          <t>Keyword</t>
        </is>
      </c>
      <c r="C4" s="3" t="inlineStr">
        <is>
          <t>Tender ID / Ref</t>
        </is>
      </c>
      <c r="D4" s="3" t="inlineStr">
        <is>
          <t>Tender Title</t>
        </is>
      </c>
      <c r="E4" s="3" t="inlineStr">
        <is>
          <t>Department / Agency</t>
        </is>
      </c>
      <c r="F4" s="3" t="inlineStr">
        <is>
          <t>Published Date</t>
        </is>
      </c>
      <c r="G4" s="3" t="inlineStr">
        <is>
          <t>Submission Due Date</t>
        </is>
      </c>
      <c r="H4" s="3" t="inlineStr">
        <is>
          <t>Status</t>
        </is>
      </c>
      <c r="I4" s="3" t="inlineStr">
        <is>
          <t>Document File Name</t>
        </is>
      </c>
      <c r="J4" s="3" t="inlineStr">
        <is>
          <t>Document Type</t>
        </is>
      </c>
      <c r="K4" s="3" t="inlineStr">
        <is>
          <t>Size (KB)</t>
        </is>
      </c>
      <c r="L4" s="3" t="inlineStr">
        <is>
          <t>Direct Document Download (Click Link)</t>
        </is>
      </c>
      <c r="M4" s="3" t="inlineStr">
        <is>
          <t>Open in GISFY Portal</t>
        </is>
      </c>
    </row>
    <row r="5" ht="24" customHeight="1">
      <c r="A5" s="4" t="inlineStr">
        <is>
          <t>Andhra Pradesh</t>
        </is>
      </c>
      <c r="B5" s="5" t="inlineStr">
        <is>
          <t>GIS</t>
        </is>
      </c>
      <c r="C5" s="6" t="inlineStr">
        <is>
          <t>1000222</t>
        </is>
      </c>
      <c r="D5" s="7" t="inlineStr">
        <is>
          <t>Supply and delivery of 5 Nos 50 HP Tractor and 10 1/2" x 6"x 18" to 20" Two wheeler trailer including insurance and registration to Gudivada Municipality under Tied Grant of 2020-21 (1st Installment) in 15th FC Grant 2nd Call</t>
        </is>
      </c>
      <c r="E5" s="7" t="inlineStr">
        <is>
          <t>MUNICIPALITIES ANDHRA PRADESH-GUDIVADA MUNICIPALITY</t>
        </is>
      </c>
      <c r="F5" s="6" t="inlineStr">
        <is>
          <t>21 Jul 2026</t>
        </is>
      </c>
      <c r="G5" s="5" t="inlineStr">
        <is>
          <t>15 Aug 2026</t>
        </is>
      </c>
      <c r="H5" s="8" t="inlineStr">
        <is>
          <t>⏳ UPCOMING</t>
        </is>
      </c>
      <c r="I5" s="4" t="inlineStr">
        <is>
          <t>BOQ - Tractors and Trailors.xlsx</t>
        </is>
      </c>
      <c r="J5" s="6" t="inlineStr">
        <is>
          <t>📊 Excel BOQ</t>
        </is>
      </c>
      <c r="K5" s="9" t="n">
        <v>108.8</v>
      </c>
      <c r="L5" s="10">
        <f>HYPERLINK("http://127.0.0.1:8000/api/documents/download?id=2867&amp;attachment=true", "⬇ Download BOQ - Tractors and Trail")</f>
        <v/>
      </c>
      <c r="M5" s="10">
        <f>HYPERLINK("http://localhost:5173/?state=Andhra%20Pradesh&amp;keyword=GIS&amp;tender=1000222", "🚀 Open in Portal")</f>
        <v/>
      </c>
    </row>
    <row r="6" ht="24" customHeight="1">
      <c r="A6" s="11" t="inlineStr">
        <is>
          <t>Andhra Pradesh</t>
        </is>
      </c>
      <c r="B6" s="12" t="inlineStr">
        <is>
          <t>GIS</t>
        </is>
      </c>
      <c r="C6" s="13" t="inlineStr">
        <is>
          <t>1000222</t>
        </is>
      </c>
      <c r="D6" s="14" t="inlineStr">
        <is>
          <t>Supply and delivery of 5 Nos 50 HP Tractor and 10 1/2" x 6"x 18" to 20" Two wheeler trailer including insurance and registration to Gudivada Municipality under Tied Grant of 2020-21 (1st Installment) in 15th FC Grant 2nd Call</t>
        </is>
      </c>
      <c r="E6" s="14" t="inlineStr">
        <is>
          <t>MUNICIPALITIES ANDHRA PRADESH-GUDIVADA MUNICIPALITY</t>
        </is>
      </c>
      <c r="F6" s="13" t="inlineStr">
        <is>
          <t>21 Jul 2026</t>
        </is>
      </c>
      <c r="G6" s="12" t="inlineStr">
        <is>
          <t>15 Aug 2026</t>
        </is>
      </c>
      <c r="H6" s="8" t="inlineStr">
        <is>
          <t>⏳ UPCOMING</t>
        </is>
      </c>
      <c r="I6" s="11" t="inlineStr">
        <is>
          <t>SCH - Tractors and Trailors.xlsx</t>
        </is>
      </c>
      <c r="J6" s="13" t="inlineStr">
        <is>
          <t>📊 Excel BOQ</t>
        </is>
      </c>
      <c r="K6" s="15" t="n">
        <v>17.4</v>
      </c>
      <c r="L6" s="16">
        <f>HYPERLINK("http://127.0.0.1:8000/api/documents/download?id=2868&amp;attachment=true", "⬇ Download SCH - Tractors and Trail")</f>
        <v/>
      </c>
      <c r="M6" s="16">
        <f>HYPERLINK("http://localhost:5173/?state=Andhra%20Pradesh&amp;keyword=GIS&amp;tender=1000222", "🚀 Open in Portal")</f>
        <v/>
      </c>
    </row>
    <row r="7" ht="24" customHeight="1">
      <c r="A7" s="4" t="inlineStr">
        <is>
          <t>Andhra Pradesh</t>
        </is>
      </c>
      <c r="B7" s="5" t="inlineStr">
        <is>
          <t>GIS</t>
        </is>
      </c>
      <c r="C7" s="6" t="inlineStr">
        <is>
          <t>1000222</t>
        </is>
      </c>
      <c r="D7" s="7" t="inlineStr">
        <is>
          <t>Supply and delivery of 5 Nos 50 HP Tractor and 10 1/2" x 6"x 18" to 20" Two wheeler trailer including insurance and registration to Gudivada Municipality under Tied Grant of 2020-21 (1st Installment) in 15th FC Grant 2nd Call</t>
        </is>
      </c>
      <c r="E7" s="7" t="inlineStr">
        <is>
          <t>MUNICIPALITIES ANDHRA PRADESH-GUDIVADA MUNICIPALITY</t>
        </is>
      </c>
      <c r="F7" s="6" t="inlineStr">
        <is>
          <t>21 Jul 2026</t>
        </is>
      </c>
      <c r="G7" s="5" t="inlineStr">
        <is>
          <t>15 Aug 2026</t>
        </is>
      </c>
      <c r="H7" s="8" t="inlineStr">
        <is>
          <t>⏳ UPCOMING</t>
        </is>
      </c>
      <c r="I7" s="4" t="inlineStr">
        <is>
          <t>Tractor and Trailors- NIT.docx</t>
        </is>
      </c>
      <c r="J7" s="6" t="inlineStr">
        <is>
          <t>📄 DOCX</t>
        </is>
      </c>
      <c r="K7" s="9" t="n">
        <v>56.2</v>
      </c>
      <c r="L7" s="10">
        <f>HYPERLINK("http://127.0.0.1:8000/api/documents/download?id=2869&amp;attachment=true", "⬇ Download Tractor and Trailors- NI")</f>
        <v/>
      </c>
      <c r="M7" s="10">
        <f>HYPERLINK("http://localhost:5173/?state=Andhra%20Pradesh&amp;keyword=GIS&amp;tender=1000222", "🚀 Open in Portal")</f>
        <v/>
      </c>
    </row>
    <row r="8" ht="24" customHeight="1">
      <c r="A8" s="11" t="inlineStr">
        <is>
          <t>Andhra Pradesh</t>
        </is>
      </c>
      <c r="B8" s="12" t="inlineStr">
        <is>
          <t>GIS</t>
        </is>
      </c>
      <c r="C8" s="13" t="inlineStr">
        <is>
          <t>1000222</t>
        </is>
      </c>
      <c r="D8" s="14" t="inlineStr">
        <is>
          <t>Supply and delivery of 5 Nos 50 HP Tractor and 10 1/2" x 6"x 18" to 20" Two wheeler trailer including insurance and registration to Gudivada Municipality under Tied Grant of 2020-21 (1st Installment) in 15th FC Grant 2nd Call</t>
        </is>
      </c>
      <c r="E8" s="14" t="inlineStr">
        <is>
          <t>MUNICIPALITIES ANDHRA PRADESH-GUDIVADA MUNICIPALITY</t>
        </is>
      </c>
      <c r="F8" s="13" t="inlineStr">
        <is>
          <t>21 Jul 2026</t>
        </is>
      </c>
      <c r="G8" s="12" t="inlineStr">
        <is>
          <t>15 Aug 2026</t>
        </is>
      </c>
      <c r="H8" s="8" t="inlineStr">
        <is>
          <t>⏳ UPCOMING</t>
        </is>
      </c>
      <c r="I8" s="11" t="inlineStr">
        <is>
          <t>Tender_1000222_All_Documents.zip</t>
        </is>
      </c>
      <c r="J8" s="13" t="inlineStr">
        <is>
          <t>📦 ZIP Package</t>
        </is>
      </c>
      <c r="K8" s="15" t="n">
        <v>11.6</v>
      </c>
      <c r="L8" s="16">
        <f>HYPERLINK("http://127.0.0.1:8000/api/documents/download?id=2866&amp;attachment=true", "⬇ Download Tender_1000222_All_Docum")</f>
        <v/>
      </c>
      <c r="M8" s="16">
        <f>HYPERLINK("http://localhost:5173/?state=Andhra%20Pradesh&amp;keyword=GIS&amp;tender=1000222", "🚀 Open in Portal")</f>
        <v/>
      </c>
    </row>
    <row r="9" ht="24" customHeight="1">
      <c r="A9" s="4" t="inlineStr">
        <is>
          <t>Andhra Pradesh</t>
        </is>
      </c>
      <c r="B9" s="5" t="inlineStr">
        <is>
          <t>GIS</t>
        </is>
      </c>
      <c r="C9" s="6" t="inlineStr">
        <is>
          <t>1002529</t>
        </is>
      </c>
      <c r="D9" s="7" t="inlineStr">
        <is>
          <t>Providing Logistic arrangements Static surveillance team &amp; Flying Squad Team for Ordinary elections to Greater Visakhapatnam Municipal Corporation at 4 no s of check points in Anakapalle Zone for 21 days.</t>
        </is>
      </c>
      <c r="E9" s="7" t="inlineStr">
        <is>
          <t>GREATER VISAKHAPATNAM MUNICIPAL CORPORATION-Executive Engineer- AKP Zone</t>
        </is>
      </c>
      <c r="F9" s="6" t="inlineStr">
        <is>
          <t>16 Sep 2026</t>
        </is>
      </c>
      <c r="G9" s="5" t="inlineStr">
        <is>
          <t>15 Oct 2026</t>
        </is>
      </c>
      <c r="H9" s="8" t="inlineStr">
        <is>
          <t>⏳ UPCOMING</t>
        </is>
      </c>
      <c r="I9" s="4" t="inlineStr">
        <is>
          <t>document-1.doc</t>
        </is>
      </c>
      <c r="J9" s="6" t="inlineStr">
        <is>
          <t>📄 DOC</t>
        </is>
      </c>
      <c r="K9" s="9" t="n">
        <v>93</v>
      </c>
      <c r="L9" s="10">
        <f>HYPERLINK("http://127.0.0.1:8000/api/documents/download?id=2469&amp;attachment=true", "⬇ Download document-1.doc")</f>
        <v/>
      </c>
      <c r="M9" s="10">
        <f>HYPERLINK("http://localhost:5173/?state=Andhra%20Pradesh&amp;keyword=GIS&amp;tender=1002529", "🚀 Open in Portal")</f>
        <v/>
      </c>
    </row>
    <row r="10" ht="24" customHeight="1">
      <c r="A10" s="11" t="inlineStr">
        <is>
          <t>Andhra Pradesh</t>
        </is>
      </c>
      <c r="B10" s="12" t="inlineStr">
        <is>
          <t>GIS</t>
        </is>
      </c>
      <c r="C10" s="13" t="inlineStr">
        <is>
          <t>1002529</t>
        </is>
      </c>
      <c r="D10" s="14" t="inlineStr">
        <is>
          <t>Providing Logistic arrangements Static surveillance team &amp; Flying Squad Team for Ordinary elections to Greater Visakhapatnam Municipal Corporation at 4 no s of check points in Anakapalle Zone for 21 days.</t>
        </is>
      </c>
      <c r="E10" s="14" t="inlineStr">
        <is>
          <t>GREATER VISAKHAPATNAM MUNICIPAL CORPORATION-Executive Engineer- AKP Zone</t>
        </is>
      </c>
      <c r="F10" s="13" t="inlineStr">
        <is>
          <t>16 Sep 2026</t>
        </is>
      </c>
      <c r="G10" s="12" t="inlineStr">
        <is>
          <t>15 Oct 2026</t>
        </is>
      </c>
      <c r="H10" s="8" t="inlineStr">
        <is>
          <t>⏳ UPCOMING</t>
        </is>
      </c>
      <c r="I10" s="11" t="inlineStr">
        <is>
          <t>Tender_1002529_All_Documents.zip</t>
        </is>
      </c>
      <c r="J10" s="13" t="inlineStr">
        <is>
          <t>📦 ZIP Package</t>
        </is>
      </c>
      <c r="K10" s="15" t="n">
        <v>29.3</v>
      </c>
      <c r="L10" s="16">
        <f>HYPERLINK("http://127.0.0.1:8000/api/documents/download?id=2992&amp;attachment=true", "⬇ Download Tender_1002529_All_Docum")</f>
        <v/>
      </c>
      <c r="M10" s="16">
        <f>HYPERLINK("http://localhost:5173/?state=Andhra%20Pradesh&amp;keyword=GIS&amp;tender=1002529", "🚀 Open in Portal")</f>
        <v/>
      </c>
    </row>
    <row r="11" ht="24" customHeight="1">
      <c r="A11" s="4" t="inlineStr">
        <is>
          <t>Andhra Pradesh</t>
        </is>
      </c>
      <c r="B11" s="5" t="inlineStr">
        <is>
          <t>GIS</t>
        </is>
      </c>
      <c r="C11" s="6" t="inlineStr">
        <is>
          <t>1002542</t>
        </is>
      </c>
      <c r="D11" s="7" t="inlineStr">
        <is>
          <t>Providing logistic arrangements i.e Shamiyana, Pendals, Chairs, Tables, Flexs Public addressing system etc., to Election material Distribution counters of South Zone at Andhra University for Two days for Local Body Elections-2026</t>
        </is>
      </c>
      <c r="E11" s="7" t="inlineStr">
        <is>
          <t>GREATER VISAKHAPATNAM MUNICIPAL CORPORATION-E.E.- Zone-III</t>
        </is>
      </c>
      <c r="F11" s="6" t="inlineStr">
        <is>
          <t>19 Aug 2026</t>
        </is>
      </c>
      <c r="G11" s="5" t="inlineStr">
        <is>
          <t>09 Sep 2026</t>
        </is>
      </c>
      <c r="H11" s="8" t="inlineStr">
        <is>
          <t>⏳ UPCOMING</t>
        </is>
      </c>
      <c r="I11" s="4" t="inlineStr">
        <is>
          <t>NIT1.doc</t>
        </is>
      </c>
      <c r="J11" s="6" t="inlineStr">
        <is>
          <t>📄 DOC</t>
        </is>
      </c>
      <c r="K11" s="9" t="n">
        <v>143.5</v>
      </c>
      <c r="L11" s="10">
        <f>HYPERLINK("http://127.0.0.1:8000/api/documents/download?id=2468&amp;attachment=true", "⬇ Download NIT1.doc")</f>
        <v/>
      </c>
      <c r="M11" s="10">
        <f>HYPERLINK("http://localhost:5173/?state=Andhra%20Pradesh&amp;keyword=GIS&amp;tender=1002542", "🚀 Open in Portal")</f>
        <v/>
      </c>
    </row>
    <row r="12" ht="24" customHeight="1">
      <c r="A12" s="11" t="inlineStr">
        <is>
          <t>Andhra Pradesh</t>
        </is>
      </c>
      <c r="B12" s="12" t="inlineStr">
        <is>
          <t>GIS</t>
        </is>
      </c>
      <c r="C12" s="13" t="inlineStr">
        <is>
          <t>1002542</t>
        </is>
      </c>
      <c r="D12" s="14" t="inlineStr">
        <is>
          <t>Providing logistic arrangements i.e Shamiyana, Pendals, Chairs, Tables, Flexs Public addressing system etc., to Election material Distribution counters of South Zone at Andhra University for Two days for Local Body Elections-2026</t>
        </is>
      </c>
      <c r="E12" s="14" t="inlineStr">
        <is>
          <t>GREATER VISAKHAPATNAM MUNICIPAL CORPORATION-E.E.- Zone-III</t>
        </is>
      </c>
      <c r="F12" s="13" t="inlineStr">
        <is>
          <t>19 Aug 2026</t>
        </is>
      </c>
      <c r="G12" s="12" t="inlineStr">
        <is>
          <t>09 Sep 2026</t>
        </is>
      </c>
      <c r="H12" s="8" t="inlineStr">
        <is>
          <t>⏳ UPCOMING</t>
        </is>
      </c>
      <c r="I12" s="11" t="inlineStr">
        <is>
          <t>Tender_1002542_All_Documents.zip</t>
        </is>
      </c>
      <c r="J12" s="13" t="inlineStr">
        <is>
          <t>📦 ZIP Package</t>
        </is>
      </c>
      <c r="K12" s="15" t="n">
        <v>62.9</v>
      </c>
      <c r="L12" s="16">
        <f>HYPERLINK("http://127.0.0.1:8000/api/documents/download?id=2991&amp;attachment=true", "⬇ Download Tender_1002542_All_Docum")</f>
        <v/>
      </c>
      <c r="M12" s="16">
        <f>HYPERLINK("http://localhost:5173/?state=Andhra%20Pradesh&amp;keyword=GIS&amp;tender=1002542", "🚀 Open in Portal")</f>
        <v/>
      </c>
    </row>
    <row r="13" ht="24" customHeight="1">
      <c r="A13" s="4" t="inlineStr">
        <is>
          <t>Andhra Pradesh</t>
        </is>
      </c>
      <c r="B13" s="5" t="inlineStr">
        <is>
          <t>GIS</t>
        </is>
      </c>
      <c r="C13" s="6" t="inlineStr">
        <is>
          <t>1004120</t>
        </is>
      </c>
      <c r="D13" s="7" t="inlineStr">
        <is>
          <t>Comprehensive GIS-Based Property Tax Geo-Spatial Survey and Urban Local Body Asset Mapping</t>
        </is>
      </c>
      <c r="E13" s="7" t="inlineStr">
        <is>
          <t>MUNICIPAL ADMINISTRATION &amp; URBAN DEVELOPMENT-APUIAML</t>
        </is>
      </c>
      <c r="F13" s="6" t="inlineStr">
        <is>
          <t>14 Oct 2026</t>
        </is>
      </c>
      <c r="G13" s="5" t="inlineStr">
        <is>
          <t>29 Oct 2026</t>
        </is>
      </c>
      <c r="H13" s="17" t="inlineStr">
        <is>
          <t>🟢 LIVE ACTIVE</t>
        </is>
      </c>
      <c r="I13" s="4" t="inlineStr">
        <is>
          <t>AP_Property_GIS_Tender_Notice.pdf</t>
        </is>
      </c>
      <c r="J13" s="6" t="inlineStr">
        <is>
          <t>📕 PDF Document</t>
        </is>
      </c>
      <c r="K13" s="9" t="n">
        <v>17.9</v>
      </c>
      <c r="L13" s="10">
        <f>HYPERLINK("http://127.0.0.1:8000/api/documents/download?id=2909&amp;attachment=true", "⬇ Download AP_Property_GIS_Tender_N")</f>
        <v/>
      </c>
      <c r="M13" s="10">
        <f>HYPERLINK("http://localhost:5173/?state=Andhra%20Pradesh&amp;keyword=GIS&amp;tender=1004120", "🚀 Open in Portal")</f>
        <v/>
      </c>
    </row>
    <row r="14" ht="24" customHeight="1">
      <c r="A14" s="11" t="inlineStr">
        <is>
          <t>Andhra Pradesh</t>
        </is>
      </c>
      <c r="B14" s="12" t="inlineStr">
        <is>
          <t>GIS</t>
        </is>
      </c>
      <c r="C14" s="13" t="inlineStr">
        <is>
          <t>1004120</t>
        </is>
      </c>
      <c r="D14" s="14" t="inlineStr">
        <is>
          <t>Comprehensive GIS-Based Property Tax Geo-Spatial Survey and Urban Local Body Asset Mapping</t>
        </is>
      </c>
      <c r="E14" s="14" t="inlineStr">
        <is>
          <t>MUNICIPAL ADMINISTRATION &amp; URBAN DEVELOPMENT-APUIAML</t>
        </is>
      </c>
      <c r="F14" s="13" t="inlineStr">
        <is>
          <t>14 Oct 2026</t>
        </is>
      </c>
      <c r="G14" s="12" t="inlineStr">
        <is>
          <t>29 Oct 2026</t>
        </is>
      </c>
      <c r="H14" s="17" t="inlineStr">
        <is>
          <t>🟢 LIVE ACTIVE</t>
        </is>
      </c>
      <c r="I14" s="11" t="inlineStr">
        <is>
          <t>Technical_Scope_Urban_Mapping.pdf</t>
        </is>
      </c>
      <c r="J14" s="13" t="inlineStr">
        <is>
          <t>📕 PDF Document</t>
        </is>
      </c>
      <c r="K14" s="15" t="n">
        <v>17.9</v>
      </c>
      <c r="L14" s="16">
        <f>HYPERLINK("http://127.0.0.1:8000/api/documents/download?id=2910&amp;attachment=true", "⬇ Download Technical_Scope_Urban_Ma")</f>
        <v/>
      </c>
      <c r="M14" s="16">
        <f>HYPERLINK("http://localhost:5173/?state=Andhra%20Pradesh&amp;keyword=GIS&amp;tender=1004120", "🚀 Open in Portal")</f>
        <v/>
      </c>
    </row>
    <row r="15" ht="24" customHeight="1">
      <c r="A15" s="4" t="inlineStr">
        <is>
          <t>Andhra Pradesh</t>
        </is>
      </c>
      <c r="B15" s="5" t="inlineStr">
        <is>
          <t>GIS</t>
        </is>
      </c>
      <c r="C15" s="6" t="inlineStr">
        <is>
          <t>1004120</t>
        </is>
      </c>
      <c r="D15" s="7" t="inlineStr">
        <is>
          <t>Comprehensive GIS-Based Property Tax Geo-Spatial Survey and Urban Local Body Asset Mapping</t>
        </is>
      </c>
      <c r="E15" s="7" t="inlineStr">
        <is>
          <t>MUNICIPAL ADMINISTRATION &amp; URBAN DEVELOPMENT-APUIAML</t>
        </is>
      </c>
      <c r="F15" s="6" t="inlineStr">
        <is>
          <t>14 Oct 2026</t>
        </is>
      </c>
      <c r="G15" s="5" t="inlineStr">
        <is>
          <t>29 Oct 2026</t>
        </is>
      </c>
      <c r="H15" s="17" t="inlineStr">
        <is>
          <t>🟢 LIVE ACTIVE</t>
        </is>
      </c>
      <c r="I15" s="4" t="inlineStr">
        <is>
          <t>Financial_BOQ_Format.xlsx</t>
        </is>
      </c>
      <c r="J15" s="6" t="inlineStr">
        <is>
          <t>📊 Excel BOQ</t>
        </is>
      </c>
      <c r="K15" s="9" t="n">
        <v>2.5</v>
      </c>
      <c r="L15" s="10">
        <f>HYPERLINK("http://127.0.0.1:8000/api/documents/download?id=2911&amp;attachment=true", "⬇ Download Financial_BOQ_Format.xls")</f>
        <v/>
      </c>
      <c r="M15" s="10">
        <f>HYPERLINK("http://localhost:5173/?state=Andhra%20Pradesh&amp;keyword=GIS&amp;tender=1004120", "🚀 Open in Portal")</f>
        <v/>
      </c>
    </row>
    <row r="16" ht="24" customHeight="1">
      <c r="A16" s="11" t="inlineStr">
        <is>
          <t>Andhra Pradesh</t>
        </is>
      </c>
      <c r="B16" s="12" t="inlineStr">
        <is>
          <t>GIS</t>
        </is>
      </c>
      <c r="C16" s="13" t="inlineStr">
        <is>
          <t>1004120</t>
        </is>
      </c>
      <c r="D16" s="14" t="inlineStr">
        <is>
          <t>Comprehensive GIS-Based Property Tax Geo-Spatial Survey and Urban Local Body Asset Mapping</t>
        </is>
      </c>
      <c r="E16" s="14" t="inlineStr">
        <is>
          <t>MUNICIPAL ADMINISTRATION &amp; URBAN DEVELOPMENT-APUIAML</t>
        </is>
      </c>
      <c r="F16" s="13" t="inlineStr">
        <is>
          <t>14 Oct 2026</t>
        </is>
      </c>
      <c r="G16" s="12" t="inlineStr">
        <is>
          <t>29 Oct 2026</t>
        </is>
      </c>
      <c r="H16" s="17" t="inlineStr">
        <is>
          <t>🟢 LIVE ACTIVE</t>
        </is>
      </c>
      <c r="I16" s="11" t="inlineStr">
        <is>
          <t>Tender_1004120_All_Documents.zip</t>
        </is>
      </c>
      <c r="J16" s="13" t="inlineStr">
        <is>
          <t>📦 ZIP Package</t>
        </is>
      </c>
      <c r="K16" s="15" t="n">
        <v>21</v>
      </c>
      <c r="L16" s="16">
        <f>HYPERLINK("http://127.0.0.1:8000/api/documents/download?id=2912&amp;attachment=true", "⬇ Download Tender_1004120_All_Docum")</f>
        <v/>
      </c>
      <c r="M16" s="16">
        <f>HYPERLINK("http://localhost:5173/?state=Andhra%20Pradesh&amp;keyword=GIS&amp;tender=1004120", "🚀 Open in Portal")</f>
        <v/>
      </c>
    </row>
    <row r="17" ht="24" customHeight="1">
      <c r="A17" s="4" t="inlineStr">
        <is>
          <t>Andhra Pradesh</t>
        </is>
      </c>
      <c r="B17" s="5" t="inlineStr">
        <is>
          <t>GIS</t>
        </is>
      </c>
      <c r="C17" s="6" t="inlineStr">
        <is>
          <t>2026_AND_6460688_36</t>
        </is>
      </c>
      <c r="D17" s="7" t="inlineStr">
        <is>
          <t>GIS-Based Drone LiDAR Survey &amp; Web GIS Geodatabase Integration for Smart Infrastructure</t>
        </is>
      </c>
      <c r="E17" s="7" t="inlineStr">
        <is>
          <t>DIRECTORATE OF MUNICIPAL URBAN INFRASTRUCTURE</t>
        </is>
      </c>
      <c r="F17" s="6" t="inlineStr">
        <is>
          <t>11 Aug 2026</t>
        </is>
      </c>
      <c r="G17" s="5" t="inlineStr">
        <is>
          <t>01 Sep 2026</t>
        </is>
      </c>
      <c r="H17" s="8" t="inlineStr">
        <is>
          <t>⏳ UPCOMING</t>
        </is>
      </c>
      <c r="I17" s="4" t="inlineStr">
        <is>
          <t>Tendernotice_2026_AND_6460688_36.pdf</t>
        </is>
      </c>
      <c r="J17" s="6" t="inlineStr">
        <is>
          <t>📕 PDF Document</t>
        </is>
      </c>
      <c r="K17" s="9" t="n">
        <v>17.9</v>
      </c>
      <c r="L17" s="10">
        <f>HYPERLINK("http://127.0.0.1:8000/api/documents/download?id=3373&amp;attachment=true", "⬇ Download Tendernotice_2026_AND_64")</f>
        <v/>
      </c>
      <c r="M17" s="10">
        <f>HYPERLINK("http://localhost:5173/?state=Andhra%20Pradesh&amp;keyword=GIS&amp;tender=2026_AND_6460688_36", "🚀 Open in Portal")</f>
        <v/>
      </c>
    </row>
    <row r="18" ht="24" customHeight="1">
      <c r="A18" s="11" t="inlineStr">
        <is>
          <t>Andhra Pradesh</t>
        </is>
      </c>
      <c r="B18" s="12" t="inlineStr">
        <is>
          <t>GIS</t>
        </is>
      </c>
      <c r="C18" s="13" t="inlineStr">
        <is>
          <t>2026_AND_6460688_36</t>
        </is>
      </c>
      <c r="D18" s="14" t="inlineStr">
        <is>
          <t>GIS-Based Drone LiDAR Survey &amp; Web GIS Geodatabase Integration for Smart Infrastructure</t>
        </is>
      </c>
      <c r="E18" s="14" t="inlineStr">
        <is>
          <t>DIRECTORATE OF MUNICIPAL URBAN INFRASTRUCTURE</t>
        </is>
      </c>
      <c r="F18" s="13" t="inlineStr">
        <is>
          <t>11 Aug 2026</t>
        </is>
      </c>
      <c r="G18" s="12" t="inlineStr">
        <is>
          <t>01 Sep 2026</t>
        </is>
      </c>
      <c r="H18" s="8" t="inlineStr">
        <is>
          <t>⏳ UPCOMING</t>
        </is>
      </c>
      <c r="I18" s="11" t="inlineStr">
        <is>
          <t>Technical_RFP_Specification_GIS.pdf</t>
        </is>
      </c>
      <c r="J18" s="13" t="inlineStr">
        <is>
          <t>📕 PDF Document</t>
        </is>
      </c>
      <c r="K18" s="15" t="n">
        <v>17.9</v>
      </c>
      <c r="L18" s="16">
        <f>HYPERLINK("http://127.0.0.1:8000/api/documents/download?id=3374&amp;attachment=true", "⬇ Download Technical_RFP_Specificat")</f>
        <v/>
      </c>
      <c r="M18" s="16">
        <f>HYPERLINK("http://localhost:5173/?state=Andhra%20Pradesh&amp;keyword=GIS&amp;tender=2026_AND_6460688_36", "🚀 Open in Portal")</f>
        <v/>
      </c>
    </row>
    <row r="19" ht="24" customHeight="1">
      <c r="A19" s="4" t="inlineStr">
        <is>
          <t>Andhra Pradesh</t>
        </is>
      </c>
      <c r="B19" s="5" t="inlineStr">
        <is>
          <t>GIS</t>
        </is>
      </c>
      <c r="C19" s="6" t="inlineStr">
        <is>
          <t>2026_AND_6460688_36</t>
        </is>
      </c>
      <c r="D19" s="7" t="inlineStr">
        <is>
          <t>GIS-Based Drone LiDAR Survey &amp; Web GIS Geodatabase Integration for Smart Infrastructure</t>
        </is>
      </c>
      <c r="E19" s="7" t="inlineStr">
        <is>
          <t>DIRECTORATE OF MUNICIPAL URBAN INFRASTRUCTURE</t>
        </is>
      </c>
      <c r="F19" s="6" t="inlineStr">
        <is>
          <t>11 Aug 2026</t>
        </is>
      </c>
      <c r="G19" s="5" t="inlineStr">
        <is>
          <t>01 Sep 2026</t>
        </is>
      </c>
      <c r="H19" s="8" t="inlineStr">
        <is>
          <t>⏳ UPCOMING</t>
        </is>
      </c>
      <c r="I19" s="4" t="inlineStr">
        <is>
          <t>BOQ_Financial_Schedule_2026_AND_6460688_36.xlsx</t>
        </is>
      </c>
      <c r="J19" s="6" t="inlineStr">
        <is>
          <t>📊 Excel BOQ</t>
        </is>
      </c>
      <c r="K19" s="9" t="n">
        <v>2.5</v>
      </c>
      <c r="L19" s="10">
        <f>HYPERLINK("http://127.0.0.1:8000/api/documents/download?id=3375&amp;attachment=true", "⬇ Download BOQ_Financial_Schedule_2")</f>
        <v/>
      </c>
      <c r="M19" s="10">
        <f>HYPERLINK("http://localhost:5173/?state=Andhra%20Pradesh&amp;keyword=GIS&amp;tender=2026_AND_6460688_36", "🚀 Open in Portal")</f>
        <v/>
      </c>
    </row>
    <row r="20" ht="24" customHeight="1">
      <c r="A20" s="11" t="inlineStr">
        <is>
          <t>Andhra Pradesh</t>
        </is>
      </c>
      <c r="B20" s="12" t="inlineStr">
        <is>
          <t>GIS</t>
        </is>
      </c>
      <c r="C20" s="13" t="inlineStr">
        <is>
          <t>2026_AND_6460688_36</t>
        </is>
      </c>
      <c r="D20" s="14" t="inlineStr">
        <is>
          <t>GIS-Based Drone LiDAR Survey &amp; Web GIS Geodatabase Integration for Smart Infrastructure</t>
        </is>
      </c>
      <c r="E20" s="14" t="inlineStr">
        <is>
          <t>DIRECTORATE OF MUNICIPAL URBAN INFRASTRUCTURE</t>
        </is>
      </c>
      <c r="F20" s="13" t="inlineStr">
        <is>
          <t>11 Aug 2026</t>
        </is>
      </c>
      <c r="G20" s="12" t="inlineStr">
        <is>
          <t>01 Sep 2026</t>
        </is>
      </c>
      <c r="H20" s="8" t="inlineStr">
        <is>
          <t>⏳ UPCOMING</t>
        </is>
      </c>
      <c r="I20" s="11" t="inlineStr">
        <is>
          <t>Tender_2026_AND_6460688_36_All_Documents.zip</t>
        </is>
      </c>
      <c r="J20" s="13" t="inlineStr">
        <is>
          <t>📦 ZIP Package</t>
        </is>
      </c>
      <c r="K20" s="15" t="n">
        <v>45</v>
      </c>
      <c r="L20" s="16">
        <f>HYPERLINK("https://tender.apeprocurement.gov.in/tender/2026_AND_6460688_36", "⬇ Download Tender_2026_AND_6460688_")</f>
        <v/>
      </c>
      <c r="M20" s="16">
        <f>HYPERLINK("http://localhost:5173/?state=Andhra%20Pradesh&amp;keyword=GIS&amp;tender=2026_AND_6460688_36", "🚀 Open in Portal")</f>
        <v/>
      </c>
    </row>
    <row r="21" ht="24" customHeight="1">
      <c r="A21" s="4" t="inlineStr">
        <is>
          <t>Andhra Pradesh</t>
        </is>
      </c>
      <c r="B21" s="5" t="inlineStr">
        <is>
          <t>GIS</t>
        </is>
      </c>
      <c r="C21" s="6" t="inlineStr">
        <is>
          <t>993428</t>
        </is>
      </c>
      <c r="D21" s="7" t="inlineStr">
        <is>
          <t>Supply, Erection, Testing and commissioning of 220/132/33KV GIS Kancharapalem and connected lines in Visakhapatnam district</t>
        </is>
      </c>
      <c r="E21" s="7" t="inlineStr">
        <is>
          <t>APTRANSCO WORKS-Chief Engineer Projects, Vijayawada</t>
        </is>
      </c>
      <c r="F21" s="6" t="inlineStr">
        <is>
          <t>21 Sep 2026</t>
        </is>
      </c>
      <c r="G21" s="5" t="inlineStr">
        <is>
          <t>20 Oct 2026</t>
        </is>
      </c>
      <c r="H21" s="18" t="inlineStr">
        <is>
          <t>⚠️ CLOSING SOON</t>
        </is>
      </c>
      <c r="I21" s="4" t="inlineStr">
        <is>
          <t>VOLI APT-e 72-20206 QR Kancharapalem.docx</t>
        </is>
      </c>
      <c r="J21" s="6" t="inlineStr">
        <is>
          <t>📄 DOCX</t>
        </is>
      </c>
      <c r="K21" s="9" t="n">
        <v>33.4</v>
      </c>
      <c r="L21" s="10">
        <f>HYPERLINK("http://127.0.0.1:8000/api/documents/download?id=2425&amp;attachment=true", "⬇ Download VOLI APT-e 72-20206 QR K")</f>
        <v/>
      </c>
      <c r="M21" s="10">
        <f>HYPERLINK("http://localhost:5173/?state=Andhra%20Pradesh&amp;keyword=GIS&amp;tender=993428", "🚀 Open in Portal")</f>
        <v/>
      </c>
    </row>
    <row r="22" ht="24" customHeight="1">
      <c r="A22" s="11" t="inlineStr">
        <is>
          <t>Andhra Pradesh</t>
        </is>
      </c>
      <c r="B22" s="12" t="inlineStr">
        <is>
          <t>GIS</t>
        </is>
      </c>
      <c r="C22" s="13" t="inlineStr">
        <is>
          <t>993428</t>
        </is>
      </c>
      <c r="D22" s="14" t="inlineStr">
        <is>
          <t>Supply, Erection, Testing and commissioning of 220/132/33KV GIS Kancharapalem and connected lines in Visakhapatnam district</t>
        </is>
      </c>
      <c r="E22" s="14" t="inlineStr">
        <is>
          <t>APTRANSCO WORKS-Chief Engineer Projects, Vijayawada</t>
        </is>
      </c>
      <c r="F22" s="13" t="inlineStr">
        <is>
          <t>21 Sep 2026</t>
        </is>
      </c>
      <c r="G22" s="12" t="inlineStr">
        <is>
          <t>20 Oct 2026</t>
        </is>
      </c>
      <c r="H22" s="18" t="inlineStr">
        <is>
          <t>⚠️ CLOSING SOON</t>
        </is>
      </c>
      <c r="I22" s="11" t="inlineStr">
        <is>
          <t>Index.doc</t>
        </is>
      </c>
      <c r="J22" s="13" t="inlineStr">
        <is>
          <t>📄 DOC</t>
        </is>
      </c>
      <c r="K22" s="15" t="n">
        <v>35</v>
      </c>
      <c r="L22" s="16">
        <f>HYPERLINK("http://127.0.0.1:8000/api/documents/download?id=2431&amp;attachment=true", "⬇ Download Index.doc")</f>
        <v/>
      </c>
      <c r="M22" s="16">
        <f>HYPERLINK("http://localhost:5173/?state=Andhra%20Pradesh&amp;keyword=GIS&amp;tender=993428", "🚀 Open in Portal")</f>
        <v/>
      </c>
    </row>
    <row r="23" ht="24" customHeight="1">
      <c r="A23" s="4" t="inlineStr">
        <is>
          <t>Andhra Pradesh</t>
        </is>
      </c>
      <c r="B23" s="5" t="inlineStr">
        <is>
          <t>GIS</t>
        </is>
      </c>
      <c r="C23" s="6" t="inlineStr">
        <is>
          <t>993428</t>
        </is>
      </c>
      <c r="D23" s="7" t="inlineStr">
        <is>
          <t>Supply, Erection, Testing and commissioning of 220/132/33KV GIS Kancharapalem and connected lines in Visakhapatnam district</t>
        </is>
      </c>
      <c r="E23" s="7" t="inlineStr">
        <is>
          <t>APTRANSCO WORKS-Chief Engineer Projects, Vijayawada</t>
        </is>
      </c>
      <c r="F23" s="6" t="inlineStr">
        <is>
          <t>21 Sep 2026</t>
        </is>
      </c>
      <c r="G23" s="5" t="inlineStr">
        <is>
          <t>20 Oct 2026</t>
        </is>
      </c>
      <c r="H23" s="18" t="inlineStr">
        <is>
          <t>⚠️ CLOSING SOON</t>
        </is>
      </c>
      <c r="I23" s="4" t="inlineStr">
        <is>
          <t>Section - 1 General.pdf</t>
        </is>
      </c>
      <c r="J23" s="6" t="inlineStr">
        <is>
          <t>📕 PDF Document</t>
        </is>
      </c>
      <c r="K23" s="9" t="n">
        <v>288.4</v>
      </c>
      <c r="L23" s="10">
        <f>HYPERLINK("http://127.0.0.1:8000/api/documents/download?id=2432&amp;attachment=true", "⬇ Download Section - 1 General.pdf")</f>
        <v/>
      </c>
      <c r="M23" s="10">
        <f>HYPERLINK("http://localhost:5173/?state=Andhra%20Pradesh&amp;keyword=GIS&amp;tender=993428", "🚀 Open in Portal")</f>
        <v/>
      </c>
    </row>
    <row r="24" ht="24" customHeight="1">
      <c r="A24" s="11" t="inlineStr">
        <is>
          <t>Andhra Pradesh</t>
        </is>
      </c>
      <c r="B24" s="12" t="inlineStr">
        <is>
          <t>GIS</t>
        </is>
      </c>
      <c r="C24" s="13" t="inlineStr">
        <is>
          <t>993428</t>
        </is>
      </c>
      <c r="D24" s="14" t="inlineStr">
        <is>
          <t>Supply, Erection, Testing and commissioning of 220/132/33KV GIS Kancharapalem and connected lines in Visakhapatnam district</t>
        </is>
      </c>
      <c r="E24" s="14" t="inlineStr">
        <is>
          <t>APTRANSCO WORKS-Chief Engineer Projects, Vijayawada</t>
        </is>
      </c>
      <c r="F24" s="13" t="inlineStr">
        <is>
          <t>21 Sep 2026</t>
        </is>
      </c>
      <c r="G24" s="12" t="inlineStr">
        <is>
          <t>20 Oct 2026</t>
        </is>
      </c>
      <c r="H24" s="18" t="inlineStr">
        <is>
          <t>⚠️ CLOSING SOON</t>
        </is>
      </c>
      <c r="I24" s="11" t="inlineStr">
        <is>
          <t>Section - 10 Tech  Spec for Control Relay panels.pdf</t>
        </is>
      </c>
      <c r="J24" s="13" t="inlineStr">
        <is>
          <t>📕 PDF Document</t>
        </is>
      </c>
      <c r="K24" s="15" t="n">
        <v>1467.2</v>
      </c>
      <c r="L24" s="16">
        <f>HYPERLINK("http://127.0.0.1:8000/api/documents/download?id=2433&amp;attachment=true", "⬇ Download Section - 10 Tech  Spec ")</f>
        <v/>
      </c>
      <c r="M24" s="16">
        <f>HYPERLINK("http://localhost:5173/?state=Andhra%20Pradesh&amp;keyword=GIS&amp;tender=993428", "🚀 Open in Portal")</f>
        <v/>
      </c>
    </row>
    <row r="25" ht="24" customHeight="1">
      <c r="A25" s="4" t="inlineStr">
        <is>
          <t>Andhra Pradesh</t>
        </is>
      </c>
      <c r="B25" s="5" t="inlineStr">
        <is>
          <t>GIS</t>
        </is>
      </c>
      <c r="C25" s="6" t="inlineStr">
        <is>
          <t>993428</t>
        </is>
      </c>
      <c r="D25" s="7" t="inlineStr">
        <is>
          <t>Supply, Erection, Testing and commissioning of 220/132/33KV GIS Kancharapalem and connected lines in Visakhapatnam district</t>
        </is>
      </c>
      <c r="E25" s="7" t="inlineStr">
        <is>
          <t>APTRANSCO WORKS-Chief Engineer Projects, Vijayawada</t>
        </is>
      </c>
      <c r="F25" s="6" t="inlineStr">
        <is>
          <t>21 Sep 2026</t>
        </is>
      </c>
      <c r="G25" s="5" t="inlineStr">
        <is>
          <t>20 Oct 2026</t>
        </is>
      </c>
      <c r="H25" s="18" t="inlineStr">
        <is>
          <t>⚠️ CLOSING SOON</t>
        </is>
      </c>
      <c r="I25" s="4" t="inlineStr">
        <is>
          <t>Section - 11 -Staton Transformer.pdf</t>
        </is>
      </c>
      <c r="J25" s="6" t="inlineStr">
        <is>
          <t>📕 PDF Document</t>
        </is>
      </c>
      <c r="K25" s="9" t="n">
        <v>274.7</v>
      </c>
      <c r="L25" s="10">
        <f>HYPERLINK("http://127.0.0.1:8000/api/documents/download?id=2434&amp;attachment=true", "⬇ Download Section - 11 -Staton Tra")</f>
        <v/>
      </c>
      <c r="M25" s="10">
        <f>HYPERLINK("http://localhost:5173/?state=Andhra%20Pradesh&amp;keyword=GIS&amp;tender=993428", "🚀 Open in Portal")</f>
        <v/>
      </c>
    </row>
    <row r="26" ht="24" customHeight="1">
      <c r="A26" s="11" t="inlineStr">
        <is>
          <t>Andhra Pradesh</t>
        </is>
      </c>
      <c r="B26" s="12" t="inlineStr">
        <is>
          <t>GIS</t>
        </is>
      </c>
      <c r="C26" s="13" t="inlineStr">
        <is>
          <t>993428</t>
        </is>
      </c>
      <c r="D26" s="14" t="inlineStr">
        <is>
          <t>Supply, Erection, Testing and commissioning of 220/132/33KV GIS Kancharapalem and connected lines in Visakhapatnam district</t>
        </is>
      </c>
      <c r="E26" s="14" t="inlineStr">
        <is>
          <t>APTRANSCO WORKS-Chief Engineer Projects, Vijayawada</t>
        </is>
      </c>
      <c r="F26" s="13" t="inlineStr">
        <is>
          <t>21 Sep 2026</t>
        </is>
      </c>
      <c r="G26" s="12" t="inlineStr">
        <is>
          <t>20 Oct 2026</t>
        </is>
      </c>
      <c r="H26" s="18" t="inlineStr">
        <is>
          <t>⚠️ CLOSING SOON</t>
        </is>
      </c>
      <c r="I26" s="11" t="inlineStr">
        <is>
          <t>Section - 12 ACSR Conductor.pdf</t>
        </is>
      </c>
      <c r="J26" s="13" t="inlineStr">
        <is>
          <t>📕 PDF Document</t>
        </is>
      </c>
      <c r="K26" s="15" t="n">
        <v>679.9</v>
      </c>
      <c r="L26" s="16">
        <f>HYPERLINK("http://127.0.0.1:8000/api/documents/download?id=2435&amp;attachment=true", "⬇ Download Section - 12 ACSR Conduc")</f>
        <v/>
      </c>
      <c r="M26" s="16">
        <f>HYPERLINK("http://localhost:5173/?state=Andhra%20Pradesh&amp;keyword=GIS&amp;tender=993428", "🚀 Open in Portal")</f>
        <v/>
      </c>
    </row>
    <row r="27" ht="24" customHeight="1">
      <c r="A27" s="4" t="inlineStr">
        <is>
          <t>Andhra Pradesh</t>
        </is>
      </c>
      <c r="B27" s="5" t="inlineStr">
        <is>
          <t>GIS</t>
        </is>
      </c>
      <c r="C27" s="6" t="inlineStr">
        <is>
          <t>993428</t>
        </is>
      </c>
      <c r="D27" s="7" t="inlineStr">
        <is>
          <t>Supply, Erection, Testing and commissioning of 220/132/33KV GIS Kancharapalem and connected lines in Visakhapatnam district</t>
        </is>
      </c>
      <c r="E27" s="7" t="inlineStr">
        <is>
          <t>APTRANSCO WORKS-Chief Engineer Projects, Vijayawada</t>
        </is>
      </c>
      <c r="F27" s="6" t="inlineStr">
        <is>
          <t>21 Sep 2026</t>
        </is>
      </c>
      <c r="G27" s="5" t="inlineStr">
        <is>
          <t>20 Oct 2026</t>
        </is>
      </c>
      <c r="H27" s="18" t="inlineStr">
        <is>
          <t>⚠️ CLOSING SOON</t>
        </is>
      </c>
      <c r="I27" s="4" t="inlineStr">
        <is>
          <t>Section - 13 Porcelain disc insulators.pdf</t>
        </is>
      </c>
      <c r="J27" s="6" t="inlineStr">
        <is>
          <t>📕 PDF Document</t>
        </is>
      </c>
      <c r="K27" s="9" t="n">
        <v>423.9</v>
      </c>
      <c r="L27" s="10">
        <f>HYPERLINK("http://127.0.0.1:8000/api/documents/download?id=2436&amp;attachment=true", "⬇ Download Section - 13 Porcelain d")</f>
        <v/>
      </c>
      <c r="M27" s="10">
        <f>HYPERLINK("http://localhost:5173/?state=Andhra%20Pradesh&amp;keyword=GIS&amp;tender=993428", "🚀 Open in Portal")</f>
        <v/>
      </c>
    </row>
    <row r="28" ht="24" customHeight="1">
      <c r="A28" s="11" t="inlineStr">
        <is>
          <t>Andhra Pradesh</t>
        </is>
      </c>
      <c r="B28" s="12" t="inlineStr">
        <is>
          <t>GIS</t>
        </is>
      </c>
      <c r="C28" s="13" t="inlineStr">
        <is>
          <t>993428</t>
        </is>
      </c>
      <c r="D28" s="14" t="inlineStr">
        <is>
          <t>Supply, Erection, Testing and commissioning of 220/132/33KV GIS Kancharapalem and connected lines in Visakhapatnam district</t>
        </is>
      </c>
      <c r="E28" s="14" t="inlineStr">
        <is>
          <t>APTRANSCO WORKS-Chief Engineer Projects, Vijayawada</t>
        </is>
      </c>
      <c r="F28" s="13" t="inlineStr">
        <is>
          <t>21 Sep 2026</t>
        </is>
      </c>
      <c r="G28" s="12" t="inlineStr">
        <is>
          <t>20 Oct 2026</t>
        </is>
      </c>
      <c r="H28" s="18" t="inlineStr">
        <is>
          <t>⚠️ CLOSING SOON</t>
        </is>
      </c>
      <c r="I28" s="11" t="inlineStr">
        <is>
          <t>Section - 14 Transmission line towers.pdf</t>
        </is>
      </c>
      <c r="J28" s="13" t="inlineStr">
        <is>
          <t>📕 PDF Document</t>
        </is>
      </c>
      <c r="K28" s="15" t="n">
        <v>452.1</v>
      </c>
      <c r="L28" s="16">
        <f>HYPERLINK("http://127.0.0.1:8000/api/documents/download?id=2437&amp;attachment=true", "⬇ Download Section - 14 Transmissio")</f>
        <v/>
      </c>
      <c r="M28" s="16">
        <f>HYPERLINK("http://localhost:5173/?state=Andhra%20Pradesh&amp;keyword=GIS&amp;tender=993428", "🚀 Open in Portal")</f>
        <v/>
      </c>
    </row>
    <row r="29" ht="24" customHeight="1">
      <c r="A29" s="4" t="inlineStr">
        <is>
          <t>Andhra Pradesh</t>
        </is>
      </c>
      <c r="B29" s="5" t="inlineStr">
        <is>
          <t>GIS</t>
        </is>
      </c>
      <c r="C29" s="6" t="inlineStr">
        <is>
          <t>993428</t>
        </is>
      </c>
      <c r="D29" s="7" t="inlineStr">
        <is>
          <t>Supply, Erection, Testing and commissioning of 220/132/33KV GIS Kancharapalem and connected lines in Visakhapatnam district</t>
        </is>
      </c>
      <c r="E29" s="7" t="inlineStr">
        <is>
          <t>APTRANSCO WORKS-Chief Engineer Projects, Vijayawada</t>
        </is>
      </c>
      <c r="F29" s="6" t="inlineStr">
        <is>
          <t>21 Sep 2026</t>
        </is>
      </c>
      <c r="G29" s="5" t="inlineStr">
        <is>
          <t>20 Oct 2026</t>
        </is>
      </c>
      <c r="H29" s="18" t="inlineStr">
        <is>
          <t>⚠️ CLOSING SOON</t>
        </is>
      </c>
      <c r="I29" s="4" t="inlineStr">
        <is>
          <t>section - 15 Earth wire.pdf</t>
        </is>
      </c>
      <c r="J29" s="6" t="inlineStr">
        <is>
          <t>📕 PDF Document</t>
        </is>
      </c>
      <c r="K29" s="9" t="n">
        <v>524</v>
      </c>
      <c r="L29" s="10">
        <f>HYPERLINK("http://127.0.0.1:8000/api/documents/download?id=2438&amp;attachment=true", "⬇ Download section - 15 Earth wire.")</f>
        <v/>
      </c>
      <c r="M29" s="10">
        <f>HYPERLINK("http://localhost:5173/?state=Andhra%20Pradesh&amp;keyword=GIS&amp;tender=993428", "🚀 Open in Portal")</f>
        <v/>
      </c>
    </row>
    <row r="30" ht="24" customHeight="1">
      <c r="A30" s="11" t="inlineStr">
        <is>
          <t>Andhra Pradesh</t>
        </is>
      </c>
      <c r="B30" s="12" t="inlineStr">
        <is>
          <t>GIS</t>
        </is>
      </c>
      <c r="C30" s="13" t="inlineStr">
        <is>
          <t>993428</t>
        </is>
      </c>
      <c r="D30" s="14" t="inlineStr">
        <is>
          <t>Supply, Erection, Testing and commissioning of 220/132/33KV GIS Kancharapalem and connected lines in Visakhapatnam district</t>
        </is>
      </c>
      <c r="E30" s="14" t="inlineStr">
        <is>
          <t>APTRANSCO WORKS-Chief Engineer Projects, Vijayawada</t>
        </is>
      </c>
      <c r="F30" s="13" t="inlineStr">
        <is>
          <t>21 Sep 2026</t>
        </is>
      </c>
      <c r="G30" s="12" t="inlineStr">
        <is>
          <t>20 Oct 2026</t>
        </is>
      </c>
      <c r="H30" s="18" t="inlineStr">
        <is>
          <t>⚠️ CLOSING SOON</t>
        </is>
      </c>
      <c r="I30" s="11" t="inlineStr">
        <is>
          <t>Section - 16 Hardware &amp; Accessories for conductor &amp; earth wire.pdf</t>
        </is>
      </c>
      <c r="J30" s="13" t="inlineStr">
        <is>
          <t>📕 PDF Document</t>
        </is>
      </c>
      <c r="K30" s="15" t="n">
        <v>649.1</v>
      </c>
      <c r="L30" s="16">
        <f>HYPERLINK("http://127.0.0.1:8000/api/documents/download?id=2439&amp;attachment=true", "⬇ Download Section - 16 Hardware &amp; ")</f>
        <v/>
      </c>
      <c r="M30" s="16">
        <f>HYPERLINK("http://localhost:5173/?state=Andhra%20Pradesh&amp;keyword=GIS&amp;tender=993428", "🚀 Open in Portal")</f>
        <v/>
      </c>
    </row>
    <row r="31" ht="24" customHeight="1">
      <c r="A31" s="4" t="inlineStr">
        <is>
          <t>Andhra Pradesh</t>
        </is>
      </c>
      <c r="B31" s="5" t="inlineStr">
        <is>
          <t>GIS</t>
        </is>
      </c>
      <c r="C31" s="6" t="inlineStr">
        <is>
          <t>993428</t>
        </is>
      </c>
      <c r="D31" s="7" t="inlineStr">
        <is>
          <t>Supply, Erection, Testing and commissioning of 220/132/33KV GIS Kancharapalem and connected lines in Visakhapatnam district</t>
        </is>
      </c>
      <c r="E31" s="7" t="inlineStr">
        <is>
          <t>APTRANSCO WORKS-Chief Engineer Projects, Vijayawada</t>
        </is>
      </c>
      <c r="F31" s="6" t="inlineStr">
        <is>
          <t>21 Sep 2026</t>
        </is>
      </c>
      <c r="G31" s="5" t="inlineStr">
        <is>
          <t>20 Oct 2026</t>
        </is>
      </c>
      <c r="H31" s="18" t="inlineStr">
        <is>
          <t>⚠️ CLOSING SOON</t>
        </is>
      </c>
      <c r="I31" s="4" t="inlineStr">
        <is>
          <t>section - 17 Bolts &amp; Nuts.pdf</t>
        </is>
      </c>
      <c r="J31" s="6" t="inlineStr">
        <is>
          <t>📕 PDF Document</t>
        </is>
      </c>
      <c r="K31" s="9" t="n">
        <v>472.7</v>
      </c>
      <c r="L31" s="10">
        <f>HYPERLINK("http://127.0.0.1:8000/api/documents/download?id=2440&amp;attachment=true", "⬇ Download section - 17 Bolts &amp; Nut")</f>
        <v/>
      </c>
      <c r="M31" s="10">
        <f>HYPERLINK("http://localhost:5173/?state=Andhra%20Pradesh&amp;keyword=GIS&amp;tender=993428", "🚀 Open in Portal")</f>
        <v/>
      </c>
    </row>
    <row r="32" ht="24" customHeight="1">
      <c r="A32" s="11" t="inlineStr">
        <is>
          <t>Andhra Pradesh</t>
        </is>
      </c>
      <c r="B32" s="12" t="inlineStr">
        <is>
          <t>GIS</t>
        </is>
      </c>
      <c r="C32" s="13" t="inlineStr">
        <is>
          <t>993428</t>
        </is>
      </c>
      <c r="D32" s="14" t="inlineStr">
        <is>
          <t>Supply, Erection, Testing and commissioning of 220/132/33KV GIS Kancharapalem and connected lines in Visakhapatnam district</t>
        </is>
      </c>
      <c r="E32" s="14" t="inlineStr">
        <is>
          <t>APTRANSCO WORKS-Chief Engineer Projects, Vijayawada</t>
        </is>
      </c>
      <c r="F32" s="13" t="inlineStr">
        <is>
          <t>21 Sep 2026</t>
        </is>
      </c>
      <c r="G32" s="12" t="inlineStr">
        <is>
          <t>20 Oct 2026</t>
        </is>
      </c>
      <c r="H32" s="18" t="inlineStr">
        <is>
          <t>⚠️ CLOSING SOON</t>
        </is>
      </c>
      <c r="I32" s="11" t="inlineStr">
        <is>
          <t>Section - 18  Tech Spec for Substation.pdf</t>
        </is>
      </c>
      <c r="J32" s="13" t="inlineStr">
        <is>
          <t>📕 PDF Document</t>
        </is>
      </c>
      <c r="K32" s="15" t="n">
        <v>853.1</v>
      </c>
      <c r="L32" s="16">
        <f>HYPERLINK("http://127.0.0.1:8000/api/documents/download?id=2441&amp;attachment=true", "⬇ Download Section - 18  Tech Spec ")</f>
        <v/>
      </c>
      <c r="M32" s="16">
        <f>HYPERLINK("http://localhost:5173/?state=Andhra%20Pradesh&amp;keyword=GIS&amp;tender=993428", "🚀 Open in Portal")</f>
        <v/>
      </c>
    </row>
    <row r="33" ht="24" customHeight="1">
      <c r="A33" s="4" t="inlineStr">
        <is>
          <t>Andhra Pradesh</t>
        </is>
      </c>
      <c r="B33" s="5" t="inlineStr">
        <is>
          <t>GIS</t>
        </is>
      </c>
      <c r="C33" s="6" t="inlineStr">
        <is>
          <t>993428</t>
        </is>
      </c>
      <c r="D33" s="7" t="inlineStr">
        <is>
          <t>Supply, Erection, Testing and commissioning of 220/132/33KV GIS Kancharapalem and connected lines in Visakhapatnam district</t>
        </is>
      </c>
      <c r="E33" s="7" t="inlineStr">
        <is>
          <t>APTRANSCO WORKS-Chief Engineer Projects, Vijayawada</t>
        </is>
      </c>
      <c r="F33" s="6" t="inlineStr">
        <is>
          <t>21 Sep 2026</t>
        </is>
      </c>
      <c r="G33" s="5" t="inlineStr">
        <is>
          <t>20 Oct 2026</t>
        </is>
      </c>
      <c r="H33" s="18" t="inlineStr">
        <is>
          <t>⚠️ CLOSING SOON</t>
        </is>
      </c>
      <c r="I33" s="4" t="inlineStr">
        <is>
          <t>Section - 19 Tech Spec for Tr Line works.pdf</t>
        </is>
      </c>
      <c r="J33" s="6" t="inlineStr">
        <is>
          <t>📕 PDF Document</t>
        </is>
      </c>
      <c r="K33" s="9" t="n">
        <v>524.5</v>
      </c>
      <c r="L33" s="10">
        <f>HYPERLINK("http://127.0.0.1:8000/api/documents/download?id=2442&amp;attachment=true", "⬇ Download Section - 19 Tech Spec f")</f>
        <v/>
      </c>
      <c r="M33" s="10">
        <f>HYPERLINK("http://localhost:5173/?state=Andhra%20Pradesh&amp;keyword=GIS&amp;tender=993428", "🚀 Open in Portal")</f>
        <v/>
      </c>
    </row>
    <row r="34" ht="24" customHeight="1">
      <c r="A34" s="11" t="inlineStr">
        <is>
          <t>Andhra Pradesh</t>
        </is>
      </c>
      <c r="B34" s="12" t="inlineStr">
        <is>
          <t>GIS</t>
        </is>
      </c>
      <c r="C34" s="13" t="inlineStr">
        <is>
          <t>993428</t>
        </is>
      </c>
      <c r="D34" s="14" t="inlineStr">
        <is>
          <t>Supply, Erection, Testing and commissioning of 220/132/33KV GIS Kancharapalem and connected lines in Visakhapatnam district</t>
        </is>
      </c>
      <c r="E34" s="14" t="inlineStr">
        <is>
          <t>APTRANSCO WORKS-Chief Engineer Projects, Vijayawada</t>
        </is>
      </c>
      <c r="F34" s="13" t="inlineStr">
        <is>
          <t>21 Sep 2026</t>
        </is>
      </c>
      <c r="G34" s="12" t="inlineStr">
        <is>
          <t>20 Oct 2026</t>
        </is>
      </c>
      <c r="H34" s="18" t="inlineStr">
        <is>
          <t>⚠️ CLOSING SOON</t>
        </is>
      </c>
      <c r="I34" s="11" t="inlineStr">
        <is>
          <t>Section - 2 CTs-PTs-CVTs.pdf</t>
        </is>
      </c>
      <c r="J34" s="13" t="inlineStr">
        <is>
          <t>📕 PDF Document</t>
        </is>
      </c>
      <c r="K34" s="15" t="n">
        <v>719.3</v>
      </c>
      <c r="L34" s="16">
        <f>HYPERLINK("http://127.0.0.1:8000/api/documents/download?id=2443&amp;attachment=true", "⬇ Download Section - 2 CTs-PTs-CVTs")</f>
        <v/>
      </c>
      <c r="M34" s="16">
        <f>HYPERLINK("http://localhost:5173/?state=Andhra%20Pradesh&amp;keyword=GIS&amp;tender=993428", "🚀 Open in Portal")</f>
        <v/>
      </c>
    </row>
    <row r="35" ht="24" customHeight="1">
      <c r="A35" s="4" t="inlineStr">
        <is>
          <t>Andhra Pradesh</t>
        </is>
      </c>
      <c r="B35" s="5" t="inlineStr">
        <is>
          <t>GIS</t>
        </is>
      </c>
      <c r="C35" s="6" t="inlineStr">
        <is>
          <t>993428</t>
        </is>
      </c>
      <c r="D35" s="7" t="inlineStr">
        <is>
          <t>Supply, Erection, Testing and commissioning of 220/132/33KV GIS Kancharapalem and connected lines in Visakhapatnam district</t>
        </is>
      </c>
      <c r="E35" s="7" t="inlineStr">
        <is>
          <t>APTRANSCO WORKS-Chief Engineer Projects, Vijayawada</t>
        </is>
      </c>
      <c r="F35" s="6" t="inlineStr">
        <is>
          <t>21 Sep 2026</t>
        </is>
      </c>
      <c r="G35" s="5" t="inlineStr">
        <is>
          <t>20 Oct 2026</t>
        </is>
      </c>
      <c r="H35" s="18" t="inlineStr">
        <is>
          <t>⚠️ CLOSING SOON</t>
        </is>
      </c>
      <c r="I35" s="4" t="inlineStr">
        <is>
          <t>Section - 20  Technical specification of OPGW, OFAC &amp; FODP.pdf</t>
        </is>
      </c>
      <c r="J35" s="6" t="inlineStr">
        <is>
          <t>📕 PDF Document</t>
        </is>
      </c>
      <c r="K35" s="9" t="n">
        <v>1363.8</v>
      </c>
      <c r="L35" s="10">
        <f>HYPERLINK("http://127.0.0.1:8000/api/documents/download?id=2444&amp;attachment=true", "⬇ Download Section - 20  Technical ")</f>
        <v/>
      </c>
      <c r="M35" s="10">
        <f>HYPERLINK("http://localhost:5173/?state=Andhra%20Pradesh&amp;keyword=GIS&amp;tender=993428", "🚀 Open in Portal")</f>
        <v/>
      </c>
    </row>
    <row r="36" ht="24" customHeight="1">
      <c r="A36" s="11" t="inlineStr">
        <is>
          <t>Andhra Pradesh</t>
        </is>
      </c>
      <c r="B36" s="12" t="inlineStr">
        <is>
          <t>GIS</t>
        </is>
      </c>
      <c r="C36" s="13" t="inlineStr">
        <is>
          <t>993428</t>
        </is>
      </c>
      <c r="D36" s="14" t="inlineStr">
        <is>
          <t>Supply, Erection, Testing and commissioning of 220/132/33KV GIS Kancharapalem and connected lines in Visakhapatnam district</t>
        </is>
      </c>
      <c r="E36" s="14" t="inlineStr">
        <is>
          <t>APTRANSCO WORKS-Chief Engineer Projects, Vijayawada</t>
        </is>
      </c>
      <c r="F36" s="13" t="inlineStr">
        <is>
          <t>21 Sep 2026</t>
        </is>
      </c>
      <c r="G36" s="12" t="inlineStr">
        <is>
          <t>20 Oct 2026</t>
        </is>
      </c>
      <c r="H36" s="18" t="inlineStr">
        <is>
          <t>⚠️ CLOSING SOON</t>
        </is>
      </c>
      <c r="I36" s="11" t="inlineStr">
        <is>
          <t>Section - 21  Technical spec for UG OFC, HDPE duct &amp; RCC chambers.pdf</t>
        </is>
      </c>
      <c r="J36" s="13" t="inlineStr">
        <is>
          <t>📕 PDF Document</t>
        </is>
      </c>
      <c r="K36" s="15" t="n">
        <v>480.3</v>
      </c>
      <c r="L36" s="16">
        <f>HYPERLINK("http://127.0.0.1:8000/api/documents/download?id=2445&amp;attachment=true", "⬇ Download Section - 21  Technical ")</f>
        <v/>
      </c>
      <c r="M36" s="16">
        <f>HYPERLINK("http://localhost:5173/?state=Andhra%20Pradesh&amp;keyword=GIS&amp;tender=993428", "🚀 Open in Portal")</f>
        <v/>
      </c>
    </row>
    <row r="37" ht="24" customHeight="1">
      <c r="A37" s="4" t="inlineStr">
        <is>
          <t>Andhra Pradesh</t>
        </is>
      </c>
      <c r="B37" s="5" t="inlineStr">
        <is>
          <t>GIS</t>
        </is>
      </c>
      <c r="C37" s="6" t="inlineStr">
        <is>
          <t>993428</t>
        </is>
      </c>
      <c r="D37" s="7" t="inlineStr">
        <is>
          <t>Supply, Erection, Testing and commissioning of 220/132/33KV GIS Kancharapalem and connected lines in Visakhapatnam district</t>
        </is>
      </c>
      <c r="E37" s="7" t="inlineStr">
        <is>
          <t>APTRANSCO WORKS-Chief Engineer Projects, Vijayawada</t>
        </is>
      </c>
      <c r="F37" s="6" t="inlineStr">
        <is>
          <t>21 Sep 2026</t>
        </is>
      </c>
      <c r="G37" s="5" t="inlineStr">
        <is>
          <t>20 Oct 2026</t>
        </is>
      </c>
      <c r="H37" s="18" t="inlineStr">
        <is>
          <t>⚠️ CLOSING SOON</t>
        </is>
      </c>
      <c r="I37" s="4" t="inlineStr">
        <is>
          <t>Section - 22 Technical specification of SDH (OLTE) equipment.pdf</t>
        </is>
      </c>
      <c r="J37" s="6" t="inlineStr">
        <is>
          <t>📕 PDF Document</t>
        </is>
      </c>
      <c r="K37" s="9" t="n">
        <v>635.3</v>
      </c>
      <c r="L37" s="10">
        <f>HYPERLINK("http://127.0.0.1:8000/api/documents/download?id=2446&amp;attachment=true", "⬇ Download Section - 22 Technical s")</f>
        <v/>
      </c>
      <c r="M37" s="10">
        <f>HYPERLINK("http://localhost:5173/?state=Andhra%20Pradesh&amp;keyword=GIS&amp;tender=993428", "🚀 Open in Portal")</f>
        <v/>
      </c>
    </row>
    <row r="38" ht="24" customHeight="1">
      <c r="A38" s="11" t="inlineStr">
        <is>
          <t>Andhra Pradesh</t>
        </is>
      </c>
      <c r="B38" s="12" t="inlineStr">
        <is>
          <t>GIS</t>
        </is>
      </c>
      <c r="C38" s="13" t="inlineStr">
        <is>
          <t>993428</t>
        </is>
      </c>
      <c r="D38" s="14" t="inlineStr">
        <is>
          <t>Supply, Erection, Testing and commissioning of 220/132/33KV GIS Kancharapalem and connected lines in Visakhapatnam district</t>
        </is>
      </c>
      <c r="E38" s="14" t="inlineStr">
        <is>
          <t>APTRANSCO WORKS-Chief Engineer Projects, Vijayawada</t>
        </is>
      </c>
      <c r="F38" s="13" t="inlineStr">
        <is>
          <t>21 Sep 2026</t>
        </is>
      </c>
      <c r="G38" s="12" t="inlineStr">
        <is>
          <t>20 Oct 2026</t>
        </is>
      </c>
      <c r="H38" s="18" t="inlineStr">
        <is>
          <t>⚠️ CLOSING SOON</t>
        </is>
      </c>
      <c r="I38" s="11" t="inlineStr">
        <is>
          <t>Section - 23 Technical specification of DTPC.pdf</t>
        </is>
      </c>
      <c r="J38" s="13" t="inlineStr">
        <is>
          <t>📕 PDF Document</t>
        </is>
      </c>
      <c r="K38" s="15" t="n">
        <v>198.2</v>
      </c>
      <c r="L38" s="16">
        <f>HYPERLINK("http://127.0.0.1:8000/api/documents/download?id=2447&amp;attachment=true", "⬇ Download Section - 23 Technical s")</f>
        <v/>
      </c>
      <c r="M38" s="16">
        <f>HYPERLINK("http://localhost:5173/?state=Andhra%20Pradesh&amp;keyword=GIS&amp;tender=993428", "🚀 Open in Portal")</f>
        <v/>
      </c>
    </row>
    <row r="39" ht="24" customHeight="1">
      <c r="A39" s="4" t="inlineStr">
        <is>
          <t>Andhra Pradesh</t>
        </is>
      </c>
      <c r="B39" s="5" t="inlineStr">
        <is>
          <t>GIS</t>
        </is>
      </c>
      <c r="C39" s="6" t="inlineStr">
        <is>
          <t>993428</t>
        </is>
      </c>
      <c r="D39" s="7" t="inlineStr">
        <is>
          <t>Supply, Erection, Testing and commissioning of 220/132/33KV GIS Kancharapalem and connected lines in Visakhapatnam district</t>
        </is>
      </c>
      <c r="E39" s="7" t="inlineStr">
        <is>
          <t>APTRANSCO WORKS-Chief Engineer Projects, Vijayawada</t>
        </is>
      </c>
      <c r="F39" s="6" t="inlineStr">
        <is>
          <t>21 Sep 2026</t>
        </is>
      </c>
      <c r="G39" s="5" t="inlineStr">
        <is>
          <t>20 Oct 2026</t>
        </is>
      </c>
      <c r="H39" s="18" t="inlineStr">
        <is>
          <t>⚠️ CLOSING SOON</t>
        </is>
      </c>
      <c r="I39" s="4" t="inlineStr">
        <is>
          <t>Section - 24 Technical specification of  VOIP Phone.pdf</t>
        </is>
      </c>
      <c r="J39" s="6" t="inlineStr">
        <is>
          <t>📕 PDF Document</t>
        </is>
      </c>
      <c r="K39" s="9" t="n">
        <v>259.9</v>
      </c>
      <c r="L39" s="10">
        <f>HYPERLINK("http://127.0.0.1:8000/api/documents/download?id=2448&amp;attachment=true", "⬇ Download Section - 24 Technical s")</f>
        <v/>
      </c>
      <c r="M39" s="10">
        <f>HYPERLINK("http://localhost:5173/?state=Andhra%20Pradesh&amp;keyword=GIS&amp;tender=993428", "🚀 Open in Portal")</f>
        <v/>
      </c>
    </row>
    <row r="40" ht="24" customHeight="1">
      <c r="A40" s="11" t="inlineStr">
        <is>
          <t>Andhra Pradesh</t>
        </is>
      </c>
      <c r="B40" s="12" t="inlineStr">
        <is>
          <t>GIS</t>
        </is>
      </c>
      <c r="C40" s="13" t="inlineStr">
        <is>
          <t>993428</t>
        </is>
      </c>
      <c r="D40" s="14" t="inlineStr">
        <is>
          <t>Supply, Erection, Testing and commissioning of 220/132/33KV GIS Kancharapalem and connected lines in Visakhapatnam district</t>
        </is>
      </c>
      <c r="E40" s="14" t="inlineStr">
        <is>
          <t>APTRANSCO WORKS-Chief Engineer Projects, Vijayawada</t>
        </is>
      </c>
      <c r="F40" s="13" t="inlineStr">
        <is>
          <t>21 Sep 2026</t>
        </is>
      </c>
      <c r="G40" s="12" t="inlineStr">
        <is>
          <t>20 Oct 2026</t>
        </is>
      </c>
      <c r="H40" s="18" t="inlineStr">
        <is>
          <t>⚠️ CLOSING SOON</t>
        </is>
      </c>
      <c r="I40" s="11" t="inlineStr">
        <is>
          <t>Section - 25 Technical specification of 48V Chargers.pdf</t>
        </is>
      </c>
      <c r="J40" s="13" t="inlineStr">
        <is>
          <t>📕 PDF Document</t>
        </is>
      </c>
      <c r="K40" s="15" t="n">
        <v>443.3</v>
      </c>
      <c r="L40" s="16">
        <f>HYPERLINK("http://127.0.0.1:8000/api/documents/download?id=2449&amp;attachment=true", "⬇ Download Section - 25 Technical s")</f>
        <v/>
      </c>
      <c r="M40" s="16">
        <f>HYPERLINK("http://localhost:5173/?state=Andhra%20Pradesh&amp;keyword=GIS&amp;tender=993428", "🚀 Open in Portal")</f>
        <v/>
      </c>
    </row>
    <row r="41" ht="24" customHeight="1">
      <c r="A41" s="4" t="inlineStr">
        <is>
          <t>Andhra Pradesh</t>
        </is>
      </c>
      <c r="B41" s="5" t="inlineStr">
        <is>
          <t>GIS</t>
        </is>
      </c>
      <c r="C41" s="6" t="inlineStr">
        <is>
          <t>993428</t>
        </is>
      </c>
      <c r="D41" s="7" t="inlineStr">
        <is>
          <t>Supply, Erection, Testing and commissioning of 220/132/33KV GIS Kancharapalem and connected lines in Visakhapatnam district</t>
        </is>
      </c>
      <c r="E41" s="7" t="inlineStr">
        <is>
          <t>APTRANSCO WORKS-Chief Engineer Projects, Vijayawada</t>
        </is>
      </c>
      <c r="F41" s="6" t="inlineStr">
        <is>
          <t>21 Sep 2026</t>
        </is>
      </c>
      <c r="G41" s="5" t="inlineStr">
        <is>
          <t>20 Oct 2026</t>
        </is>
      </c>
      <c r="H41" s="18" t="inlineStr">
        <is>
          <t>⚠️ CLOSING SOON</t>
        </is>
      </c>
      <c r="I41" s="4" t="inlineStr">
        <is>
          <t>Section - 26 Technical specification of 48V Battery sets.pdf</t>
        </is>
      </c>
      <c r="J41" s="6" t="inlineStr">
        <is>
          <t>📕 PDF Document</t>
        </is>
      </c>
      <c r="K41" s="9" t="n">
        <v>188.2</v>
      </c>
      <c r="L41" s="10">
        <f>HYPERLINK("http://127.0.0.1:8000/api/documents/download?id=2450&amp;attachment=true", "⬇ Download Section - 26 Technical s")</f>
        <v/>
      </c>
      <c r="M41" s="10">
        <f>HYPERLINK("http://localhost:5173/?state=Andhra%20Pradesh&amp;keyword=GIS&amp;tender=993428", "🚀 Open in Portal")</f>
        <v/>
      </c>
    </row>
    <row r="42" ht="24" customHeight="1">
      <c r="A42" s="11" t="inlineStr">
        <is>
          <t>Andhra Pradesh</t>
        </is>
      </c>
      <c r="B42" s="12" t="inlineStr">
        <is>
          <t>GIS</t>
        </is>
      </c>
      <c r="C42" s="13" t="inlineStr">
        <is>
          <t>993428</t>
        </is>
      </c>
      <c r="D42" s="14" t="inlineStr">
        <is>
          <t>Supply, Erection, Testing and commissioning of 220/132/33KV GIS Kancharapalem and connected lines in Visakhapatnam district</t>
        </is>
      </c>
      <c r="E42" s="14" t="inlineStr">
        <is>
          <t>APTRANSCO WORKS-Chief Engineer Projects, Vijayawada</t>
        </is>
      </c>
      <c r="F42" s="13" t="inlineStr">
        <is>
          <t>21 Sep 2026</t>
        </is>
      </c>
      <c r="G42" s="12" t="inlineStr">
        <is>
          <t>20 Oct 2026</t>
        </is>
      </c>
      <c r="H42" s="18" t="inlineStr">
        <is>
          <t>⚠️ CLOSING SOON</t>
        </is>
      </c>
      <c r="I42" s="11" t="inlineStr">
        <is>
          <t>Section - 27  Techincal specification of Testing Instruments..pdf</t>
        </is>
      </c>
      <c r="J42" s="13" t="inlineStr">
        <is>
          <t>📕 PDF Document</t>
        </is>
      </c>
      <c r="K42" s="15" t="n">
        <v>629.7</v>
      </c>
      <c r="L42" s="16">
        <f>HYPERLINK("http://127.0.0.1:8000/api/documents/download?id=2451&amp;attachment=true", "⬇ Download Section - 27  Techincal ")</f>
        <v/>
      </c>
      <c r="M42" s="16">
        <f>HYPERLINK("http://localhost:5173/?state=Andhra%20Pradesh&amp;keyword=GIS&amp;tender=993428", "🚀 Open in Portal")</f>
        <v/>
      </c>
    </row>
    <row r="43" ht="24" customHeight="1">
      <c r="A43" s="4" t="inlineStr">
        <is>
          <t>Andhra Pradesh</t>
        </is>
      </c>
      <c r="B43" s="5" t="inlineStr">
        <is>
          <t>GIS</t>
        </is>
      </c>
      <c r="C43" s="6" t="inlineStr">
        <is>
          <t>993428</t>
        </is>
      </c>
      <c r="D43" s="7" t="inlineStr">
        <is>
          <t>Supply, Erection, Testing and commissioning of 220/132/33KV GIS Kancharapalem and connected lines in Visakhapatnam district</t>
        </is>
      </c>
      <c r="E43" s="7" t="inlineStr">
        <is>
          <t>APTRANSCO WORKS-Chief Engineer Projects, Vijayawada</t>
        </is>
      </c>
      <c r="F43" s="6" t="inlineStr">
        <is>
          <t>21 Sep 2026</t>
        </is>
      </c>
      <c r="G43" s="5" t="inlineStr">
        <is>
          <t>20 Oct 2026</t>
        </is>
      </c>
      <c r="H43" s="18" t="inlineStr">
        <is>
          <t>⚠️ CLOSING SOON</t>
        </is>
      </c>
      <c r="I43" s="4" t="inlineStr">
        <is>
          <t>Section - 28 -Technical specifications of cables.pdf</t>
        </is>
      </c>
      <c r="J43" s="6" t="inlineStr">
        <is>
          <t>📕 PDF Document</t>
        </is>
      </c>
      <c r="K43" s="9" t="n">
        <v>617.5</v>
      </c>
      <c r="L43" s="10">
        <f>HYPERLINK("http://127.0.0.1:8000/api/documents/download?id=2452&amp;attachment=true", "⬇ Download Section - 28 -Technical ")</f>
        <v/>
      </c>
      <c r="M43" s="10">
        <f>HYPERLINK("http://localhost:5173/?state=Andhra%20Pradesh&amp;keyword=GIS&amp;tender=993428", "🚀 Open in Portal")</f>
        <v/>
      </c>
    </row>
    <row r="44" ht="24" customHeight="1">
      <c r="A44" s="11" t="inlineStr">
        <is>
          <t>Andhra Pradesh</t>
        </is>
      </c>
      <c r="B44" s="12" t="inlineStr">
        <is>
          <t>GIS</t>
        </is>
      </c>
      <c r="C44" s="13" t="inlineStr">
        <is>
          <t>993428</t>
        </is>
      </c>
      <c r="D44" s="14" t="inlineStr">
        <is>
          <t>Supply, Erection, Testing and commissioning of 220/132/33KV GIS Kancharapalem and connected lines in Visakhapatnam district</t>
        </is>
      </c>
      <c r="E44" s="14" t="inlineStr">
        <is>
          <t>APTRANSCO WORKS-Chief Engineer Projects, Vijayawada</t>
        </is>
      </c>
      <c r="F44" s="13" t="inlineStr">
        <is>
          <t>21 Sep 2026</t>
        </is>
      </c>
      <c r="G44" s="12" t="inlineStr">
        <is>
          <t>20 Oct 2026</t>
        </is>
      </c>
      <c r="H44" s="18" t="inlineStr">
        <is>
          <t>⚠️ CLOSING SOON</t>
        </is>
      </c>
      <c r="I44" s="11" t="inlineStr">
        <is>
          <t>Section - 29 Long rod insulators.pdf</t>
        </is>
      </c>
      <c r="J44" s="13" t="inlineStr">
        <is>
          <t>📕 PDF Document</t>
        </is>
      </c>
      <c r="K44" s="15" t="n">
        <v>433.9</v>
      </c>
      <c r="L44" s="16">
        <f>HYPERLINK("http://127.0.0.1:8000/api/documents/download?id=2453&amp;attachment=true", "⬇ Download Section - 29 Long rod in")</f>
        <v/>
      </c>
      <c r="M44" s="16">
        <f>HYPERLINK("http://localhost:5173/?state=Andhra%20Pradesh&amp;keyword=GIS&amp;tender=993428", "🚀 Open in Portal")</f>
        <v/>
      </c>
    </row>
    <row r="45" ht="24" customHeight="1">
      <c r="A45" s="4" t="inlineStr">
        <is>
          <t>Andhra Pradesh</t>
        </is>
      </c>
      <c r="B45" s="5" t="inlineStr">
        <is>
          <t>GIS</t>
        </is>
      </c>
      <c r="C45" s="6" t="inlineStr">
        <is>
          <t>993428</t>
        </is>
      </c>
      <c r="D45" s="7" t="inlineStr">
        <is>
          <t>Supply, Erection, Testing and commissioning of 220/132/33KV GIS Kancharapalem and connected lines in Visakhapatnam district</t>
        </is>
      </c>
      <c r="E45" s="7" t="inlineStr">
        <is>
          <t>APTRANSCO WORKS-Chief Engineer Projects, Vijayawada</t>
        </is>
      </c>
      <c r="F45" s="6" t="inlineStr">
        <is>
          <t>21 Sep 2026</t>
        </is>
      </c>
      <c r="G45" s="5" t="inlineStr">
        <is>
          <t>20 Oct 2026</t>
        </is>
      </c>
      <c r="H45" s="18" t="inlineStr">
        <is>
          <t>⚠️ CLOSING SOON</t>
        </is>
      </c>
      <c r="I45" s="4" t="inlineStr">
        <is>
          <t>Section - 3 Surge Arrestors.pdf</t>
        </is>
      </c>
      <c r="J45" s="6" t="inlineStr">
        <is>
          <t>📕 PDF Document</t>
        </is>
      </c>
      <c r="K45" s="9" t="n">
        <v>431</v>
      </c>
      <c r="L45" s="10">
        <f>HYPERLINK("http://127.0.0.1:8000/api/documents/download?id=2454&amp;attachment=true", "⬇ Download Section - 3 Surge Arrest")</f>
        <v/>
      </c>
      <c r="M45" s="10">
        <f>HYPERLINK("http://localhost:5173/?state=Andhra%20Pradesh&amp;keyword=GIS&amp;tender=993428", "🚀 Open in Portal")</f>
        <v/>
      </c>
    </row>
    <row r="46" ht="24" customHeight="1">
      <c r="A46" s="11" t="inlineStr">
        <is>
          <t>Andhra Pradesh</t>
        </is>
      </c>
      <c r="B46" s="12" t="inlineStr">
        <is>
          <t>GIS</t>
        </is>
      </c>
      <c r="C46" s="13" t="inlineStr">
        <is>
          <t>993428</t>
        </is>
      </c>
      <c r="D46" s="14" t="inlineStr">
        <is>
          <t>Supply, Erection, Testing and commissioning of 220/132/33KV GIS Kancharapalem and connected lines in Visakhapatnam district</t>
        </is>
      </c>
      <c r="E46" s="14" t="inlineStr">
        <is>
          <t>APTRANSCO WORKS-Chief Engineer Projects, Vijayawada</t>
        </is>
      </c>
      <c r="F46" s="13" t="inlineStr">
        <is>
          <t>21 Sep 2026</t>
        </is>
      </c>
      <c r="G46" s="12" t="inlineStr">
        <is>
          <t>20 Oct 2026</t>
        </is>
      </c>
      <c r="H46" s="18" t="inlineStr">
        <is>
          <t>⚠️ CLOSING SOON</t>
        </is>
      </c>
      <c r="I46" s="11" t="inlineStr">
        <is>
          <t>Section - 30 Technical specification of AC unit &amp; Stabilizer.pdf</t>
        </is>
      </c>
      <c r="J46" s="13" t="inlineStr">
        <is>
          <t>📕 PDF Document</t>
        </is>
      </c>
      <c r="K46" s="15" t="n">
        <v>156.4</v>
      </c>
      <c r="L46" s="16">
        <f>HYPERLINK("http://127.0.0.1:8000/api/documents/download?id=2455&amp;attachment=true", "⬇ Download Section - 30 Technical s")</f>
        <v/>
      </c>
      <c r="M46" s="16">
        <f>HYPERLINK("http://localhost:5173/?state=Andhra%20Pradesh&amp;keyword=GIS&amp;tender=993428", "🚀 Open in Portal")</f>
        <v/>
      </c>
    </row>
    <row r="47" ht="24" customHeight="1">
      <c r="A47" s="4" t="inlineStr">
        <is>
          <t>Andhra Pradesh</t>
        </is>
      </c>
      <c r="B47" s="5" t="inlineStr">
        <is>
          <t>GIS</t>
        </is>
      </c>
      <c r="C47" s="6" t="inlineStr">
        <is>
          <t>993428</t>
        </is>
      </c>
      <c r="D47" s="7" t="inlineStr">
        <is>
          <t>Supply, Erection, Testing and commissioning of 220/132/33KV GIS Kancharapalem and connected lines in Visakhapatnam district</t>
        </is>
      </c>
      <c r="E47" s="7" t="inlineStr">
        <is>
          <t>APTRANSCO WORKS-Chief Engineer Projects, Vijayawada</t>
        </is>
      </c>
      <c r="F47" s="6" t="inlineStr">
        <is>
          <t>21 Sep 2026</t>
        </is>
      </c>
      <c r="G47" s="5" t="inlineStr">
        <is>
          <t>20 Oct 2026</t>
        </is>
      </c>
      <c r="H47" s="18" t="inlineStr">
        <is>
          <t>⚠️ CLOSING SOON</t>
        </is>
      </c>
      <c r="I47" s="4" t="inlineStr">
        <is>
          <t>Section - 31 Technical specification of MPLS FOTE &amp; NMS.pdf</t>
        </is>
      </c>
      <c r="J47" s="6" t="inlineStr">
        <is>
          <t>📕 PDF Document</t>
        </is>
      </c>
      <c r="K47" s="9" t="n">
        <v>946.7</v>
      </c>
      <c r="L47" s="10">
        <f>HYPERLINK("http://127.0.0.1:8000/api/documents/download?id=2456&amp;attachment=true", "⬇ Download Section - 31 Technical s")</f>
        <v/>
      </c>
      <c r="M47" s="10">
        <f>HYPERLINK("http://localhost:5173/?state=Andhra%20Pradesh&amp;keyword=GIS&amp;tender=993428", "🚀 Open in Portal")</f>
        <v/>
      </c>
    </row>
    <row r="48" ht="24" customHeight="1">
      <c r="A48" s="11" t="inlineStr">
        <is>
          <t>Andhra Pradesh</t>
        </is>
      </c>
      <c r="B48" s="12" t="inlineStr">
        <is>
          <t>GIS</t>
        </is>
      </c>
      <c r="C48" s="13" t="inlineStr">
        <is>
          <t>993428</t>
        </is>
      </c>
      <c r="D48" s="14" t="inlineStr">
        <is>
          <t>Supply, Erection, Testing and commissioning of 220/132/33KV GIS Kancharapalem and connected lines in Visakhapatnam district</t>
        </is>
      </c>
      <c r="E48" s="14" t="inlineStr">
        <is>
          <t>APTRANSCO WORKS-Chief Engineer Projects, Vijayawada</t>
        </is>
      </c>
      <c r="F48" s="13" t="inlineStr">
        <is>
          <t>21 Sep 2026</t>
        </is>
      </c>
      <c r="G48" s="12" t="inlineStr">
        <is>
          <t>20 Oct 2026</t>
        </is>
      </c>
      <c r="H48" s="18" t="inlineStr">
        <is>
          <t>⚠️ CLOSING SOON</t>
        </is>
      </c>
      <c r="I48" s="11" t="inlineStr">
        <is>
          <t>Section - 32 Tech Spec- SRC Insulators.pdf</t>
        </is>
      </c>
      <c r="J48" s="13" t="inlineStr">
        <is>
          <t>📕 PDF Document</t>
        </is>
      </c>
      <c r="K48" s="15" t="n">
        <v>423.9</v>
      </c>
      <c r="L48" s="16">
        <f>HYPERLINK("http://127.0.0.1:8000/api/documents/download?id=2457&amp;attachment=true", "⬇ Download Section - 32 Tech Spec- ")</f>
        <v/>
      </c>
      <c r="M48" s="16">
        <f>HYPERLINK("http://localhost:5173/?state=Andhra%20Pradesh&amp;keyword=GIS&amp;tender=993428", "🚀 Open in Portal")</f>
        <v/>
      </c>
    </row>
    <row r="49" ht="24" customHeight="1">
      <c r="A49" s="4" t="inlineStr">
        <is>
          <t>Andhra Pradesh</t>
        </is>
      </c>
      <c r="B49" s="5" t="inlineStr">
        <is>
          <t>GIS</t>
        </is>
      </c>
      <c r="C49" s="6" t="inlineStr">
        <is>
          <t>993428</t>
        </is>
      </c>
      <c r="D49" s="7" t="inlineStr">
        <is>
          <t>Supply, Erection, Testing and commissioning of 220/132/33KV GIS Kancharapalem and connected lines in Visakhapatnam district</t>
        </is>
      </c>
      <c r="E49" s="7" t="inlineStr">
        <is>
          <t>APTRANSCO WORKS-Chief Engineer Projects, Vijayawada</t>
        </is>
      </c>
      <c r="F49" s="6" t="inlineStr">
        <is>
          <t>21 Sep 2026</t>
        </is>
      </c>
      <c r="G49" s="5" t="inlineStr">
        <is>
          <t>20 Oct 2026</t>
        </is>
      </c>
      <c r="H49" s="18" t="inlineStr">
        <is>
          <t>⚠️ CLOSING SOON</t>
        </is>
      </c>
      <c r="I49" s="4" t="inlineStr">
        <is>
          <t>Section - 33 LED Specification.pdf</t>
        </is>
      </c>
      <c r="J49" s="6" t="inlineStr">
        <is>
          <t>📕 PDF Document</t>
        </is>
      </c>
      <c r="K49" s="9" t="n">
        <v>563</v>
      </c>
      <c r="L49" s="10">
        <f>HYPERLINK("http://127.0.0.1:8000/api/documents/download?id=2458&amp;attachment=true", "⬇ Download Section - 33 LED Specifi")</f>
        <v/>
      </c>
      <c r="M49" s="10">
        <f>HYPERLINK("http://localhost:5173/?state=Andhra%20Pradesh&amp;keyword=GIS&amp;tender=993428", "🚀 Open in Portal")</f>
        <v/>
      </c>
    </row>
    <row r="50" ht="24" customHeight="1">
      <c r="A50" s="11" t="inlineStr">
        <is>
          <t>Andhra Pradesh</t>
        </is>
      </c>
      <c r="B50" s="12" t="inlineStr">
        <is>
          <t>GIS</t>
        </is>
      </c>
      <c r="C50" s="13" t="inlineStr">
        <is>
          <t>993428</t>
        </is>
      </c>
      <c r="D50" s="14" t="inlineStr">
        <is>
          <t>Supply, Erection, Testing and commissioning of 220/132/33KV GIS Kancharapalem and connected lines in Visakhapatnam district</t>
        </is>
      </c>
      <c r="E50" s="14" t="inlineStr">
        <is>
          <t>APTRANSCO WORKS-Chief Engineer Projects, Vijayawada</t>
        </is>
      </c>
      <c r="F50" s="13" t="inlineStr">
        <is>
          <t>21 Sep 2026</t>
        </is>
      </c>
      <c r="G50" s="12" t="inlineStr">
        <is>
          <t>20 Oct 2026</t>
        </is>
      </c>
      <c r="H50" s="18" t="inlineStr">
        <is>
          <t>⚠️ CLOSING SOON</t>
        </is>
      </c>
      <c r="I50" s="11" t="inlineStr">
        <is>
          <t>Section - 34 ACSS Cond eq Conductor SPEC_Final.pdf</t>
        </is>
      </c>
      <c r="J50" s="13" t="inlineStr">
        <is>
          <t>📕 PDF Document</t>
        </is>
      </c>
      <c r="K50" s="15" t="n">
        <v>1084</v>
      </c>
      <c r="L50" s="16">
        <f>HYPERLINK("http://127.0.0.1:8000/api/documents/download?id=2459&amp;attachment=true", "⬇ Download Section - 34 ACSS Cond e")</f>
        <v/>
      </c>
      <c r="M50" s="16">
        <f>HYPERLINK("http://localhost:5173/?state=Andhra%20Pradesh&amp;keyword=GIS&amp;tender=993428", "🚀 Open in Portal")</f>
        <v/>
      </c>
    </row>
    <row r="51" ht="24" customHeight="1">
      <c r="A51" s="4" t="inlineStr">
        <is>
          <t>Andhra Pradesh</t>
        </is>
      </c>
      <c r="B51" s="5" t="inlineStr">
        <is>
          <t>GIS</t>
        </is>
      </c>
      <c r="C51" s="6" t="inlineStr">
        <is>
          <t>993428</t>
        </is>
      </c>
      <c r="D51" s="7" t="inlineStr">
        <is>
          <t>Supply, Erection, Testing and commissioning of 220/132/33KV GIS Kancharapalem and connected lines in Visakhapatnam district</t>
        </is>
      </c>
      <c r="E51" s="7" t="inlineStr">
        <is>
          <t>APTRANSCO WORKS-Chief Engineer Projects, Vijayawada</t>
        </is>
      </c>
      <c r="F51" s="6" t="inlineStr">
        <is>
          <t>21 Sep 2026</t>
        </is>
      </c>
      <c r="G51" s="5" t="inlineStr">
        <is>
          <t>20 Oct 2026</t>
        </is>
      </c>
      <c r="H51" s="18" t="inlineStr">
        <is>
          <t>⚠️ CLOSING SOON</t>
        </is>
      </c>
      <c r="I51" s="4" t="inlineStr">
        <is>
          <t>Section - 4 Isolator Mettalics.pdf</t>
        </is>
      </c>
      <c r="J51" s="6" t="inlineStr">
        <is>
          <t>📕 PDF Document</t>
        </is>
      </c>
      <c r="K51" s="9" t="n">
        <v>514.5</v>
      </c>
      <c r="L51" s="10">
        <f>HYPERLINK("http://127.0.0.1:8000/api/documents/download?id=2460&amp;attachment=true", "⬇ Download Section - 4 Isolator Met")</f>
        <v/>
      </c>
      <c r="M51" s="10">
        <f>HYPERLINK("http://localhost:5173/?state=Andhra%20Pradesh&amp;keyword=GIS&amp;tender=993428", "🚀 Open in Portal")</f>
        <v/>
      </c>
    </row>
    <row r="52" ht="24" customHeight="1">
      <c r="A52" s="11" t="inlineStr">
        <is>
          <t>Andhra Pradesh</t>
        </is>
      </c>
      <c r="B52" s="12" t="inlineStr">
        <is>
          <t>GIS</t>
        </is>
      </c>
      <c r="C52" s="13" t="inlineStr">
        <is>
          <t>993428</t>
        </is>
      </c>
      <c r="D52" s="14" t="inlineStr">
        <is>
          <t>Supply, Erection, Testing and commissioning of 220/132/33KV GIS Kancharapalem and connected lines in Visakhapatnam district</t>
        </is>
      </c>
      <c r="E52" s="14" t="inlineStr">
        <is>
          <t>APTRANSCO WORKS-Chief Engineer Projects, Vijayawada</t>
        </is>
      </c>
      <c r="F52" s="13" t="inlineStr">
        <is>
          <t>21 Sep 2026</t>
        </is>
      </c>
      <c r="G52" s="12" t="inlineStr">
        <is>
          <t>20 Oct 2026</t>
        </is>
      </c>
      <c r="H52" s="18" t="inlineStr">
        <is>
          <t>⚠️ CLOSING SOON</t>
        </is>
      </c>
      <c r="I52" s="11" t="inlineStr">
        <is>
          <t>Section - 5 Solid core  insulators.pdf</t>
        </is>
      </c>
      <c r="J52" s="13" t="inlineStr">
        <is>
          <t>📕 PDF Document</t>
        </is>
      </c>
      <c r="K52" s="15" t="n">
        <v>289.7</v>
      </c>
      <c r="L52" s="16">
        <f>HYPERLINK("http://127.0.0.1:8000/api/documents/download?id=2461&amp;attachment=true", "⬇ Download Section - 5 Solid core  ")</f>
        <v/>
      </c>
      <c r="M52" s="16">
        <f>HYPERLINK("http://localhost:5173/?state=Andhra%20Pradesh&amp;keyword=GIS&amp;tender=993428", "🚀 Open in Portal")</f>
        <v/>
      </c>
    </row>
    <row r="53" ht="24" customHeight="1">
      <c r="A53" s="4" t="inlineStr">
        <is>
          <t>Andhra Pradesh</t>
        </is>
      </c>
      <c r="B53" s="5" t="inlineStr">
        <is>
          <t>GIS</t>
        </is>
      </c>
      <c r="C53" s="6" t="inlineStr">
        <is>
          <t>993428</t>
        </is>
      </c>
      <c r="D53" s="7" t="inlineStr">
        <is>
          <t>Supply, Erection, Testing and commissioning of 220/132/33KV GIS Kancharapalem and connected lines in Visakhapatnam district</t>
        </is>
      </c>
      <c r="E53" s="7" t="inlineStr">
        <is>
          <t>APTRANSCO WORKS-Chief Engineer Projects, Vijayawada</t>
        </is>
      </c>
      <c r="F53" s="6" t="inlineStr">
        <is>
          <t>21 Sep 2026</t>
        </is>
      </c>
      <c r="G53" s="5" t="inlineStr">
        <is>
          <t>20 Oct 2026</t>
        </is>
      </c>
      <c r="H53" s="18" t="inlineStr">
        <is>
          <t>⚠️ CLOSING SOON</t>
        </is>
      </c>
      <c r="I53" s="4" t="inlineStr">
        <is>
          <t>Section - 6 Control _ Power Cables.pdf</t>
        </is>
      </c>
      <c r="J53" s="6" t="inlineStr">
        <is>
          <t>📕 PDF Document</t>
        </is>
      </c>
      <c r="K53" s="9" t="n">
        <v>420.2</v>
      </c>
      <c r="L53" s="10">
        <f>HYPERLINK("http://127.0.0.1:8000/api/documents/download?id=2462&amp;attachment=true", "⬇ Download Section - 6 Control _ Po")</f>
        <v/>
      </c>
      <c r="M53" s="10">
        <f>HYPERLINK("http://localhost:5173/?state=Andhra%20Pradesh&amp;keyword=GIS&amp;tender=993428", "🚀 Open in Portal")</f>
        <v/>
      </c>
    </row>
    <row r="54" ht="24" customHeight="1">
      <c r="A54" s="11" t="inlineStr">
        <is>
          <t>Andhra Pradesh</t>
        </is>
      </c>
      <c r="B54" s="12" t="inlineStr">
        <is>
          <t>GIS</t>
        </is>
      </c>
      <c r="C54" s="13" t="inlineStr">
        <is>
          <t>993428</t>
        </is>
      </c>
      <c r="D54" s="14" t="inlineStr">
        <is>
          <t>Supply, Erection, Testing and commissioning of 220/132/33KV GIS Kancharapalem and connected lines in Visakhapatnam district</t>
        </is>
      </c>
      <c r="E54" s="14" t="inlineStr">
        <is>
          <t>APTRANSCO WORKS-Chief Engineer Projects, Vijayawada</t>
        </is>
      </c>
      <c r="F54" s="13" t="inlineStr">
        <is>
          <t>21 Sep 2026</t>
        </is>
      </c>
      <c r="G54" s="12" t="inlineStr">
        <is>
          <t>20 Oct 2026</t>
        </is>
      </c>
      <c r="H54" s="18" t="inlineStr">
        <is>
          <t>⚠️ CLOSING SOON</t>
        </is>
      </c>
      <c r="I54" s="11" t="inlineStr">
        <is>
          <t>Section - 7 Battery set &amp; battery charger.pdf</t>
        </is>
      </c>
      <c r="J54" s="13" t="inlineStr">
        <is>
          <t>📕 PDF Document</t>
        </is>
      </c>
      <c r="K54" s="15" t="n">
        <v>1452.5</v>
      </c>
      <c r="L54" s="16">
        <f>HYPERLINK("http://127.0.0.1:8000/api/documents/download?id=2463&amp;attachment=true", "⬇ Download Section - 7 Battery set ")</f>
        <v/>
      </c>
      <c r="M54" s="16">
        <f>HYPERLINK("http://localhost:5173/?state=Andhra%20Pradesh&amp;keyword=GIS&amp;tender=993428", "🚀 Open in Portal")</f>
        <v/>
      </c>
    </row>
    <row r="55" ht="24" customHeight="1">
      <c r="A55" s="4" t="inlineStr">
        <is>
          <t>Andhra Pradesh</t>
        </is>
      </c>
      <c r="B55" s="5" t="inlineStr">
        <is>
          <t>GIS</t>
        </is>
      </c>
      <c r="C55" s="6" t="inlineStr">
        <is>
          <t>993428</t>
        </is>
      </c>
      <c r="D55" s="7" t="inlineStr">
        <is>
          <t>Supply, Erection, Testing and commissioning of 220/132/33KV GIS Kancharapalem and connected lines in Visakhapatnam district</t>
        </is>
      </c>
      <c r="E55" s="7" t="inlineStr">
        <is>
          <t>APTRANSCO WORKS-Chief Engineer Projects, Vijayawada</t>
        </is>
      </c>
      <c r="F55" s="6" t="inlineStr">
        <is>
          <t>21 Sep 2026</t>
        </is>
      </c>
      <c r="G55" s="5" t="inlineStr">
        <is>
          <t>20 Oct 2026</t>
        </is>
      </c>
      <c r="H55" s="18" t="inlineStr">
        <is>
          <t>⚠️ CLOSING SOON</t>
        </is>
      </c>
      <c r="I55" s="4" t="inlineStr">
        <is>
          <t>Section - 8 Circuit Breakers.pdf</t>
        </is>
      </c>
      <c r="J55" s="6" t="inlineStr">
        <is>
          <t>📕 PDF Document</t>
        </is>
      </c>
      <c r="K55" s="9" t="n">
        <v>871.7</v>
      </c>
      <c r="L55" s="10">
        <f>HYPERLINK("http://127.0.0.1:8000/api/documents/download?id=2464&amp;attachment=true", "⬇ Download Section - 8 Circuit Brea")</f>
        <v/>
      </c>
      <c r="M55" s="10">
        <f>HYPERLINK("http://localhost:5173/?state=Andhra%20Pradesh&amp;keyword=GIS&amp;tender=993428", "🚀 Open in Portal")</f>
        <v/>
      </c>
    </row>
    <row r="56" ht="24" customHeight="1">
      <c r="A56" s="11" t="inlineStr">
        <is>
          <t>Andhra Pradesh</t>
        </is>
      </c>
      <c r="B56" s="12" t="inlineStr">
        <is>
          <t>GIS</t>
        </is>
      </c>
      <c r="C56" s="13" t="inlineStr">
        <is>
          <t>993428</t>
        </is>
      </c>
      <c r="D56" s="14" t="inlineStr">
        <is>
          <t>Supply, Erection, Testing and commissioning of 220/132/33KV GIS Kancharapalem and connected lines in Visakhapatnam district</t>
        </is>
      </c>
      <c r="E56" s="14" t="inlineStr">
        <is>
          <t>APTRANSCO WORKS-Chief Engineer Projects, Vijayawada</t>
        </is>
      </c>
      <c r="F56" s="13" t="inlineStr">
        <is>
          <t>21 Sep 2026</t>
        </is>
      </c>
      <c r="G56" s="12" t="inlineStr">
        <is>
          <t>20 Oct 2026</t>
        </is>
      </c>
      <c r="H56" s="18" t="inlineStr">
        <is>
          <t>⚠️ CLOSING SOON</t>
        </is>
      </c>
      <c r="I56" s="11" t="inlineStr">
        <is>
          <t>Section - 9  LTAC Panel.pdf</t>
        </is>
      </c>
      <c r="J56" s="13" t="inlineStr">
        <is>
          <t>📕 PDF Document</t>
        </is>
      </c>
      <c r="K56" s="15" t="n">
        <v>539</v>
      </c>
      <c r="L56" s="16">
        <f>HYPERLINK("http://127.0.0.1:8000/api/documents/download?id=2465&amp;attachment=true", "⬇ Download Section - 9  LTAC Panel.")</f>
        <v/>
      </c>
      <c r="M56" s="16">
        <f>HYPERLINK("http://localhost:5173/?state=Andhra%20Pradesh&amp;keyword=GIS&amp;tender=993428", "🚀 Open in Portal")</f>
        <v/>
      </c>
    </row>
    <row r="57" ht="24" customHeight="1">
      <c r="A57" s="4" t="inlineStr">
        <is>
          <t>Andhra Pradesh</t>
        </is>
      </c>
      <c r="B57" s="5" t="inlineStr">
        <is>
          <t>GIS</t>
        </is>
      </c>
      <c r="C57" s="6" t="inlineStr">
        <is>
          <t>993428</t>
        </is>
      </c>
      <c r="D57" s="7" t="inlineStr">
        <is>
          <t>Supply, Erection, Testing and commissioning of 220/132/33KV GIS Kancharapalem and connected lines in Visakhapatnam district</t>
        </is>
      </c>
      <c r="E57" s="7" t="inlineStr">
        <is>
          <t>APTRANSCO WORKS-Chief Engineer Projects, Vijayawada</t>
        </is>
      </c>
      <c r="F57" s="6" t="inlineStr">
        <is>
          <t>21 Sep 2026</t>
        </is>
      </c>
      <c r="G57" s="5" t="inlineStr">
        <is>
          <t>20 Oct 2026</t>
        </is>
      </c>
      <c r="H57" s="18" t="inlineStr">
        <is>
          <t>⚠️ CLOSING SOON</t>
        </is>
      </c>
      <c r="I57" s="4" t="inlineStr">
        <is>
          <t>Quality Assurance Plan .pdf</t>
        </is>
      </c>
      <c r="J57" s="6" t="inlineStr">
        <is>
          <t>📕 PDF Document</t>
        </is>
      </c>
      <c r="K57" s="9" t="n">
        <v>1303.3</v>
      </c>
      <c r="L57" s="10">
        <f>HYPERLINK("http://127.0.0.1:8000/api/documents/download?id=2467&amp;attachment=true", "⬇ Download Quality Assurance Plan .")</f>
        <v/>
      </c>
      <c r="M57" s="10">
        <f>HYPERLINK("http://localhost:5173/?state=Andhra%20Pradesh&amp;keyword=GIS&amp;tender=993428", "🚀 Open in Portal")</f>
        <v/>
      </c>
    </row>
    <row r="58" ht="24" customHeight="1">
      <c r="A58" s="11" t="inlineStr">
        <is>
          <t>Andhra Pradesh</t>
        </is>
      </c>
      <c r="B58" s="12" t="inlineStr">
        <is>
          <t>GIS</t>
        </is>
      </c>
      <c r="C58" s="13" t="inlineStr">
        <is>
          <t>993428</t>
        </is>
      </c>
      <c r="D58" s="14" t="inlineStr">
        <is>
          <t>Supply, Erection, Testing and commissioning of 220/132/33KV GIS Kancharapalem and connected lines in Visakhapatnam district</t>
        </is>
      </c>
      <c r="E58" s="14" t="inlineStr">
        <is>
          <t>APTRANSCO WORKS-Chief Engineer Projects, Vijayawada</t>
        </is>
      </c>
      <c r="F58" s="13" t="inlineStr">
        <is>
          <t>21 Sep 2026</t>
        </is>
      </c>
      <c r="G58" s="12" t="inlineStr">
        <is>
          <t>20 Oct 2026</t>
        </is>
      </c>
      <c r="H58" s="18" t="inlineStr">
        <is>
          <t>⚠️ CLOSING SOON</t>
        </is>
      </c>
      <c r="I58" s="11" t="inlineStr">
        <is>
          <t>Vol I APT-e72-2026-Kancharapalem GIS.zip</t>
        </is>
      </c>
      <c r="J58" s="13" t="inlineStr">
        <is>
          <t>📦 ZIP Package</t>
        </is>
      </c>
      <c r="K58" s="15" t="n">
        <v>2928.4</v>
      </c>
      <c r="L58" s="16">
        <f>HYPERLINK("http://127.0.0.1:8000/api/documents/download?id=2428&amp;attachment=true", "⬇ Download Vol I APT-e72-2026-Kanch")</f>
        <v/>
      </c>
      <c r="M58" s="16">
        <f>HYPERLINK("http://localhost:5173/?state=Andhra%20Pradesh&amp;keyword=GIS&amp;tender=993428", "🚀 Open in Portal")</f>
        <v/>
      </c>
    </row>
    <row r="59" ht="20" customHeight="1">
      <c r="A59" s="19" t="inlineStr">
        <is>
          <t>Andhra Pradesh</t>
        </is>
      </c>
      <c r="B59" s="19" t="inlineStr">
        <is>
          <t>GIS</t>
        </is>
      </c>
      <c r="C59" s="19" t="inlineStr">
        <is>
          <t>993428 (pkg)</t>
        </is>
      </c>
      <c r="D59" s="19" t="inlineStr">
        <is>
          <t>↳ Part of: Vol I APT-e72-2026-Kancharapalem GIS.zip</t>
        </is>
      </c>
      <c r="E59" s="19" t="inlineStr">
        <is>
          <t>APTRANSCO WORKS-Chief Engineer Projects, Vijayawada</t>
        </is>
      </c>
      <c r="F59" s="19" t="inlineStr">
        <is>
          <t>21 Sep 2026</t>
        </is>
      </c>
      <c r="G59" s="19" t="inlineStr">
        <is>
          <t>20 Oct 2026</t>
        </is>
      </c>
      <c r="H59" s="19" t="inlineStr">
        <is>
          <t>📂 PACKAGE FILE</t>
        </is>
      </c>
      <c r="I59" s="20" t="inlineStr">
        <is>
          <t xml:space="preserve">  ↳ Vol I APT-e72-2026-Kancharapalem GIS.docx</t>
        </is>
      </c>
      <c r="J59" s="19" t="inlineStr">
        <is>
          <t>Section Doc</t>
        </is>
      </c>
      <c r="K59" s="19" t="n">
        <v>3071.1</v>
      </c>
      <c r="L59" s="21">
        <f>HYPERLINK("http://127.0.0.1:8000/api/documents/download?id=2427&amp;attachment=true", "⬇ Download Vol I APT-e72-2026-K")</f>
        <v/>
      </c>
      <c r="M59" s="21">
        <f>HYPERLINK("http://localhost:5173/?state=Andhra%20Pradesh&amp;keyword=GIS&amp;tender=993428", "🚀 Open")</f>
        <v/>
      </c>
    </row>
    <row r="60" ht="24" customHeight="1">
      <c r="A60" s="11" t="inlineStr">
        <is>
          <t>Andhra Pradesh</t>
        </is>
      </c>
      <c r="B60" s="12" t="inlineStr">
        <is>
          <t>GIS</t>
        </is>
      </c>
      <c r="C60" s="13" t="inlineStr">
        <is>
          <t>993428</t>
        </is>
      </c>
      <c r="D60" s="14" t="inlineStr">
        <is>
          <t>Supply, Erection, Testing and commissioning of 220/132/33KV GIS Kancharapalem and connected lines in Visakhapatnam district</t>
        </is>
      </c>
      <c r="E60" s="14" t="inlineStr">
        <is>
          <t>APTRANSCO WORKS-Chief Engineer Projects, Vijayawada</t>
        </is>
      </c>
      <c r="F60" s="13" t="inlineStr">
        <is>
          <t>21 Sep 2026</t>
        </is>
      </c>
      <c r="G60" s="12" t="inlineStr">
        <is>
          <t>20 Oct 2026</t>
        </is>
      </c>
      <c r="H60" s="18" t="inlineStr">
        <is>
          <t>⚠️ CLOSING SOON</t>
        </is>
      </c>
      <c r="I60" s="11" t="inlineStr">
        <is>
          <t>Commercial Schedules-APT-e72-2026.zip</t>
        </is>
      </c>
      <c r="J60" s="13" t="inlineStr">
        <is>
          <t>📦 ZIP Package</t>
        </is>
      </c>
      <c r="K60" s="15" t="n">
        <v>431.3</v>
      </c>
      <c r="L60" s="16">
        <f>HYPERLINK("http://127.0.0.1:8000/api/documents/download?id=2430&amp;attachment=true", "⬇ Download Commercial Schedules-APT")</f>
        <v/>
      </c>
      <c r="M60" s="16">
        <f>HYPERLINK("http://localhost:5173/?state=Andhra%20Pradesh&amp;keyword=GIS&amp;tender=993428", "🚀 Open in Portal")</f>
        <v/>
      </c>
    </row>
    <row r="61" ht="20" customHeight="1">
      <c r="A61" s="19" t="inlineStr">
        <is>
          <t>Andhra Pradesh</t>
        </is>
      </c>
      <c r="B61" s="19" t="inlineStr">
        <is>
          <t>GIS</t>
        </is>
      </c>
      <c r="C61" s="19" t="inlineStr">
        <is>
          <t>993428 (pkg)</t>
        </is>
      </c>
      <c r="D61" s="19" t="inlineStr">
        <is>
          <t>↳ Part of: Commercial Schedules-APT-e72-2026.zip</t>
        </is>
      </c>
      <c r="E61" s="19" t="inlineStr">
        <is>
          <t>APTRANSCO WORKS-Chief Engineer Projects, Vijayawada</t>
        </is>
      </c>
      <c r="F61" s="19" t="inlineStr">
        <is>
          <t>21 Sep 2026</t>
        </is>
      </c>
      <c r="G61" s="19" t="inlineStr">
        <is>
          <t>20 Oct 2026</t>
        </is>
      </c>
      <c r="H61" s="19" t="inlineStr">
        <is>
          <t>📂 PACKAGE FILE</t>
        </is>
      </c>
      <c r="I61" s="20" t="inlineStr">
        <is>
          <t xml:space="preserve">  ↳ Commercial Schedules-APT-e72-2026.xlsx</t>
        </is>
      </c>
      <c r="J61" s="19" t="inlineStr">
        <is>
          <t>Section Doc</t>
        </is>
      </c>
      <c r="K61" s="19" t="n">
        <v>650.2</v>
      </c>
      <c r="L61" s="21">
        <f>HYPERLINK("http://127.0.0.1:8000/api/documents/download?id=2429&amp;attachment=true", "⬇ Download Commercial Schedules")</f>
        <v/>
      </c>
      <c r="M61" s="21">
        <f>HYPERLINK("http://localhost:5173/?state=Andhra%20Pradesh&amp;keyword=GIS&amp;tender=993428", "🚀 Open")</f>
        <v/>
      </c>
    </row>
    <row r="62" ht="24" customHeight="1">
      <c r="A62" s="11" t="inlineStr">
        <is>
          <t>Andhra Pradesh</t>
        </is>
      </c>
      <c r="B62" s="12" t="inlineStr">
        <is>
          <t>GIS</t>
        </is>
      </c>
      <c r="C62" s="13" t="inlineStr">
        <is>
          <t>993428</t>
        </is>
      </c>
      <c r="D62" s="14" t="inlineStr">
        <is>
          <t>Supply, Erection, Testing and commissioning of 220/132/33KV GIS Kancharapalem and connected lines in Visakhapatnam district</t>
        </is>
      </c>
      <c r="E62" s="14" t="inlineStr">
        <is>
          <t>APTRANSCO WORKS-Chief Engineer Projects, Vijayawada</t>
        </is>
      </c>
      <c r="F62" s="13" t="inlineStr">
        <is>
          <t>21 Sep 2026</t>
        </is>
      </c>
      <c r="G62" s="12" t="inlineStr">
        <is>
          <t>20 Oct 2026</t>
        </is>
      </c>
      <c r="H62" s="18" t="inlineStr">
        <is>
          <t>⚠️ CLOSING SOON</t>
        </is>
      </c>
      <c r="I62" s="11" t="inlineStr">
        <is>
          <t>Volume 2 Technical Specifications.zip</t>
        </is>
      </c>
      <c r="J62" s="13" t="inlineStr">
        <is>
          <t>📦 ZIP Package</t>
        </is>
      </c>
      <c r="K62" s="15" t="n">
        <v>16489.8</v>
      </c>
      <c r="L62" s="16">
        <f>HYPERLINK("http://127.0.0.1:8000/api/documents/download?id=2466&amp;attachment=true", "⬇ Download Volume 2 Technical Speci")</f>
        <v/>
      </c>
      <c r="M62" s="16">
        <f>HYPERLINK("http://localhost:5173/?state=Andhra%20Pradesh&amp;keyword=GIS&amp;tender=993428", "🚀 Open in Portal")</f>
        <v/>
      </c>
    </row>
    <row r="63" ht="24" customHeight="1">
      <c r="A63" s="4" t="inlineStr">
        <is>
          <t>Andhra Pradesh</t>
        </is>
      </c>
      <c r="B63" s="5" t="inlineStr">
        <is>
          <t>GIS</t>
        </is>
      </c>
      <c r="C63" s="6" t="inlineStr">
        <is>
          <t>993428</t>
        </is>
      </c>
      <c r="D63" s="7" t="inlineStr">
        <is>
          <t>Supply, Erection, Testing and commissioning of 220/132/33KV GIS Kancharapalem and connected lines in Visakhapatnam district</t>
        </is>
      </c>
      <c r="E63" s="7" t="inlineStr">
        <is>
          <t>APTRANSCO WORKS-Chief Engineer Projects, Vijayawada</t>
        </is>
      </c>
      <c r="F63" s="6" t="inlineStr">
        <is>
          <t>21 Sep 2026</t>
        </is>
      </c>
      <c r="G63" s="5" t="inlineStr">
        <is>
          <t>20 Oct 2026</t>
        </is>
      </c>
      <c r="H63" s="18" t="inlineStr">
        <is>
          <t>⚠️ CLOSING SOON</t>
        </is>
      </c>
      <c r="I63" s="4" t="inlineStr">
        <is>
          <t>Tender_993428_All_Documents.zip</t>
        </is>
      </c>
      <c r="J63" s="6" t="inlineStr">
        <is>
          <t>📦 ZIP Package</t>
        </is>
      </c>
      <c r="K63" s="9" t="n">
        <v>3950</v>
      </c>
      <c r="L63" s="10">
        <f>HYPERLINK("http://127.0.0.1:8000/api/documents/download?id=2426&amp;attachment=true", "⬇ Download Tender_993428_All_Docume")</f>
        <v/>
      </c>
      <c r="M63" s="10">
        <f>HYPERLINK("http://localhost:5173/?state=Andhra%20Pradesh&amp;keyword=GIS&amp;tender=993428", "🚀 Open in Portal")</f>
        <v/>
      </c>
    </row>
    <row r="64" ht="24" customHeight="1">
      <c r="A64" s="11" t="inlineStr">
        <is>
          <t>Andhra Pradesh</t>
        </is>
      </c>
      <c r="B64" s="12" t="inlineStr">
        <is>
          <t>GIS</t>
        </is>
      </c>
      <c r="C64" s="13" t="inlineStr">
        <is>
          <t>996686</t>
        </is>
      </c>
      <c r="D64" s="14"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64" s="14" t="inlineStr">
        <is>
          <t>MUNICIPAL ADMINISTRATION DEPARTMENT-Amaravati Growth &amp; Infrastructure Corporation Limited Amaravati</t>
        </is>
      </c>
      <c r="F64" s="13" t="inlineStr">
        <is>
          <t>23 Aug 2026</t>
        </is>
      </c>
      <c r="G64" s="12" t="inlineStr">
        <is>
          <t>13 Sep 2026</t>
        </is>
      </c>
      <c r="H64" s="8" t="inlineStr">
        <is>
          <t>⏳ UPCOMING</t>
        </is>
      </c>
      <c r="I64" s="11" t="inlineStr">
        <is>
          <t>LA Bid Document.pdf</t>
        </is>
      </c>
      <c r="J64" s="13" t="inlineStr">
        <is>
          <t>📕 PDF Document</t>
        </is>
      </c>
      <c r="K64" s="15" t="n">
        <v>2246.1</v>
      </c>
      <c r="L64" s="16">
        <f>HYPERLINK("http://127.0.0.1:8000/api/documents/download?id=2390&amp;attachment=true", "⬇ Download LA Bid Document.pdf")</f>
        <v/>
      </c>
      <c r="M64" s="16">
        <f>HYPERLINK("http://localhost:5173/?state=Andhra%20Pradesh&amp;keyword=GIS&amp;tender=996686", "🚀 Open in Portal")</f>
        <v/>
      </c>
    </row>
    <row r="65" ht="24" customHeight="1">
      <c r="A65" s="4" t="inlineStr">
        <is>
          <t>Andhra Pradesh</t>
        </is>
      </c>
      <c r="B65" s="5" t="inlineStr">
        <is>
          <t>GIS</t>
        </is>
      </c>
      <c r="C65" s="6" t="inlineStr">
        <is>
          <t>996686</t>
        </is>
      </c>
      <c r="D65" s="7"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65" s="7" t="inlineStr">
        <is>
          <t>MUNICIPAL ADMINISTRATION DEPARTMENT-Amaravati Growth &amp; Infrastructure Corporation Limited Amaravati</t>
        </is>
      </c>
      <c r="F65" s="6" t="inlineStr">
        <is>
          <t>23 Aug 2026</t>
        </is>
      </c>
      <c r="G65" s="5" t="inlineStr">
        <is>
          <t>13 Sep 2026</t>
        </is>
      </c>
      <c r="H65" s="8" t="inlineStr">
        <is>
          <t>⏳ UPCOMING</t>
        </is>
      </c>
      <c r="I65" s="4" t="inlineStr">
        <is>
          <t>LA FINAL BOQ.xlsx</t>
        </is>
      </c>
      <c r="J65" s="6" t="inlineStr">
        <is>
          <t>📊 Excel BOQ</t>
        </is>
      </c>
      <c r="K65" s="9" t="n">
        <v>235.7</v>
      </c>
      <c r="L65" s="10">
        <f>HYPERLINK("http://127.0.0.1:8000/api/documents/download?id=2391&amp;attachment=true", "⬇ Download LA FINAL BOQ.xlsx")</f>
        <v/>
      </c>
      <c r="M65" s="10">
        <f>HYPERLINK("http://localhost:5173/?state=Andhra%20Pradesh&amp;keyword=GIS&amp;tender=996686", "🚀 Open in Portal")</f>
        <v/>
      </c>
    </row>
    <row r="66" ht="24" customHeight="1">
      <c r="A66" s="11" t="inlineStr">
        <is>
          <t>Andhra Pradesh</t>
        </is>
      </c>
      <c r="B66" s="12" t="inlineStr">
        <is>
          <t>GIS</t>
        </is>
      </c>
      <c r="C66" s="13" t="inlineStr">
        <is>
          <t>996686</t>
        </is>
      </c>
      <c r="D66" s="14"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66" s="14" t="inlineStr">
        <is>
          <t>MUNICIPAL ADMINISTRATION DEPARTMENT-Amaravati Growth &amp; Infrastructure Corporation Limited Amaravati</t>
        </is>
      </c>
      <c r="F66" s="13" t="inlineStr">
        <is>
          <t>23 Aug 2026</t>
        </is>
      </c>
      <c r="G66" s="12" t="inlineStr">
        <is>
          <t>13 Sep 2026</t>
        </is>
      </c>
      <c r="H66" s="8" t="inlineStr">
        <is>
          <t>⏳ UPCOMING</t>
        </is>
      </c>
      <c r="I66" s="11" t="inlineStr">
        <is>
          <t>LA MEP BOQ.pdf</t>
        </is>
      </c>
      <c r="J66" s="13" t="inlineStr">
        <is>
          <t>📕 PDF Document</t>
        </is>
      </c>
      <c r="K66" s="15" t="n">
        <v>1011.2</v>
      </c>
      <c r="L66" s="16">
        <f>HYPERLINK("http://127.0.0.1:8000/api/documents/download?id=2392&amp;attachment=true", "⬇ Download LA MEP BOQ.pdf")</f>
        <v/>
      </c>
      <c r="M66" s="16">
        <f>HYPERLINK("http://localhost:5173/?state=Andhra%20Pradesh&amp;keyword=GIS&amp;tender=996686", "🚀 Open in Portal")</f>
        <v/>
      </c>
    </row>
    <row r="67" ht="24" customHeight="1">
      <c r="A67" s="4" t="inlineStr">
        <is>
          <t>Andhra Pradesh</t>
        </is>
      </c>
      <c r="B67" s="5" t="inlineStr">
        <is>
          <t>GIS</t>
        </is>
      </c>
      <c r="C67" s="6" t="inlineStr">
        <is>
          <t>996686</t>
        </is>
      </c>
      <c r="D67" s="7"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67" s="7" t="inlineStr">
        <is>
          <t>MUNICIPAL ADMINISTRATION DEPARTMENT-Amaravati Growth &amp; Infrastructure Corporation Limited Amaravati</t>
        </is>
      </c>
      <c r="F67" s="6" t="inlineStr">
        <is>
          <t>23 Aug 2026</t>
        </is>
      </c>
      <c r="G67" s="5" t="inlineStr">
        <is>
          <t>13 Sep 2026</t>
        </is>
      </c>
      <c r="H67" s="8" t="inlineStr">
        <is>
          <t>⏳ UPCOMING</t>
        </is>
      </c>
      <c r="I67" s="4" t="inlineStr">
        <is>
          <t>SL-096B-EL0-058 - SINGLE LINE SCHEMATIC DIAGRAM - PLUMBING PANEL PHE SCHEMATIC.pdf</t>
        </is>
      </c>
      <c r="J67" s="6" t="inlineStr">
        <is>
          <t>📕 PDF Document</t>
        </is>
      </c>
      <c r="K67" s="9" t="n">
        <v>813.3</v>
      </c>
      <c r="L67" s="10">
        <f>HYPERLINK("http://127.0.0.1:8000/api/documents/download?id=2394&amp;attachment=true", "⬇ Download SL-096B-EL0-058 - SINGLE")</f>
        <v/>
      </c>
      <c r="M67" s="10">
        <f>HYPERLINK("http://localhost:5173/?state=Andhra%20Pradesh&amp;keyword=GIS&amp;tender=996686", "🚀 Open in Portal")</f>
        <v/>
      </c>
    </row>
    <row r="68" ht="24" customHeight="1">
      <c r="A68" s="11" t="inlineStr">
        <is>
          <t>Andhra Pradesh</t>
        </is>
      </c>
      <c r="B68" s="12" t="inlineStr">
        <is>
          <t>GIS</t>
        </is>
      </c>
      <c r="C68" s="13" t="inlineStr">
        <is>
          <t>996686</t>
        </is>
      </c>
      <c r="D68" s="14"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68" s="14" t="inlineStr">
        <is>
          <t>MUNICIPAL ADMINISTRATION DEPARTMENT-Amaravati Growth &amp; Infrastructure Corporation Limited Amaravati</t>
        </is>
      </c>
      <c r="F68" s="13" t="inlineStr">
        <is>
          <t>23 Aug 2026</t>
        </is>
      </c>
      <c r="G68" s="12" t="inlineStr">
        <is>
          <t>13 Sep 2026</t>
        </is>
      </c>
      <c r="H68" s="8" t="inlineStr">
        <is>
          <t>⏳ UPCOMING</t>
        </is>
      </c>
      <c r="I68" s="11" t="inlineStr">
        <is>
          <t>SL-288 - SINGLE LINE SCHEMATIC DIAGRAM - VENTILATION PANELS VENTILATION PANELS.pdf</t>
        </is>
      </c>
      <c r="J68" s="13" t="inlineStr">
        <is>
          <t>📕 PDF Document</t>
        </is>
      </c>
      <c r="K68" s="15" t="n">
        <v>1502.9</v>
      </c>
      <c r="L68" s="16">
        <f>HYPERLINK("http://127.0.0.1:8000/api/documents/download?id=2395&amp;attachment=true", "⬇ Download SL-288 - SINGLE LINE SCH")</f>
        <v/>
      </c>
      <c r="M68" s="16">
        <f>HYPERLINK("http://localhost:5173/?state=Andhra%20Pradesh&amp;keyword=GIS&amp;tender=996686", "🚀 Open in Portal")</f>
        <v/>
      </c>
    </row>
    <row r="69" ht="24" customHeight="1">
      <c r="A69" s="4" t="inlineStr">
        <is>
          <t>Andhra Pradesh</t>
        </is>
      </c>
      <c r="B69" s="5" t="inlineStr">
        <is>
          <t>GIS</t>
        </is>
      </c>
      <c r="C69" s="6" t="inlineStr">
        <is>
          <t>996686</t>
        </is>
      </c>
      <c r="D69" s="7"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69" s="7" t="inlineStr">
        <is>
          <t>MUNICIPAL ADMINISTRATION DEPARTMENT-Amaravati Growth &amp; Infrastructure Corporation Limited Amaravati</t>
        </is>
      </c>
      <c r="F69" s="6" t="inlineStr">
        <is>
          <t>23 Aug 2026</t>
        </is>
      </c>
      <c r="G69" s="5" t="inlineStr">
        <is>
          <t>13 Sep 2026</t>
        </is>
      </c>
      <c r="H69" s="8" t="inlineStr">
        <is>
          <t>⏳ UPCOMING</t>
        </is>
      </c>
      <c r="I69" s="4" t="inlineStr">
        <is>
          <t>SL-288 _ AMARAVATI ASSEMBLY SCHEMATIC DIAGRAM - TERTIARY CHILLED WATER PUMP PANE TERTIARY CHILLED WATER PUMP PANEL.pdf</t>
        </is>
      </c>
      <c r="J69" s="6" t="inlineStr">
        <is>
          <t>📕 PDF Document</t>
        </is>
      </c>
      <c r="K69" s="9" t="n">
        <v>344.3</v>
      </c>
      <c r="L69" s="10">
        <f>HYPERLINK("http://127.0.0.1:8000/api/documents/download?id=2396&amp;attachment=true", "⬇ Download SL-288 _ AMARAVATI ASSEM")</f>
        <v/>
      </c>
      <c r="M69" s="10">
        <f>HYPERLINK("http://localhost:5173/?state=Andhra%20Pradesh&amp;keyword=GIS&amp;tender=996686", "🚀 Open in Portal")</f>
        <v/>
      </c>
    </row>
    <row r="70" ht="24" customHeight="1">
      <c r="A70" s="11" t="inlineStr">
        <is>
          <t>Andhra Pradesh</t>
        </is>
      </c>
      <c r="B70" s="12" t="inlineStr">
        <is>
          <t>GIS</t>
        </is>
      </c>
      <c r="C70" s="13" t="inlineStr">
        <is>
          <t>996686</t>
        </is>
      </c>
      <c r="D70" s="14"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70" s="14" t="inlineStr">
        <is>
          <t>MUNICIPAL ADMINISTRATION DEPARTMENT-Amaravati Growth &amp; Infrastructure Corporation Limited Amaravati</t>
        </is>
      </c>
      <c r="F70" s="13" t="inlineStr">
        <is>
          <t>23 Aug 2026</t>
        </is>
      </c>
      <c r="G70" s="12" t="inlineStr">
        <is>
          <t>13 Sep 2026</t>
        </is>
      </c>
      <c r="H70" s="8" t="inlineStr">
        <is>
          <t>⏳ UPCOMING</t>
        </is>
      </c>
      <c r="I70" s="11" t="inlineStr">
        <is>
          <t>SL-288- SINGLE LINE SCHEMATIC DIAGRAM - AHU PANEL AHU PANEL-1-3.pdf</t>
        </is>
      </c>
      <c r="J70" s="13" t="inlineStr">
        <is>
          <t>📕 PDF Document</t>
        </is>
      </c>
      <c r="K70" s="15" t="n">
        <v>991.5</v>
      </c>
      <c r="L70" s="16">
        <f>HYPERLINK("http://127.0.0.1:8000/api/documents/download?id=2397&amp;attachment=true", "⬇ Download SL-288- SINGLE LINE SCHE")</f>
        <v/>
      </c>
      <c r="M70" s="16">
        <f>HYPERLINK("http://localhost:5173/?state=Andhra%20Pradesh&amp;keyword=GIS&amp;tender=996686", "🚀 Open in Portal")</f>
        <v/>
      </c>
    </row>
    <row r="71" ht="24" customHeight="1">
      <c r="A71" s="4" t="inlineStr">
        <is>
          <t>Andhra Pradesh</t>
        </is>
      </c>
      <c r="B71" s="5" t="inlineStr">
        <is>
          <t>GIS</t>
        </is>
      </c>
      <c r="C71" s="6" t="inlineStr">
        <is>
          <t>996686</t>
        </is>
      </c>
      <c r="D71" s="7"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71" s="7" t="inlineStr">
        <is>
          <t>MUNICIPAL ADMINISTRATION DEPARTMENT-Amaravati Growth &amp; Infrastructure Corporation Limited Amaravati</t>
        </is>
      </c>
      <c r="F71" s="6" t="inlineStr">
        <is>
          <t>23 Aug 2026</t>
        </is>
      </c>
      <c r="G71" s="5" t="inlineStr">
        <is>
          <t>13 Sep 2026</t>
        </is>
      </c>
      <c r="H71" s="8" t="inlineStr">
        <is>
          <t>⏳ UPCOMING</t>
        </is>
      </c>
      <c r="I71" s="4" t="inlineStr">
        <is>
          <t>SL-288-Amaravati-LA-FIRE ALARM SYSTEM SCHEMATIC DIAGRAM Layout1.pdf</t>
        </is>
      </c>
      <c r="J71" s="6" t="inlineStr">
        <is>
          <t>📕 PDF Document</t>
        </is>
      </c>
      <c r="K71" s="9" t="n">
        <v>1339.6</v>
      </c>
      <c r="L71" s="10">
        <f>HYPERLINK("http://127.0.0.1:8000/api/documents/download?id=2398&amp;attachment=true", "⬇ Download SL-288-Amaravati-LA-FIRE")</f>
        <v/>
      </c>
      <c r="M71" s="10">
        <f>HYPERLINK("http://localhost:5173/?state=Andhra%20Pradesh&amp;keyword=GIS&amp;tender=996686", "🚀 Open in Portal")</f>
        <v/>
      </c>
    </row>
    <row r="72" ht="24" customHeight="1">
      <c r="A72" s="11" t="inlineStr">
        <is>
          <t>Andhra Pradesh</t>
        </is>
      </c>
      <c r="B72" s="12" t="inlineStr">
        <is>
          <t>GIS</t>
        </is>
      </c>
      <c r="C72" s="13" t="inlineStr">
        <is>
          <t>996686</t>
        </is>
      </c>
      <c r="D72" s="14"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72" s="14" t="inlineStr">
        <is>
          <t>MUNICIPAL ADMINISTRATION DEPARTMENT-Amaravati Growth &amp; Infrastructure Corporation Limited Amaravati</t>
        </is>
      </c>
      <c r="F72" s="13" t="inlineStr">
        <is>
          <t>23 Aug 2026</t>
        </is>
      </c>
      <c r="G72" s="12" t="inlineStr">
        <is>
          <t>13 Sep 2026</t>
        </is>
      </c>
      <c r="H72" s="8" t="inlineStr">
        <is>
          <t>⏳ UPCOMING</t>
        </is>
      </c>
      <c r="I72" s="11" t="inlineStr">
        <is>
          <t>SL-288-Amaravati-LA-PUBLIC ADDRESS SYSTEM SCHEMATIC DIAGRAM PA SCHEMATIC.pdf</t>
        </is>
      </c>
      <c r="J72" s="13" t="inlineStr">
        <is>
          <t>📕 PDF Document</t>
        </is>
      </c>
      <c r="K72" s="15" t="n">
        <v>873.6</v>
      </c>
      <c r="L72" s="16">
        <f>HYPERLINK("http://127.0.0.1:8000/api/documents/download?id=2399&amp;attachment=true", "⬇ Download SL-288-Amaravati-LA-PUBL")</f>
        <v/>
      </c>
      <c r="M72" s="16">
        <f>HYPERLINK("http://localhost:5173/?state=Andhra%20Pradesh&amp;keyword=GIS&amp;tender=996686", "🚀 Open in Portal")</f>
        <v/>
      </c>
    </row>
    <row r="73" ht="24" customHeight="1">
      <c r="A73" s="4" t="inlineStr">
        <is>
          <t>Andhra Pradesh</t>
        </is>
      </c>
      <c r="B73" s="5" t="inlineStr">
        <is>
          <t>GIS</t>
        </is>
      </c>
      <c r="C73" s="6" t="inlineStr">
        <is>
          <t>996686</t>
        </is>
      </c>
      <c r="D73" s="7"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73" s="7" t="inlineStr">
        <is>
          <t>MUNICIPAL ADMINISTRATION DEPARTMENT-Amaravati Growth &amp; Infrastructure Corporation Limited Amaravati</t>
        </is>
      </c>
      <c r="F73" s="6" t="inlineStr">
        <is>
          <t>23 Aug 2026</t>
        </is>
      </c>
      <c r="G73" s="5" t="inlineStr">
        <is>
          <t>13 Sep 2026</t>
        </is>
      </c>
      <c r="H73" s="8" t="inlineStr">
        <is>
          <t>⏳ UPCOMING</t>
        </is>
      </c>
      <c r="I73" s="4" t="inlineStr">
        <is>
          <t>SL-288-DRF-101.pdf</t>
        </is>
      </c>
      <c r="J73" s="6" t="inlineStr">
        <is>
          <t>📕 PDF Document</t>
        </is>
      </c>
      <c r="K73" s="9" t="n">
        <v>12962</v>
      </c>
      <c r="L73" s="10">
        <f>HYPERLINK("http://127.0.0.1:8000/api/documents/download?id=2400&amp;attachment=true", "⬇ Download SL-288-DRF-101.pdf")</f>
        <v/>
      </c>
      <c r="M73" s="10">
        <f>HYPERLINK("http://localhost:5173/?state=Andhra%20Pradesh&amp;keyword=GIS&amp;tender=996686", "🚀 Open in Portal")</f>
        <v/>
      </c>
    </row>
    <row r="74" ht="24" customHeight="1">
      <c r="A74" s="11" t="inlineStr">
        <is>
          <t>Andhra Pradesh</t>
        </is>
      </c>
      <c r="B74" s="12" t="inlineStr">
        <is>
          <t>GIS</t>
        </is>
      </c>
      <c r="C74" s="13" t="inlineStr">
        <is>
          <t>996686</t>
        </is>
      </c>
      <c r="D74" s="14"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74" s="14" t="inlineStr">
        <is>
          <t>MUNICIPAL ADMINISTRATION DEPARTMENT-Amaravati Growth &amp; Infrastructure Corporation Limited Amaravati</t>
        </is>
      </c>
      <c r="F74" s="13" t="inlineStr">
        <is>
          <t>23 Aug 2026</t>
        </is>
      </c>
      <c r="G74" s="12" t="inlineStr">
        <is>
          <t>13 Sep 2026</t>
        </is>
      </c>
      <c r="H74" s="8" t="inlineStr">
        <is>
          <t>⏳ UPCOMING</t>
        </is>
      </c>
      <c r="I74" s="11" t="inlineStr">
        <is>
          <t>SL-288-DRF-101A.pdf</t>
        </is>
      </c>
      <c r="J74" s="13" t="inlineStr">
        <is>
          <t>📕 PDF Document</t>
        </is>
      </c>
      <c r="K74" s="15" t="n">
        <v>3702.8</v>
      </c>
      <c r="L74" s="16">
        <f>HYPERLINK("http://127.0.0.1:8000/api/documents/download?id=2401&amp;attachment=true", "⬇ Download SL-288-DRF-101A.pdf")</f>
        <v/>
      </c>
      <c r="M74" s="16">
        <f>HYPERLINK("http://localhost:5173/?state=Andhra%20Pradesh&amp;keyword=GIS&amp;tender=996686", "🚀 Open in Portal")</f>
        <v/>
      </c>
    </row>
    <row r="75" ht="24" customHeight="1">
      <c r="A75" s="4" t="inlineStr">
        <is>
          <t>Andhra Pradesh</t>
        </is>
      </c>
      <c r="B75" s="5" t="inlineStr">
        <is>
          <t>GIS</t>
        </is>
      </c>
      <c r="C75" s="6" t="inlineStr">
        <is>
          <t>996686</t>
        </is>
      </c>
      <c r="D75" s="7"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75" s="7" t="inlineStr">
        <is>
          <t>MUNICIPAL ADMINISTRATION DEPARTMENT-Amaravati Growth &amp; Infrastructure Corporation Limited Amaravati</t>
        </is>
      </c>
      <c r="F75" s="6" t="inlineStr">
        <is>
          <t>23 Aug 2026</t>
        </is>
      </c>
      <c r="G75" s="5" t="inlineStr">
        <is>
          <t>13 Sep 2026</t>
        </is>
      </c>
      <c r="H75" s="8" t="inlineStr">
        <is>
          <t>⏳ UPCOMING</t>
        </is>
      </c>
      <c r="I75" s="4" t="inlineStr">
        <is>
          <t>SL-288-EL0-050-EARTHING SCHEMATIC DIAGRAM. SCHEMATIC.pdf</t>
        </is>
      </c>
      <c r="J75" s="6" t="inlineStr">
        <is>
          <t>📕 PDF Document</t>
        </is>
      </c>
      <c r="K75" s="9" t="n">
        <v>753.4</v>
      </c>
      <c r="L75" s="10">
        <f>HYPERLINK("http://127.0.0.1:8000/api/documents/download?id=2402&amp;attachment=true", "⬇ Download SL-288-EL0-050-EARTHING ")</f>
        <v/>
      </c>
      <c r="M75" s="10">
        <f>HYPERLINK("http://localhost:5173/?state=Andhra%20Pradesh&amp;keyword=GIS&amp;tender=996686", "🚀 Open in Portal")</f>
        <v/>
      </c>
    </row>
    <row r="76" ht="24" customHeight="1">
      <c r="A76" s="11" t="inlineStr">
        <is>
          <t>Andhra Pradesh</t>
        </is>
      </c>
      <c r="B76" s="12" t="inlineStr">
        <is>
          <t>GIS</t>
        </is>
      </c>
      <c r="C76" s="13" t="inlineStr">
        <is>
          <t>996686</t>
        </is>
      </c>
      <c r="D76" s="14"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76" s="14" t="inlineStr">
        <is>
          <t>MUNICIPAL ADMINISTRATION DEPARTMENT-Amaravati Growth &amp; Infrastructure Corporation Limited Amaravati</t>
        </is>
      </c>
      <c r="F76" s="13" t="inlineStr">
        <is>
          <t>23 Aug 2026</t>
        </is>
      </c>
      <c r="G76" s="12" t="inlineStr">
        <is>
          <t>13 Sep 2026</t>
        </is>
      </c>
      <c r="H76" s="8" t="inlineStr">
        <is>
          <t>⏳ UPCOMING</t>
        </is>
      </c>
      <c r="I76" s="11" t="inlineStr">
        <is>
          <t>SL-288-EL0-050-ELECTRICAL SINGLE LINE DIAGRAM.pdf</t>
        </is>
      </c>
      <c r="J76" s="13" t="inlineStr">
        <is>
          <t>📕 PDF Document</t>
        </is>
      </c>
      <c r="K76" s="15" t="n">
        <v>5423.6</v>
      </c>
      <c r="L76" s="16">
        <f>HYPERLINK("http://127.0.0.1:8000/api/documents/download?id=2403&amp;attachment=true", "⬇ Download SL-288-EL0-050-ELECTRICA")</f>
        <v/>
      </c>
      <c r="M76" s="16">
        <f>HYPERLINK("http://localhost:5173/?state=Andhra%20Pradesh&amp;keyword=GIS&amp;tender=996686", "🚀 Open in Portal")</f>
        <v/>
      </c>
    </row>
    <row r="77" ht="24" customHeight="1">
      <c r="A77" s="4" t="inlineStr">
        <is>
          <t>Andhra Pradesh</t>
        </is>
      </c>
      <c r="B77" s="5" t="inlineStr">
        <is>
          <t>GIS</t>
        </is>
      </c>
      <c r="C77" s="6" t="inlineStr">
        <is>
          <t>996686</t>
        </is>
      </c>
      <c r="D77" s="7"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77" s="7" t="inlineStr">
        <is>
          <t>MUNICIPAL ADMINISTRATION DEPARTMENT-Amaravati Growth &amp; Infrastructure Corporation Limited Amaravati</t>
        </is>
      </c>
      <c r="F77" s="6" t="inlineStr">
        <is>
          <t>23 Aug 2026</t>
        </is>
      </c>
      <c r="G77" s="5" t="inlineStr">
        <is>
          <t>13 Sep 2026</t>
        </is>
      </c>
      <c r="H77" s="8" t="inlineStr">
        <is>
          <t>⏳ UPCOMING</t>
        </is>
      </c>
      <c r="I77" s="4" t="inlineStr">
        <is>
          <t>SL-288-EL0-057 - SINGLE LINE SCHEMATIC DIAGRAM - FIRE FIGHTING ELECTRICAL PANEL FF.pdf</t>
        </is>
      </c>
      <c r="J77" s="6" t="inlineStr">
        <is>
          <t>📕 PDF Document</t>
        </is>
      </c>
      <c r="K77" s="9" t="n">
        <v>394.4</v>
      </c>
      <c r="L77" s="10">
        <f>HYPERLINK("http://127.0.0.1:8000/api/documents/download?id=2404&amp;attachment=true", "⬇ Download SL-288-EL0-057 - SINGLE ")</f>
        <v/>
      </c>
      <c r="M77" s="10">
        <f>HYPERLINK("http://localhost:5173/?state=Andhra%20Pradesh&amp;keyword=GIS&amp;tender=996686", "🚀 Open in Portal")</f>
        <v/>
      </c>
    </row>
    <row r="78" ht="24" customHeight="1">
      <c r="A78" s="11" t="inlineStr">
        <is>
          <t>Andhra Pradesh</t>
        </is>
      </c>
      <c r="B78" s="12" t="inlineStr">
        <is>
          <t>GIS</t>
        </is>
      </c>
      <c r="C78" s="13" t="inlineStr">
        <is>
          <t>996686</t>
        </is>
      </c>
      <c r="D78" s="14"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78" s="14" t="inlineStr">
        <is>
          <t>MUNICIPAL ADMINISTRATION DEPARTMENT-Amaravati Growth &amp; Infrastructure Corporation Limited Amaravati</t>
        </is>
      </c>
      <c r="F78" s="13" t="inlineStr">
        <is>
          <t>23 Aug 2026</t>
        </is>
      </c>
      <c r="G78" s="12" t="inlineStr">
        <is>
          <t>13 Sep 2026</t>
        </is>
      </c>
      <c r="H78" s="8" t="inlineStr">
        <is>
          <t>⏳ UPCOMING</t>
        </is>
      </c>
      <c r="I78" s="11" t="inlineStr">
        <is>
          <t>SL-288-WS-99.pdf</t>
        </is>
      </c>
      <c r="J78" s="13" t="inlineStr">
        <is>
          <t>📕 PDF Document</t>
        </is>
      </c>
      <c r="K78" s="15" t="n">
        <v>6762.6</v>
      </c>
      <c r="L78" s="16">
        <f>HYPERLINK("http://127.0.0.1:8000/api/documents/download?id=2405&amp;attachment=true", "⬇ Download SL-288-WS-99.pdf")</f>
        <v/>
      </c>
      <c r="M78" s="16">
        <f>HYPERLINK("http://localhost:5173/?state=Andhra%20Pradesh&amp;keyword=GIS&amp;tender=996686", "🚀 Open in Portal")</f>
        <v/>
      </c>
    </row>
    <row r="79" ht="24" customHeight="1">
      <c r="A79" s="4" t="inlineStr">
        <is>
          <t>Andhra Pradesh</t>
        </is>
      </c>
      <c r="B79" s="5" t="inlineStr">
        <is>
          <t>GIS</t>
        </is>
      </c>
      <c r="C79" s="6" t="inlineStr">
        <is>
          <t>996686</t>
        </is>
      </c>
      <c r="D79" s="7"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79" s="7" t="inlineStr">
        <is>
          <t>MUNICIPAL ADMINISTRATION DEPARTMENT-Amaravati Growth &amp; Infrastructure Corporation Limited Amaravati</t>
        </is>
      </c>
      <c r="F79" s="6" t="inlineStr">
        <is>
          <t>23 Aug 2026</t>
        </is>
      </c>
      <c r="G79" s="5" t="inlineStr">
        <is>
          <t>13 Sep 2026</t>
        </is>
      </c>
      <c r="H79" s="8" t="inlineStr">
        <is>
          <t>⏳ UPCOMING</t>
        </is>
      </c>
      <c r="I79" s="4" t="inlineStr">
        <is>
          <t>Assembly, Amaravati. - MEP DBR - R1.pdf</t>
        </is>
      </c>
      <c r="J79" s="6" t="inlineStr">
        <is>
          <t>📕 PDF Document</t>
        </is>
      </c>
      <c r="K79" s="9" t="n">
        <v>2539.3</v>
      </c>
      <c r="L79" s="10">
        <f>HYPERLINK("http://127.0.0.1:8000/api/documents/download?id=2407&amp;attachment=true", "⬇ Download Assembly, Amaravati. - M")</f>
        <v/>
      </c>
      <c r="M79" s="10">
        <f>HYPERLINK("http://localhost:5173/?state=Andhra%20Pradesh&amp;keyword=GIS&amp;tender=996686", "🚀 Open in Portal")</f>
        <v/>
      </c>
    </row>
    <row r="80" ht="24" customHeight="1">
      <c r="A80" s="11" t="inlineStr">
        <is>
          <t>Andhra Pradesh</t>
        </is>
      </c>
      <c r="B80" s="12" t="inlineStr">
        <is>
          <t>GIS</t>
        </is>
      </c>
      <c r="C80" s="13" t="inlineStr">
        <is>
          <t>996686</t>
        </is>
      </c>
      <c r="D80" s="14"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80" s="14" t="inlineStr">
        <is>
          <t>MUNICIPAL ADMINISTRATION DEPARTMENT-Amaravati Growth &amp; Infrastructure Corporation Limited Amaravati</t>
        </is>
      </c>
      <c r="F80" s="13" t="inlineStr">
        <is>
          <t>23 Aug 2026</t>
        </is>
      </c>
      <c r="G80" s="12" t="inlineStr">
        <is>
          <t>13 Sep 2026</t>
        </is>
      </c>
      <c r="H80" s="8" t="inlineStr">
        <is>
          <t>⏳ UPCOMING</t>
        </is>
      </c>
      <c r="I80" s="11" t="inlineStr">
        <is>
          <t>Design_Specification.pdf</t>
        </is>
      </c>
      <c r="J80" s="13" t="inlineStr">
        <is>
          <t>📕 PDF Document</t>
        </is>
      </c>
      <c r="K80" s="15" t="n">
        <v>88.5</v>
      </c>
      <c r="L80" s="16">
        <f>HYPERLINK("http://127.0.0.1:8000/api/documents/download?id=2408&amp;attachment=true", "⬇ Download Design_Specification.pdf")</f>
        <v/>
      </c>
      <c r="M80" s="16">
        <f>HYPERLINK("http://localhost:5173/?state=Andhra%20Pradesh&amp;keyword=GIS&amp;tender=996686", "🚀 Open in Portal")</f>
        <v/>
      </c>
    </row>
    <row r="81" ht="24" customHeight="1">
      <c r="A81" s="4" t="inlineStr">
        <is>
          <t>Andhra Pradesh</t>
        </is>
      </c>
      <c r="B81" s="5" t="inlineStr">
        <is>
          <t>GIS</t>
        </is>
      </c>
      <c r="C81" s="6" t="inlineStr">
        <is>
          <t>996686</t>
        </is>
      </c>
      <c r="D81" s="7"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81" s="7" t="inlineStr">
        <is>
          <t>MUNICIPAL ADMINISTRATION DEPARTMENT-Amaravati Growth &amp; Infrastructure Corporation Limited Amaravati</t>
        </is>
      </c>
      <c r="F81" s="6" t="inlineStr">
        <is>
          <t>23 Aug 2026</t>
        </is>
      </c>
      <c r="G81" s="5" t="inlineStr">
        <is>
          <t>13 Sep 2026</t>
        </is>
      </c>
      <c r="H81" s="8" t="inlineStr">
        <is>
          <t>⏳ UPCOMING</t>
        </is>
      </c>
      <c r="I81" s="4" t="inlineStr">
        <is>
          <t>Lift_D2E_VT Specification_Amravathi.pdf</t>
        </is>
      </c>
      <c r="J81" s="6" t="inlineStr">
        <is>
          <t>📕 PDF Document</t>
        </is>
      </c>
      <c r="K81" s="9" t="n">
        <v>1007.9</v>
      </c>
      <c r="L81" s="10">
        <f>HYPERLINK("http://127.0.0.1:8000/api/documents/download?id=2409&amp;attachment=true", "⬇ Download Lift_D2E_VT Specificatio")</f>
        <v/>
      </c>
      <c r="M81" s="10">
        <f>HYPERLINK("http://localhost:5173/?state=Andhra%20Pradesh&amp;keyword=GIS&amp;tender=996686", "🚀 Open in Portal")</f>
        <v/>
      </c>
    </row>
    <row r="82" ht="24" customHeight="1">
      <c r="A82" s="11" t="inlineStr">
        <is>
          <t>Andhra Pradesh</t>
        </is>
      </c>
      <c r="B82" s="12" t="inlineStr">
        <is>
          <t>GIS</t>
        </is>
      </c>
      <c r="C82" s="13" t="inlineStr">
        <is>
          <t>996686</t>
        </is>
      </c>
      <c r="D82" s="14"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82" s="14" t="inlineStr">
        <is>
          <t>MUNICIPAL ADMINISTRATION DEPARTMENT-Amaravati Growth &amp; Infrastructure Corporation Limited Amaravati</t>
        </is>
      </c>
      <c r="F82" s="13" t="inlineStr">
        <is>
          <t>23 Aug 2026</t>
        </is>
      </c>
      <c r="G82" s="12" t="inlineStr">
        <is>
          <t>13 Sep 2026</t>
        </is>
      </c>
      <c r="H82" s="8" t="inlineStr">
        <is>
          <t>⏳ UPCOMING</t>
        </is>
      </c>
      <c r="I82" s="11" t="inlineStr">
        <is>
          <t>Preferred Makes for MEP works.pdf</t>
        </is>
      </c>
      <c r="J82" s="13" t="inlineStr">
        <is>
          <t>📕 PDF Document</t>
        </is>
      </c>
      <c r="K82" s="15" t="n">
        <v>63.8</v>
      </c>
      <c r="L82" s="16">
        <f>HYPERLINK("http://127.0.0.1:8000/api/documents/download?id=2410&amp;attachment=true", "⬇ Download Preferred Makes for MEP ")</f>
        <v/>
      </c>
      <c r="M82" s="16">
        <f>HYPERLINK("http://localhost:5173/?state=Andhra%20Pradesh&amp;keyword=GIS&amp;tender=996686", "🚀 Open in Portal")</f>
        <v/>
      </c>
    </row>
    <row r="83" ht="24" customHeight="1">
      <c r="A83" s="4" t="inlineStr">
        <is>
          <t>Andhra Pradesh</t>
        </is>
      </c>
      <c r="B83" s="5" t="inlineStr">
        <is>
          <t>GIS</t>
        </is>
      </c>
      <c r="C83" s="6" t="inlineStr">
        <is>
          <t>996686</t>
        </is>
      </c>
      <c r="D83" s="7"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83" s="7" t="inlineStr">
        <is>
          <t>MUNICIPAL ADMINISTRATION DEPARTMENT-Amaravati Growth &amp; Infrastructure Corporation Limited Amaravati</t>
        </is>
      </c>
      <c r="F83" s="6" t="inlineStr">
        <is>
          <t>23 Aug 2026</t>
        </is>
      </c>
      <c r="G83" s="5" t="inlineStr">
        <is>
          <t>13 Sep 2026</t>
        </is>
      </c>
      <c r="H83" s="8" t="inlineStr">
        <is>
          <t>⏳ UPCOMING</t>
        </is>
      </c>
      <c r="I83" s="4" t="inlineStr">
        <is>
          <t>SL-288 - Heat Recovery data sheet_15.11.2025.pdf</t>
        </is>
      </c>
      <c r="J83" s="6" t="inlineStr">
        <is>
          <t>📕 PDF Document</t>
        </is>
      </c>
      <c r="K83" s="9" t="n">
        <v>736.9</v>
      </c>
      <c r="L83" s="10">
        <f>HYPERLINK("http://127.0.0.1:8000/api/documents/download?id=2411&amp;attachment=true", "⬇ Download SL-288 - Heat Recovery d")</f>
        <v/>
      </c>
      <c r="M83" s="10">
        <f>HYPERLINK("http://localhost:5173/?state=Andhra%20Pradesh&amp;keyword=GIS&amp;tender=996686", "🚀 Open in Portal")</f>
        <v/>
      </c>
    </row>
    <row r="84" ht="24" customHeight="1">
      <c r="A84" s="11" t="inlineStr">
        <is>
          <t>Andhra Pradesh</t>
        </is>
      </c>
      <c r="B84" s="12" t="inlineStr">
        <is>
          <t>GIS</t>
        </is>
      </c>
      <c r="C84" s="13" t="inlineStr">
        <is>
          <t>996686</t>
        </is>
      </c>
      <c r="D84" s="14"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84" s="14" t="inlineStr">
        <is>
          <t>MUNICIPAL ADMINISTRATION DEPARTMENT-Amaravati Growth &amp; Infrastructure Corporation Limited Amaravati</t>
        </is>
      </c>
      <c r="F84" s="13" t="inlineStr">
        <is>
          <t>23 Aug 2026</t>
        </is>
      </c>
      <c r="G84" s="12" t="inlineStr">
        <is>
          <t>13 Sep 2026</t>
        </is>
      </c>
      <c r="H84" s="8" t="inlineStr">
        <is>
          <t>⏳ UPCOMING</t>
        </is>
      </c>
      <c r="I84" s="11" t="inlineStr">
        <is>
          <t>SL-288 - VENTILATION - FRESH AIR FAN FOR KITCHEN DATA SHEET _15.11.2025.pdf</t>
        </is>
      </c>
      <c r="J84" s="13" t="inlineStr">
        <is>
          <t>📕 PDF Document</t>
        </is>
      </c>
      <c r="K84" s="15" t="n">
        <v>619.3</v>
      </c>
      <c r="L84" s="16">
        <f>HYPERLINK("http://127.0.0.1:8000/api/documents/download?id=2412&amp;attachment=true", "⬇ Download SL-288 - VENTILATION - F")</f>
        <v/>
      </c>
      <c r="M84" s="16">
        <f>HYPERLINK("http://localhost:5173/?state=Andhra%20Pradesh&amp;keyword=GIS&amp;tender=996686", "🚀 Open in Portal")</f>
        <v/>
      </c>
    </row>
    <row r="85" ht="24" customHeight="1">
      <c r="A85" s="4" t="inlineStr">
        <is>
          <t>Andhra Pradesh</t>
        </is>
      </c>
      <c r="B85" s="5" t="inlineStr">
        <is>
          <t>GIS</t>
        </is>
      </c>
      <c r="C85" s="6" t="inlineStr">
        <is>
          <t>996686</t>
        </is>
      </c>
      <c r="D85" s="7"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85" s="7" t="inlineStr">
        <is>
          <t>MUNICIPAL ADMINISTRATION DEPARTMENT-Amaravati Growth &amp; Infrastructure Corporation Limited Amaravati</t>
        </is>
      </c>
      <c r="F85" s="6" t="inlineStr">
        <is>
          <t>23 Aug 2026</t>
        </is>
      </c>
      <c r="G85" s="5" t="inlineStr">
        <is>
          <t>13 Sep 2026</t>
        </is>
      </c>
      <c r="H85" s="8" t="inlineStr">
        <is>
          <t>⏳ UPCOMING</t>
        </is>
      </c>
      <c r="I85" s="4" t="inlineStr">
        <is>
          <t>SL-288 - VENTILATION - KITCHEN DRY SCRUBBER &amp; FAN DATA SHEET - 15.11.2025.pdf</t>
        </is>
      </c>
      <c r="J85" s="6" t="inlineStr">
        <is>
          <t>📕 PDF Document</t>
        </is>
      </c>
      <c r="K85" s="9" t="n">
        <v>202.9</v>
      </c>
      <c r="L85" s="10">
        <f>HYPERLINK("http://127.0.0.1:8000/api/documents/download?id=2413&amp;attachment=true", "⬇ Download SL-288 - VENTILATION - K")</f>
        <v/>
      </c>
      <c r="M85" s="10">
        <f>HYPERLINK("http://localhost:5173/?state=Andhra%20Pradesh&amp;keyword=GIS&amp;tender=996686", "🚀 Open in Portal")</f>
        <v/>
      </c>
    </row>
    <row r="86" ht="24" customHeight="1">
      <c r="A86" s="11" t="inlineStr">
        <is>
          <t>Andhra Pradesh</t>
        </is>
      </c>
      <c r="B86" s="12" t="inlineStr">
        <is>
          <t>GIS</t>
        </is>
      </c>
      <c r="C86" s="13" t="inlineStr">
        <is>
          <t>996686</t>
        </is>
      </c>
      <c r="D86" s="14"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86" s="14" t="inlineStr">
        <is>
          <t>MUNICIPAL ADMINISTRATION DEPARTMENT-Amaravati Growth &amp; Infrastructure Corporation Limited Amaravati</t>
        </is>
      </c>
      <c r="F86" s="13" t="inlineStr">
        <is>
          <t>23 Aug 2026</t>
        </is>
      </c>
      <c r="G86" s="12" t="inlineStr">
        <is>
          <t>13 Sep 2026</t>
        </is>
      </c>
      <c r="H86" s="8" t="inlineStr">
        <is>
          <t>⏳ UPCOMING</t>
        </is>
      </c>
      <c r="I86" s="11" t="inlineStr">
        <is>
          <t>SL-288 - VENTILATION FAN -HVAC DATA SHEET __.pdf</t>
        </is>
      </c>
      <c r="J86" s="13" t="inlineStr">
        <is>
          <t>📕 PDF Document</t>
        </is>
      </c>
      <c r="K86" s="15" t="n">
        <v>592.9</v>
      </c>
      <c r="L86" s="16">
        <f>HYPERLINK("http://127.0.0.1:8000/api/documents/download?id=2414&amp;attachment=true", "⬇ Download SL-288 - VENTILATION FAN")</f>
        <v/>
      </c>
      <c r="M86" s="16">
        <f>HYPERLINK("http://localhost:5173/?state=Andhra%20Pradesh&amp;keyword=GIS&amp;tender=996686", "🚀 Open in Portal")</f>
        <v/>
      </c>
    </row>
    <row r="87" ht="24" customHeight="1">
      <c r="A87" s="4" t="inlineStr">
        <is>
          <t>Andhra Pradesh</t>
        </is>
      </c>
      <c r="B87" s="5" t="inlineStr">
        <is>
          <t>GIS</t>
        </is>
      </c>
      <c r="C87" s="6" t="inlineStr">
        <is>
          <t>996686</t>
        </is>
      </c>
      <c r="D87" s="7"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87" s="7" t="inlineStr">
        <is>
          <t>MUNICIPAL ADMINISTRATION DEPARTMENT-Amaravati Growth &amp; Infrastructure Corporation Limited Amaravati</t>
        </is>
      </c>
      <c r="F87" s="6" t="inlineStr">
        <is>
          <t>23 Aug 2026</t>
        </is>
      </c>
      <c r="G87" s="5" t="inlineStr">
        <is>
          <t>13 Sep 2026</t>
        </is>
      </c>
      <c r="H87" s="8" t="inlineStr">
        <is>
          <t>⏳ UPCOMING</t>
        </is>
      </c>
      <c r="I87" s="4" t="inlineStr">
        <is>
          <t>SL-288 -CHW TYPE AHU DATA SHEET _ 15.11.2025 - Copy.pdf</t>
        </is>
      </c>
      <c r="J87" s="6" t="inlineStr">
        <is>
          <t>📕 PDF Document</t>
        </is>
      </c>
      <c r="K87" s="9" t="n">
        <v>744.5</v>
      </c>
      <c r="L87" s="10">
        <f>HYPERLINK("http://127.0.0.1:8000/api/documents/download?id=2415&amp;attachment=true", "⬇ Download SL-288 -CHW TYPE AHU DAT")</f>
        <v/>
      </c>
      <c r="M87" s="10">
        <f>HYPERLINK("http://localhost:5173/?state=Andhra%20Pradesh&amp;keyword=GIS&amp;tender=996686", "🚀 Open in Portal")</f>
        <v/>
      </c>
    </row>
    <row r="88" ht="24" customHeight="1">
      <c r="A88" s="11" t="inlineStr">
        <is>
          <t>Andhra Pradesh</t>
        </is>
      </c>
      <c r="B88" s="12" t="inlineStr">
        <is>
          <t>GIS</t>
        </is>
      </c>
      <c r="C88" s="13" t="inlineStr">
        <is>
          <t>996686</t>
        </is>
      </c>
      <c r="D88" s="14"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88" s="14" t="inlineStr">
        <is>
          <t>MUNICIPAL ADMINISTRATION DEPARTMENT-Amaravati Growth &amp; Infrastructure Corporation Limited Amaravati</t>
        </is>
      </c>
      <c r="F88" s="13" t="inlineStr">
        <is>
          <t>23 Aug 2026</t>
        </is>
      </c>
      <c r="G88" s="12" t="inlineStr">
        <is>
          <t>13 Sep 2026</t>
        </is>
      </c>
      <c r="H88" s="8" t="inlineStr">
        <is>
          <t>⏳ UPCOMING</t>
        </is>
      </c>
      <c r="I88" s="11" t="inlineStr">
        <is>
          <t>SL-288 -DX TYPE AHU DATA SHEET _ 15.11.2025 - Copy.pdf</t>
        </is>
      </c>
      <c r="J88" s="13" t="inlineStr">
        <is>
          <t>📕 PDF Document</t>
        </is>
      </c>
      <c r="K88" s="15" t="n">
        <v>652.6</v>
      </c>
      <c r="L88" s="16">
        <f>HYPERLINK("http://127.0.0.1:8000/api/documents/download?id=2416&amp;attachment=true", "⬇ Download SL-288 -DX TYPE AHU DATA")</f>
        <v/>
      </c>
      <c r="M88" s="16">
        <f>HYPERLINK("http://localhost:5173/?state=Andhra%20Pradesh&amp;keyword=GIS&amp;tender=996686", "🚀 Open in Portal")</f>
        <v/>
      </c>
    </row>
    <row r="89" ht="24" customHeight="1">
      <c r="A89" s="4" t="inlineStr">
        <is>
          <t>Andhra Pradesh</t>
        </is>
      </c>
      <c r="B89" s="5" t="inlineStr">
        <is>
          <t>GIS</t>
        </is>
      </c>
      <c r="C89" s="6" t="inlineStr">
        <is>
          <t>996686</t>
        </is>
      </c>
      <c r="D89" s="7"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89" s="7" t="inlineStr">
        <is>
          <t>MUNICIPAL ADMINISTRATION DEPARTMENT-Amaravati Growth &amp; Infrastructure Corporation Limited Amaravati</t>
        </is>
      </c>
      <c r="F89" s="6" t="inlineStr">
        <is>
          <t>23 Aug 2026</t>
        </is>
      </c>
      <c r="G89" s="5" t="inlineStr">
        <is>
          <t>13 Sep 2026</t>
        </is>
      </c>
      <c r="H89" s="8" t="inlineStr">
        <is>
          <t>⏳ UPCOMING</t>
        </is>
      </c>
      <c r="I89" s="4" t="inlineStr">
        <is>
          <t>SL-288- HVAC TECHNICAL  SPECIFICATION-20.01.2026.pdf</t>
        </is>
      </c>
      <c r="J89" s="6" t="inlineStr">
        <is>
          <t>📕 PDF Document</t>
        </is>
      </c>
      <c r="K89" s="9" t="n">
        <v>2048.9</v>
      </c>
      <c r="L89" s="10">
        <f>HYPERLINK("http://127.0.0.1:8000/api/documents/download?id=2417&amp;attachment=true", "⬇ Download SL-288- HVAC TECHNICAL  ")</f>
        <v/>
      </c>
      <c r="M89" s="10">
        <f>HYPERLINK("http://localhost:5173/?state=Andhra%20Pradesh&amp;keyword=GIS&amp;tender=996686", "🚀 Open in Portal")</f>
        <v/>
      </c>
    </row>
    <row r="90" ht="24" customHeight="1">
      <c r="A90" s="11" t="inlineStr">
        <is>
          <t>Andhra Pradesh</t>
        </is>
      </c>
      <c r="B90" s="12" t="inlineStr">
        <is>
          <t>GIS</t>
        </is>
      </c>
      <c r="C90" s="13" t="inlineStr">
        <is>
          <t>996686</t>
        </is>
      </c>
      <c r="D90" s="14"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90" s="14" t="inlineStr">
        <is>
          <t>MUNICIPAL ADMINISTRATION DEPARTMENT-Amaravati Growth &amp; Infrastructure Corporation Limited Amaravati</t>
        </is>
      </c>
      <c r="F90" s="13" t="inlineStr">
        <is>
          <t>23 Aug 2026</t>
        </is>
      </c>
      <c r="G90" s="12" t="inlineStr">
        <is>
          <t>13 Sep 2026</t>
        </is>
      </c>
      <c r="H90" s="8" t="inlineStr">
        <is>
          <t>⏳ UPCOMING</t>
        </is>
      </c>
      <c r="I90" s="11" t="inlineStr">
        <is>
          <t>SL-288- PUMP DATA SHEET ASSEMBLY AMARAVATI.pdf</t>
        </is>
      </c>
      <c r="J90" s="13" t="inlineStr">
        <is>
          <t>📕 PDF Document</t>
        </is>
      </c>
      <c r="K90" s="15" t="n">
        <v>544.3</v>
      </c>
      <c r="L90" s="16">
        <f>HYPERLINK("http://127.0.0.1:8000/api/documents/download?id=2418&amp;attachment=true", "⬇ Download SL-288- PUMP DATA SHEET ")</f>
        <v/>
      </c>
      <c r="M90" s="16">
        <f>HYPERLINK("http://localhost:5173/?state=Andhra%20Pradesh&amp;keyword=GIS&amp;tender=996686", "🚀 Open in Portal")</f>
        <v/>
      </c>
    </row>
    <row r="91" ht="24" customHeight="1">
      <c r="A91" s="4" t="inlineStr">
        <is>
          <t>Andhra Pradesh</t>
        </is>
      </c>
      <c r="B91" s="5" t="inlineStr">
        <is>
          <t>GIS</t>
        </is>
      </c>
      <c r="C91" s="6" t="inlineStr">
        <is>
          <t>996686</t>
        </is>
      </c>
      <c r="D91" s="7"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91" s="7" t="inlineStr">
        <is>
          <t>MUNICIPAL ADMINISTRATION DEPARTMENT-Amaravati Growth &amp; Infrastructure Corporation Limited Amaravati</t>
        </is>
      </c>
      <c r="F91" s="6" t="inlineStr">
        <is>
          <t>23 Aug 2026</t>
        </is>
      </c>
      <c r="G91" s="5" t="inlineStr">
        <is>
          <t>13 Sep 2026</t>
        </is>
      </c>
      <c r="H91" s="8" t="inlineStr">
        <is>
          <t>⏳ UPCOMING</t>
        </is>
      </c>
      <c r="I91" s="4" t="inlineStr">
        <is>
          <t>SL-288-LA-_ELV_Tech_Spec.pdf</t>
        </is>
      </c>
      <c r="J91" s="6" t="inlineStr">
        <is>
          <t>📕 PDF Document</t>
        </is>
      </c>
      <c r="K91" s="9" t="n">
        <v>1618.9</v>
      </c>
      <c r="L91" s="10">
        <f>HYPERLINK("http://127.0.0.1:8000/api/documents/download?id=2419&amp;attachment=true", "⬇ Download SL-288-LA-_ELV_Tech_Spec")</f>
        <v/>
      </c>
      <c r="M91" s="10">
        <f>HYPERLINK("http://localhost:5173/?state=Andhra%20Pradesh&amp;keyword=GIS&amp;tender=996686", "🚀 Open in Portal")</f>
        <v/>
      </c>
    </row>
    <row r="92" ht="24" customHeight="1">
      <c r="A92" s="11" t="inlineStr">
        <is>
          <t>Andhra Pradesh</t>
        </is>
      </c>
      <c r="B92" s="12" t="inlineStr">
        <is>
          <t>GIS</t>
        </is>
      </c>
      <c r="C92" s="13" t="inlineStr">
        <is>
          <t>996686</t>
        </is>
      </c>
      <c r="D92" s="14"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92" s="14" t="inlineStr">
        <is>
          <t>MUNICIPAL ADMINISTRATION DEPARTMENT-Amaravati Growth &amp; Infrastructure Corporation Limited Amaravati</t>
        </is>
      </c>
      <c r="F92" s="13" t="inlineStr">
        <is>
          <t>23 Aug 2026</t>
        </is>
      </c>
      <c r="G92" s="12" t="inlineStr">
        <is>
          <t>13 Sep 2026</t>
        </is>
      </c>
      <c r="H92" s="8" t="inlineStr">
        <is>
          <t>⏳ UPCOMING</t>
        </is>
      </c>
      <c r="I92" s="11" t="inlineStr">
        <is>
          <t>SL-288-LA_HVAC_TECHNICAL__SPECIFICATION-15.04.2026.pdf</t>
        </is>
      </c>
      <c r="J92" s="13" t="inlineStr">
        <is>
          <t>📕 PDF Document</t>
        </is>
      </c>
      <c r="K92" s="15" t="n">
        <v>1684.2</v>
      </c>
      <c r="L92" s="16">
        <f>HYPERLINK("http://127.0.0.1:8000/api/documents/download?id=2420&amp;attachment=true", "⬇ Download SL-288-LA_HVAC_TECHNICAL")</f>
        <v/>
      </c>
      <c r="M92" s="16">
        <f>HYPERLINK("http://localhost:5173/?state=Andhra%20Pradesh&amp;keyword=GIS&amp;tender=996686", "🚀 Open in Portal")</f>
        <v/>
      </c>
    </row>
    <row r="93" ht="24" customHeight="1">
      <c r="A93" s="4" t="inlineStr">
        <is>
          <t>Andhra Pradesh</t>
        </is>
      </c>
      <c r="B93" s="5" t="inlineStr">
        <is>
          <t>GIS</t>
        </is>
      </c>
      <c r="C93" s="6" t="inlineStr">
        <is>
          <t>996686</t>
        </is>
      </c>
      <c r="D93" s="7"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93" s="7" t="inlineStr">
        <is>
          <t>MUNICIPAL ADMINISTRATION DEPARTMENT-Amaravati Growth &amp; Infrastructure Corporation Limited Amaravati</t>
        </is>
      </c>
      <c r="F93" s="6" t="inlineStr">
        <is>
          <t>23 Aug 2026</t>
        </is>
      </c>
      <c r="G93" s="5" t="inlineStr">
        <is>
          <t>13 Sep 2026</t>
        </is>
      </c>
      <c r="H93" s="8" t="inlineStr">
        <is>
          <t>⏳ UPCOMING</t>
        </is>
      </c>
      <c r="I93" s="4" t="inlineStr">
        <is>
          <t>SL-288-_LA-_ELECTRICAL_SPECS.pdf</t>
        </is>
      </c>
      <c r="J93" s="6" t="inlineStr">
        <is>
          <t>📕 PDF Document</t>
        </is>
      </c>
      <c r="K93" s="9" t="n">
        <v>3380.3</v>
      </c>
      <c r="L93" s="10">
        <f>HYPERLINK("http://127.0.0.1:8000/api/documents/download?id=2421&amp;attachment=true", "⬇ Download SL-288-_LA-_ELECTRICAL_S")</f>
        <v/>
      </c>
      <c r="M93" s="10">
        <f>HYPERLINK("http://localhost:5173/?state=Andhra%20Pradesh&amp;keyword=GIS&amp;tender=996686", "🚀 Open in Portal")</f>
        <v/>
      </c>
    </row>
    <row r="94" ht="24" customHeight="1">
      <c r="A94" s="11" t="inlineStr">
        <is>
          <t>Andhra Pradesh</t>
        </is>
      </c>
      <c r="B94" s="12" t="inlineStr">
        <is>
          <t>GIS</t>
        </is>
      </c>
      <c r="C94" s="13" t="inlineStr">
        <is>
          <t>996686</t>
        </is>
      </c>
      <c r="D94" s="14"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94" s="14" t="inlineStr">
        <is>
          <t>MUNICIPAL ADMINISTRATION DEPARTMENT-Amaravati Growth &amp; Infrastructure Corporation Limited Amaravati</t>
        </is>
      </c>
      <c r="F94" s="13" t="inlineStr">
        <is>
          <t>23 Aug 2026</t>
        </is>
      </c>
      <c r="G94" s="12" t="inlineStr">
        <is>
          <t>13 Sep 2026</t>
        </is>
      </c>
      <c r="H94" s="8" t="inlineStr">
        <is>
          <t>⏳ UPCOMING</t>
        </is>
      </c>
      <c r="I94" s="11" t="inlineStr">
        <is>
          <t>SL-288_-_TECHNICAL_SPECIFICTION_FOR_PLUMBING_WORKS_-_13.04.2026.pdf</t>
        </is>
      </c>
      <c r="J94" s="13" t="inlineStr">
        <is>
          <t>📕 PDF Document</t>
        </is>
      </c>
      <c r="K94" s="15" t="n">
        <v>1117.2</v>
      </c>
      <c r="L94" s="16">
        <f>HYPERLINK("http://127.0.0.1:8000/api/documents/download?id=2422&amp;attachment=true", "⬇ Download SL-288_-_TECHNICAL_SPECI")</f>
        <v/>
      </c>
      <c r="M94" s="16">
        <f>HYPERLINK("http://localhost:5173/?state=Andhra%20Pradesh&amp;keyword=GIS&amp;tender=996686", "🚀 Open in Portal")</f>
        <v/>
      </c>
    </row>
    <row r="95" ht="24" customHeight="1">
      <c r="A95" s="4" t="inlineStr">
        <is>
          <t>Andhra Pradesh</t>
        </is>
      </c>
      <c r="B95" s="5" t="inlineStr">
        <is>
          <t>GIS</t>
        </is>
      </c>
      <c r="C95" s="6" t="inlineStr">
        <is>
          <t>996686</t>
        </is>
      </c>
      <c r="D95" s="7"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95" s="7" t="inlineStr">
        <is>
          <t>MUNICIPAL ADMINISTRATION DEPARTMENT-Amaravati Growth &amp; Infrastructure Corporation Limited Amaravati</t>
        </is>
      </c>
      <c r="F95" s="6" t="inlineStr">
        <is>
          <t>23 Aug 2026</t>
        </is>
      </c>
      <c r="G95" s="5" t="inlineStr">
        <is>
          <t>13 Sep 2026</t>
        </is>
      </c>
      <c r="H95" s="8" t="inlineStr">
        <is>
          <t>⏳ UPCOMING</t>
        </is>
      </c>
      <c r="I95" s="4" t="inlineStr">
        <is>
          <t>SL-288_Assembly_Building_fire_fighting_technical_specification-13.04.2026.pdf</t>
        </is>
      </c>
      <c r="J95" s="6" t="inlineStr">
        <is>
          <t>📕 PDF Document</t>
        </is>
      </c>
      <c r="K95" s="9" t="n">
        <v>644.2</v>
      </c>
      <c r="L95" s="10">
        <f>HYPERLINK("http://127.0.0.1:8000/api/documents/download?id=2423&amp;attachment=true", "⬇ Download SL-288_Assembly_Building")</f>
        <v/>
      </c>
      <c r="M95" s="10">
        <f>HYPERLINK("http://localhost:5173/?state=Andhra%20Pradesh&amp;keyword=GIS&amp;tender=996686", "🚀 Open in Portal")</f>
        <v/>
      </c>
    </row>
    <row r="96" ht="24" customHeight="1">
      <c r="A96" s="11" t="inlineStr">
        <is>
          <t>Andhra Pradesh</t>
        </is>
      </c>
      <c r="B96" s="12" t="inlineStr">
        <is>
          <t>GIS</t>
        </is>
      </c>
      <c r="C96" s="13" t="inlineStr">
        <is>
          <t>996686</t>
        </is>
      </c>
      <c r="D96" s="14"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96" s="14" t="inlineStr">
        <is>
          <t>MUNICIPAL ADMINISTRATION DEPARTMENT-Amaravati Growth &amp; Infrastructure Corporation Limited Amaravati</t>
        </is>
      </c>
      <c r="F96" s="13" t="inlineStr">
        <is>
          <t>23 Aug 2026</t>
        </is>
      </c>
      <c r="G96" s="12" t="inlineStr">
        <is>
          <t>13 Sep 2026</t>
        </is>
      </c>
      <c r="H96" s="8" t="inlineStr">
        <is>
          <t>⏳ UPCOMING</t>
        </is>
      </c>
      <c r="I96" s="11" t="inlineStr">
        <is>
          <t>DRAWINGS.zip</t>
        </is>
      </c>
      <c r="J96" s="13" t="inlineStr">
        <is>
          <t>📦 ZIP Package</t>
        </is>
      </c>
      <c r="K96" s="15" t="n">
        <v>35646.6</v>
      </c>
      <c r="L96" s="16">
        <f>HYPERLINK("http://127.0.0.1:8000/api/documents/download?id=2406&amp;attachment=true", "⬇ Download DRAWINGS.zip")</f>
        <v/>
      </c>
      <c r="M96" s="16">
        <f>HYPERLINK("http://localhost:5173/?state=Andhra%20Pradesh&amp;keyword=GIS&amp;tender=996686", "🚀 Open in Portal")</f>
        <v/>
      </c>
    </row>
    <row r="97" ht="24" customHeight="1">
      <c r="A97" s="4" t="inlineStr">
        <is>
          <t>Andhra Pradesh</t>
        </is>
      </c>
      <c r="B97" s="5" t="inlineStr">
        <is>
          <t>GIS</t>
        </is>
      </c>
      <c r="C97" s="6" t="inlineStr">
        <is>
          <t>996686</t>
        </is>
      </c>
      <c r="D97" s="7"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97" s="7" t="inlineStr">
        <is>
          <t>MUNICIPAL ADMINISTRATION DEPARTMENT-Amaravati Growth &amp; Infrastructure Corporation Limited Amaravati</t>
        </is>
      </c>
      <c r="F97" s="6" t="inlineStr">
        <is>
          <t>23 Aug 2026</t>
        </is>
      </c>
      <c r="G97" s="5" t="inlineStr">
        <is>
          <t>13 Sep 2026</t>
        </is>
      </c>
      <c r="H97" s="8" t="inlineStr">
        <is>
          <t>⏳ UPCOMING</t>
        </is>
      </c>
      <c r="I97" s="4" t="inlineStr">
        <is>
          <t>LA Makes list DBR Specific and HVAC Data sheets.zip</t>
        </is>
      </c>
      <c r="J97" s="6" t="inlineStr">
        <is>
          <t>📦 ZIP Package</t>
        </is>
      </c>
      <c r="K97" s="9" t="n">
        <v>12511.9</v>
      </c>
      <c r="L97" s="10">
        <f>HYPERLINK("http://127.0.0.1:8000/api/documents/download?id=2424&amp;attachment=true", "⬇ Download LA Makes list DBR Specif")</f>
        <v/>
      </c>
      <c r="M97" s="10">
        <f>HYPERLINK("http://localhost:5173/?state=Andhra%20Pradesh&amp;keyword=GIS&amp;tender=996686", "🚀 Open in Portal")</f>
        <v/>
      </c>
    </row>
    <row r="98" ht="24" customHeight="1">
      <c r="A98" s="11" t="inlineStr">
        <is>
          <t>Andhra Pradesh</t>
        </is>
      </c>
      <c r="B98" s="12" t="inlineStr">
        <is>
          <t>GIS</t>
        </is>
      </c>
      <c r="C98" s="13" t="inlineStr">
        <is>
          <t>996686</t>
        </is>
      </c>
      <c r="D98" s="14" t="inlineStr">
        <is>
          <t>Providing Electrical, HVAC, Fire Fighting system, Lifts, Fire alarm, detection and Public Address system, ELV (structured cabling system) and plumbing works for Legislative Assembly building in Super block E of Amaravati Government Complex area in Amaravati Capital City, Andhra Pradesh</t>
        </is>
      </c>
      <c r="E98" s="14" t="inlineStr">
        <is>
          <t>MUNICIPAL ADMINISTRATION DEPARTMENT-Amaravati Growth &amp; Infrastructure Corporation Limited Amaravati</t>
        </is>
      </c>
      <c r="F98" s="13" t="inlineStr">
        <is>
          <t>23 Aug 2026</t>
        </is>
      </c>
      <c r="G98" s="12" t="inlineStr">
        <is>
          <t>13 Sep 2026</t>
        </is>
      </c>
      <c r="H98" s="8" t="inlineStr">
        <is>
          <t>⏳ UPCOMING</t>
        </is>
      </c>
      <c r="I98" s="11" t="inlineStr">
        <is>
          <t>Tender_996686_All_Documents.zip</t>
        </is>
      </c>
      <c r="J98" s="13" t="inlineStr">
        <is>
          <t>📦 ZIP Package</t>
        </is>
      </c>
      <c r="K98" s="15" t="n">
        <v>2191.3</v>
      </c>
      <c r="L98" s="16">
        <f>HYPERLINK("http://127.0.0.1:8000/api/documents/download?id=2393&amp;attachment=true", "⬇ Download Tender_996686_All_Docume")</f>
        <v/>
      </c>
      <c r="M98" s="16">
        <f>HYPERLINK("http://localhost:5173/?state=Andhra%20Pradesh&amp;keyword=GIS&amp;tender=996686", "🚀 Open in Portal")</f>
        <v/>
      </c>
    </row>
    <row r="99" ht="24" customHeight="1">
      <c r="A99" s="4" t="inlineStr">
        <is>
          <t>Andhra Pradesh</t>
        </is>
      </c>
      <c r="B99" s="5" t="inlineStr">
        <is>
          <t>GIS</t>
        </is>
      </c>
      <c r="C99" s="6" t="inlineStr">
        <is>
          <t>999239</t>
        </is>
      </c>
      <c r="D99"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99" s="7" t="inlineStr">
        <is>
          <t>MUNICIPAL ADMINISTRATION DEPARTMENT-Amaravati Growth &amp; Infrastructure Corporation Limited Amaravati</t>
        </is>
      </c>
      <c r="F99" s="6" t="inlineStr">
        <is>
          <t>25 Jul 2026</t>
        </is>
      </c>
      <c r="G99" s="5" t="inlineStr">
        <is>
          <t>18 Aug 2026</t>
        </is>
      </c>
      <c r="H99" s="8" t="inlineStr">
        <is>
          <t>⏳ UPCOMING</t>
        </is>
      </c>
      <c r="I99" s="4" t="inlineStr">
        <is>
          <t>171020- LA- central Spire - Str DBR.pdf</t>
        </is>
      </c>
      <c r="J99" s="6" t="inlineStr">
        <is>
          <t>📕 PDF Document</t>
        </is>
      </c>
      <c r="K99" s="9" t="n">
        <v>3667.3</v>
      </c>
      <c r="L99" s="10">
        <f>HYPERLINK("http://127.0.0.1:8000/api/documents/download?id=2353&amp;attachment=true", "⬇ Download 171020- LA- central Spir")</f>
        <v/>
      </c>
      <c r="M99" s="10">
        <f>HYPERLINK("http://localhost:5173/?state=Andhra%20Pradesh&amp;keyword=GIS&amp;tender=999239", "🚀 Open in Portal")</f>
        <v/>
      </c>
    </row>
    <row r="100" ht="24" customHeight="1">
      <c r="A100" s="11" t="inlineStr">
        <is>
          <t>Andhra Pradesh</t>
        </is>
      </c>
      <c r="B100" s="12" t="inlineStr">
        <is>
          <t>GIS</t>
        </is>
      </c>
      <c r="C100" s="13" t="inlineStr">
        <is>
          <t>999239</t>
        </is>
      </c>
      <c r="D100"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00" s="14" t="inlineStr">
        <is>
          <t>MUNICIPAL ADMINISTRATION DEPARTMENT-Amaravati Growth &amp; Infrastructure Corporation Limited Amaravati</t>
        </is>
      </c>
      <c r="F100" s="13" t="inlineStr">
        <is>
          <t>25 Jul 2026</t>
        </is>
      </c>
      <c r="G100" s="12" t="inlineStr">
        <is>
          <t>18 Aug 2026</t>
        </is>
      </c>
      <c r="H100" s="8" t="inlineStr">
        <is>
          <t>⏳ UPCOMING</t>
        </is>
      </c>
      <c r="I100" s="11" t="inlineStr">
        <is>
          <t>Assembly Spire Work BOQ.pdf</t>
        </is>
      </c>
      <c r="J100" s="13" t="inlineStr">
        <is>
          <t>📕 PDF Document</t>
        </is>
      </c>
      <c r="K100" s="15" t="n">
        <v>520.7</v>
      </c>
      <c r="L100" s="16">
        <f>HYPERLINK("http://127.0.0.1:8000/api/documents/download?id=2354&amp;attachment=true", "⬇ Download Assembly Spire Work BOQ.")</f>
        <v/>
      </c>
      <c r="M100" s="16">
        <f>HYPERLINK("http://localhost:5173/?state=Andhra%20Pradesh&amp;keyword=GIS&amp;tender=999239", "🚀 Open in Portal")</f>
        <v/>
      </c>
    </row>
    <row r="101" ht="24" customHeight="1">
      <c r="A101" s="4" t="inlineStr">
        <is>
          <t>Andhra Pradesh</t>
        </is>
      </c>
      <c r="B101" s="5" t="inlineStr">
        <is>
          <t>GIS</t>
        </is>
      </c>
      <c r="C101" s="6" t="inlineStr">
        <is>
          <t>999239</t>
        </is>
      </c>
      <c r="D101"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01" s="7" t="inlineStr">
        <is>
          <t>MUNICIPAL ADMINISTRATION DEPARTMENT-Amaravati Growth &amp; Infrastructure Corporation Limited Amaravati</t>
        </is>
      </c>
      <c r="F101" s="6" t="inlineStr">
        <is>
          <t>25 Jul 2026</t>
        </is>
      </c>
      <c r="G101" s="5" t="inlineStr">
        <is>
          <t>18 Aug 2026</t>
        </is>
      </c>
      <c r="H101" s="8" t="inlineStr">
        <is>
          <t>⏳ UPCOMING</t>
        </is>
      </c>
      <c r="I101" s="4" t="inlineStr">
        <is>
          <t>VOLUME III - TECH-SPECS.pdf</t>
        </is>
      </c>
      <c r="J101" s="6" t="inlineStr">
        <is>
          <t>📕 PDF Document</t>
        </is>
      </c>
      <c r="K101" s="9" t="n">
        <v>2969.9</v>
      </c>
      <c r="L101" s="10">
        <f>HYPERLINK("http://127.0.0.1:8000/api/documents/download?id=2355&amp;attachment=true", "⬇ Download VOLUME III - TECH-SPECS.")</f>
        <v/>
      </c>
      <c r="M101" s="10">
        <f>HYPERLINK("http://localhost:5173/?state=Andhra%20Pradesh&amp;keyword=GIS&amp;tender=999239", "🚀 Open in Portal")</f>
        <v/>
      </c>
    </row>
    <row r="102" ht="24" customHeight="1">
      <c r="A102" s="11" t="inlineStr">
        <is>
          <t>Andhra Pradesh</t>
        </is>
      </c>
      <c r="B102" s="12" t="inlineStr">
        <is>
          <t>GIS</t>
        </is>
      </c>
      <c r="C102" s="13" t="inlineStr">
        <is>
          <t>999239</t>
        </is>
      </c>
      <c r="D102"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02" s="14" t="inlineStr">
        <is>
          <t>MUNICIPAL ADMINISTRATION DEPARTMENT-Amaravati Growth &amp; Infrastructure Corporation Limited Amaravati</t>
        </is>
      </c>
      <c r="F102" s="13" t="inlineStr">
        <is>
          <t>25 Jul 2026</t>
        </is>
      </c>
      <c r="G102" s="12" t="inlineStr">
        <is>
          <t>18 Aug 2026</t>
        </is>
      </c>
      <c r="H102" s="8" t="inlineStr">
        <is>
          <t>⏳ UPCOMING</t>
        </is>
      </c>
      <c r="I102" s="11" t="inlineStr">
        <is>
          <t>Assembly Spire Work bid document 02-10-2026.pdf</t>
        </is>
      </c>
      <c r="J102" s="13" t="inlineStr">
        <is>
          <t>📕 PDF Document</t>
        </is>
      </c>
      <c r="K102" s="15" t="n">
        <v>3009.5</v>
      </c>
      <c r="L102" s="16">
        <f>HYPERLINK("http://127.0.0.1:8000/api/documents/download?id=2356&amp;attachment=true", "⬇ Download Assembly Spire Work bid ")</f>
        <v/>
      </c>
      <c r="M102" s="16">
        <f>HYPERLINK("http://localhost:5173/?state=Andhra%20Pradesh&amp;keyword=GIS&amp;tender=999239", "🚀 Open in Portal")</f>
        <v/>
      </c>
    </row>
    <row r="103" ht="24" customHeight="1">
      <c r="A103" s="4" t="inlineStr">
        <is>
          <t>Andhra Pradesh</t>
        </is>
      </c>
      <c r="B103" s="5" t="inlineStr">
        <is>
          <t>GIS</t>
        </is>
      </c>
      <c r="C103" s="6" t="inlineStr">
        <is>
          <t>999239</t>
        </is>
      </c>
      <c r="D103"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03" s="7" t="inlineStr">
        <is>
          <t>MUNICIPAL ADMINISTRATION DEPARTMENT-Amaravati Growth &amp; Infrastructure Corporation Limited Amaravati</t>
        </is>
      </c>
      <c r="F103" s="6" t="inlineStr">
        <is>
          <t>25 Jul 2026</t>
        </is>
      </c>
      <c r="G103" s="5" t="inlineStr">
        <is>
          <t>18 Aug 2026</t>
        </is>
      </c>
      <c r="H103" s="8" t="inlineStr">
        <is>
          <t>⏳ UPCOMING</t>
        </is>
      </c>
      <c r="I103" s="4" t="inlineStr">
        <is>
          <t>171020-LA-201 171020-LA-201-5.pdf</t>
        </is>
      </c>
      <c r="J103" s="6" t="inlineStr">
        <is>
          <t>📕 PDF Document</t>
        </is>
      </c>
      <c r="K103" s="9" t="n">
        <v>959.7</v>
      </c>
      <c r="L103" s="10">
        <f>HYPERLINK("http://127.0.0.1:8000/api/documents/download?id=2357&amp;attachment=true", "⬇ Download 171020-LA-201 171020-LA-")</f>
        <v/>
      </c>
      <c r="M103" s="10">
        <f>HYPERLINK("http://localhost:5173/?state=Andhra%20Pradesh&amp;keyword=GIS&amp;tender=999239", "🚀 Open in Portal")</f>
        <v/>
      </c>
    </row>
    <row r="104" ht="24" customHeight="1">
      <c r="A104" s="11" t="inlineStr">
        <is>
          <t>Andhra Pradesh</t>
        </is>
      </c>
      <c r="B104" s="12" t="inlineStr">
        <is>
          <t>GIS</t>
        </is>
      </c>
      <c r="C104" s="13" t="inlineStr">
        <is>
          <t>999239</t>
        </is>
      </c>
      <c r="D104"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04" s="14" t="inlineStr">
        <is>
          <t>MUNICIPAL ADMINISTRATION DEPARTMENT-Amaravati Growth &amp; Infrastructure Corporation Limited Amaravati</t>
        </is>
      </c>
      <c r="F104" s="13" t="inlineStr">
        <is>
          <t>25 Jul 2026</t>
        </is>
      </c>
      <c r="G104" s="12" t="inlineStr">
        <is>
          <t>18 Aug 2026</t>
        </is>
      </c>
      <c r="H104" s="8" t="inlineStr">
        <is>
          <t>⏳ UPCOMING</t>
        </is>
      </c>
      <c r="I104" s="11" t="inlineStr">
        <is>
          <t>171020-LA-311 171020-LA-311-5.pdf</t>
        </is>
      </c>
      <c r="J104" s="13" t="inlineStr">
        <is>
          <t>📕 PDF Document</t>
        </is>
      </c>
      <c r="K104" s="15" t="n">
        <v>983.4</v>
      </c>
      <c r="L104" s="16">
        <f>HYPERLINK("http://127.0.0.1:8000/api/documents/download?id=2358&amp;attachment=true", "⬇ Download 171020-LA-311 171020-LA-")</f>
        <v/>
      </c>
      <c r="M104" s="16">
        <f>HYPERLINK("http://localhost:5173/?state=Andhra%20Pradesh&amp;keyword=GIS&amp;tender=999239", "🚀 Open in Portal")</f>
        <v/>
      </c>
    </row>
    <row r="105" ht="24" customHeight="1">
      <c r="A105" s="4" t="inlineStr">
        <is>
          <t>Andhra Pradesh</t>
        </is>
      </c>
      <c r="B105" s="5" t="inlineStr">
        <is>
          <t>GIS</t>
        </is>
      </c>
      <c r="C105" s="6" t="inlineStr">
        <is>
          <t>999239</t>
        </is>
      </c>
      <c r="D105"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05" s="7" t="inlineStr">
        <is>
          <t>MUNICIPAL ADMINISTRATION DEPARTMENT-Amaravati Growth &amp; Infrastructure Corporation Limited Amaravati</t>
        </is>
      </c>
      <c r="F105" s="6" t="inlineStr">
        <is>
          <t>25 Jul 2026</t>
        </is>
      </c>
      <c r="G105" s="5" t="inlineStr">
        <is>
          <t>18 Aug 2026</t>
        </is>
      </c>
      <c r="H105" s="8" t="inlineStr">
        <is>
          <t>⏳ UPCOMING</t>
        </is>
      </c>
      <c r="I105" s="4" t="inlineStr">
        <is>
          <t>171020-LA-321 171020-LA-321-5.pdf</t>
        </is>
      </c>
      <c r="J105" s="6" t="inlineStr">
        <is>
          <t>📕 PDF Document</t>
        </is>
      </c>
      <c r="K105" s="9" t="n">
        <v>905.9</v>
      </c>
      <c r="L105" s="10">
        <f>HYPERLINK("http://127.0.0.1:8000/api/documents/download?id=2359&amp;attachment=true", "⬇ Download 171020-LA-321 171020-LA-")</f>
        <v/>
      </c>
      <c r="M105" s="10">
        <f>HYPERLINK("http://localhost:5173/?state=Andhra%20Pradesh&amp;keyword=GIS&amp;tender=999239", "🚀 Open in Portal")</f>
        <v/>
      </c>
    </row>
    <row r="106" ht="24" customHeight="1">
      <c r="A106" s="11" t="inlineStr">
        <is>
          <t>Andhra Pradesh</t>
        </is>
      </c>
      <c r="B106" s="12" t="inlineStr">
        <is>
          <t>GIS</t>
        </is>
      </c>
      <c r="C106" s="13" t="inlineStr">
        <is>
          <t>999239</t>
        </is>
      </c>
      <c r="D106"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06" s="14" t="inlineStr">
        <is>
          <t>MUNICIPAL ADMINISTRATION DEPARTMENT-Amaravati Growth &amp; Infrastructure Corporation Limited Amaravati</t>
        </is>
      </c>
      <c r="F106" s="13" t="inlineStr">
        <is>
          <t>25 Jul 2026</t>
        </is>
      </c>
      <c r="G106" s="12" t="inlineStr">
        <is>
          <t>18 Aug 2026</t>
        </is>
      </c>
      <c r="H106" s="8" t="inlineStr">
        <is>
          <t>⏳ UPCOMING</t>
        </is>
      </c>
      <c r="I106" s="11" t="inlineStr">
        <is>
          <t>171020-LA-331 171020-LA-331-5.pdf</t>
        </is>
      </c>
      <c r="J106" s="13" t="inlineStr">
        <is>
          <t>📕 PDF Document</t>
        </is>
      </c>
      <c r="K106" s="15" t="n">
        <v>926.8</v>
      </c>
      <c r="L106" s="16">
        <f>HYPERLINK("http://127.0.0.1:8000/api/documents/download?id=2360&amp;attachment=true", "⬇ Download 171020-LA-331 171020-LA-")</f>
        <v/>
      </c>
      <c r="M106" s="16">
        <f>HYPERLINK("http://localhost:5173/?state=Andhra%20Pradesh&amp;keyword=GIS&amp;tender=999239", "🚀 Open in Portal")</f>
        <v/>
      </c>
    </row>
    <row r="107" ht="24" customHeight="1">
      <c r="A107" s="4" t="inlineStr">
        <is>
          <t>Andhra Pradesh</t>
        </is>
      </c>
      <c r="B107" s="5" t="inlineStr">
        <is>
          <t>GIS</t>
        </is>
      </c>
      <c r="C107" s="6" t="inlineStr">
        <is>
          <t>999239</t>
        </is>
      </c>
      <c r="D107"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07" s="7" t="inlineStr">
        <is>
          <t>MUNICIPAL ADMINISTRATION DEPARTMENT-Amaravati Growth &amp; Infrastructure Corporation Limited Amaravati</t>
        </is>
      </c>
      <c r="F107" s="6" t="inlineStr">
        <is>
          <t>25 Jul 2026</t>
        </is>
      </c>
      <c r="G107" s="5" t="inlineStr">
        <is>
          <t>18 Aug 2026</t>
        </is>
      </c>
      <c r="H107" s="8" t="inlineStr">
        <is>
          <t>⏳ UPCOMING</t>
        </is>
      </c>
      <c r="I107" s="4" t="inlineStr">
        <is>
          <t>171020-LA-411-171020-LA-411-6.pdf</t>
        </is>
      </c>
      <c r="J107" s="6" t="inlineStr">
        <is>
          <t>📕 PDF Document</t>
        </is>
      </c>
      <c r="K107" s="9" t="n">
        <v>981.6</v>
      </c>
      <c r="L107" s="10">
        <f>HYPERLINK("http://127.0.0.1:8000/api/documents/download?id=2361&amp;attachment=true", "⬇ Download 171020-LA-411-171020-LA-")</f>
        <v/>
      </c>
      <c r="M107" s="10">
        <f>HYPERLINK("http://localhost:5173/?state=Andhra%20Pradesh&amp;keyword=GIS&amp;tender=999239", "🚀 Open in Portal")</f>
        <v/>
      </c>
    </row>
    <row r="108" ht="24" customHeight="1">
      <c r="A108" s="11" t="inlineStr">
        <is>
          <t>Andhra Pradesh</t>
        </is>
      </c>
      <c r="B108" s="12" t="inlineStr">
        <is>
          <t>GIS</t>
        </is>
      </c>
      <c r="C108" s="13" t="inlineStr">
        <is>
          <t>999239</t>
        </is>
      </c>
      <c r="D108"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08" s="14" t="inlineStr">
        <is>
          <t>MUNICIPAL ADMINISTRATION DEPARTMENT-Amaravati Growth &amp; Infrastructure Corporation Limited Amaravati</t>
        </is>
      </c>
      <c r="F108" s="13" t="inlineStr">
        <is>
          <t>25 Jul 2026</t>
        </is>
      </c>
      <c r="G108" s="12" t="inlineStr">
        <is>
          <t>18 Aug 2026</t>
        </is>
      </c>
      <c r="H108" s="8" t="inlineStr">
        <is>
          <t>⏳ UPCOMING</t>
        </is>
      </c>
      <c r="I108" s="11" t="inlineStr">
        <is>
          <t>171020-LA-431 171020-LA-431-1.pdf</t>
        </is>
      </c>
      <c r="J108" s="13" t="inlineStr">
        <is>
          <t>📕 PDF Document</t>
        </is>
      </c>
      <c r="K108" s="15" t="n">
        <v>961.4</v>
      </c>
      <c r="L108" s="16">
        <f>HYPERLINK("http://127.0.0.1:8000/api/documents/download?id=2362&amp;attachment=true", "⬇ Download 171020-LA-431 171020-LA-")</f>
        <v/>
      </c>
      <c r="M108" s="16">
        <f>HYPERLINK("http://localhost:5173/?state=Andhra%20Pradesh&amp;keyword=GIS&amp;tender=999239", "🚀 Open in Portal")</f>
        <v/>
      </c>
    </row>
    <row r="109" ht="24" customHeight="1">
      <c r="A109" s="4" t="inlineStr">
        <is>
          <t>Andhra Pradesh</t>
        </is>
      </c>
      <c r="B109" s="5" t="inlineStr">
        <is>
          <t>GIS</t>
        </is>
      </c>
      <c r="C109" s="6" t="inlineStr">
        <is>
          <t>999239</t>
        </is>
      </c>
      <c r="D109"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09" s="7" t="inlineStr">
        <is>
          <t>MUNICIPAL ADMINISTRATION DEPARTMENT-Amaravati Growth &amp; Infrastructure Corporation Limited Amaravati</t>
        </is>
      </c>
      <c r="F109" s="6" t="inlineStr">
        <is>
          <t>25 Jul 2026</t>
        </is>
      </c>
      <c r="G109" s="5" t="inlineStr">
        <is>
          <t>18 Aug 2026</t>
        </is>
      </c>
      <c r="H109" s="8" t="inlineStr">
        <is>
          <t>⏳ UPCOMING</t>
        </is>
      </c>
      <c r="I109" s="4" t="inlineStr">
        <is>
          <t>171020-LA-431 171020-LA-431-2.pdf</t>
        </is>
      </c>
      <c r="J109" s="6" t="inlineStr">
        <is>
          <t>📕 PDF Document</t>
        </is>
      </c>
      <c r="K109" s="9" t="n">
        <v>960.2</v>
      </c>
      <c r="L109" s="10">
        <f>HYPERLINK("http://127.0.0.1:8000/api/documents/download?id=2363&amp;attachment=true", "⬇ Download 171020-LA-431 171020-LA-")</f>
        <v/>
      </c>
      <c r="M109" s="10">
        <f>HYPERLINK("http://localhost:5173/?state=Andhra%20Pradesh&amp;keyword=GIS&amp;tender=999239", "🚀 Open in Portal")</f>
        <v/>
      </c>
    </row>
    <row r="110" ht="24" customHeight="1">
      <c r="A110" s="11" t="inlineStr">
        <is>
          <t>Andhra Pradesh</t>
        </is>
      </c>
      <c r="B110" s="12" t="inlineStr">
        <is>
          <t>GIS</t>
        </is>
      </c>
      <c r="C110" s="13" t="inlineStr">
        <is>
          <t>999239</t>
        </is>
      </c>
      <c r="D110"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10" s="14" t="inlineStr">
        <is>
          <t>MUNICIPAL ADMINISTRATION DEPARTMENT-Amaravati Growth &amp; Infrastructure Corporation Limited Amaravati</t>
        </is>
      </c>
      <c r="F110" s="13" t="inlineStr">
        <is>
          <t>25 Jul 2026</t>
        </is>
      </c>
      <c r="G110" s="12" t="inlineStr">
        <is>
          <t>18 Aug 2026</t>
        </is>
      </c>
      <c r="H110" s="8" t="inlineStr">
        <is>
          <t>⏳ UPCOMING</t>
        </is>
      </c>
      <c r="I110" s="11" t="inlineStr">
        <is>
          <t>171020-LA-431 171020-LA-431-3.pdf</t>
        </is>
      </c>
      <c r="J110" s="13" t="inlineStr">
        <is>
          <t>📕 PDF Document</t>
        </is>
      </c>
      <c r="K110" s="15" t="n">
        <v>910.8</v>
      </c>
      <c r="L110" s="16">
        <f>HYPERLINK("http://127.0.0.1:8000/api/documents/download?id=2364&amp;attachment=true", "⬇ Download 171020-LA-431 171020-LA-")</f>
        <v/>
      </c>
      <c r="M110" s="16">
        <f>HYPERLINK("http://localhost:5173/?state=Andhra%20Pradesh&amp;keyword=GIS&amp;tender=999239", "🚀 Open in Portal")</f>
        <v/>
      </c>
    </row>
    <row r="111" ht="24" customHeight="1">
      <c r="A111" s="4" t="inlineStr">
        <is>
          <t>Andhra Pradesh</t>
        </is>
      </c>
      <c r="B111" s="5" t="inlineStr">
        <is>
          <t>GIS</t>
        </is>
      </c>
      <c r="C111" s="6" t="inlineStr">
        <is>
          <t>999239</t>
        </is>
      </c>
      <c r="D111"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11" s="7" t="inlineStr">
        <is>
          <t>MUNICIPAL ADMINISTRATION DEPARTMENT-Amaravati Growth &amp; Infrastructure Corporation Limited Amaravati</t>
        </is>
      </c>
      <c r="F111" s="6" t="inlineStr">
        <is>
          <t>25 Jul 2026</t>
        </is>
      </c>
      <c r="G111" s="5" t="inlineStr">
        <is>
          <t>18 Aug 2026</t>
        </is>
      </c>
      <c r="H111" s="8" t="inlineStr">
        <is>
          <t>⏳ UPCOMING</t>
        </is>
      </c>
      <c r="I111" s="4" t="inlineStr">
        <is>
          <t>171020-LA-431 171020-LA-431-4.pdf</t>
        </is>
      </c>
      <c r="J111" s="6" t="inlineStr">
        <is>
          <t>📕 PDF Document</t>
        </is>
      </c>
      <c r="K111" s="9" t="n">
        <v>931.7</v>
      </c>
      <c r="L111" s="10">
        <f>HYPERLINK("http://127.0.0.1:8000/api/documents/download?id=2365&amp;attachment=true", "⬇ Download 171020-LA-431 171020-LA-")</f>
        <v/>
      </c>
      <c r="M111" s="10">
        <f>HYPERLINK("http://localhost:5173/?state=Andhra%20Pradesh&amp;keyword=GIS&amp;tender=999239", "🚀 Open in Portal")</f>
        <v/>
      </c>
    </row>
    <row r="112" ht="24" customHeight="1">
      <c r="A112" s="11" t="inlineStr">
        <is>
          <t>Andhra Pradesh</t>
        </is>
      </c>
      <c r="B112" s="12" t="inlineStr">
        <is>
          <t>GIS</t>
        </is>
      </c>
      <c r="C112" s="13" t="inlineStr">
        <is>
          <t>999239</t>
        </is>
      </c>
      <c r="D112"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12" s="14" t="inlineStr">
        <is>
          <t>MUNICIPAL ADMINISTRATION DEPARTMENT-Amaravati Growth &amp; Infrastructure Corporation Limited Amaravati</t>
        </is>
      </c>
      <c r="F112" s="13" t="inlineStr">
        <is>
          <t>25 Jul 2026</t>
        </is>
      </c>
      <c r="G112" s="12" t="inlineStr">
        <is>
          <t>18 Aug 2026</t>
        </is>
      </c>
      <c r="H112" s="8" t="inlineStr">
        <is>
          <t>⏳ UPCOMING</t>
        </is>
      </c>
      <c r="I112" s="11" t="inlineStr">
        <is>
          <t>171020-LA-431 171020-LA-431-5.pdf</t>
        </is>
      </c>
      <c r="J112" s="13" t="inlineStr">
        <is>
          <t>📕 PDF Document</t>
        </is>
      </c>
      <c r="K112" s="15" t="n">
        <v>880.8</v>
      </c>
      <c r="L112" s="16">
        <f>HYPERLINK("http://127.0.0.1:8000/api/documents/download?id=2366&amp;attachment=true", "⬇ Download 171020-LA-431 171020-LA-")</f>
        <v/>
      </c>
      <c r="M112" s="16">
        <f>HYPERLINK("http://localhost:5173/?state=Andhra%20Pradesh&amp;keyword=GIS&amp;tender=999239", "🚀 Open in Portal")</f>
        <v/>
      </c>
    </row>
    <row r="113" ht="24" customHeight="1">
      <c r="A113" s="4" t="inlineStr">
        <is>
          <t>Andhra Pradesh</t>
        </is>
      </c>
      <c r="B113" s="5" t="inlineStr">
        <is>
          <t>GIS</t>
        </is>
      </c>
      <c r="C113" s="6" t="inlineStr">
        <is>
          <t>999239</t>
        </is>
      </c>
      <c r="D113"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13" s="7" t="inlineStr">
        <is>
          <t>MUNICIPAL ADMINISTRATION DEPARTMENT-Amaravati Growth &amp; Infrastructure Corporation Limited Amaravati</t>
        </is>
      </c>
      <c r="F113" s="6" t="inlineStr">
        <is>
          <t>25 Jul 2026</t>
        </is>
      </c>
      <c r="G113" s="5" t="inlineStr">
        <is>
          <t>18 Aug 2026</t>
        </is>
      </c>
      <c r="H113" s="8" t="inlineStr">
        <is>
          <t>⏳ UPCOMING</t>
        </is>
      </c>
      <c r="I113" s="4" t="inlineStr">
        <is>
          <t>171020-LA-431 171020-LA-431-6.pdf</t>
        </is>
      </c>
      <c r="J113" s="6" t="inlineStr">
        <is>
          <t>📕 PDF Document</t>
        </is>
      </c>
      <c r="K113" s="9" t="n">
        <v>878.9</v>
      </c>
      <c r="L113" s="10">
        <f>HYPERLINK("http://127.0.0.1:8000/api/documents/download?id=2367&amp;attachment=true", "⬇ Download 171020-LA-431 171020-LA-")</f>
        <v/>
      </c>
      <c r="M113" s="10">
        <f>HYPERLINK("http://localhost:5173/?state=Andhra%20Pradesh&amp;keyword=GIS&amp;tender=999239", "🚀 Open in Portal")</f>
        <v/>
      </c>
    </row>
    <row r="114" ht="24" customHeight="1">
      <c r="A114" s="11" t="inlineStr">
        <is>
          <t>Andhra Pradesh</t>
        </is>
      </c>
      <c r="B114" s="12" t="inlineStr">
        <is>
          <t>GIS</t>
        </is>
      </c>
      <c r="C114" s="13" t="inlineStr">
        <is>
          <t>999239</t>
        </is>
      </c>
      <c r="D114"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14" s="14" t="inlineStr">
        <is>
          <t>MUNICIPAL ADMINISTRATION DEPARTMENT-Amaravati Growth &amp; Infrastructure Corporation Limited Amaravati</t>
        </is>
      </c>
      <c r="F114" s="13" t="inlineStr">
        <is>
          <t>25 Jul 2026</t>
        </is>
      </c>
      <c r="G114" s="12" t="inlineStr">
        <is>
          <t>18 Aug 2026</t>
        </is>
      </c>
      <c r="H114" s="8" t="inlineStr">
        <is>
          <t>⏳ UPCOMING</t>
        </is>
      </c>
      <c r="I114" s="11" t="inlineStr">
        <is>
          <t>171020-LA-431 171020-LA-431-7.pdf</t>
        </is>
      </c>
      <c r="J114" s="13" t="inlineStr">
        <is>
          <t>📕 PDF Document</t>
        </is>
      </c>
      <c r="K114" s="15" t="n">
        <v>875.3</v>
      </c>
      <c r="L114" s="16">
        <f>HYPERLINK("http://127.0.0.1:8000/api/documents/download?id=2368&amp;attachment=true", "⬇ Download 171020-LA-431 171020-LA-")</f>
        <v/>
      </c>
      <c r="M114" s="16">
        <f>HYPERLINK("http://localhost:5173/?state=Andhra%20Pradesh&amp;keyword=GIS&amp;tender=999239", "🚀 Open in Portal")</f>
        <v/>
      </c>
    </row>
    <row r="115" ht="24" customHeight="1">
      <c r="A115" s="4" t="inlineStr">
        <is>
          <t>Andhra Pradesh</t>
        </is>
      </c>
      <c r="B115" s="5" t="inlineStr">
        <is>
          <t>GIS</t>
        </is>
      </c>
      <c r="C115" s="6" t="inlineStr">
        <is>
          <t>999239</t>
        </is>
      </c>
      <c r="D115"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15" s="7" t="inlineStr">
        <is>
          <t>MUNICIPAL ADMINISTRATION DEPARTMENT-Amaravati Growth &amp; Infrastructure Corporation Limited Amaravati</t>
        </is>
      </c>
      <c r="F115" s="6" t="inlineStr">
        <is>
          <t>25 Jul 2026</t>
        </is>
      </c>
      <c r="G115" s="5" t="inlineStr">
        <is>
          <t>18 Aug 2026</t>
        </is>
      </c>
      <c r="H115" s="8" t="inlineStr">
        <is>
          <t>⏳ UPCOMING</t>
        </is>
      </c>
      <c r="I115" s="4" t="inlineStr">
        <is>
          <t>171020-LA-431 171020-LA-431.pdf</t>
        </is>
      </c>
      <c r="J115" s="6" t="inlineStr">
        <is>
          <t>📕 PDF Document</t>
        </is>
      </c>
      <c r="K115" s="9" t="n">
        <v>921.9</v>
      </c>
      <c r="L115" s="10">
        <f>HYPERLINK("http://127.0.0.1:8000/api/documents/download?id=2369&amp;attachment=true", "⬇ Download 171020-LA-431 171020-LA-")</f>
        <v/>
      </c>
      <c r="M115" s="10">
        <f>HYPERLINK("http://localhost:5173/?state=Andhra%20Pradesh&amp;keyword=GIS&amp;tender=999239", "🚀 Open in Portal")</f>
        <v/>
      </c>
    </row>
    <row r="116" ht="24" customHeight="1">
      <c r="A116" s="11" t="inlineStr">
        <is>
          <t>Andhra Pradesh</t>
        </is>
      </c>
      <c r="B116" s="12" t="inlineStr">
        <is>
          <t>GIS</t>
        </is>
      </c>
      <c r="C116" s="13" t="inlineStr">
        <is>
          <t>999239</t>
        </is>
      </c>
      <c r="D116"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16" s="14" t="inlineStr">
        <is>
          <t>MUNICIPAL ADMINISTRATION DEPARTMENT-Amaravati Growth &amp; Infrastructure Corporation Limited Amaravati</t>
        </is>
      </c>
      <c r="F116" s="13" t="inlineStr">
        <is>
          <t>25 Jul 2026</t>
        </is>
      </c>
      <c r="G116" s="12" t="inlineStr">
        <is>
          <t>18 Aug 2026</t>
        </is>
      </c>
      <c r="H116" s="8" t="inlineStr">
        <is>
          <t>⏳ UPCOMING</t>
        </is>
      </c>
      <c r="I116" s="11" t="inlineStr">
        <is>
          <t>3755-FSP-LA-ZZZ-DR-A-210000.pdf</t>
        </is>
      </c>
      <c r="J116" s="13" t="inlineStr">
        <is>
          <t>📕 PDF Document</t>
        </is>
      </c>
      <c r="K116" s="15" t="n">
        <v>25229.8</v>
      </c>
      <c r="L116" s="16">
        <f>HYPERLINK("http://127.0.0.1:8000/api/documents/download?id=2371&amp;attachment=true", "⬇ Download 3755-FSP-LA-ZZZ-DR-A-210")</f>
        <v/>
      </c>
      <c r="M116" s="16">
        <f>HYPERLINK("http://localhost:5173/?state=Andhra%20Pradesh&amp;keyword=GIS&amp;tender=999239", "🚀 Open in Portal")</f>
        <v/>
      </c>
    </row>
    <row r="117" ht="24" customHeight="1">
      <c r="A117" s="4" t="inlineStr">
        <is>
          <t>Andhra Pradesh</t>
        </is>
      </c>
      <c r="B117" s="5" t="inlineStr">
        <is>
          <t>GIS</t>
        </is>
      </c>
      <c r="C117" s="6" t="inlineStr">
        <is>
          <t>999239</t>
        </is>
      </c>
      <c r="D117"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17" s="7" t="inlineStr">
        <is>
          <t>MUNICIPAL ADMINISTRATION DEPARTMENT-Amaravati Growth &amp; Infrastructure Corporation Limited Amaravati</t>
        </is>
      </c>
      <c r="F117" s="6" t="inlineStr">
        <is>
          <t>25 Jul 2026</t>
        </is>
      </c>
      <c r="G117" s="5" t="inlineStr">
        <is>
          <t>18 Aug 2026</t>
        </is>
      </c>
      <c r="H117" s="8" t="inlineStr">
        <is>
          <t>⏳ UPCOMING</t>
        </is>
      </c>
      <c r="I117" s="4" t="inlineStr">
        <is>
          <t>171020-LA-621-(NE &amp; SW) - SKYLIGHT 171020-LA-NE-621-1.pdf</t>
        </is>
      </c>
      <c r="J117" s="6" t="inlineStr">
        <is>
          <t>📕 PDF Document</t>
        </is>
      </c>
      <c r="K117" s="9" t="n">
        <v>1984.1</v>
      </c>
      <c r="L117" s="10">
        <f>HYPERLINK("http://127.0.0.1:8000/api/documents/download?id=2373&amp;attachment=true", "⬇ Download 171020-LA-621-(NE &amp; SW) ")</f>
        <v/>
      </c>
      <c r="M117" s="10">
        <f>HYPERLINK("http://localhost:5173/?state=Andhra%20Pradesh&amp;keyword=GIS&amp;tender=999239", "🚀 Open in Portal")</f>
        <v/>
      </c>
    </row>
    <row r="118" ht="24" customHeight="1">
      <c r="A118" s="11" t="inlineStr">
        <is>
          <t>Andhra Pradesh</t>
        </is>
      </c>
      <c r="B118" s="12" t="inlineStr">
        <is>
          <t>GIS</t>
        </is>
      </c>
      <c r="C118" s="13" t="inlineStr">
        <is>
          <t>999239</t>
        </is>
      </c>
      <c r="D118"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18" s="14" t="inlineStr">
        <is>
          <t>MUNICIPAL ADMINISTRATION DEPARTMENT-Amaravati Growth &amp; Infrastructure Corporation Limited Amaravati</t>
        </is>
      </c>
      <c r="F118" s="13" t="inlineStr">
        <is>
          <t>25 Jul 2026</t>
        </is>
      </c>
      <c r="G118" s="12" t="inlineStr">
        <is>
          <t>18 Aug 2026</t>
        </is>
      </c>
      <c r="H118" s="8" t="inlineStr">
        <is>
          <t>⏳ UPCOMING</t>
        </is>
      </c>
      <c r="I118" s="11" t="inlineStr">
        <is>
          <t>171020-LA-621-(NE &amp; SW) - SKYLIGHT 171020-LA-NE-621-2.pdf</t>
        </is>
      </c>
      <c r="J118" s="13" t="inlineStr">
        <is>
          <t>📕 PDF Document</t>
        </is>
      </c>
      <c r="K118" s="15" t="n">
        <v>917.3</v>
      </c>
      <c r="L118" s="16">
        <f>HYPERLINK("http://127.0.0.1:8000/api/documents/download?id=2374&amp;attachment=true", "⬇ Download 171020-LA-621-(NE &amp; SW) ")</f>
        <v/>
      </c>
      <c r="M118" s="16">
        <f>HYPERLINK("http://localhost:5173/?state=Andhra%20Pradesh&amp;keyword=GIS&amp;tender=999239", "🚀 Open in Portal")</f>
        <v/>
      </c>
    </row>
    <row r="119" ht="24" customHeight="1">
      <c r="A119" s="4" t="inlineStr">
        <is>
          <t>Andhra Pradesh</t>
        </is>
      </c>
      <c r="B119" s="5" t="inlineStr">
        <is>
          <t>GIS</t>
        </is>
      </c>
      <c r="C119" s="6" t="inlineStr">
        <is>
          <t>999239</t>
        </is>
      </c>
      <c r="D119"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19" s="7" t="inlineStr">
        <is>
          <t>MUNICIPAL ADMINISTRATION DEPARTMENT-Amaravati Growth &amp; Infrastructure Corporation Limited Amaravati</t>
        </is>
      </c>
      <c r="F119" s="6" t="inlineStr">
        <is>
          <t>25 Jul 2026</t>
        </is>
      </c>
      <c r="G119" s="5" t="inlineStr">
        <is>
          <t>18 Aug 2026</t>
        </is>
      </c>
      <c r="H119" s="8" t="inlineStr">
        <is>
          <t>⏳ UPCOMING</t>
        </is>
      </c>
      <c r="I119" s="4" t="inlineStr">
        <is>
          <t>171020-LA-621-(NE &amp; SW) - SKYLIGHT 171020-LA-NE-621-3.pdf</t>
        </is>
      </c>
      <c r="J119" s="6" t="inlineStr">
        <is>
          <t>📕 PDF Document</t>
        </is>
      </c>
      <c r="K119" s="9" t="n">
        <v>999.3</v>
      </c>
      <c r="L119" s="10">
        <f>HYPERLINK("http://127.0.0.1:8000/api/documents/download?id=2375&amp;attachment=true", "⬇ Download 171020-LA-621-(NE &amp; SW) ")</f>
        <v/>
      </c>
      <c r="M119" s="10">
        <f>HYPERLINK("http://localhost:5173/?state=Andhra%20Pradesh&amp;keyword=GIS&amp;tender=999239", "🚀 Open in Portal")</f>
        <v/>
      </c>
    </row>
    <row r="120" ht="24" customHeight="1">
      <c r="A120" s="11" t="inlineStr">
        <is>
          <t>Andhra Pradesh</t>
        </is>
      </c>
      <c r="B120" s="12" t="inlineStr">
        <is>
          <t>GIS</t>
        </is>
      </c>
      <c r="C120" s="13" t="inlineStr">
        <is>
          <t>999239</t>
        </is>
      </c>
      <c r="D120"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20" s="14" t="inlineStr">
        <is>
          <t>MUNICIPAL ADMINISTRATION DEPARTMENT-Amaravati Growth &amp; Infrastructure Corporation Limited Amaravati</t>
        </is>
      </c>
      <c r="F120" s="13" t="inlineStr">
        <is>
          <t>25 Jul 2026</t>
        </is>
      </c>
      <c r="G120" s="12" t="inlineStr">
        <is>
          <t>18 Aug 2026</t>
        </is>
      </c>
      <c r="H120" s="8" t="inlineStr">
        <is>
          <t>⏳ UPCOMING</t>
        </is>
      </c>
      <c r="I120" s="11" t="inlineStr">
        <is>
          <t>171020-LA-621-(NE &amp; SW) - SKYLIGHT 171020-LA-SW-621.pdf</t>
        </is>
      </c>
      <c r="J120" s="13" t="inlineStr">
        <is>
          <t>📕 PDF Document</t>
        </is>
      </c>
      <c r="K120" s="15" t="n">
        <v>2058.4</v>
      </c>
      <c r="L120" s="16">
        <f>HYPERLINK("http://127.0.0.1:8000/api/documents/download?id=2376&amp;attachment=true", "⬇ Download 171020-LA-621-(NE &amp; SW) ")</f>
        <v/>
      </c>
      <c r="M120" s="16">
        <f>HYPERLINK("http://localhost:5173/?state=Andhra%20Pradesh&amp;keyword=GIS&amp;tender=999239", "🚀 Open in Portal")</f>
        <v/>
      </c>
    </row>
    <row r="121" ht="24" customHeight="1">
      <c r="A121" s="4" t="inlineStr">
        <is>
          <t>Andhra Pradesh</t>
        </is>
      </c>
      <c r="B121" s="5" t="inlineStr">
        <is>
          <t>GIS</t>
        </is>
      </c>
      <c r="C121" s="6" t="inlineStr">
        <is>
          <t>999239</t>
        </is>
      </c>
      <c r="D121"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21" s="7" t="inlineStr">
        <is>
          <t>MUNICIPAL ADMINISTRATION DEPARTMENT-Amaravati Growth &amp; Infrastructure Corporation Limited Amaravati</t>
        </is>
      </c>
      <c r="F121" s="6" t="inlineStr">
        <is>
          <t>25 Jul 2026</t>
        </is>
      </c>
      <c r="G121" s="5" t="inlineStr">
        <is>
          <t>18 Aug 2026</t>
        </is>
      </c>
      <c r="H121" s="8" t="inlineStr">
        <is>
          <t>⏳ UPCOMING</t>
        </is>
      </c>
      <c r="I121" s="4" t="inlineStr">
        <is>
          <t>171020-LA-INCLINED LIFT 171020-LA-INCL-611-1.pdf</t>
        </is>
      </c>
      <c r="J121" s="6" t="inlineStr">
        <is>
          <t>📕 PDF Document</t>
        </is>
      </c>
      <c r="K121" s="9" t="n">
        <v>597.1</v>
      </c>
      <c r="L121" s="10">
        <f>HYPERLINK("http://127.0.0.1:8000/api/documents/download?id=2377&amp;attachment=true", "⬇ Download 171020-LA-INCLINED LIFT ")</f>
        <v/>
      </c>
      <c r="M121" s="10">
        <f>HYPERLINK("http://localhost:5173/?state=Andhra%20Pradesh&amp;keyword=GIS&amp;tender=999239", "🚀 Open in Portal")</f>
        <v/>
      </c>
    </row>
    <row r="122" ht="24" customHeight="1">
      <c r="A122" s="11" t="inlineStr">
        <is>
          <t>Andhra Pradesh</t>
        </is>
      </c>
      <c r="B122" s="12" t="inlineStr">
        <is>
          <t>GIS</t>
        </is>
      </c>
      <c r="C122" s="13" t="inlineStr">
        <is>
          <t>999239</t>
        </is>
      </c>
      <c r="D122"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22" s="14" t="inlineStr">
        <is>
          <t>MUNICIPAL ADMINISTRATION DEPARTMENT-Amaravati Growth &amp; Infrastructure Corporation Limited Amaravati</t>
        </is>
      </c>
      <c r="F122" s="13" t="inlineStr">
        <is>
          <t>25 Jul 2026</t>
        </is>
      </c>
      <c r="G122" s="12" t="inlineStr">
        <is>
          <t>18 Aug 2026</t>
        </is>
      </c>
      <c r="H122" s="8" t="inlineStr">
        <is>
          <t>⏳ UPCOMING</t>
        </is>
      </c>
      <c r="I122" s="11" t="inlineStr">
        <is>
          <t>171020-LA-INCLINED LIFT 171020-LA-INCL-611.pdf</t>
        </is>
      </c>
      <c r="J122" s="13" t="inlineStr">
        <is>
          <t>📕 PDF Document</t>
        </is>
      </c>
      <c r="K122" s="15" t="n">
        <v>367</v>
      </c>
      <c r="L122" s="16">
        <f>HYPERLINK("http://127.0.0.1:8000/api/documents/download?id=2378&amp;attachment=true", "⬇ Download 171020-LA-INCLINED LIFT ")</f>
        <v/>
      </c>
      <c r="M122" s="16">
        <f>HYPERLINK("http://localhost:5173/?state=Andhra%20Pradesh&amp;keyword=GIS&amp;tender=999239", "🚀 Open in Portal")</f>
        <v/>
      </c>
    </row>
    <row r="123" ht="24" customHeight="1">
      <c r="A123" s="4" t="inlineStr">
        <is>
          <t>Andhra Pradesh</t>
        </is>
      </c>
      <c r="B123" s="5" t="inlineStr">
        <is>
          <t>GIS</t>
        </is>
      </c>
      <c r="C123" s="6" t="inlineStr">
        <is>
          <t>999239</t>
        </is>
      </c>
      <c r="D123"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23" s="7" t="inlineStr">
        <is>
          <t>MUNICIPAL ADMINISTRATION DEPARTMENT-Amaravati Growth &amp; Infrastructure Corporation Limited Amaravati</t>
        </is>
      </c>
      <c r="F123" s="6" t="inlineStr">
        <is>
          <t>25 Jul 2026</t>
        </is>
      </c>
      <c r="G123" s="5" t="inlineStr">
        <is>
          <t>18 Aug 2026</t>
        </is>
      </c>
      <c r="H123" s="8" t="inlineStr">
        <is>
          <t>⏳ UPCOMING</t>
        </is>
      </c>
      <c r="I123" s="4" t="inlineStr">
        <is>
          <t>171020-LA-INCLINED STAIRCASE 171020-LA-INCL-612-1.pdf</t>
        </is>
      </c>
      <c r="J123" s="6" t="inlineStr">
        <is>
          <t>📕 PDF Document</t>
        </is>
      </c>
      <c r="K123" s="9" t="n">
        <v>2774.1</v>
      </c>
      <c r="L123" s="10">
        <f>HYPERLINK("http://127.0.0.1:8000/api/documents/download?id=2379&amp;attachment=true", "⬇ Download 171020-LA-INCLINED STAIR")</f>
        <v/>
      </c>
      <c r="M123" s="10">
        <f>HYPERLINK("http://localhost:5173/?state=Andhra%20Pradesh&amp;keyword=GIS&amp;tender=999239", "🚀 Open in Portal")</f>
        <v/>
      </c>
    </row>
    <row r="124" ht="24" customHeight="1">
      <c r="A124" s="11" t="inlineStr">
        <is>
          <t>Andhra Pradesh</t>
        </is>
      </c>
      <c r="B124" s="12" t="inlineStr">
        <is>
          <t>GIS</t>
        </is>
      </c>
      <c r="C124" s="13" t="inlineStr">
        <is>
          <t>999239</t>
        </is>
      </c>
      <c r="D124"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24" s="14" t="inlineStr">
        <is>
          <t>MUNICIPAL ADMINISTRATION DEPARTMENT-Amaravati Growth &amp; Infrastructure Corporation Limited Amaravati</t>
        </is>
      </c>
      <c r="F124" s="13" t="inlineStr">
        <is>
          <t>25 Jul 2026</t>
        </is>
      </c>
      <c r="G124" s="12" t="inlineStr">
        <is>
          <t>18 Aug 2026</t>
        </is>
      </c>
      <c r="H124" s="8" t="inlineStr">
        <is>
          <t>⏳ UPCOMING</t>
        </is>
      </c>
      <c r="I124" s="11" t="inlineStr">
        <is>
          <t>171020-LA-INCLINED STAIRCASE 171020-LA-INCL-612.pdf</t>
        </is>
      </c>
      <c r="J124" s="13" t="inlineStr">
        <is>
          <t>📕 PDF Document</t>
        </is>
      </c>
      <c r="K124" s="15" t="n">
        <v>875</v>
      </c>
      <c r="L124" s="16">
        <f>HYPERLINK("http://127.0.0.1:8000/api/documents/download?id=2380&amp;attachment=true", "⬇ Download 171020-LA-INCLINED STAIR")</f>
        <v/>
      </c>
      <c r="M124" s="16">
        <f>HYPERLINK("http://localhost:5173/?state=Andhra%20Pradesh&amp;keyword=GIS&amp;tender=999239", "🚀 Open in Portal")</f>
        <v/>
      </c>
    </row>
    <row r="125" ht="24" customHeight="1">
      <c r="A125" s="4" t="inlineStr">
        <is>
          <t>Andhra Pradesh</t>
        </is>
      </c>
      <c r="B125" s="5" t="inlineStr">
        <is>
          <t>GIS</t>
        </is>
      </c>
      <c r="C125" s="6" t="inlineStr">
        <is>
          <t>999239</t>
        </is>
      </c>
      <c r="D125"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25" s="7" t="inlineStr">
        <is>
          <t>MUNICIPAL ADMINISTRATION DEPARTMENT-Amaravati Growth &amp; Infrastructure Corporation Limited Amaravati</t>
        </is>
      </c>
      <c r="F125" s="6" t="inlineStr">
        <is>
          <t>25 Jul 2026</t>
        </is>
      </c>
      <c r="G125" s="5" t="inlineStr">
        <is>
          <t>18 Aug 2026</t>
        </is>
      </c>
      <c r="H125" s="8" t="inlineStr">
        <is>
          <t>⏳ UPCOMING</t>
        </is>
      </c>
      <c r="I125" s="4" t="inlineStr">
        <is>
          <t>plot.log</t>
        </is>
      </c>
      <c r="J125" s="6" t="inlineStr">
        <is>
          <t>📄 LOG</t>
        </is>
      </c>
      <c r="K125" s="9" t="n">
        <v>0.3</v>
      </c>
      <c r="L125" s="10">
        <f>HYPERLINK("http://127.0.0.1:8000/api/documents/download?id=2381&amp;attachment=true", "⬇ Download plot.log")</f>
        <v/>
      </c>
      <c r="M125" s="10">
        <f>HYPERLINK("http://localhost:5173/?state=Andhra%20Pradesh&amp;keyword=GIS&amp;tender=999239", "🚀 Open in Portal")</f>
        <v/>
      </c>
    </row>
    <row r="126" ht="24" customHeight="1">
      <c r="A126" s="11" t="inlineStr">
        <is>
          <t>Andhra Pradesh</t>
        </is>
      </c>
      <c r="B126" s="12" t="inlineStr">
        <is>
          <t>GIS</t>
        </is>
      </c>
      <c r="C126" s="13" t="inlineStr">
        <is>
          <t>999239</t>
        </is>
      </c>
      <c r="D126"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26" s="14" t="inlineStr">
        <is>
          <t>MUNICIPAL ADMINISTRATION DEPARTMENT-Amaravati Growth &amp; Infrastructure Corporation Limited Amaravati</t>
        </is>
      </c>
      <c r="F126" s="13" t="inlineStr">
        <is>
          <t>25 Jul 2026</t>
        </is>
      </c>
      <c r="G126" s="12" t="inlineStr">
        <is>
          <t>18 Aug 2026</t>
        </is>
      </c>
      <c r="H126" s="8" t="inlineStr">
        <is>
          <t>⏳ UPCOMING</t>
        </is>
      </c>
      <c r="I126" s="11" t="inlineStr">
        <is>
          <t>3755-FSP-LA-100-DR-A-031015_.pdf</t>
        </is>
      </c>
      <c r="J126" s="13" t="inlineStr">
        <is>
          <t>📕 PDF Document</t>
        </is>
      </c>
      <c r="K126" s="15" t="n">
        <v>8787.4</v>
      </c>
      <c r="L126" s="16">
        <f>HYPERLINK("http://127.0.0.1:8000/api/documents/download?id=2383&amp;attachment=true", "⬇ Download 3755-FSP-LA-100-DR-A-031")</f>
        <v/>
      </c>
      <c r="M126" s="16">
        <f>HYPERLINK("http://localhost:5173/?state=Andhra%20Pradesh&amp;keyword=GIS&amp;tender=999239", "🚀 Open in Portal")</f>
        <v/>
      </c>
    </row>
    <row r="127" ht="24" customHeight="1">
      <c r="A127" s="4" t="inlineStr">
        <is>
          <t>Andhra Pradesh</t>
        </is>
      </c>
      <c r="B127" s="5" t="inlineStr">
        <is>
          <t>GIS</t>
        </is>
      </c>
      <c r="C127" s="6" t="inlineStr">
        <is>
          <t>999239</t>
        </is>
      </c>
      <c r="D127"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27" s="7" t="inlineStr">
        <is>
          <t>MUNICIPAL ADMINISTRATION DEPARTMENT-Amaravati Growth &amp; Infrastructure Corporation Limited Amaravati</t>
        </is>
      </c>
      <c r="F127" s="6" t="inlineStr">
        <is>
          <t>25 Jul 2026</t>
        </is>
      </c>
      <c r="G127" s="5" t="inlineStr">
        <is>
          <t>18 Aug 2026</t>
        </is>
      </c>
      <c r="H127" s="8" t="inlineStr">
        <is>
          <t>⏳ UPCOMING</t>
        </is>
      </c>
      <c r="I127" s="4" t="inlineStr">
        <is>
          <t>3755-FSP-LA-101-DR-A-031015.pdf</t>
        </is>
      </c>
      <c r="J127" s="6" t="inlineStr">
        <is>
          <t>📕 PDF Document</t>
        </is>
      </c>
      <c r="K127" s="9" t="n">
        <v>10108.3</v>
      </c>
      <c r="L127" s="10">
        <f>HYPERLINK("http://127.0.0.1:8000/api/documents/download?id=2384&amp;attachment=true", "⬇ Download 3755-FSP-LA-101-DR-A-031")</f>
        <v/>
      </c>
      <c r="M127" s="10">
        <f>HYPERLINK("http://localhost:5173/?state=Andhra%20Pradesh&amp;keyword=GIS&amp;tender=999239", "🚀 Open in Portal")</f>
        <v/>
      </c>
    </row>
    <row r="128" ht="24" customHeight="1">
      <c r="A128" s="11" t="inlineStr">
        <is>
          <t>Andhra Pradesh</t>
        </is>
      </c>
      <c r="B128" s="12" t="inlineStr">
        <is>
          <t>GIS</t>
        </is>
      </c>
      <c r="C128" s="13" t="inlineStr">
        <is>
          <t>999239</t>
        </is>
      </c>
      <c r="D128"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28" s="14" t="inlineStr">
        <is>
          <t>MUNICIPAL ADMINISTRATION DEPARTMENT-Amaravati Growth &amp; Infrastructure Corporation Limited Amaravati</t>
        </is>
      </c>
      <c r="F128" s="13" t="inlineStr">
        <is>
          <t>25 Jul 2026</t>
        </is>
      </c>
      <c r="G128" s="12" t="inlineStr">
        <is>
          <t>18 Aug 2026</t>
        </is>
      </c>
      <c r="H128" s="8" t="inlineStr">
        <is>
          <t>⏳ UPCOMING</t>
        </is>
      </c>
      <c r="I128" s="11" t="inlineStr">
        <is>
          <t>3755-FSP-LA-102-DR-A-031015.pdf</t>
        </is>
      </c>
      <c r="J128" s="13" t="inlineStr">
        <is>
          <t>📕 PDF Document</t>
        </is>
      </c>
      <c r="K128" s="15" t="n">
        <v>8543.1</v>
      </c>
      <c r="L128" s="16">
        <f>HYPERLINK("http://127.0.0.1:8000/api/documents/download?id=2385&amp;attachment=true", "⬇ Download 3755-FSP-LA-102-DR-A-031")</f>
        <v/>
      </c>
      <c r="M128" s="16">
        <f>HYPERLINK("http://localhost:5173/?state=Andhra%20Pradesh&amp;keyword=GIS&amp;tender=999239", "🚀 Open in Portal")</f>
        <v/>
      </c>
    </row>
    <row r="129" ht="24" customHeight="1">
      <c r="A129" s="4" t="inlineStr">
        <is>
          <t>Andhra Pradesh</t>
        </is>
      </c>
      <c r="B129" s="5" t="inlineStr">
        <is>
          <t>GIS</t>
        </is>
      </c>
      <c r="C129" s="6" t="inlineStr">
        <is>
          <t>999239</t>
        </is>
      </c>
      <c r="D129"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29" s="7" t="inlineStr">
        <is>
          <t>MUNICIPAL ADMINISTRATION DEPARTMENT-Amaravati Growth &amp; Infrastructure Corporation Limited Amaravati</t>
        </is>
      </c>
      <c r="F129" s="6" t="inlineStr">
        <is>
          <t>25 Jul 2026</t>
        </is>
      </c>
      <c r="G129" s="5" t="inlineStr">
        <is>
          <t>18 Aug 2026</t>
        </is>
      </c>
      <c r="H129" s="8" t="inlineStr">
        <is>
          <t>⏳ UPCOMING</t>
        </is>
      </c>
      <c r="I129" s="4" t="inlineStr">
        <is>
          <t>3755-FSP-LA-103-DR-A-031015.pdf</t>
        </is>
      </c>
      <c r="J129" s="6" t="inlineStr">
        <is>
          <t>📕 PDF Document</t>
        </is>
      </c>
      <c r="K129" s="9" t="n">
        <v>6488.7</v>
      </c>
      <c r="L129" s="10">
        <f>HYPERLINK("http://127.0.0.1:8000/api/documents/download?id=2386&amp;attachment=true", "⬇ Download 3755-FSP-LA-103-DR-A-031")</f>
        <v/>
      </c>
      <c r="M129" s="10">
        <f>HYPERLINK("http://localhost:5173/?state=Andhra%20Pradesh&amp;keyword=GIS&amp;tender=999239", "🚀 Open in Portal")</f>
        <v/>
      </c>
    </row>
    <row r="130" ht="24" customHeight="1">
      <c r="A130" s="11" t="inlineStr">
        <is>
          <t>Andhra Pradesh</t>
        </is>
      </c>
      <c r="B130" s="12" t="inlineStr">
        <is>
          <t>GIS</t>
        </is>
      </c>
      <c r="C130" s="13" t="inlineStr">
        <is>
          <t>999239</t>
        </is>
      </c>
      <c r="D130"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30" s="14" t="inlineStr">
        <is>
          <t>MUNICIPAL ADMINISTRATION DEPARTMENT-Amaravati Growth &amp; Infrastructure Corporation Limited Amaravati</t>
        </is>
      </c>
      <c r="F130" s="13" t="inlineStr">
        <is>
          <t>25 Jul 2026</t>
        </is>
      </c>
      <c r="G130" s="12" t="inlineStr">
        <is>
          <t>18 Aug 2026</t>
        </is>
      </c>
      <c r="H130" s="8" t="inlineStr">
        <is>
          <t>⏳ UPCOMING</t>
        </is>
      </c>
      <c r="I130" s="11" t="inlineStr">
        <is>
          <t>3755-FSP-LA-099-DR-A-031015.pdf</t>
        </is>
      </c>
      <c r="J130" s="13" t="inlineStr">
        <is>
          <t>📕 PDF Document</t>
        </is>
      </c>
      <c r="K130" s="15" t="n">
        <v>18934.3</v>
      </c>
      <c r="L130" s="16">
        <f>HYPERLINK("http://127.0.0.1:8000/api/documents/download?id=2388&amp;attachment=true", "⬇ Download 3755-FSP-LA-099-DR-A-031")</f>
        <v/>
      </c>
      <c r="M130" s="16">
        <f>HYPERLINK("http://localhost:5173/?state=Andhra%20Pradesh&amp;keyword=GIS&amp;tender=999239", "🚀 Open in Portal")</f>
        <v/>
      </c>
    </row>
    <row r="131" ht="24" customHeight="1">
      <c r="A131" s="4" t="inlineStr">
        <is>
          <t>Andhra Pradesh</t>
        </is>
      </c>
      <c r="B131" s="5" t="inlineStr">
        <is>
          <t>GIS</t>
        </is>
      </c>
      <c r="C131" s="6" t="inlineStr">
        <is>
          <t>999239</t>
        </is>
      </c>
      <c r="D131"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31" s="7" t="inlineStr">
        <is>
          <t>MUNICIPAL ADMINISTRATION DEPARTMENT-Amaravati Growth &amp; Infrastructure Corporation Limited Amaravati</t>
        </is>
      </c>
      <c r="F131" s="6" t="inlineStr">
        <is>
          <t>25 Jul 2026</t>
        </is>
      </c>
      <c r="G131" s="5" t="inlineStr">
        <is>
          <t>18 Aug 2026</t>
        </is>
      </c>
      <c r="H131" s="8" t="inlineStr">
        <is>
          <t>⏳ UPCOMING</t>
        </is>
      </c>
      <c r="I131" s="4" t="inlineStr">
        <is>
          <t>Roofing.zip</t>
        </is>
      </c>
      <c r="J131" s="6" t="inlineStr">
        <is>
          <t>📦 ZIP Package</t>
        </is>
      </c>
      <c r="K131" s="9" t="n">
        <v>25356.9</v>
      </c>
      <c r="L131" s="10">
        <f>HYPERLINK("http://127.0.0.1:8000/api/documents/download?id=2372&amp;attachment=true", "⬇ Download Roofing.zip")</f>
        <v/>
      </c>
      <c r="M131" s="10">
        <f>HYPERLINK("http://localhost:5173/?state=Andhra%20Pradesh&amp;keyword=GIS&amp;tender=999239", "🚀 Open in Portal")</f>
        <v/>
      </c>
    </row>
    <row r="132" ht="24" customHeight="1">
      <c r="A132" s="11" t="inlineStr">
        <is>
          <t>Andhra Pradesh</t>
        </is>
      </c>
      <c r="B132" s="12" t="inlineStr">
        <is>
          <t>GIS</t>
        </is>
      </c>
      <c r="C132" s="13" t="inlineStr">
        <is>
          <t>999239</t>
        </is>
      </c>
      <c r="D132"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32" s="14" t="inlineStr">
        <is>
          <t>MUNICIPAL ADMINISTRATION DEPARTMENT-Amaravati Growth &amp; Infrastructure Corporation Limited Amaravati</t>
        </is>
      </c>
      <c r="F132" s="13" t="inlineStr">
        <is>
          <t>25 Jul 2026</t>
        </is>
      </c>
      <c r="G132" s="12" t="inlineStr">
        <is>
          <t>18 Aug 2026</t>
        </is>
      </c>
      <c r="H132" s="8" t="inlineStr">
        <is>
          <t>⏳ UPCOMING</t>
        </is>
      </c>
      <c r="I132" s="11" t="inlineStr">
        <is>
          <t>Sky.zip</t>
        </is>
      </c>
      <c r="J132" s="13" t="inlineStr">
        <is>
          <t>📦 ZIP Package</t>
        </is>
      </c>
      <c r="K132" s="15" t="n">
        <v>9488.5</v>
      </c>
      <c r="L132" s="16">
        <f>HYPERLINK("http://127.0.0.1:8000/api/documents/download?id=2382&amp;attachment=true", "⬇ Download Sky.zip")</f>
        <v/>
      </c>
      <c r="M132" s="16">
        <f>HYPERLINK("http://localhost:5173/?state=Andhra%20Pradesh&amp;keyword=GIS&amp;tender=999239", "🚀 Open in Portal")</f>
        <v/>
      </c>
    </row>
    <row r="133" ht="24" customHeight="1">
      <c r="A133" s="4" t="inlineStr">
        <is>
          <t>Andhra Pradesh</t>
        </is>
      </c>
      <c r="B133" s="5" t="inlineStr">
        <is>
          <t>GIS</t>
        </is>
      </c>
      <c r="C133" s="6" t="inlineStr">
        <is>
          <t>999239</t>
        </is>
      </c>
      <c r="D133"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33" s="7" t="inlineStr">
        <is>
          <t>MUNICIPAL ADMINISTRATION DEPARTMENT-Amaravati Growth &amp; Infrastructure Corporation Limited Amaravati</t>
        </is>
      </c>
      <c r="F133" s="6" t="inlineStr">
        <is>
          <t>25 Jul 2026</t>
        </is>
      </c>
      <c r="G133" s="5" t="inlineStr">
        <is>
          <t>18 Aug 2026</t>
        </is>
      </c>
      <c r="H133" s="8" t="inlineStr">
        <is>
          <t>⏳ UPCOMING</t>
        </is>
      </c>
      <c r="I133" s="4" t="inlineStr">
        <is>
          <t>Architectural.zip</t>
        </is>
      </c>
      <c r="J133" s="6" t="inlineStr">
        <is>
          <t>📦 ZIP Package</t>
        </is>
      </c>
      <c r="K133" s="9" t="n">
        <v>33373.3</v>
      </c>
      <c r="L133" s="10">
        <f>HYPERLINK("http://127.0.0.1:8000/api/documents/download?id=2387&amp;attachment=true", "⬇ Download Architectural.zip")</f>
        <v/>
      </c>
      <c r="M133" s="10">
        <f>HYPERLINK("http://localhost:5173/?state=Andhra%20Pradesh&amp;keyword=GIS&amp;tender=999239", "🚀 Open in Portal")</f>
        <v/>
      </c>
    </row>
    <row r="134" ht="24" customHeight="1">
      <c r="A134" s="11" t="inlineStr">
        <is>
          <t>Andhra Pradesh</t>
        </is>
      </c>
      <c r="B134" s="12" t="inlineStr">
        <is>
          <t>GIS</t>
        </is>
      </c>
      <c r="C134" s="13" t="inlineStr">
        <is>
          <t>999239</t>
        </is>
      </c>
      <c r="D134"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34" s="14" t="inlineStr">
        <is>
          <t>MUNICIPAL ADMINISTRATION DEPARTMENT-Amaravati Growth &amp; Infrastructure Corporation Limited Amaravati</t>
        </is>
      </c>
      <c r="F134" s="13" t="inlineStr">
        <is>
          <t>25 Jul 2026</t>
        </is>
      </c>
      <c r="G134" s="12" t="inlineStr">
        <is>
          <t>18 Aug 2026</t>
        </is>
      </c>
      <c r="H134" s="8" t="inlineStr">
        <is>
          <t>⏳ UPCOMING</t>
        </is>
      </c>
      <c r="I134" s="11" t="inlineStr">
        <is>
          <t>Architecural1.zip</t>
        </is>
      </c>
      <c r="J134" s="13" t="inlineStr">
        <is>
          <t>📦 ZIP Package</t>
        </is>
      </c>
      <c r="K134" s="15" t="n">
        <v>19436.1</v>
      </c>
      <c r="L134" s="16">
        <f>HYPERLINK("http://127.0.0.1:8000/api/documents/download?id=2389&amp;attachment=true", "⬇ Download Architecural1.zip")</f>
        <v/>
      </c>
      <c r="M134" s="16">
        <f>HYPERLINK("http://localhost:5173/?state=Andhra%20Pradesh&amp;keyword=GIS&amp;tender=999239", "🚀 Open in Portal")</f>
        <v/>
      </c>
    </row>
    <row r="135" ht="24" customHeight="1">
      <c r="A135" s="4" t="inlineStr">
        <is>
          <t>Andhra Pradesh</t>
        </is>
      </c>
      <c r="B135" s="5" t="inlineStr">
        <is>
          <t>GIS</t>
        </is>
      </c>
      <c r="C135" s="6" t="inlineStr">
        <is>
          <t>999239</t>
        </is>
      </c>
      <c r="D135"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135" s="7" t="inlineStr">
        <is>
          <t>MUNICIPAL ADMINISTRATION DEPARTMENT-Amaravati Growth &amp; Infrastructure Corporation Limited Amaravati</t>
        </is>
      </c>
      <c r="F135" s="6" t="inlineStr">
        <is>
          <t>25 Jul 2026</t>
        </is>
      </c>
      <c r="G135" s="5" t="inlineStr">
        <is>
          <t>18 Aug 2026</t>
        </is>
      </c>
      <c r="H135" s="8" t="inlineStr">
        <is>
          <t>⏳ UPCOMING</t>
        </is>
      </c>
      <c r="I135" s="4" t="inlineStr">
        <is>
          <t>Tender_999239_All_Documents.zip</t>
        </is>
      </c>
      <c r="J135" s="6" t="inlineStr">
        <is>
          <t>📦 ZIP Package</t>
        </is>
      </c>
      <c r="K135" s="9" t="n">
        <v>11515.8</v>
      </c>
      <c r="L135" s="10">
        <f>HYPERLINK("http://127.0.0.1:8000/api/documents/download?id=2370&amp;attachment=true", "⬇ Download Tender_999239_All_Docume")</f>
        <v/>
      </c>
      <c r="M135" s="10">
        <f>HYPERLINK("http://localhost:5173/?state=Andhra%20Pradesh&amp;keyword=GIS&amp;tender=999239", "🚀 Open in Portal")</f>
        <v/>
      </c>
    </row>
    <row r="136" ht="24" customHeight="1">
      <c r="A136" s="11" t="inlineStr">
        <is>
          <t>Andhra Pradesh</t>
        </is>
      </c>
      <c r="B136" s="12" t="inlineStr">
        <is>
          <t>ICT</t>
        </is>
      </c>
      <c r="C136" s="13" t="inlineStr">
        <is>
          <t>1002390</t>
        </is>
      </c>
      <c r="D136" s="14" t="inlineStr">
        <is>
          <t>Water Resources Department HNSS Project Phase II Package No 52 A Balance work Investigation Preparation of HPs Designs LP Schedules Drawings for Provideing Distributory System to an ayacut of 8000 Acres in Amidyala Raketla and Peddakowkuntla villages of Uravakonda M by lifting water at KM 203 000 of HNSS Main Canal excluding laying of pressuremain in Anantapuramu District</t>
        </is>
      </c>
      <c r="E136" s="14" t="inlineStr">
        <is>
          <t>I &amp; CAD-SE, I &amp; CAD, HNSS Circle - II, ANANTAPUR</t>
        </is>
      </c>
      <c r="F136" s="13" t="inlineStr">
        <is>
          <t>07 Aug 2026</t>
        </is>
      </c>
      <c r="G136" s="12" t="inlineStr">
        <is>
          <t>05 Sep 2026</t>
        </is>
      </c>
      <c r="H136" s="8" t="inlineStr">
        <is>
          <t>⏳ UPCOMING</t>
        </is>
      </c>
      <c r="I136" s="11" t="inlineStr">
        <is>
          <t>Technical specifications Vol.II.doc</t>
        </is>
      </c>
      <c r="J136" s="13" t="inlineStr">
        <is>
          <t>📄 DOC</t>
        </is>
      </c>
      <c r="K136" s="15" t="n">
        <v>2301.5</v>
      </c>
      <c r="L136" s="16">
        <f>HYPERLINK("http://127.0.0.1:8000/api/documents/download?id=2562&amp;attachment=true", "⬇ Download Technical specifications")</f>
        <v/>
      </c>
      <c r="M136" s="16">
        <f>HYPERLINK("http://localhost:5173/?state=Andhra%20Pradesh&amp;keyword=ICT&amp;tender=1002390", "🚀 Open in Portal")</f>
        <v/>
      </c>
    </row>
    <row r="137" ht="24" customHeight="1">
      <c r="A137" s="4" t="inlineStr">
        <is>
          <t>Andhra Pradesh</t>
        </is>
      </c>
      <c r="B137" s="5" t="inlineStr">
        <is>
          <t>ICT</t>
        </is>
      </c>
      <c r="C137" s="6" t="inlineStr">
        <is>
          <t>1002390</t>
        </is>
      </c>
      <c r="D137" s="7" t="inlineStr">
        <is>
          <t>Water Resources Department HNSS Project Phase II Package No 52 A Balance work Investigation Preparation of HPs Designs LP Schedules Drawings for Provideing Distributory System to an ayacut of 8000 Acres in Amidyala Raketla and Peddakowkuntla villages of Uravakonda M by lifting water at KM 203 000 of HNSS Main Canal excluding laying of pressuremain in Anantapuramu District</t>
        </is>
      </c>
      <c r="E137" s="7" t="inlineStr">
        <is>
          <t>I &amp; CAD-SE, I &amp; CAD, HNSS Circle - II, ANANTAPUR</t>
        </is>
      </c>
      <c r="F137" s="6" t="inlineStr">
        <is>
          <t>07 Aug 2026</t>
        </is>
      </c>
      <c r="G137" s="5" t="inlineStr">
        <is>
          <t>05 Sep 2026</t>
        </is>
      </c>
      <c r="H137" s="8" t="inlineStr">
        <is>
          <t>⏳ UPCOMING</t>
        </is>
      </c>
      <c r="I137" s="4" t="inlineStr">
        <is>
          <t>Pkg.No.52 (A) Balance work Tender Document (09.10.2026) Vol.1.doc</t>
        </is>
      </c>
      <c r="J137" s="6" t="inlineStr">
        <is>
          <t>📄 DOC</t>
        </is>
      </c>
      <c r="K137" s="9" t="n">
        <v>1337.5</v>
      </c>
      <c r="L137" s="10">
        <f>HYPERLINK("http://127.0.0.1:8000/api/documents/download?id=2563&amp;attachment=true", "⬇ Download Pkg.No.52 (A) Balance wo")</f>
        <v/>
      </c>
      <c r="M137" s="10">
        <f>HYPERLINK("http://localhost:5173/?state=Andhra%20Pradesh&amp;keyword=ICT&amp;tender=1002390", "🚀 Open in Portal")</f>
        <v/>
      </c>
    </row>
    <row r="138" ht="24" customHeight="1">
      <c r="A138" s="11" t="inlineStr">
        <is>
          <t>Andhra Pradesh</t>
        </is>
      </c>
      <c r="B138" s="12" t="inlineStr">
        <is>
          <t>ICT</t>
        </is>
      </c>
      <c r="C138" s="13" t="inlineStr">
        <is>
          <t>1002390</t>
        </is>
      </c>
      <c r="D138" s="14" t="inlineStr">
        <is>
          <t>Water Resources Department HNSS Project Phase II Package No 52 A Balance work Investigation Preparation of HPs Designs LP Schedules Drawings for Provideing Distributory System to an ayacut of 8000 Acres in Amidyala Raketla and Peddakowkuntla villages of Uravakonda M by lifting water at KM 203 000 of HNSS Main Canal excluding laying of pressuremain in Anantapuramu District</t>
        </is>
      </c>
      <c r="E138" s="14" t="inlineStr">
        <is>
          <t>I &amp; CAD-SE, I &amp; CAD, HNSS Circle - II, ANANTAPUR</t>
        </is>
      </c>
      <c r="F138" s="13" t="inlineStr">
        <is>
          <t>07 Aug 2026</t>
        </is>
      </c>
      <c r="G138" s="12" t="inlineStr">
        <is>
          <t>05 Sep 2026</t>
        </is>
      </c>
      <c r="H138" s="8" t="inlineStr">
        <is>
          <t>⏳ UPCOMING</t>
        </is>
      </c>
      <c r="I138" s="11" t="inlineStr">
        <is>
          <t>Scdule A.xlsx</t>
        </is>
      </c>
      <c r="J138" s="13" t="inlineStr">
        <is>
          <t>📊 Excel BOQ</t>
        </is>
      </c>
      <c r="K138" s="15" t="n">
        <v>107.6</v>
      </c>
      <c r="L138" s="16">
        <f>HYPERLINK("http://127.0.0.1:8000/api/documents/download?id=2564&amp;attachment=true", "⬇ Download Scdule A.xlsx")</f>
        <v/>
      </c>
      <c r="M138" s="16">
        <f>HYPERLINK("http://localhost:5173/?state=Andhra%20Pradesh&amp;keyword=ICT&amp;tender=1002390", "🚀 Open in Portal")</f>
        <v/>
      </c>
    </row>
    <row r="139" ht="24" customHeight="1">
      <c r="A139" s="4" t="inlineStr">
        <is>
          <t>Andhra Pradesh</t>
        </is>
      </c>
      <c r="B139" s="5" t="inlineStr">
        <is>
          <t>ICT</t>
        </is>
      </c>
      <c r="C139" s="6" t="inlineStr">
        <is>
          <t>1002390</t>
        </is>
      </c>
      <c r="D139" s="7" t="inlineStr">
        <is>
          <t>Water Resources Department HNSS Project Phase II Package No 52 A Balance work Investigation Preparation of HPs Designs LP Schedules Drawings for Provideing Distributory System to an ayacut of 8000 Acres in Amidyala Raketla and Peddakowkuntla villages of Uravakonda M by lifting water at KM 203 000 of HNSS Main Canal excluding laying of pressuremain in Anantapuramu District</t>
        </is>
      </c>
      <c r="E139" s="7" t="inlineStr">
        <is>
          <t>I &amp; CAD-SE, I &amp; CAD, HNSS Circle - II, ANANTAPUR</t>
        </is>
      </c>
      <c r="F139" s="6" t="inlineStr">
        <is>
          <t>07 Aug 2026</t>
        </is>
      </c>
      <c r="G139" s="5" t="inlineStr">
        <is>
          <t>05 Sep 2026</t>
        </is>
      </c>
      <c r="H139" s="8" t="inlineStr">
        <is>
          <t>⏳ UPCOMING</t>
        </is>
      </c>
      <c r="I139" s="4" t="inlineStr">
        <is>
          <t>Tender_1002390_All_Documents.zip</t>
        </is>
      </c>
      <c r="J139" s="6" t="inlineStr">
        <is>
          <t>📦 ZIP Package</t>
        </is>
      </c>
      <c r="K139" s="9" t="n">
        <v>1088.5</v>
      </c>
      <c r="L139" s="10">
        <f>HYPERLINK("http://127.0.0.1:8000/api/documents/download?id=2565&amp;attachment=true", "⬇ Download Tender_1002390_All_Docum")</f>
        <v/>
      </c>
      <c r="M139" s="10">
        <f>HYPERLINK("http://localhost:5173/?state=Andhra%20Pradesh&amp;keyword=ICT&amp;tender=1002390", "🚀 Open in Portal")</f>
        <v/>
      </c>
    </row>
    <row r="140" ht="24" customHeight="1">
      <c r="A140" s="11" t="inlineStr">
        <is>
          <t>Andhra Pradesh</t>
        </is>
      </c>
      <c r="B140" s="12" t="inlineStr">
        <is>
          <t>ICT</t>
        </is>
      </c>
      <c r="C140" s="13" t="inlineStr">
        <is>
          <t>1002400</t>
        </is>
      </c>
      <c r="D140" s="14" t="inlineStr">
        <is>
          <t>Water Resources Department HNSS Project Phase I Design Supply Erection and Commissioning of Amidyala Lift Scheme near Raketla Village to Lift 109 000 Cusecs of water from HNSS Main Canal at Km203 000 to irrigate an ayacut of 8000 Acres in Uravakonda Mandal in Ananthapuramu District</t>
        </is>
      </c>
      <c r="E140" s="14" t="inlineStr">
        <is>
          <t>I &amp; CAD-SE, I &amp; CAD, HNSS Circle - II, ANANTAPUR</t>
        </is>
      </c>
      <c r="F140" s="13" t="inlineStr">
        <is>
          <t>23 Aug 2026</t>
        </is>
      </c>
      <c r="G140" s="12" t="inlineStr">
        <is>
          <t>18 Sep 2026</t>
        </is>
      </c>
      <c r="H140" s="8" t="inlineStr">
        <is>
          <t>⏳ UPCOMING</t>
        </is>
      </c>
      <c r="I140" s="11" t="inlineStr">
        <is>
          <t>Technical specifications Vol.II.doc</t>
        </is>
      </c>
      <c r="J140" s="13" t="inlineStr">
        <is>
          <t>📄 DOC</t>
        </is>
      </c>
      <c r="K140" s="15" t="n">
        <v>2303</v>
      </c>
      <c r="L140" s="16">
        <f>HYPERLINK("http://127.0.0.1:8000/api/documents/download?id=2566&amp;attachment=true", "⬇ Download Technical specifications")</f>
        <v/>
      </c>
      <c r="M140" s="16">
        <f>HYPERLINK("http://localhost:5173/?state=Andhra%20Pradesh&amp;keyword=ICT&amp;tender=1002400", "🚀 Open in Portal")</f>
        <v/>
      </c>
    </row>
    <row r="141" ht="24" customHeight="1">
      <c r="A141" s="4" t="inlineStr">
        <is>
          <t>Andhra Pradesh</t>
        </is>
      </c>
      <c r="B141" s="5" t="inlineStr">
        <is>
          <t>ICT</t>
        </is>
      </c>
      <c r="C141" s="6" t="inlineStr">
        <is>
          <t>1002400</t>
        </is>
      </c>
      <c r="D141" s="7" t="inlineStr">
        <is>
          <t>Water Resources Department HNSS Project Phase I Design Supply Erection and Commissioning of Amidyala Lift Scheme near Raketla Village to Lift 109 000 Cusecs of water from HNSS Main Canal at Km203 000 to irrigate an ayacut of 8000 Acres in Uravakonda Mandal in Ananthapuramu District</t>
        </is>
      </c>
      <c r="E141" s="7" t="inlineStr">
        <is>
          <t>I &amp; CAD-SE, I &amp; CAD, HNSS Circle - II, ANANTAPUR</t>
        </is>
      </c>
      <c r="F141" s="6" t="inlineStr">
        <is>
          <t>23 Aug 2026</t>
        </is>
      </c>
      <c r="G141" s="5" t="inlineStr">
        <is>
          <t>18 Sep 2026</t>
        </is>
      </c>
      <c r="H141" s="8" t="inlineStr">
        <is>
          <t>⏳ UPCOMING</t>
        </is>
      </c>
      <c r="I141" s="4" t="inlineStr">
        <is>
          <t>BOQ.xlsx</t>
        </is>
      </c>
      <c r="J141" s="6" t="inlineStr">
        <is>
          <t>📊 Excel BOQ</t>
        </is>
      </c>
      <c r="K141" s="9" t="n">
        <v>1126.7</v>
      </c>
      <c r="L141" s="10">
        <f>HYPERLINK("http://127.0.0.1:8000/api/documents/download?id=2567&amp;attachment=true", "⬇ Download BOQ.xlsx")</f>
        <v/>
      </c>
      <c r="M141" s="10">
        <f>HYPERLINK("http://localhost:5173/?state=Andhra%20Pradesh&amp;keyword=ICT&amp;tender=1002400", "🚀 Open in Portal")</f>
        <v/>
      </c>
    </row>
    <row r="142" ht="24" customHeight="1">
      <c r="A142" s="11" t="inlineStr">
        <is>
          <t>Andhra Pradesh</t>
        </is>
      </c>
      <c r="B142" s="12" t="inlineStr">
        <is>
          <t>ICT</t>
        </is>
      </c>
      <c r="C142" s="13" t="inlineStr">
        <is>
          <t>1002400</t>
        </is>
      </c>
      <c r="D142" s="14" t="inlineStr">
        <is>
          <t>Water Resources Department HNSS Project Phase I Design Supply Erection and Commissioning of Amidyala Lift Scheme near Raketla Village to Lift 109 000 Cusecs of water from HNSS Main Canal at Km203 000 to irrigate an ayacut of 8000 Acres in Uravakonda Mandal in Ananthapuramu District</t>
        </is>
      </c>
      <c r="E142" s="14" t="inlineStr">
        <is>
          <t>I &amp; CAD-SE, I &amp; CAD, HNSS Circle - II, ANANTAPUR</t>
        </is>
      </c>
      <c r="F142" s="13" t="inlineStr">
        <is>
          <t>23 Aug 2026</t>
        </is>
      </c>
      <c r="G142" s="12" t="inlineStr">
        <is>
          <t>18 Sep 2026</t>
        </is>
      </c>
      <c r="H142" s="8" t="inlineStr">
        <is>
          <t>⏳ UPCOMING</t>
        </is>
      </c>
      <c r="I142" s="11" t="inlineStr">
        <is>
          <t>P52 (Amidyala Lift) Tender Document (09.10.2026) (VOL.1).doc</t>
        </is>
      </c>
      <c r="J142" s="13" t="inlineStr">
        <is>
          <t>📄 DOC</t>
        </is>
      </c>
      <c r="K142" s="15" t="n">
        <v>1320</v>
      </c>
      <c r="L142" s="16">
        <f>HYPERLINK("http://127.0.0.1:8000/api/documents/download?id=2568&amp;attachment=true", "⬇ Download P52 (Amidyala Lift) Tend")</f>
        <v/>
      </c>
      <c r="M142" s="16">
        <f>HYPERLINK("http://localhost:5173/?state=Andhra%20Pradesh&amp;keyword=ICT&amp;tender=1002400", "🚀 Open in Portal")</f>
        <v/>
      </c>
    </row>
    <row r="143" ht="24" customHeight="1">
      <c r="A143" s="4" t="inlineStr">
        <is>
          <t>Andhra Pradesh</t>
        </is>
      </c>
      <c r="B143" s="5" t="inlineStr">
        <is>
          <t>ICT</t>
        </is>
      </c>
      <c r="C143" s="6" t="inlineStr">
        <is>
          <t>1002400</t>
        </is>
      </c>
      <c r="D143" s="7" t="inlineStr">
        <is>
          <t>Water Resources Department HNSS Project Phase I Design Supply Erection and Commissioning of Amidyala Lift Scheme near Raketla Village to Lift 109 000 Cusecs of water from HNSS Main Canal at Km203 000 to irrigate an ayacut of 8000 Acres in Uravakonda Mandal in Ananthapuramu District</t>
        </is>
      </c>
      <c r="E143" s="7" t="inlineStr">
        <is>
          <t>I &amp; CAD-SE, I &amp; CAD, HNSS Circle - II, ANANTAPUR</t>
        </is>
      </c>
      <c r="F143" s="6" t="inlineStr">
        <is>
          <t>23 Aug 2026</t>
        </is>
      </c>
      <c r="G143" s="5" t="inlineStr">
        <is>
          <t>18 Sep 2026</t>
        </is>
      </c>
      <c r="H143" s="8" t="inlineStr">
        <is>
          <t>⏳ UPCOMING</t>
        </is>
      </c>
      <c r="I143" s="4" t="inlineStr">
        <is>
          <t>Tender_1002400_All_Documents.zip</t>
        </is>
      </c>
      <c r="J143" s="6" t="inlineStr">
        <is>
          <t>📦 ZIP Package</t>
        </is>
      </c>
      <c r="K143" s="9" t="n">
        <v>1518</v>
      </c>
      <c r="L143" s="10">
        <f>HYPERLINK("http://127.0.0.1:8000/api/documents/download?id=2569&amp;attachment=true", "⬇ Download Tender_1002400_All_Docum")</f>
        <v/>
      </c>
      <c r="M143" s="10">
        <f>HYPERLINK("http://localhost:5173/?state=Andhra%20Pradesh&amp;keyword=ICT&amp;tender=1002400", "🚀 Open in Portal")</f>
        <v/>
      </c>
    </row>
    <row r="144" ht="24" customHeight="1">
      <c r="A144" s="11" t="inlineStr">
        <is>
          <t>Andhra Pradesh</t>
        </is>
      </c>
      <c r="B144" s="12" t="inlineStr">
        <is>
          <t>ICT</t>
        </is>
      </c>
      <c r="C144" s="13" t="inlineStr">
        <is>
          <t>2026_AND_2224875_34</t>
        </is>
      </c>
      <c r="D144" s="14" t="inlineStr">
        <is>
          <t>ICT-Based Cloud Data Center Modernization &amp; Statewide Integrated Video Command Analytics</t>
        </is>
      </c>
      <c r="E144" s="14" t="inlineStr">
        <is>
          <t>DEPARTMENT OF INFORMATION TECHNOLOGY &amp; e-GOVERNANCE</t>
        </is>
      </c>
      <c r="F144" s="13" t="inlineStr">
        <is>
          <t>03 Aug 2026</t>
        </is>
      </c>
      <c r="G144" s="12" t="inlineStr">
        <is>
          <t>30 Aug 2026</t>
        </is>
      </c>
      <c r="H144" s="8" t="inlineStr">
        <is>
          <t>⏳ UPCOMING</t>
        </is>
      </c>
      <c r="I144" s="11" t="inlineStr">
        <is>
          <t>Tendernotice_2026_AND_2224875_34.pdf</t>
        </is>
      </c>
      <c r="J144" s="13" t="inlineStr">
        <is>
          <t>📕 PDF Document</t>
        </is>
      </c>
      <c r="K144" s="15" t="n">
        <v>17.9</v>
      </c>
      <c r="L144" s="16">
        <f>HYPERLINK("http://127.0.0.1:8000/api/documents/download?id=3269&amp;attachment=true", "⬇ Download Tendernotice_2026_AND_22")</f>
        <v/>
      </c>
      <c r="M144" s="16">
        <f>HYPERLINK("http://localhost:5173/?state=Andhra%20Pradesh&amp;keyword=ICT&amp;tender=2026_AND_2224875_34", "🚀 Open in Portal")</f>
        <v/>
      </c>
    </row>
    <row r="145" ht="24" customHeight="1">
      <c r="A145" s="4" t="inlineStr">
        <is>
          <t>Andhra Pradesh</t>
        </is>
      </c>
      <c r="B145" s="5" t="inlineStr">
        <is>
          <t>ICT</t>
        </is>
      </c>
      <c r="C145" s="6" t="inlineStr">
        <is>
          <t>2026_AND_2224875_34</t>
        </is>
      </c>
      <c r="D145" s="7" t="inlineStr">
        <is>
          <t>ICT-Based Cloud Data Center Modernization &amp; Statewide Integrated Video Command Analytics</t>
        </is>
      </c>
      <c r="E145" s="7" t="inlineStr">
        <is>
          <t>DEPARTMENT OF INFORMATION TECHNOLOGY &amp; e-GOVERNANCE</t>
        </is>
      </c>
      <c r="F145" s="6" t="inlineStr">
        <is>
          <t>03 Aug 2026</t>
        </is>
      </c>
      <c r="G145" s="5" t="inlineStr">
        <is>
          <t>30 Aug 2026</t>
        </is>
      </c>
      <c r="H145" s="8" t="inlineStr">
        <is>
          <t>⏳ UPCOMING</t>
        </is>
      </c>
      <c r="I145" s="4" t="inlineStr">
        <is>
          <t>Technical_RFP_Specification_ICT.pdf</t>
        </is>
      </c>
      <c r="J145" s="6" t="inlineStr">
        <is>
          <t>📕 PDF Document</t>
        </is>
      </c>
      <c r="K145" s="9" t="n">
        <v>18</v>
      </c>
      <c r="L145" s="10">
        <f>HYPERLINK("http://127.0.0.1:8000/api/documents/download?id=3270&amp;attachment=true", "⬇ Download Technical_RFP_Specificat")</f>
        <v/>
      </c>
      <c r="M145" s="10">
        <f>HYPERLINK("http://localhost:5173/?state=Andhra%20Pradesh&amp;keyword=ICT&amp;tender=2026_AND_2224875_34", "🚀 Open in Portal")</f>
        <v/>
      </c>
    </row>
    <row r="146" ht="24" customHeight="1">
      <c r="A146" s="11" t="inlineStr">
        <is>
          <t>Andhra Pradesh</t>
        </is>
      </c>
      <c r="B146" s="12" t="inlineStr">
        <is>
          <t>ICT</t>
        </is>
      </c>
      <c r="C146" s="13" t="inlineStr">
        <is>
          <t>2026_AND_2224875_34</t>
        </is>
      </c>
      <c r="D146" s="14" t="inlineStr">
        <is>
          <t>ICT-Based Cloud Data Center Modernization &amp; Statewide Integrated Video Command Analytics</t>
        </is>
      </c>
      <c r="E146" s="14" t="inlineStr">
        <is>
          <t>DEPARTMENT OF INFORMATION TECHNOLOGY &amp; e-GOVERNANCE</t>
        </is>
      </c>
      <c r="F146" s="13" t="inlineStr">
        <is>
          <t>03 Aug 2026</t>
        </is>
      </c>
      <c r="G146" s="12" t="inlineStr">
        <is>
          <t>30 Aug 2026</t>
        </is>
      </c>
      <c r="H146" s="8" t="inlineStr">
        <is>
          <t>⏳ UPCOMING</t>
        </is>
      </c>
      <c r="I146" s="11" t="inlineStr">
        <is>
          <t>BOQ_Financial_Schedule_2026_AND_2224875_34.xlsx</t>
        </is>
      </c>
      <c r="J146" s="13" t="inlineStr">
        <is>
          <t>📊 Excel BOQ</t>
        </is>
      </c>
      <c r="K146" s="15" t="n">
        <v>2.5</v>
      </c>
      <c r="L146" s="16">
        <f>HYPERLINK("http://127.0.0.1:8000/api/documents/download?id=3271&amp;attachment=true", "⬇ Download BOQ_Financial_Schedule_2")</f>
        <v/>
      </c>
      <c r="M146" s="16">
        <f>HYPERLINK("http://localhost:5173/?state=Andhra%20Pradesh&amp;keyword=ICT&amp;tender=2026_AND_2224875_34", "🚀 Open in Portal")</f>
        <v/>
      </c>
    </row>
    <row r="147" ht="24" customHeight="1">
      <c r="A147" s="4" t="inlineStr">
        <is>
          <t>Andhra Pradesh</t>
        </is>
      </c>
      <c r="B147" s="5" t="inlineStr">
        <is>
          <t>ICT</t>
        </is>
      </c>
      <c r="C147" s="6" t="inlineStr">
        <is>
          <t>2026_AND_2224875_34</t>
        </is>
      </c>
      <c r="D147" s="7" t="inlineStr">
        <is>
          <t>ICT-Based Cloud Data Center Modernization &amp; Statewide Integrated Video Command Analytics</t>
        </is>
      </c>
      <c r="E147" s="7" t="inlineStr">
        <is>
          <t>DEPARTMENT OF INFORMATION TECHNOLOGY &amp; e-GOVERNANCE</t>
        </is>
      </c>
      <c r="F147" s="6" t="inlineStr">
        <is>
          <t>03 Aug 2026</t>
        </is>
      </c>
      <c r="G147" s="5" t="inlineStr">
        <is>
          <t>30 Aug 2026</t>
        </is>
      </c>
      <c r="H147" s="8" t="inlineStr">
        <is>
          <t>⏳ UPCOMING</t>
        </is>
      </c>
      <c r="I147" s="4" t="inlineStr">
        <is>
          <t>Tender_2026_AND_2224875_34_All_Documents.zip</t>
        </is>
      </c>
      <c r="J147" s="6" t="inlineStr">
        <is>
          <t>📦 ZIP Package</t>
        </is>
      </c>
      <c r="K147" s="9" t="n">
        <v>45</v>
      </c>
      <c r="L147" s="10">
        <f>HYPERLINK("https://tender.apeprocurement.gov.in/tender/2026_AND_2224875_34", "⬇ Download Tender_2026_AND_2224875_")</f>
        <v/>
      </c>
      <c r="M147" s="10">
        <f>HYPERLINK("http://localhost:5173/?state=Andhra%20Pradesh&amp;keyword=ICT&amp;tender=2026_AND_2224875_34", "🚀 Open in Portal")</f>
        <v/>
      </c>
    </row>
    <row r="148" ht="24" customHeight="1">
      <c r="A148" s="11" t="inlineStr">
        <is>
          <t>Andhra Pradesh</t>
        </is>
      </c>
      <c r="B148" s="12" t="inlineStr">
        <is>
          <t>ICT</t>
        </is>
      </c>
      <c r="C148" s="13" t="inlineStr">
        <is>
          <t>2026_AND_2912485_59</t>
        </is>
      </c>
      <c r="D148" s="14" t="inlineStr">
        <is>
          <t>ICT-Based Cloud Data Center Modernization &amp; Statewide Integrated Video Command Analytics</t>
        </is>
      </c>
      <c r="E148" s="14" t="inlineStr">
        <is>
          <t>DEPARTMENT OF INFORMATION TECHNOLOGY &amp; e-GOVERNANCE</t>
        </is>
      </c>
      <c r="F148" s="13" t="inlineStr">
        <is>
          <t>25 Jul 2026</t>
        </is>
      </c>
      <c r="G148" s="12" t="inlineStr">
        <is>
          <t>23 Aug 2026</t>
        </is>
      </c>
      <c r="H148" s="8" t="inlineStr">
        <is>
          <t>⏳ UPCOMING</t>
        </is>
      </c>
      <c r="I148" s="11" t="inlineStr">
        <is>
          <t>Tendernotice_2026_AND_2912485_59.pdf</t>
        </is>
      </c>
      <c r="J148" s="13" t="inlineStr">
        <is>
          <t>📕 PDF Document</t>
        </is>
      </c>
      <c r="K148" s="15" t="n">
        <v>17.9</v>
      </c>
      <c r="L148" s="16">
        <f>HYPERLINK("http://127.0.0.1:8000/api/documents/download?id=3177&amp;attachment=true", "⬇ Download Tendernotice_2026_AND_29")</f>
        <v/>
      </c>
      <c r="M148" s="16">
        <f>HYPERLINK("http://localhost:5173/?state=Andhra%20Pradesh&amp;keyword=ICT&amp;tender=2026_AND_2912485_59", "🚀 Open in Portal")</f>
        <v/>
      </c>
    </row>
    <row r="149" ht="24" customHeight="1">
      <c r="A149" s="4" t="inlineStr">
        <is>
          <t>Andhra Pradesh</t>
        </is>
      </c>
      <c r="B149" s="5" t="inlineStr">
        <is>
          <t>ICT</t>
        </is>
      </c>
      <c r="C149" s="6" t="inlineStr">
        <is>
          <t>2026_AND_2912485_59</t>
        </is>
      </c>
      <c r="D149" s="7" t="inlineStr">
        <is>
          <t>ICT-Based Cloud Data Center Modernization &amp; Statewide Integrated Video Command Analytics</t>
        </is>
      </c>
      <c r="E149" s="7" t="inlineStr">
        <is>
          <t>DEPARTMENT OF INFORMATION TECHNOLOGY &amp; e-GOVERNANCE</t>
        </is>
      </c>
      <c r="F149" s="6" t="inlineStr">
        <is>
          <t>25 Jul 2026</t>
        </is>
      </c>
      <c r="G149" s="5" t="inlineStr">
        <is>
          <t>23 Aug 2026</t>
        </is>
      </c>
      <c r="H149" s="8" t="inlineStr">
        <is>
          <t>⏳ UPCOMING</t>
        </is>
      </c>
      <c r="I149" s="4" t="inlineStr">
        <is>
          <t>Technical_RFP_Specification_ICT.pdf</t>
        </is>
      </c>
      <c r="J149" s="6" t="inlineStr">
        <is>
          <t>📕 PDF Document</t>
        </is>
      </c>
      <c r="K149" s="9" t="n">
        <v>18</v>
      </c>
      <c r="L149" s="10">
        <f>HYPERLINK("http://127.0.0.1:8000/api/documents/download?id=3178&amp;attachment=true", "⬇ Download Technical_RFP_Specificat")</f>
        <v/>
      </c>
      <c r="M149" s="10">
        <f>HYPERLINK("http://localhost:5173/?state=Andhra%20Pradesh&amp;keyword=ICT&amp;tender=2026_AND_2912485_59", "🚀 Open in Portal")</f>
        <v/>
      </c>
    </row>
    <row r="150" ht="24" customHeight="1">
      <c r="A150" s="11" t="inlineStr">
        <is>
          <t>Andhra Pradesh</t>
        </is>
      </c>
      <c r="B150" s="12" t="inlineStr">
        <is>
          <t>ICT</t>
        </is>
      </c>
      <c r="C150" s="13" t="inlineStr">
        <is>
          <t>2026_AND_2912485_59</t>
        </is>
      </c>
      <c r="D150" s="14" t="inlineStr">
        <is>
          <t>ICT-Based Cloud Data Center Modernization &amp; Statewide Integrated Video Command Analytics</t>
        </is>
      </c>
      <c r="E150" s="14" t="inlineStr">
        <is>
          <t>DEPARTMENT OF INFORMATION TECHNOLOGY &amp; e-GOVERNANCE</t>
        </is>
      </c>
      <c r="F150" s="13" t="inlineStr">
        <is>
          <t>25 Jul 2026</t>
        </is>
      </c>
      <c r="G150" s="12" t="inlineStr">
        <is>
          <t>23 Aug 2026</t>
        </is>
      </c>
      <c r="H150" s="8" t="inlineStr">
        <is>
          <t>⏳ UPCOMING</t>
        </is>
      </c>
      <c r="I150" s="11" t="inlineStr">
        <is>
          <t>BOQ_Financial_Schedule_2026_AND_2912485_59.xlsx</t>
        </is>
      </c>
      <c r="J150" s="13" t="inlineStr">
        <is>
          <t>📊 Excel BOQ</t>
        </is>
      </c>
      <c r="K150" s="15" t="n">
        <v>2.5</v>
      </c>
      <c r="L150" s="16">
        <f>HYPERLINK("http://127.0.0.1:8000/api/documents/download?id=3179&amp;attachment=true", "⬇ Download BOQ_Financial_Schedule_2")</f>
        <v/>
      </c>
      <c r="M150" s="16">
        <f>HYPERLINK("http://localhost:5173/?state=Andhra%20Pradesh&amp;keyword=ICT&amp;tender=2026_AND_2912485_59", "🚀 Open in Portal")</f>
        <v/>
      </c>
    </row>
    <row r="151" ht="24" customHeight="1">
      <c r="A151" s="4" t="inlineStr">
        <is>
          <t>Andhra Pradesh</t>
        </is>
      </c>
      <c r="B151" s="5" t="inlineStr">
        <is>
          <t>ICT</t>
        </is>
      </c>
      <c r="C151" s="6" t="inlineStr">
        <is>
          <t>2026_AND_2912485_59</t>
        </is>
      </c>
      <c r="D151" s="7" t="inlineStr">
        <is>
          <t>ICT-Based Cloud Data Center Modernization &amp; Statewide Integrated Video Command Analytics</t>
        </is>
      </c>
      <c r="E151" s="7" t="inlineStr">
        <is>
          <t>DEPARTMENT OF INFORMATION TECHNOLOGY &amp; e-GOVERNANCE</t>
        </is>
      </c>
      <c r="F151" s="6" t="inlineStr">
        <is>
          <t>25 Jul 2026</t>
        </is>
      </c>
      <c r="G151" s="5" t="inlineStr">
        <is>
          <t>23 Aug 2026</t>
        </is>
      </c>
      <c r="H151" s="8" t="inlineStr">
        <is>
          <t>⏳ UPCOMING</t>
        </is>
      </c>
      <c r="I151" s="4" t="inlineStr">
        <is>
          <t>Tender_2026_AND_2912485_59_All_Documents.zip</t>
        </is>
      </c>
      <c r="J151" s="6" t="inlineStr">
        <is>
          <t>📦 ZIP Package</t>
        </is>
      </c>
      <c r="K151" s="9" t="n">
        <v>45</v>
      </c>
      <c r="L151" s="10">
        <f>HYPERLINK("https://tender.apeprocurement.gov.in/tender/2026_AND_2912485_59", "⬇ Download Tender_2026_AND_2912485_")</f>
        <v/>
      </c>
      <c r="M151" s="10">
        <f>HYPERLINK("http://localhost:5173/?state=Andhra%20Pradesh&amp;keyword=ICT&amp;tender=2026_AND_2912485_59", "🚀 Open in Portal")</f>
        <v/>
      </c>
    </row>
    <row r="152" ht="24" customHeight="1">
      <c r="A152" s="11" t="inlineStr">
        <is>
          <t>Andhra Pradesh</t>
        </is>
      </c>
      <c r="B152" s="12" t="inlineStr">
        <is>
          <t>ICT</t>
        </is>
      </c>
      <c r="C152" s="13" t="inlineStr">
        <is>
          <t>2026_AND_4335726_59</t>
        </is>
      </c>
      <c r="D152" s="14" t="inlineStr">
        <is>
          <t>ICT-Based Cloud Data Center Modernization &amp; Statewide Integrated Video Command Analytics</t>
        </is>
      </c>
      <c r="E152" s="14" t="inlineStr">
        <is>
          <t>DEPARTMENT OF INFORMATION TECHNOLOGY &amp; e-GOVERNANCE</t>
        </is>
      </c>
      <c r="F152" s="13" t="inlineStr">
        <is>
          <t>19 Oct 2026</t>
        </is>
      </c>
      <c r="G152" s="12" t="inlineStr">
        <is>
          <t>22 Nov 2026</t>
        </is>
      </c>
      <c r="H152" s="17" t="inlineStr">
        <is>
          <t>🟢 LIVE ACTIVE</t>
        </is>
      </c>
      <c r="I152" s="11" t="inlineStr">
        <is>
          <t>Tendernotice_2026_AND_4335726_59.pdf</t>
        </is>
      </c>
      <c r="J152" s="13" t="inlineStr">
        <is>
          <t>📕 PDF Document</t>
        </is>
      </c>
      <c r="K152" s="15" t="n">
        <v>17.9</v>
      </c>
      <c r="L152" s="16">
        <f>HYPERLINK("http://127.0.0.1:8000/api/documents/download?id=3049&amp;attachment=true", "⬇ Download Tendernotice_2026_AND_43")</f>
        <v/>
      </c>
      <c r="M152" s="16">
        <f>HYPERLINK("http://localhost:5173/?state=Andhra%20Pradesh&amp;keyword=ICT&amp;tender=2026_AND_4335726_59", "🚀 Open in Portal")</f>
        <v/>
      </c>
    </row>
    <row r="153" ht="24" customHeight="1">
      <c r="A153" s="4" t="inlineStr">
        <is>
          <t>Andhra Pradesh</t>
        </is>
      </c>
      <c r="B153" s="5" t="inlineStr">
        <is>
          <t>ICT</t>
        </is>
      </c>
      <c r="C153" s="6" t="inlineStr">
        <is>
          <t>2026_AND_4335726_59</t>
        </is>
      </c>
      <c r="D153" s="7" t="inlineStr">
        <is>
          <t>ICT-Based Cloud Data Center Modernization &amp; Statewide Integrated Video Command Analytics</t>
        </is>
      </c>
      <c r="E153" s="7" t="inlineStr">
        <is>
          <t>DEPARTMENT OF INFORMATION TECHNOLOGY &amp; e-GOVERNANCE</t>
        </is>
      </c>
      <c r="F153" s="6" t="inlineStr">
        <is>
          <t>19 Oct 2026</t>
        </is>
      </c>
      <c r="G153" s="5" t="inlineStr">
        <is>
          <t>22 Nov 2026</t>
        </is>
      </c>
      <c r="H153" s="17" t="inlineStr">
        <is>
          <t>🟢 LIVE ACTIVE</t>
        </is>
      </c>
      <c r="I153" s="4" t="inlineStr">
        <is>
          <t>Technical_RFP_Specification_ICT.pdf</t>
        </is>
      </c>
      <c r="J153" s="6" t="inlineStr">
        <is>
          <t>📕 PDF Document</t>
        </is>
      </c>
      <c r="K153" s="9" t="n">
        <v>18</v>
      </c>
      <c r="L153" s="10">
        <f>HYPERLINK("http://127.0.0.1:8000/api/documents/download?id=3050&amp;attachment=true", "⬇ Download Technical_RFP_Specificat")</f>
        <v/>
      </c>
      <c r="M153" s="10">
        <f>HYPERLINK("http://localhost:5173/?state=Andhra%20Pradesh&amp;keyword=ICT&amp;tender=2026_AND_4335726_59", "🚀 Open in Portal")</f>
        <v/>
      </c>
    </row>
    <row r="154" ht="24" customHeight="1">
      <c r="A154" s="11" t="inlineStr">
        <is>
          <t>Andhra Pradesh</t>
        </is>
      </c>
      <c r="B154" s="12" t="inlineStr">
        <is>
          <t>ICT</t>
        </is>
      </c>
      <c r="C154" s="13" t="inlineStr">
        <is>
          <t>2026_AND_4335726_59</t>
        </is>
      </c>
      <c r="D154" s="14" t="inlineStr">
        <is>
          <t>ICT-Based Cloud Data Center Modernization &amp; Statewide Integrated Video Command Analytics</t>
        </is>
      </c>
      <c r="E154" s="14" t="inlineStr">
        <is>
          <t>DEPARTMENT OF INFORMATION TECHNOLOGY &amp; e-GOVERNANCE</t>
        </is>
      </c>
      <c r="F154" s="13" t="inlineStr">
        <is>
          <t>19 Oct 2026</t>
        </is>
      </c>
      <c r="G154" s="12" t="inlineStr">
        <is>
          <t>22 Nov 2026</t>
        </is>
      </c>
      <c r="H154" s="17" t="inlineStr">
        <is>
          <t>🟢 LIVE ACTIVE</t>
        </is>
      </c>
      <c r="I154" s="11" t="inlineStr">
        <is>
          <t>BOQ_Financial_Schedule_2026_AND_4335726_59.xlsx</t>
        </is>
      </c>
      <c r="J154" s="13" t="inlineStr">
        <is>
          <t>📊 Excel BOQ</t>
        </is>
      </c>
      <c r="K154" s="15" t="n">
        <v>2.5</v>
      </c>
      <c r="L154" s="16">
        <f>HYPERLINK("http://127.0.0.1:8000/api/documents/download?id=3051&amp;attachment=true", "⬇ Download BOQ_Financial_Schedule_2")</f>
        <v/>
      </c>
      <c r="M154" s="16">
        <f>HYPERLINK("http://localhost:5173/?state=Andhra%20Pradesh&amp;keyword=ICT&amp;tender=2026_AND_4335726_59", "🚀 Open in Portal")</f>
        <v/>
      </c>
    </row>
    <row r="155" ht="24" customHeight="1">
      <c r="A155" s="4" t="inlineStr">
        <is>
          <t>Andhra Pradesh</t>
        </is>
      </c>
      <c r="B155" s="5" t="inlineStr">
        <is>
          <t>ICT</t>
        </is>
      </c>
      <c r="C155" s="6" t="inlineStr">
        <is>
          <t>2026_AND_4335726_59</t>
        </is>
      </c>
      <c r="D155" s="7" t="inlineStr">
        <is>
          <t>ICT-Based Cloud Data Center Modernization &amp; Statewide Integrated Video Command Analytics</t>
        </is>
      </c>
      <c r="E155" s="7" t="inlineStr">
        <is>
          <t>DEPARTMENT OF INFORMATION TECHNOLOGY &amp; e-GOVERNANCE</t>
        </is>
      </c>
      <c r="F155" s="6" t="inlineStr">
        <is>
          <t>19 Oct 2026</t>
        </is>
      </c>
      <c r="G155" s="5" t="inlineStr">
        <is>
          <t>22 Nov 2026</t>
        </is>
      </c>
      <c r="H155" s="17" t="inlineStr">
        <is>
          <t>🟢 LIVE ACTIVE</t>
        </is>
      </c>
      <c r="I155" s="4" t="inlineStr">
        <is>
          <t>Tender_2026_AND_4335726_59_All_Documents.zip</t>
        </is>
      </c>
      <c r="J155" s="6" t="inlineStr">
        <is>
          <t>📦 ZIP Package</t>
        </is>
      </c>
      <c r="K155" s="9" t="n">
        <v>45</v>
      </c>
      <c r="L155" s="10">
        <f>HYPERLINK("https://tender.apeprocurement.gov.in/tender/2026_AND_4335726_59", "⬇ Download Tender_2026_AND_4335726_")</f>
        <v/>
      </c>
      <c r="M155" s="10">
        <f>HYPERLINK("http://localhost:5173/?state=Andhra%20Pradesh&amp;keyword=ICT&amp;tender=2026_AND_4335726_59", "🚀 Open in Portal")</f>
        <v/>
      </c>
    </row>
    <row r="156" ht="24" customHeight="1">
      <c r="A156" s="11" t="inlineStr">
        <is>
          <t>Andhra Pradesh</t>
        </is>
      </c>
      <c r="B156" s="12" t="inlineStr">
        <is>
          <t>ICT</t>
        </is>
      </c>
      <c r="C156" s="13" t="inlineStr">
        <is>
          <t>988312</t>
        </is>
      </c>
      <c r="D156"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56" s="14" t="inlineStr">
        <is>
          <t>APTRANSCO WORKS-Chief Engineer Projects, Vijayawada</t>
        </is>
      </c>
      <c r="F156" s="13" t="inlineStr">
        <is>
          <t>28 Sep 2026</t>
        </is>
      </c>
      <c r="G156" s="12" t="inlineStr">
        <is>
          <t>04 Nov 2026</t>
        </is>
      </c>
      <c r="H156" s="17" t="inlineStr">
        <is>
          <t>🟢 LIVE ACTIVE</t>
        </is>
      </c>
      <c r="I156" s="11" t="inlineStr">
        <is>
          <t>Volume-I-Tallapally.docx</t>
        </is>
      </c>
      <c r="J156" s="13" t="inlineStr">
        <is>
          <t>📄 DOCX</t>
        </is>
      </c>
      <c r="K156" s="15" t="n">
        <v>3152.6</v>
      </c>
      <c r="L156" s="16">
        <f>HYPERLINK("http://127.0.0.1:8000/api/documents/download?id=2483&amp;attachment=true", "⬇ Download Volume-I-Tallapally.docx")</f>
        <v/>
      </c>
      <c r="M156" s="16">
        <f>HYPERLINK("http://localhost:5173/?state=Andhra%20Pradesh&amp;keyword=ICT&amp;tender=988312", "🚀 Open in Portal")</f>
        <v/>
      </c>
    </row>
    <row r="157" ht="24" customHeight="1">
      <c r="A157" s="4" t="inlineStr">
        <is>
          <t>Andhra Pradesh</t>
        </is>
      </c>
      <c r="B157" s="5" t="inlineStr">
        <is>
          <t>ICT</t>
        </is>
      </c>
      <c r="C157" s="6" t="inlineStr">
        <is>
          <t>988312</t>
        </is>
      </c>
      <c r="D157"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57" s="7" t="inlineStr">
        <is>
          <t>APTRANSCO WORKS-Chief Engineer Projects, Vijayawada</t>
        </is>
      </c>
      <c r="F157" s="6" t="inlineStr">
        <is>
          <t>28 Sep 2026</t>
        </is>
      </c>
      <c r="G157" s="5" t="inlineStr">
        <is>
          <t>04 Nov 2026</t>
        </is>
      </c>
      <c r="H157" s="17" t="inlineStr">
        <is>
          <t>🟢 LIVE ACTIVE</t>
        </is>
      </c>
      <c r="I157" s="4" t="inlineStr">
        <is>
          <t>Index.doc</t>
        </is>
      </c>
      <c r="J157" s="6" t="inlineStr">
        <is>
          <t>📄 DOC</t>
        </is>
      </c>
      <c r="K157" s="9" t="n">
        <v>40</v>
      </c>
      <c r="L157" s="10">
        <f>HYPERLINK("http://127.0.0.1:8000/api/documents/download?id=2484&amp;attachment=true", "⬇ Download Index.doc")</f>
        <v/>
      </c>
      <c r="M157" s="10">
        <f>HYPERLINK("http://localhost:5173/?state=Andhra%20Pradesh&amp;keyword=ICT&amp;tender=988312", "🚀 Open in Portal")</f>
        <v/>
      </c>
    </row>
    <row r="158" ht="24" customHeight="1">
      <c r="A158" s="11" t="inlineStr">
        <is>
          <t>Andhra Pradesh</t>
        </is>
      </c>
      <c r="B158" s="12" t="inlineStr">
        <is>
          <t>ICT</t>
        </is>
      </c>
      <c r="C158" s="13" t="inlineStr">
        <is>
          <t>988312</t>
        </is>
      </c>
      <c r="D158"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58" s="14" t="inlineStr">
        <is>
          <t>APTRANSCO WORKS-Chief Engineer Projects, Vijayawada</t>
        </is>
      </c>
      <c r="F158" s="13" t="inlineStr">
        <is>
          <t>28 Sep 2026</t>
        </is>
      </c>
      <c r="G158" s="12" t="inlineStr">
        <is>
          <t>04 Nov 2026</t>
        </is>
      </c>
      <c r="H158" s="17" t="inlineStr">
        <is>
          <t>🟢 LIVE ACTIVE</t>
        </is>
      </c>
      <c r="I158" s="11" t="inlineStr">
        <is>
          <t>Section - 1 General.pdf</t>
        </is>
      </c>
      <c r="J158" s="13" t="inlineStr">
        <is>
          <t>📕 PDF Document</t>
        </is>
      </c>
      <c r="K158" s="15" t="n">
        <v>288.4</v>
      </c>
      <c r="L158" s="16">
        <f>HYPERLINK("http://127.0.0.1:8000/api/documents/download?id=2485&amp;attachment=true", "⬇ Download Section - 1 General.pdf")</f>
        <v/>
      </c>
      <c r="M158" s="16">
        <f>HYPERLINK("http://localhost:5173/?state=Andhra%20Pradesh&amp;keyword=ICT&amp;tender=988312", "🚀 Open in Portal")</f>
        <v/>
      </c>
    </row>
    <row r="159" ht="24" customHeight="1">
      <c r="A159" s="4" t="inlineStr">
        <is>
          <t>Andhra Pradesh</t>
        </is>
      </c>
      <c r="B159" s="5" t="inlineStr">
        <is>
          <t>ICT</t>
        </is>
      </c>
      <c r="C159" s="6" t="inlineStr">
        <is>
          <t>988312</t>
        </is>
      </c>
      <c r="D159"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59" s="7" t="inlineStr">
        <is>
          <t>APTRANSCO WORKS-Chief Engineer Projects, Vijayawada</t>
        </is>
      </c>
      <c r="F159" s="6" t="inlineStr">
        <is>
          <t>28 Sep 2026</t>
        </is>
      </c>
      <c r="G159" s="5" t="inlineStr">
        <is>
          <t>04 Nov 2026</t>
        </is>
      </c>
      <c r="H159" s="17" t="inlineStr">
        <is>
          <t>🟢 LIVE ACTIVE</t>
        </is>
      </c>
      <c r="I159" s="4" t="inlineStr">
        <is>
          <t>Section - 10 Tech  Spec for Control Relay panels.pdf</t>
        </is>
      </c>
      <c r="J159" s="6" t="inlineStr">
        <is>
          <t>📕 PDF Document</t>
        </is>
      </c>
      <c r="K159" s="9" t="n">
        <v>1467.2</v>
      </c>
      <c r="L159" s="10">
        <f>HYPERLINK("http://127.0.0.1:8000/api/documents/download?id=2486&amp;attachment=true", "⬇ Download Section - 10 Tech  Spec ")</f>
        <v/>
      </c>
      <c r="M159" s="10">
        <f>HYPERLINK("http://localhost:5173/?state=Andhra%20Pradesh&amp;keyword=ICT&amp;tender=988312", "🚀 Open in Portal")</f>
        <v/>
      </c>
    </row>
    <row r="160" ht="24" customHeight="1">
      <c r="A160" s="11" t="inlineStr">
        <is>
          <t>Andhra Pradesh</t>
        </is>
      </c>
      <c r="B160" s="12" t="inlineStr">
        <is>
          <t>ICT</t>
        </is>
      </c>
      <c r="C160" s="13" t="inlineStr">
        <is>
          <t>988312</t>
        </is>
      </c>
      <c r="D160"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60" s="14" t="inlineStr">
        <is>
          <t>APTRANSCO WORKS-Chief Engineer Projects, Vijayawada</t>
        </is>
      </c>
      <c r="F160" s="13" t="inlineStr">
        <is>
          <t>28 Sep 2026</t>
        </is>
      </c>
      <c r="G160" s="12" t="inlineStr">
        <is>
          <t>04 Nov 2026</t>
        </is>
      </c>
      <c r="H160" s="17" t="inlineStr">
        <is>
          <t>🟢 LIVE ACTIVE</t>
        </is>
      </c>
      <c r="I160" s="11" t="inlineStr">
        <is>
          <t>Section - 11 -Staton Transformer.pdf</t>
        </is>
      </c>
      <c r="J160" s="13" t="inlineStr">
        <is>
          <t>📕 PDF Document</t>
        </is>
      </c>
      <c r="K160" s="15" t="n">
        <v>274.7</v>
      </c>
      <c r="L160" s="16">
        <f>HYPERLINK("http://127.0.0.1:8000/api/documents/download?id=2487&amp;attachment=true", "⬇ Download Section - 11 -Staton Tra")</f>
        <v/>
      </c>
      <c r="M160" s="16">
        <f>HYPERLINK("http://localhost:5173/?state=Andhra%20Pradesh&amp;keyword=ICT&amp;tender=988312", "🚀 Open in Portal")</f>
        <v/>
      </c>
    </row>
    <row r="161" ht="24" customHeight="1">
      <c r="A161" s="4" t="inlineStr">
        <is>
          <t>Andhra Pradesh</t>
        </is>
      </c>
      <c r="B161" s="5" t="inlineStr">
        <is>
          <t>ICT</t>
        </is>
      </c>
      <c r="C161" s="6" t="inlineStr">
        <is>
          <t>988312</t>
        </is>
      </c>
      <c r="D161"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61" s="7" t="inlineStr">
        <is>
          <t>APTRANSCO WORKS-Chief Engineer Projects, Vijayawada</t>
        </is>
      </c>
      <c r="F161" s="6" t="inlineStr">
        <is>
          <t>28 Sep 2026</t>
        </is>
      </c>
      <c r="G161" s="5" t="inlineStr">
        <is>
          <t>04 Nov 2026</t>
        </is>
      </c>
      <c r="H161" s="17" t="inlineStr">
        <is>
          <t>🟢 LIVE ACTIVE</t>
        </is>
      </c>
      <c r="I161" s="4" t="inlineStr">
        <is>
          <t>Section - 12 ACSR Conductor.pdf</t>
        </is>
      </c>
      <c r="J161" s="6" t="inlineStr">
        <is>
          <t>📕 PDF Document</t>
        </is>
      </c>
      <c r="K161" s="9" t="n">
        <v>679.9</v>
      </c>
      <c r="L161" s="10">
        <f>HYPERLINK("http://127.0.0.1:8000/api/documents/download?id=2488&amp;attachment=true", "⬇ Download Section - 12 ACSR Conduc")</f>
        <v/>
      </c>
      <c r="M161" s="10">
        <f>HYPERLINK("http://localhost:5173/?state=Andhra%20Pradesh&amp;keyword=ICT&amp;tender=988312", "🚀 Open in Portal")</f>
        <v/>
      </c>
    </row>
    <row r="162" ht="24" customHeight="1">
      <c r="A162" s="11" t="inlineStr">
        <is>
          <t>Andhra Pradesh</t>
        </is>
      </c>
      <c r="B162" s="12" t="inlineStr">
        <is>
          <t>ICT</t>
        </is>
      </c>
      <c r="C162" s="13" t="inlineStr">
        <is>
          <t>988312</t>
        </is>
      </c>
      <c r="D162"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62" s="14" t="inlineStr">
        <is>
          <t>APTRANSCO WORKS-Chief Engineer Projects, Vijayawada</t>
        </is>
      </c>
      <c r="F162" s="13" t="inlineStr">
        <is>
          <t>28 Sep 2026</t>
        </is>
      </c>
      <c r="G162" s="12" t="inlineStr">
        <is>
          <t>04 Nov 2026</t>
        </is>
      </c>
      <c r="H162" s="17" t="inlineStr">
        <is>
          <t>🟢 LIVE ACTIVE</t>
        </is>
      </c>
      <c r="I162" s="11" t="inlineStr">
        <is>
          <t>Section - 13 Porcelain disc insulators.pdf</t>
        </is>
      </c>
      <c r="J162" s="13" t="inlineStr">
        <is>
          <t>📕 PDF Document</t>
        </is>
      </c>
      <c r="K162" s="15" t="n">
        <v>423.9</v>
      </c>
      <c r="L162" s="16">
        <f>HYPERLINK("http://127.0.0.1:8000/api/documents/download?id=2489&amp;attachment=true", "⬇ Download Section - 13 Porcelain d")</f>
        <v/>
      </c>
      <c r="M162" s="16">
        <f>HYPERLINK("http://localhost:5173/?state=Andhra%20Pradesh&amp;keyword=ICT&amp;tender=988312", "🚀 Open in Portal")</f>
        <v/>
      </c>
    </row>
    <row r="163" ht="24" customHeight="1">
      <c r="A163" s="4" t="inlineStr">
        <is>
          <t>Andhra Pradesh</t>
        </is>
      </c>
      <c r="B163" s="5" t="inlineStr">
        <is>
          <t>ICT</t>
        </is>
      </c>
      <c r="C163" s="6" t="inlineStr">
        <is>
          <t>988312</t>
        </is>
      </c>
      <c r="D163"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63" s="7" t="inlineStr">
        <is>
          <t>APTRANSCO WORKS-Chief Engineer Projects, Vijayawada</t>
        </is>
      </c>
      <c r="F163" s="6" t="inlineStr">
        <is>
          <t>28 Sep 2026</t>
        </is>
      </c>
      <c r="G163" s="5" t="inlineStr">
        <is>
          <t>04 Nov 2026</t>
        </is>
      </c>
      <c r="H163" s="17" t="inlineStr">
        <is>
          <t>🟢 LIVE ACTIVE</t>
        </is>
      </c>
      <c r="I163" s="4" t="inlineStr">
        <is>
          <t>Section - 14 Transmission line towers.pdf</t>
        </is>
      </c>
      <c r="J163" s="6" t="inlineStr">
        <is>
          <t>📕 PDF Document</t>
        </is>
      </c>
      <c r="K163" s="9" t="n">
        <v>452.1</v>
      </c>
      <c r="L163" s="10">
        <f>HYPERLINK("http://127.0.0.1:8000/api/documents/download?id=2490&amp;attachment=true", "⬇ Download Section - 14 Transmissio")</f>
        <v/>
      </c>
      <c r="M163" s="10">
        <f>HYPERLINK("http://localhost:5173/?state=Andhra%20Pradesh&amp;keyword=ICT&amp;tender=988312", "🚀 Open in Portal")</f>
        <v/>
      </c>
    </row>
    <row r="164" ht="24" customHeight="1">
      <c r="A164" s="11" t="inlineStr">
        <is>
          <t>Andhra Pradesh</t>
        </is>
      </c>
      <c r="B164" s="12" t="inlineStr">
        <is>
          <t>ICT</t>
        </is>
      </c>
      <c r="C164" s="13" t="inlineStr">
        <is>
          <t>988312</t>
        </is>
      </c>
      <c r="D164"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64" s="14" t="inlineStr">
        <is>
          <t>APTRANSCO WORKS-Chief Engineer Projects, Vijayawada</t>
        </is>
      </c>
      <c r="F164" s="13" t="inlineStr">
        <is>
          <t>28 Sep 2026</t>
        </is>
      </c>
      <c r="G164" s="12" t="inlineStr">
        <is>
          <t>04 Nov 2026</t>
        </is>
      </c>
      <c r="H164" s="17" t="inlineStr">
        <is>
          <t>🟢 LIVE ACTIVE</t>
        </is>
      </c>
      <c r="I164" s="11" t="inlineStr">
        <is>
          <t>section - 15 Earth wire.pdf</t>
        </is>
      </c>
      <c r="J164" s="13" t="inlineStr">
        <is>
          <t>📕 PDF Document</t>
        </is>
      </c>
      <c r="K164" s="15" t="n">
        <v>524</v>
      </c>
      <c r="L164" s="16">
        <f>HYPERLINK("http://127.0.0.1:8000/api/documents/download?id=2491&amp;attachment=true", "⬇ Download section - 15 Earth wire.")</f>
        <v/>
      </c>
      <c r="M164" s="16">
        <f>HYPERLINK("http://localhost:5173/?state=Andhra%20Pradesh&amp;keyword=ICT&amp;tender=988312", "🚀 Open in Portal")</f>
        <v/>
      </c>
    </row>
    <row r="165" ht="24" customHeight="1">
      <c r="A165" s="4" t="inlineStr">
        <is>
          <t>Andhra Pradesh</t>
        </is>
      </c>
      <c r="B165" s="5" t="inlineStr">
        <is>
          <t>ICT</t>
        </is>
      </c>
      <c r="C165" s="6" t="inlineStr">
        <is>
          <t>988312</t>
        </is>
      </c>
      <c r="D165"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65" s="7" t="inlineStr">
        <is>
          <t>APTRANSCO WORKS-Chief Engineer Projects, Vijayawada</t>
        </is>
      </c>
      <c r="F165" s="6" t="inlineStr">
        <is>
          <t>28 Sep 2026</t>
        </is>
      </c>
      <c r="G165" s="5" t="inlineStr">
        <is>
          <t>04 Nov 2026</t>
        </is>
      </c>
      <c r="H165" s="17" t="inlineStr">
        <is>
          <t>🟢 LIVE ACTIVE</t>
        </is>
      </c>
      <c r="I165" s="4" t="inlineStr">
        <is>
          <t>Section - 16 Hardware &amp; Accessories for conductor &amp; earth wire.pdf</t>
        </is>
      </c>
      <c r="J165" s="6" t="inlineStr">
        <is>
          <t>📕 PDF Document</t>
        </is>
      </c>
      <c r="K165" s="9" t="n">
        <v>649.1</v>
      </c>
      <c r="L165" s="10">
        <f>HYPERLINK("http://127.0.0.1:8000/api/documents/download?id=2492&amp;attachment=true", "⬇ Download Section - 16 Hardware &amp; ")</f>
        <v/>
      </c>
      <c r="M165" s="10">
        <f>HYPERLINK("http://localhost:5173/?state=Andhra%20Pradesh&amp;keyword=ICT&amp;tender=988312", "🚀 Open in Portal")</f>
        <v/>
      </c>
    </row>
    <row r="166" ht="24" customHeight="1">
      <c r="A166" s="11" t="inlineStr">
        <is>
          <t>Andhra Pradesh</t>
        </is>
      </c>
      <c r="B166" s="12" t="inlineStr">
        <is>
          <t>ICT</t>
        </is>
      </c>
      <c r="C166" s="13" t="inlineStr">
        <is>
          <t>988312</t>
        </is>
      </c>
      <c r="D166"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66" s="14" t="inlineStr">
        <is>
          <t>APTRANSCO WORKS-Chief Engineer Projects, Vijayawada</t>
        </is>
      </c>
      <c r="F166" s="13" t="inlineStr">
        <is>
          <t>28 Sep 2026</t>
        </is>
      </c>
      <c r="G166" s="12" t="inlineStr">
        <is>
          <t>04 Nov 2026</t>
        </is>
      </c>
      <c r="H166" s="17" t="inlineStr">
        <is>
          <t>🟢 LIVE ACTIVE</t>
        </is>
      </c>
      <c r="I166" s="11" t="inlineStr">
        <is>
          <t>section - 17 Bolts &amp; Nuts.pdf</t>
        </is>
      </c>
      <c r="J166" s="13" t="inlineStr">
        <is>
          <t>📕 PDF Document</t>
        </is>
      </c>
      <c r="K166" s="15" t="n">
        <v>472.7</v>
      </c>
      <c r="L166" s="16">
        <f>HYPERLINK("http://127.0.0.1:8000/api/documents/download?id=2493&amp;attachment=true", "⬇ Download section - 17 Bolts &amp; Nut")</f>
        <v/>
      </c>
      <c r="M166" s="16">
        <f>HYPERLINK("http://localhost:5173/?state=Andhra%20Pradesh&amp;keyword=ICT&amp;tender=988312", "🚀 Open in Portal")</f>
        <v/>
      </c>
    </row>
    <row r="167" ht="24" customHeight="1">
      <c r="A167" s="4" t="inlineStr">
        <is>
          <t>Andhra Pradesh</t>
        </is>
      </c>
      <c r="B167" s="5" t="inlineStr">
        <is>
          <t>ICT</t>
        </is>
      </c>
      <c r="C167" s="6" t="inlineStr">
        <is>
          <t>988312</t>
        </is>
      </c>
      <c r="D167"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67" s="7" t="inlineStr">
        <is>
          <t>APTRANSCO WORKS-Chief Engineer Projects, Vijayawada</t>
        </is>
      </c>
      <c r="F167" s="6" t="inlineStr">
        <is>
          <t>28 Sep 2026</t>
        </is>
      </c>
      <c r="G167" s="5" t="inlineStr">
        <is>
          <t>04 Nov 2026</t>
        </is>
      </c>
      <c r="H167" s="17" t="inlineStr">
        <is>
          <t>🟢 LIVE ACTIVE</t>
        </is>
      </c>
      <c r="I167" s="4" t="inlineStr">
        <is>
          <t>Section - 18  Tech Spec for Substation.pdf</t>
        </is>
      </c>
      <c r="J167" s="6" t="inlineStr">
        <is>
          <t>📕 PDF Document</t>
        </is>
      </c>
      <c r="K167" s="9" t="n">
        <v>853.1</v>
      </c>
      <c r="L167" s="10">
        <f>HYPERLINK("http://127.0.0.1:8000/api/documents/download?id=2494&amp;attachment=true", "⬇ Download Section - 18  Tech Spec ")</f>
        <v/>
      </c>
      <c r="M167" s="10">
        <f>HYPERLINK("http://localhost:5173/?state=Andhra%20Pradesh&amp;keyword=ICT&amp;tender=988312", "🚀 Open in Portal")</f>
        <v/>
      </c>
    </row>
    <row r="168" ht="24" customHeight="1">
      <c r="A168" s="11" t="inlineStr">
        <is>
          <t>Andhra Pradesh</t>
        </is>
      </c>
      <c r="B168" s="12" t="inlineStr">
        <is>
          <t>ICT</t>
        </is>
      </c>
      <c r="C168" s="13" t="inlineStr">
        <is>
          <t>988312</t>
        </is>
      </c>
      <c r="D168"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68" s="14" t="inlineStr">
        <is>
          <t>APTRANSCO WORKS-Chief Engineer Projects, Vijayawada</t>
        </is>
      </c>
      <c r="F168" s="13" t="inlineStr">
        <is>
          <t>28 Sep 2026</t>
        </is>
      </c>
      <c r="G168" s="12" t="inlineStr">
        <is>
          <t>04 Nov 2026</t>
        </is>
      </c>
      <c r="H168" s="17" t="inlineStr">
        <is>
          <t>🟢 LIVE ACTIVE</t>
        </is>
      </c>
      <c r="I168" s="11" t="inlineStr">
        <is>
          <t>Section - 19 Tech Spec for Tr Line works.pdf</t>
        </is>
      </c>
      <c r="J168" s="13" t="inlineStr">
        <is>
          <t>📕 PDF Document</t>
        </is>
      </c>
      <c r="K168" s="15" t="n">
        <v>524.5</v>
      </c>
      <c r="L168" s="16">
        <f>HYPERLINK("http://127.0.0.1:8000/api/documents/download?id=2495&amp;attachment=true", "⬇ Download Section - 19 Tech Spec f")</f>
        <v/>
      </c>
      <c r="M168" s="16">
        <f>HYPERLINK("http://localhost:5173/?state=Andhra%20Pradesh&amp;keyword=ICT&amp;tender=988312", "🚀 Open in Portal")</f>
        <v/>
      </c>
    </row>
    <row r="169" ht="24" customHeight="1">
      <c r="A169" s="4" t="inlineStr">
        <is>
          <t>Andhra Pradesh</t>
        </is>
      </c>
      <c r="B169" s="5" t="inlineStr">
        <is>
          <t>ICT</t>
        </is>
      </c>
      <c r="C169" s="6" t="inlineStr">
        <is>
          <t>988312</t>
        </is>
      </c>
      <c r="D169"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69" s="7" t="inlineStr">
        <is>
          <t>APTRANSCO WORKS-Chief Engineer Projects, Vijayawada</t>
        </is>
      </c>
      <c r="F169" s="6" t="inlineStr">
        <is>
          <t>28 Sep 2026</t>
        </is>
      </c>
      <c r="G169" s="5" t="inlineStr">
        <is>
          <t>04 Nov 2026</t>
        </is>
      </c>
      <c r="H169" s="17" t="inlineStr">
        <is>
          <t>🟢 LIVE ACTIVE</t>
        </is>
      </c>
      <c r="I169" s="4" t="inlineStr">
        <is>
          <t>Section - 2 CTs-PTs-CVTs.pdf</t>
        </is>
      </c>
      <c r="J169" s="6" t="inlineStr">
        <is>
          <t>📕 PDF Document</t>
        </is>
      </c>
      <c r="K169" s="9" t="n">
        <v>719.3</v>
      </c>
      <c r="L169" s="10">
        <f>HYPERLINK("http://127.0.0.1:8000/api/documents/download?id=2496&amp;attachment=true", "⬇ Download Section - 2 CTs-PTs-CVTs")</f>
        <v/>
      </c>
      <c r="M169" s="10">
        <f>HYPERLINK("http://localhost:5173/?state=Andhra%20Pradesh&amp;keyword=ICT&amp;tender=988312", "🚀 Open in Portal")</f>
        <v/>
      </c>
    </row>
    <row r="170" ht="24" customHeight="1">
      <c r="A170" s="11" t="inlineStr">
        <is>
          <t>Andhra Pradesh</t>
        </is>
      </c>
      <c r="B170" s="12" t="inlineStr">
        <is>
          <t>ICT</t>
        </is>
      </c>
      <c r="C170" s="13" t="inlineStr">
        <is>
          <t>988312</t>
        </is>
      </c>
      <c r="D170"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70" s="14" t="inlineStr">
        <is>
          <t>APTRANSCO WORKS-Chief Engineer Projects, Vijayawada</t>
        </is>
      </c>
      <c r="F170" s="13" t="inlineStr">
        <is>
          <t>28 Sep 2026</t>
        </is>
      </c>
      <c r="G170" s="12" t="inlineStr">
        <is>
          <t>04 Nov 2026</t>
        </is>
      </c>
      <c r="H170" s="17" t="inlineStr">
        <is>
          <t>🟢 LIVE ACTIVE</t>
        </is>
      </c>
      <c r="I170" s="11" t="inlineStr">
        <is>
          <t>Section - 20  Technical specification of OPGW, OFAC &amp; FODP.pdf</t>
        </is>
      </c>
      <c r="J170" s="13" t="inlineStr">
        <is>
          <t>📕 PDF Document</t>
        </is>
      </c>
      <c r="K170" s="15" t="n">
        <v>1363.8</v>
      </c>
      <c r="L170" s="16">
        <f>HYPERLINK("http://127.0.0.1:8000/api/documents/download?id=2497&amp;attachment=true", "⬇ Download Section - 20  Technical ")</f>
        <v/>
      </c>
      <c r="M170" s="16">
        <f>HYPERLINK("http://localhost:5173/?state=Andhra%20Pradesh&amp;keyword=ICT&amp;tender=988312", "🚀 Open in Portal")</f>
        <v/>
      </c>
    </row>
    <row r="171" ht="24" customHeight="1">
      <c r="A171" s="4" t="inlineStr">
        <is>
          <t>Andhra Pradesh</t>
        </is>
      </c>
      <c r="B171" s="5" t="inlineStr">
        <is>
          <t>ICT</t>
        </is>
      </c>
      <c r="C171" s="6" t="inlineStr">
        <is>
          <t>988312</t>
        </is>
      </c>
      <c r="D171"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71" s="7" t="inlineStr">
        <is>
          <t>APTRANSCO WORKS-Chief Engineer Projects, Vijayawada</t>
        </is>
      </c>
      <c r="F171" s="6" t="inlineStr">
        <is>
          <t>28 Sep 2026</t>
        </is>
      </c>
      <c r="G171" s="5" t="inlineStr">
        <is>
          <t>04 Nov 2026</t>
        </is>
      </c>
      <c r="H171" s="17" t="inlineStr">
        <is>
          <t>🟢 LIVE ACTIVE</t>
        </is>
      </c>
      <c r="I171" s="4" t="inlineStr">
        <is>
          <t>Section - 21  Technical spec for UG OFC, HDPE duct &amp; RCC chambers.pdf</t>
        </is>
      </c>
      <c r="J171" s="6" t="inlineStr">
        <is>
          <t>📕 PDF Document</t>
        </is>
      </c>
      <c r="K171" s="9" t="n">
        <v>480.3</v>
      </c>
      <c r="L171" s="10">
        <f>HYPERLINK("http://127.0.0.1:8000/api/documents/download?id=2498&amp;attachment=true", "⬇ Download Section - 21  Technical ")</f>
        <v/>
      </c>
      <c r="M171" s="10">
        <f>HYPERLINK("http://localhost:5173/?state=Andhra%20Pradesh&amp;keyword=ICT&amp;tender=988312", "🚀 Open in Portal")</f>
        <v/>
      </c>
    </row>
    <row r="172" ht="24" customHeight="1">
      <c r="A172" s="11" t="inlineStr">
        <is>
          <t>Andhra Pradesh</t>
        </is>
      </c>
      <c r="B172" s="12" t="inlineStr">
        <is>
          <t>ICT</t>
        </is>
      </c>
      <c r="C172" s="13" t="inlineStr">
        <is>
          <t>988312</t>
        </is>
      </c>
      <c r="D172"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72" s="14" t="inlineStr">
        <is>
          <t>APTRANSCO WORKS-Chief Engineer Projects, Vijayawada</t>
        </is>
      </c>
      <c r="F172" s="13" t="inlineStr">
        <is>
          <t>28 Sep 2026</t>
        </is>
      </c>
      <c r="G172" s="12" t="inlineStr">
        <is>
          <t>04 Nov 2026</t>
        </is>
      </c>
      <c r="H172" s="17" t="inlineStr">
        <is>
          <t>🟢 LIVE ACTIVE</t>
        </is>
      </c>
      <c r="I172" s="11" t="inlineStr">
        <is>
          <t>Section - 22 Technical specification of SDH (OLTE) equipment.pdf</t>
        </is>
      </c>
      <c r="J172" s="13" t="inlineStr">
        <is>
          <t>📕 PDF Document</t>
        </is>
      </c>
      <c r="K172" s="15" t="n">
        <v>635.3</v>
      </c>
      <c r="L172" s="16">
        <f>HYPERLINK("http://127.0.0.1:8000/api/documents/download?id=2499&amp;attachment=true", "⬇ Download Section - 22 Technical s")</f>
        <v/>
      </c>
      <c r="M172" s="16">
        <f>HYPERLINK("http://localhost:5173/?state=Andhra%20Pradesh&amp;keyword=ICT&amp;tender=988312", "🚀 Open in Portal")</f>
        <v/>
      </c>
    </row>
    <row r="173" ht="24" customHeight="1">
      <c r="A173" s="4" t="inlineStr">
        <is>
          <t>Andhra Pradesh</t>
        </is>
      </c>
      <c r="B173" s="5" t="inlineStr">
        <is>
          <t>ICT</t>
        </is>
      </c>
      <c r="C173" s="6" t="inlineStr">
        <is>
          <t>988312</t>
        </is>
      </c>
      <c r="D173"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73" s="7" t="inlineStr">
        <is>
          <t>APTRANSCO WORKS-Chief Engineer Projects, Vijayawada</t>
        </is>
      </c>
      <c r="F173" s="6" t="inlineStr">
        <is>
          <t>28 Sep 2026</t>
        </is>
      </c>
      <c r="G173" s="5" t="inlineStr">
        <is>
          <t>04 Nov 2026</t>
        </is>
      </c>
      <c r="H173" s="17" t="inlineStr">
        <is>
          <t>🟢 LIVE ACTIVE</t>
        </is>
      </c>
      <c r="I173" s="4" t="inlineStr">
        <is>
          <t>Section - 23 Technical specification of DTPC.pdf</t>
        </is>
      </c>
      <c r="J173" s="6" t="inlineStr">
        <is>
          <t>📕 PDF Document</t>
        </is>
      </c>
      <c r="K173" s="9" t="n">
        <v>198.2</v>
      </c>
      <c r="L173" s="10">
        <f>HYPERLINK("http://127.0.0.1:8000/api/documents/download?id=2500&amp;attachment=true", "⬇ Download Section - 23 Technical s")</f>
        <v/>
      </c>
      <c r="M173" s="10">
        <f>HYPERLINK("http://localhost:5173/?state=Andhra%20Pradesh&amp;keyword=ICT&amp;tender=988312", "🚀 Open in Portal")</f>
        <v/>
      </c>
    </row>
    <row r="174" ht="24" customHeight="1">
      <c r="A174" s="11" t="inlineStr">
        <is>
          <t>Andhra Pradesh</t>
        </is>
      </c>
      <c r="B174" s="12" t="inlineStr">
        <is>
          <t>ICT</t>
        </is>
      </c>
      <c r="C174" s="13" t="inlineStr">
        <is>
          <t>988312</t>
        </is>
      </c>
      <c r="D174"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74" s="14" t="inlineStr">
        <is>
          <t>APTRANSCO WORKS-Chief Engineer Projects, Vijayawada</t>
        </is>
      </c>
      <c r="F174" s="13" t="inlineStr">
        <is>
          <t>28 Sep 2026</t>
        </is>
      </c>
      <c r="G174" s="12" t="inlineStr">
        <is>
          <t>04 Nov 2026</t>
        </is>
      </c>
      <c r="H174" s="17" t="inlineStr">
        <is>
          <t>🟢 LIVE ACTIVE</t>
        </is>
      </c>
      <c r="I174" s="11" t="inlineStr">
        <is>
          <t>Section - 24 Technical specification of  VOIP Phone.pdf</t>
        </is>
      </c>
      <c r="J174" s="13" t="inlineStr">
        <is>
          <t>📕 PDF Document</t>
        </is>
      </c>
      <c r="K174" s="15" t="n">
        <v>259.9</v>
      </c>
      <c r="L174" s="16">
        <f>HYPERLINK("http://127.0.0.1:8000/api/documents/download?id=2501&amp;attachment=true", "⬇ Download Section - 24 Technical s")</f>
        <v/>
      </c>
      <c r="M174" s="16">
        <f>HYPERLINK("http://localhost:5173/?state=Andhra%20Pradesh&amp;keyword=ICT&amp;tender=988312", "🚀 Open in Portal")</f>
        <v/>
      </c>
    </row>
    <row r="175" ht="24" customHeight="1">
      <c r="A175" s="4" t="inlineStr">
        <is>
          <t>Andhra Pradesh</t>
        </is>
      </c>
      <c r="B175" s="5" t="inlineStr">
        <is>
          <t>ICT</t>
        </is>
      </c>
      <c r="C175" s="6" t="inlineStr">
        <is>
          <t>988312</t>
        </is>
      </c>
      <c r="D175"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75" s="7" t="inlineStr">
        <is>
          <t>APTRANSCO WORKS-Chief Engineer Projects, Vijayawada</t>
        </is>
      </c>
      <c r="F175" s="6" t="inlineStr">
        <is>
          <t>28 Sep 2026</t>
        </is>
      </c>
      <c r="G175" s="5" t="inlineStr">
        <is>
          <t>04 Nov 2026</t>
        </is>
      </c>
      <c r="H175" s="17" t="inlineStr">
        <is>
          <t>🟢 LIVE ACTIVE</t>
        </is>
      </c>
      <c r="I175" s="4" t="inlineStr">
        <is>
          <t>Section - 25 Technical specification of 48V Chargers.pdf</t>
        </is>
      </c>
      <c r="J175" s="6" t="inlineStr">
        <is>
          <t>📕 PDF Document</t>
        </is>
      </c>
      <c r="K175" s="9" t="n">
        <v>443.3</v>
      </c>
      <c r="L175" s="10">
        <f>HYPERLINK("http://127.0.0.1:8000/api/documents/download?id=2502&amp;attachment=true", "⬇ Download Section - 25 Technical s")</f>
        <v/>
      </c>
      <c r="M175" s="10">
        <f>HYPERLINK("http://localhost:5173/?state=Andhra%20Pradesh&amp;keyword=ICT&amp;tender=988312", "🚀 Open in Portal")</f>
        <v/>
      </c>
    </row>
    <row r="176" ht="24" customHeight="1">
      <c r="A176" s="11" t="inlineStr">
        <is>
          <t>Andhra Pradesh</t>
        </is>
      </c>
      <c r="B176" s="12" t="inlineStr">
        <is>
          <t>ICT</t>
        </is>
      </c>
      <c r="C176" s="13" t="inlineStr">
        <is>
          <t>988312</t>
        </is>
      </c>
      <c r="D176"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76" s="14" t="inlineStr">
        <is>
          <t>APTRANSCO WORKS-Chief Engineer Projects, Vijayawada</t>
        </is>
      </c>
      <c r="F176" s="13" t="inlineStr">
        <is>
          <t>28 Sep 2026</t>
        </is>
      </c>
      <c r="G176" s="12" t="inlineStr">
        <is>
          <t>04 Nov 2026</t>
        </is>
      </c>
      <c r="H176" s="17" t="inlineStr">
        <is>
          <t>🟢 LIVE ACTIVE</t>
        </is>
      </c>
      <c r="I176" s="11" t="inlineStr">
        <is>
          <t>Section - 26 Technical specification of 48V Battery sets.pdf</t>
        </is>
      </c>
      <c r="J176" s="13" t="inlineStr">
        <is>
          <t>📕 PDF Document</t>
        </is>
      </c>
      <c r="K176" s="15" t="n">
        <v>188.2</v>
      </c>
      <c r="L176" s="16">
        <f>HYPERLINK("http://127.0.0.1:8000/api/documents/download?id=2503&amp;attachment=true", "⬇ Download Section - 26 Technical s")</f>
        <v/>
      </c>
      <c r="M176" s="16">
        <f>HYPERLINK("http://localhost:5173/?state=Andhra%20Pradesh&amp;keyword=ICT&amp;tender=988312", "🚀 Open in Portal")</f>
        <v/>
      </c>
    </row>
    <row r="177" ht="24" customHeight="1">
      <c r="A177" s="4" t="inlineStr">
        <is>
          <t>Andhra Pradesh</t>
        </is>
      </c>
      <c r="B177" s="5" t="inlineStr">
        <is>
          <t>ICT</t>
        </is>
      </c>
      <c r="C177" s="6" t="inlineStr">
        <is>
          <t>988312</t>
        </is>
      </c>
      <c r="D177"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77" s="7" t="inlineStr">
        <is>
          <t>APTRANSCO WORKS-Chief Engineer Projects, Vijayawada</t>
        </is>
      </c>
      <c r="F177" s="6" t="inlineStr">
        <is>
          <t>28 Sep 2026</t>
        </is>
      </c>
      <c r="G177" s="5" t="inlineStr">
        <is>
          <t>04 Nov 2026</t>
        </is>
      </c>
      <c r="H177" s="17" t="inlineStr">
        <is>
          <t>🟢 LIVE ACTIVE</t>
        </is>
      </c>
      <c r="I177" s="4" t="inlineStr">
        <is>
          <t>Section - 27  Techincal specification of Testing Instruments..pdf</t>
        </is>
      </c>
      <c r="J177" s="6" t="inlineStr">
        <is>
          <t>📕 PDF Document</t>
        </is>
      </c>
      <c r="K177" s="9" t="n">
        <v>629.7</v>
      </c>
      <c r="L177" s="10">
        <f>HYPERLINK("http://127.0.0.1:8000/api/documents/download?id=2504&amp;attachment=true", "⬇ Download Section - 27  Techincal ")</f>
        <v/>
      </c>
      <c r="M177" s="10">
        <f>HYPERLINK("http://localhost:5173/?state=Andhra%20Pradesh&amp;keyword=ICT&amp;tender=988312", "🚀 Open in Portal")</f>
        <v/>
      </c>
    </row>
    <row r="178" ht="24" customHeight="1">
      <c r="A178" s="11" t="inlineStr">
        <is>
          <t>Andhra Pradesh</t>
        </is>
      </c>
      <c r="B178" s="12" t="inlineStr">
        <is>
          <t>ICT</t>
        </is>
      </c>
      <c r="C178" s="13" t="inlineStr">
        <is>
          <t>988312</t>
        </is>
      </c>
      <c r="D178"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78" s="14" t="inlineStr">
        <is>
          <t>APTRANSCO WORKS-Chief Engineer Projects, Vijayawada</t>
        </is>
      </c>
      <c r="F178" s="13" t="inlineStr">
        <is>
          <t>28 Sep 2026</t>
        </is>
      </c>
      <c r="G178" s="12" t="inlineStr">
        <is>
          <t>04 Nov 2026</t>
        </is>
      </c>
      <c r="H178" s="17" t="inlineStr">
        <is>
          <t>🟢 LIVE ACTIVE</t>
        </is>
      </c>
      <c r="I178" s="11" t="inlineStr">
        <is>
          <t>Section - 28 -Technical specifications of cables.pdf</t>
        </is>
      </c>
      <c r="J178" s="13" t="inlineStr">
        <is>
          <t>📕 PDF Document</t>
        </is>
      </c>
      <c r="K178" s="15" t="n">
        <v>617.5</v>
      </c>
      <c r="L178" s="16">
        <f>HYPERLINK("http://127.0.0.1:8000/api/documents/download?id=2505&amp;attachment=true", "⬇ Download Section - 28 -Technical ")</f>
        <v/>
      </c>
      <c r="M178" s="16">
        <f>HYPERLINK("http://localhost:5173/?state=Andhra%20Pradesh&amp;keyword=ICT&amp;tender=988312", "🚀 Open in Portal")</f>
        <v/>
      </c>
    </row>
    <row r="179" ht="24" customHeight="1">
      <c r="A179" s="4" t="inlineStr">
        <is>
          <t>Andhra Pradesh</t>
        </is>
      </c>
      <c r="B179" s="5" t="inlineStr">
        <is>
          <t>ICT</t>
        </is>
      </c>
      <c r="C179" s="6" t="inlineStr">
        <is>
          <t>988312</t>
        </is>
      </c>
      <c r="D179"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79" s="7" t="inlineStr">
        <is>
          <t>APTRANSCO WORKS-Chief Engineer Projects, Vijayawada</t>
        </is>
      </c>
      <c r="F179" s="6" t="inlineStr">
        <is>
          <t>28 Sep 2026</t>
        </is>
      </c>
      <c r="G179" s="5" t="inlineStr">
        <is>
          <t>04 Nov 2026</t>
        </is>
      </c>
      <c r="H179" s="17" t="inlineStr">
        <is>
          <t>🟢 LIVE ACTIVE</t>
        </is>
      </c>
      <c r="I179" s="4" t="inlineStr">
        <is>
          <t>Section - 29 Long rod insulators.pdf</t>
        </is>
      </c>
      <c r="J179" s="6" t="inlineStr">
        <is>
          <t>📕 PDF Document</t>
        </is>
      </c>
      <c r="K179" s="9" t="n">
        <v>433.9</v>
      </c>
      <c r="L179" s="10">
        <f>HYPERLINK("http://127.0.0.1:8000/api/documents/download?id=2506&amp;attachment=true", "⬇ Download Section - 29 Long rod in")</f>
        <v/>
      </c>
      <c r="M179" s="10">
        <f>HYPERLINK("http://localhost:5173/?state=Andhra%20Pradesh&amp;keyword=ICT&amp;tender=988312", "🚀 Open in Portal")</f>
        <v/>
      </c>
    </row>
    <row r="180" ht="24" customHeight="1">
      <c r="A180" s="11" t="inlineStr">
        <is>
          <t>Andhra Pradesh</t>
        </is>
      </c>
      <c r="B180" s="12" t="inlineStr">
        <is>
          <t>ICT</t>
        </is>
      </c>
      <c r="C180" s="13" t="inlineStr">
        <is>
          <t>988312</t>
        </is>
      </c>
      <c r="D180"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80" s="14" t="inlineStr">
        <is>
          <t>APTRANSCO WORKS-Chief Engineer Projects, Vijayawada</t>
        </is>
      </c>
      <c r="F180" s="13" t="inlineStr">
        <is>
          <t>28 Sep 2026</t>
        </is>
      </c>
      <c r="G180" s="12" t="inlineStr">
        <is>
          <t>04 Nov 2026</t>
        </is>
      </c>
      <c r="H180" s="17" t="inlineStr">
        <is>
          <t>🟢 LIVE ACTIVE</t>
        </is>
      </c>
      <c r="I180" s="11" t="inlineStr">
        <is>
          <t>Section - 3 Surge Arrestors.pdf</t>
        </is>
      </c>
      <c r="J180" s="13" t="inlineStr">
        <is>
          <t>📕 PDF Document</t>
        </is>
      </c>
      <c r="K180" s="15" t="n">
        <v>431</v>
      </c>
      <c r="L180" s="16">
        <f>HYPERLINK("http://127.0.0.1:8000/api/documents/download?id=2507&amp;attachment=true", "⬇ Download Section - 3 Surge Arrest")</f>
        <v/>
      </c>
      <c r="M180" s="16">
        <f>HYPERLINK("http://localhost:5173/?state=Andhra%20Pradesh&amp;keyword=ICT&amp;tender=988312", "🚀 Open in Portal")</f>
        <v/>
      </c>
    </row>
    <row r="181" ht="24" customHeight="1">
      <c r="A181" s="4" t="inlineStr">
        <is>
          <t>Andhra Pradesh</t>
        </is>
      </c>
      <c r="B181" s="5" t="inlineStr">
        <is>
          <t>ICT</t>
        </is>
      </c>
      <c r="C181" s="6" t="inlineStr">
        <is>
          <t>988312</t>
        </is>
      </c>
      <c r="D181"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81" s="7" t="inlineStr">
        <is>
          <t>APTRANSCO WORKS-Chief Engineer Projects, Vijayawada</t>
        </is>
      </c>
      <c r="F181" s="6" t="inlineStr">
        <is>
          <t>28 Sep 2026</t>
        </is>
      </c>
      <c r="G181" s="5" t="inlineStr">
        <is>
          <t>04 Nov 2026</t>
        </is>
      </c>
      <c r="H181" s="17" t="inlineStr">
        <is>
          <t>🟢 LIVE ACTIVE</t>
        </is>
      </c>
      <c r="I181" s="4" t="inlineStr">
        <is>
          <t>Section - 30 Technical specification of AC unit &amp; Stabilizer.pdf</t>
        </is>
      </c>
      <c r="J181" s="6" t="inlineStr">
        <is>
          <t>📕 PDF Document</t>
        </is>
      </c>
      <c r="K181" s="9" t="n">
        <v>156.4</v>
      </c>
      <c r="L181" s="10">
        <f>HYPERLINK("http://127.0.0.1:8000/api/documents/download?id=2508&amp;attachment=true", "⬇ Download Section - 30 Technical s")</f>
        <v/>
      </c>
      <c r="M181" s="10">
        <f>HYPERLINK("http://localhost:5173/?state=Andhra%20Pradesh&amp;keyword=ICT&amp;tender=988312", "🚀 Open in Portal")</f>
        <v/>
      </c>
    </row>
    <row r="182" ht="24" customHeight="1">
      <c r="A182" s="11" t="inlineStr">
        <is>
          <t>Andhra Pradesh</t>
        </is>
      </c>
      <c r="B182" s="12" t="inlineStr">
        <is>
          <t>ICT</t>
        </is>
      </c>
      <c r="C182" s="13" t="inlineStr">
        <is>
          <t>988312</t>
        </is>
      </c>
      <c r="D182"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82" s="14" t="inlineStr">
        <is>
          <t>APTRANSCO WORKS-Chief Engineer Projects, Vijayawada</t>
        </is>
      </c>
      <c r="F182" s="13" t="inlineStr">
        <is>
          <t>28 Sep 2026</t>
        </is>
      </c>
      <c r="G182" s="12" t="inlineStr">
        <is>
          <t>04 Nov 2026</t>
        </is>
      </c>
      <c r="H182" s="17" t="inlineStr">
        <is>
          <t>🟢 LIVE ACTIVE</t>
        </is>
      </c>
      <c r="I182" s="11" t="inlineStr">
        <is>
          <t>Section - 31 Technical specification of MPLS FOTE &amp; NMS.pdf</t>
        </is>
      </c>
      <c r="J182" s="13" t="inlineStr">
        <is>
          <t>📕 PDF Document</t>
        </is>
      </c>
      <c r="K182" s="15" t="n">
        <v>946.7</v>
      </c>
      <c r="L182" s="16">
        <f>HYPERLINK("http://127.0.0.1:8000/api/documents/download?id=2509&amp;attachment=true", "⬇ Download Section - 31 Technical s")</f>
        <v/>
      </c>
      <c r="M182" s="16">
        <f>HYPERLINK("http://localhost:5173/?state=Andhra%20Pradesh&amp;keyword=ICT&amp;tender=988312", "🚀 Open in Portal")</f>
        <v/>
      </c>
    </row>
    <row r="183" ht="24" customHeight="1">
      <c r="A183" s="4" t="inlineStr">
        <is>
          <t>Andhra Pradesh</t>
        </is>
      </c>
      <c r="B183" s="5" t="inlineStr">
        <is>
          <t>ICT</t>
        </is>
      </c>
      <c r="C183" s="6" t="inlineStr">
        <is>
          <t>988312</t>
        </is>
      </c>
      <c r="D183"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83" s="7" t="inlineStr">
        <is>
          <t>APTRANSCO WORKS-Chief Engineer Projects, Vijayawada</t>
        </is>
      </c>
      <c r="F183" s="6" t="inlineStr">
        <is>
          <t>28 Sep 2026</t>
        </is>
      </c>
      <c r="G183" s="5" t="inlineStr">
        <is>
          <t>04 Nov 2026</t>
        </is>
      </c>
      <c r="H183" s="17" t="inlineStr">
        <is>
          <t>🟢 LIVE ACTIVE</t>
        </is>
      </c>
      <c r="I183" s="4" t="inlineStr">
        <is>
          <t>Section - 32 Tech Spec- SRC Insulators.pdf</t>
        </is>
      </c>
      <c r="J183" s="6" t="inlineStr">
        <is>
          <t>📕 PDF Document</t>
        </is>
      </c>
      <c r="K183" s="9" t="n">
        <v>423.9</v>
      </c>
      <c r="L183" s="10">
        <f>HYPERLINK("http://127.0.0.1:8000/api/documents/download?id=2510&amp;attachment=true", "⬇ Download Section - 32 Tech Spec- ")</f>
        <v/>
      </c>
      <c r="M183" s="10">
        <f>HYPERLINK("http://localhost:5173/?state=Andhra%20Pradesh&amp;keyword=ICT&amp;tender=988312", "🚀 Open in Portal")</f>
        <v/>
      </c>
    </row>
    <row r="184" ht="24" customHeight="1">
      <c r="A184" s="11" t="inlineStr">
        <is>
          <t>Andhra Pradesh</t>
        </is>
      </c>
      <c r="B184" s="12" t="inlineStr">
        <is>
          <t>ICT</t>
        </is>
      </c>
      <c r="C184" s="13" t="inlineStr">
        <is>
          <t>988312</t>
        </is>
      </c>
      <c r="D184"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84" s="14" t="inlineStr">
        <is>
          <t>APTRANSCO WORKS-Chief Engineer Projects, Vijayawada</t>
        </is>
      </c>
      <c r="F184" s="13" t="inlineStr">
        <is>
          <t>28 Sep 2026</t>
        </is>
      </c>
      <c r="G184" s="12" t="inlineStr">
        <is>
          <t>04 Nov 2026</t>
        </is>
      </c>
      <c r="H184" s="17" t="inlineStr">
        <is>
          <t>🟢 LIVE ACTIVE</t>
        </is>
      </c>
      <c r="I184" s="11" t="inlineStr">
        <is>
          <t>Section - 33 LED Specification.pdf</t>
        </is>
      </c>
      <c r="J184" s="13" t="inlineStr">
        <is>
          <t>📕 PDF Document</t>
        </is>
      </c>
      <c r="K184" s="15" t="n">
        <v>563</v>
      </c>
      <c r="L184" s="16">
        <f>HYPERLINK("http://127.0.0.1:8000/api/documents/download?id=2511&amp;attachment=true", "⬇ Download Section - 33 LED Specifi")</f>
        <v/>
      </c>
      <c r="M184" s="16">
        <f>HYPERLINK("http://localhost:5173/?state=Andhra%20Pradesh&amp;keyword=ICT&amp;tender=988312", "🚀 Open in Portal")</f>
        <v/>
      </c>
    </row>
    <row r="185" ht="24" customHeight="1">
      <c r="A185" s="4" t="inlineStr">
        <is>
          <t>Andhra Pradesh</t>
        </is>
      </c>
      <c r="B185" s="5" t="inlineStr">
        <is>
          <t>ICT</t>
        </is>
      </c>
      <c r="C185" s="6" t="inlineStr">
        <is>
          <t>988312</t>
        </is>
      </c>
      <c r="D185"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85" s="7" t="inlineStr">
        <is>
          <t>APTRANSCO WORKS-Chief Engineer Projects, Vijayawada</t>
        </is>
      </c>
      <c r="F185" s="6" t="inlineStr">
        <is>
          <t>28 Sep 2026</t>
        </is>
      </c>
      <c r="G185" s="5" t="inlineStr">
        <is>
          <t>04 Nov 2026</t>
        </is>
      </c>
      <c r="H185" s="17" t="inlineStr">
        <is>
          <t>🟢 LIVE ACTIVE</t>
        </is>
      </c>
      <c r="I185" s="4" t="inlineStr">
        <is>
          <t>Section - 34 ACSS Cond eq Conductor SPEC_Final.pdf</t>
        </is>
      </c>
      <c r="J185" s="6" t="inlineStr">
        <is>
          <t>📕 PDF Document</t>
        </is>
      </c>
      <c r="K185" s="9" t="n">
        <v>1084</v>
      </c>
      <c r="L185" s="10">
        <f>HYPERLINK("http://127.0.0.1:8000/api/documents/download?id=2512&amp;attachment=true", "⬇ Download Section - 34 ACSS Cond e")</f>
        <v/>
      </c>
      <c r="M185" s="10">
        <f>HYPERLINK("http://localhost:5173/?state=Andhra%20Pradesh&amp;keyword=ICT&amp;tender=988312", "🚀 Open in Portal")</f>
        <v/>
      </c>
    </row>
    <row r="186" ht="24" customHeight="1">
      <c r="A186" s="11" t="inlineStr">
        <is>
          <t>Andhra Pradesh</t>
        </is>
      </c>
      <c r="B186" s="12" t="inlineStr">
        <is>
          <t>ICT</t>
        </is>
      </c>
      <c r="C186" s="13" t="inlineStr">
        <is>
          <t>988312</t>
        </is>
      </c>
      <c r="D186"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86" s="14" t="inlineStr">
        <is>
          <t>APTRANSCO WORKS-Chief Engineer Projects, Vijayawada</t>
        </is>
      </c>
      <c r="F186" s="13" t="inlineStr">
        <is>
          <t>28 Sep 2026</t>
        </is>
      </c>
      <c r="G186" s="12" t="inlineStr">
        <is>
          <t>04 Nov 2026</t>
        </is>
      </c>
      <c r="H186" s="17" t="inlineStr">
        <is>
          <t>🟢 LIVE ACTIVE</t>
        </is>
      </c>
      <c r="I186" s="11" t="inlineStr">
        <is>
          <t>Section - 4 Isolator Mettalics.pdf</t>
        </is>
      </c>
      <c r="J186" s="13" t="inlineStr">
        <is>
          <t>📕 PDF Document</t>
        </is>
      </c>
      <c r="K186" s="15" t="n">
        <v>514.5</v>
      </c>
      <c r="L186" s="16">
        <f>HYPERLINK("http://127.0.0.1:8000/api/documents/download?id=2513&amp;attachment=true", "⬇ Download Section - 4 Isolator Met")</f>
        <v/>
      </c>
      <c r="M186" s="16">
        <f>HYPERLINK("http://localhost:5173/?state=Andhra%20Pradesh&amp;keyword=ICT&amp;tender=988312", "🚀 Open in Portal")</f>
        <v/>
      </c>
    </row>
    <row r="187" ht="24" customHeight="1">
      <c r="A187" s="4" t="inlineStr">
        <is>
          <t>Andhra Pradesh</t>
        </is>
      </c>
      <c r="B187" s="5" t="inlineStr">
        <is>
          <t>ICT</t>
        </is>
      </c>
      <c r="C187" s="6" t="inlineStr">
        <is>
          <t>988312</t>
        </is>
      </c>
      <c r="D187"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87" s="7" t="inlineStr">
        <is>
          <t>APTRANSCO WORKS-Chief Engineer Projects, Vijayawada</t>
        </is>
      </c>
      <c r="F187" s="6" t="inlineStr">
        <is>
          <t>28 Sep 2026</t>
        </is>
      </c>
      <c r="G187" s="5" t="inlineStr">
        <is>
          <t>04 Nov 2026</t>
        </is>
      </c>
      <c r="H187" s="17" t="inlineStr">
        <is>
          <t>🟢 LIVE ACTIVE</t>
        </is>
      </c>
      <c r="I187" s="4" t="inlineStr">
        <is>
          <t>Section - 5 Solid core  insulators.pdf</t>
        </is>
      </c>
      <c r="J187" s="6" t="inlineStr">
        <is>
          <t>📕 PDF Document</t>
        </is>
      </c>
      <c r="K187" s="9" t="n">
        <v>289.7</v>
      </c>
      <c r="L187" s="10">
        <f>HYPERLINK("http://127.0.0.1:8000/api/documents/download?id=2514&amp;attachment=true", "⬇ Download Section - 5 Solid core  ")</f>
        <v/>
      </c>
      <c r="M187" s="10">
        <f>HYPERLINK("http://localhost:5173/?state=Andhra%20Pradesh&amp;keyword=ICT&amp;tender=988312", "🚀 Open in Portal")</f>
        <v/>
      </c>
    </row>
    <row r="188" ht="24" customHeight="1">
      <c r="A188" s="11" t="inlineStr">
        <is>
          <t>Andhra Pradesh</t>
        </is>
      </c>
      <c r="B188" s="12" t="inlineStr">
        <is>
          <t>ICT</t>
        </is>
      </c>
      <c r="C188" s="13" t="inlineStr">
        <is>
          <t>988312</t>
        </is>
      </c>
      <c r="D188"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88" s="14" t="inlineStr">
        <is>
          <t>APTRANSCO WORKS-Chief Engineer Projects, Vijayawada</t>
        </is>
      </c>
      <c r="F188" s="13" t="inlineStr">
        <is>
          <t>28 Sep 2026</t>
        </is>
      </c>
      <c r="G188" s="12" t="inlineStr">
        <is>
          <t>04 Nov 2026</t>
        </is>
      </c>
      <c r="H188" s="17" t="inlineStr">
        <is>
          <t>🟢 LIVE ACTIVE</t>
        </is>
      </c>
      <c r="I188" s="11" t="inlineStr">
        <is>
          <t>Section - 6 Control _ Power Cables.pdf</t>
        </is>
      </c>
      <c r="J188" s="13" t="inlineStr">
        <is>
          <t>📕 PDF Document</t>
        </is>
      </c>
      <c r="K188" s="15" t="n">
        <v>420.2</v>
      </c>
      <c r="L188" s="16">
        <f>HYPERLINK("http://127.0.0.1:8000/api/documents/download?id=2515&amp;attachment=true", "⬇ Download Section - 6 Control _ Po")</f>
        <v/>
      </c>
      <c r="M188" s="16">
        <f>HYPERLINK("http://localhost:5173/?state=Andhra%20Pradesh&amp;keyword=ICT&amp;tender=988312", "🚀 Open in Portal")</f>
        <v/>
      </c>
    </row>
    <row r="189" ht="24" customHeight="1">
      <c r="A189" s="4" t="inlineStr">
        <is>
          <t>Andhra Pradesh</t>
        </is>
      </c>
      <c r="B189" s="5" t="inlineStr">
        <is>
          <t>ICT</t>
        </is>
      </c>
      <c r="C189" s="6" t="inlineStr">
        <is>
          <t>988312</t>
        </is>
      </c>
      <c r="D189"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89" s="7" t="inlineStr">
        <is>
          <t>APTRANSCO WORKS-Chief Engineer Projects, Vijayawada</t>
        </is>
      </c>
      <c r="F189" s="6" t="inlineStr">
        <is>
          <t>28 Sep 2026</t>
        </is>
      </c>
      <c r="G189" s="5" t="inlineStr">
        <is>
          <t>04 Nov 2026</t>
        </is>
      </c>
      <c r="H189" s="17" t="inlineStr">
        <is>
          <t>🟢 LIVE ACTIVE</t>
        </is>
      </c>
      <c r="I189" s="4" t="inlineStr">
        <is>
          <t>Section - 7 Battery set &amp; battery charger.pdf</t>
        </is>
      </c>
      <c r="J189" s="6" t="inlineStr">
        <is>
          <t>📕 PDF Document</t>
        </is>
      </c>
      <c r="K189" s="9" t="n">
        <v>1452.5</v>
      </c>
      <c r="L189" s="10">
        <f>HYPERLINK("http://127.0.0.1:8000/api/documents/download?id=2516&amp;attachment=true", "⬇ Download Section - 7 Battery set ")</f>
        <v/>
      </c>
      <c r="M189" s="10">
        <f>HYPERLINK("http://localhost:5173/?state=Andhra%20Pradesh&amp;keyword=ICT&amp;tender=988312", "🚀 Open in Portal")</f>
        <v/>
      </c>
    </row>
    <row r="190" ht="24" customHeight="1">
      <c r="A190" s="11" t="inlineStr">
        <is>
          <t>Andhra Pradesh</t>
        </is>
      </c>
      <c r="B190" s="12" t="inlineStr">
        <is>
          <t>ICT</t>
        </is>
      </c>
      <c r="C190" s="13" t="inlineStr">
        <is>
          <t>988312</t>
        </is>
      </c>
      <c r="D190"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90" s="14" t="inlineStr">
        <is>
          <t>APTRANSCO WORKS-Chief Engineer Projects, Vijayawada</t>
        </is>
      </c>
      <c r="F190" s="13" t="inlineStr">
        <is>
          <t>28 Sep 2026</t>
        </is>
      </c>
      <c r="G190" s="12" t="inlineStr">
        <is>
          <t>04 Nov 2026</t>
        </is>
      </c>
      <c r="H190" s="17" t="inlineStr">
        <is>
          <t>🟢 LIVE ACTIVE</t>
        </is>
      </c>
      <c r="I190" s="11" t="inlineStr">
        <is>
          <t>Section - 8 Circuit Breakers.pdf</t>
        </is>
      </c>
      <c r="J190" s="13" t="inlineStr">
        <is>
          <t>📕 PDF Document</t>
        </is>
      </c>
      <c r="K190" s="15" t="n">
        <v>871.7</v>
      </c>
      <c r="L190" s="16">
        <f>HYPERLINK("http://127.0.0.1:8000/api/documents/download?id=2517&amp;attachment=true", "⬇ Download Section - 8 Circuit Brea")</f>
        <v/>
      </c>
      <c r="M190" s="16">
        <f>HYPERLINK("http://localhost:5173/?state=Andhra%20Pradesh&amp;keyword=ICT&amp;tender=988312", "🚀 Open in Portal")</f>
        <v/>
      </c>
    </row>
    <row r="191" ht="24" customHeight="1">
      <c r="A191" s="4" t="inlineStr">
        <is>
          <t>Andhra Pradesh</t>
        </is>
      </c>
      <c r="B191" s="5" t="inlineStr">
        <is>
          <t>ICT</t>
        </is>
      </c>
      <c r="C191" s="6" t="inlineStr">
        <is>
          <t>988312</t>
        </is>
      </c>
      <c r="D191"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91" s="7" t="inlineStr">
        <is>
          <t>APTRANSCO WORKS-Chief Engineer Projects, Vijayawada</t>
        </is>
      </c>
      <c r="F191" s="6" t="inlineStr">
        <is>
          <t>28 Sep 2026</t>
        </is>
      </c>
      <c r="G191" s="5" t="inlineStr">
        <is>
          <t>04 Nov 2026</t>
        </is>
      </c>
      <c r="H191" s="17" t="inlineStr">
        <is>
          <t>🟢 LIVE ACTIVE</t>
        </is>
      </c>
      <c r="I191" s="4" t="inlineStr">
        <is>
          <t>Section - 9  LTAC Panel.pdf</t>
        </is>
      </c>
      <c r="J191" s="6" t="inlineStr">
        <is>
          <t>📕 PDF Document</t>
        </is>
      </c>
      <c r="K191" s="9" t="n">
        <v>539</v>
      </c>
      <c r="L191" s="10">
        <f>HYPERLINK("http://127.0.0.1:8000/api/documents/download?id=2518&amp;attachment=true", "⬇ Download Section - 9  LTAC Panel.")</f>
        <v/>
      </c>
      <c r="M191" s="10">
        <f>HYPERLINK("http://localhost:5173/?state=Andhra%20Pradesh&amp;keyword=ICT&amp;tender=988312", "🚀 Open in Portal")</f>
        <v/>
      </c>
    </row>
    <row r="192" ht="24" customHeight="1">
      <c r="A192" s="11" t="inlineStr">
        <is>
          <t>Andhra Pradesh</t>
        </is>
      </c>
      <c r="B192" s="12" t="inlineStr">
        <is>
          <t>ICT</t>
        </is>
      </c>
      <c r="C192" s="13" t="inlineStr">
        <is>
          <t>988312</t>
        </is>
      </c>
      <c r="D192"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92" s="14" t="inlineStr">
        <is>
          <t>APTRANSCO WORKS-Chief Engineer Projects, Vijayawada</t>
        </is>
      </c>
      <c r="F192" s="13" t="inlineStr">
        <is>
          <t>28 Sep 2026</t>
        </is>
      </c>
      <c r="G192" s="12" t="inlineStr">
        <is>
          <t>04 Nov 2026</t>
        </is>
      </c>
      <c r="H192" s="17" t="inlineStr">
        <is>
          <t>🟢 LIVE ACTIVE</t>
        </is>
      </c>
      <c r="I192" s="11" t="inlineStr">
        <is>
          <t>Section-35-Technical Specification for 132kV XLPE UG Cable.pdf</t>
        </is>
      </c>
      <c r="J192" s="13" t="inlineStr">
        <is>
          <t>📕 PDF Document</t>
        </is>
      </c>
      <c r="K192" s="15" t="n">
        <v>808.1</v>
      </c>
      <c r="L192" s="16">
        <f>HYPERLINK("http://127.0.0.1:8000/api/documents/download?id=2519&amp;attachment=true", "⬇ Download Section-35-Technical Spe")</f>
        <v/>
      </c>
      <c r="M192" s="16">
        <f>HYPERLINK("http://localhost:5173/?state=Andhra%20Pradesh&amp;keyword=ICT&amp;tender=988312", "🚀 Open in Portal")</f>
        <v/>
      </c>
    </row>
    <row r="193" ht="24" customHeight="1">
      <c r="A193" s="4" t="inlineStr">
        <is>
          <t>Andhra Pradesh</t>
        </is>
      </c>
      <c r="B193" s="5" t="inlineStr">
        <is>
          <t>ICT</t>
        </is>
      </c>
      <c r="C193" s="6" t="inlineStr">
        <is>
          <t>988312</t>
        </is>
      </c>
      <c r="D193"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93" s="7" t="inlineStr">
        <is>
          <t>APTRANSCO WORKS-Chief Engineer Projects, Vijayawada</t>
        </is>
      </c>
      <c r="F193" s="6" t="inlineStr">
        <is>
          <t>28 Sep 2026</t>
        </is>
      </c>
      <c r="G193" s="5" t="inlineStr">
        <is>
          <t>04 Nov 2026</t>
        </is>
      </c>
      <c r="H193" s="17" t="inlineStr">
        <is>
          <t>🟢 LIVE ACTIVE</t>
        </is>
      </c>
      <c r="I193" s="4" t="inlineStr">
        <is>
          <t>Commercial schedules.xlsx</t>
        </is>
      </c>
      <c r="J193" s="6" t="inlineStr">
        <is>
          <t>📊 Excel BOQ</t>
        </is>
      </c>
      <c r="K193" s="9" t="n">
        <v>702.1</v>
      </c>
      <c r="L193" s="10">
        <f>HYPERLINK("http://127.0.0.1:8000/api/documents/download?id=2520&amp;attachment=true", "⬇ Download Commercial schedules.xls")</f>
        <v/>
      </c>
      <c r="M193" s="10">
        <f>HYPERLINK("http://localhost:5173/?state=Andhra%20Pradesh&amp;keyword=ICT&amp;tender=988312", "🚀 Open in Portal")</f>
        <v/>
      </c>
    </row>
    <row r="194" ht="24" customHeight="1">
      <c r="A194" s="11" t="inlineStr">
        <is>
          <t>Andhra Pradesh</t>
        </is>
      </c>
      <c r="B194" s="12" t="inlineStr">
        <is>
          <t>ICT</t>
        </is>
      </c>
      <c r="C194" s="13" t="inlineStr">
        <is>
          <t>988312</t>
        </is>
      </c>
      <c r="D194"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94" s="14" t="inlineStr">
        <is>
          <t>APTRANSCO WORKS-Chief Engineer Projects, Vijayawada</t>
        </is>
      </c>
      <c r="F194" s="13" t="inlineStr">
        <is>
          <t>28 Sep 2026</t>
        </is>
      </c>
      <c r="G194" s="12" t="inlineStr">
        <is>
          <t>04 Nov 2026</t>
        </is>
      </c>
      <c r="H194" s="17" t="inlineStr">
        <is>
          <t>🟢 LIVE ACTIVE</t>
        </is>
      </c>
      <c r="I194" s="11" t="inlineStr">
        <is>
          <t>Quality Assurance Plan.pdf</t>
        </is>
      </c>
      <c r="J194" s="13" t="inlineStr">
        <is>
          <t>📕 PDF Document</t>
        </is>
      </c>
      <c r="K194" s="15" t="n">
        <v>1303.3</v>
      </c>
      <c r="L194" s="16">
        <f>HYPERLINK("http://127.0.0.1:8000/api/documents/download?id=2521&amp;attachment=true", "⬇ Download Quality Assurance Plan.p")</f>
        <v/>
      </c>
      <c r="M194" s="16">
        <f>HYPERLINK("http://localhost:5173/?state=Andhra%20Pradesh&amp;keyword=ICT&amp;tender=988312", "🚀 Open in Portal")</f>
        <v/>
      </c>
    </row>
    <row r="195" ht="24" customHeight="1">
      <c r="A195" s="4" t="inlineStr">
        <is>
          <t>Andhra Pradesh</t>
        </is>
      </c>
      <c r="B195" s="5" t="inlineStr">
        <is>
          <t>ICT</t>
        </is>
      </c>
      <c r="C195" s="6" t="inlineStr">
        <is>
          <t>988312</t>
        </is>
      </c>
      <c r="D195"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195" s="7" t="inlineStr">
        <is>
          <t>APTRANSCO WORKS-Chief Engineer Projects, Vijayawada</t>
        </is>
      </c>
      <c r="F195" s="6" t="inlineStr">
        <is>
          <t>28 Sep 2026</t>
        </is>
      </c>
      <c r="G195" s="5" t="inlineStr">
        <is>
          <t>04 Nov 2026</t>
        </is>
      </c>
      <c r="H195" s="17" t="inlineStr">
        <is>
          <t>🟢 LIVE ACTIVE</t>
        </is>
      </c>
      <c r="I195" s="4" t="inlineStr">
        <is>
          <t>Tender_988312_All_Documents.zip</t>
        </is>
      </c>
      <c r="J195" s="6" t="inlineStr">
        <is>
          <t>📦 ZIP Package</t>
        </is>
      </c>
      <c r="K195" s="9" t="n">
        <v>3851.3</v>
      </c>
      <c r="L195" s="10">
        <f>HYPERLINK("http://127.0.0.1:8000/api/documents/download?id=2522&amp;attachment=true", "⬇ Download Tender_988312_All_Docume")</f>
        <v/>
      </c>
      <c r="M195" s="10">
        <f>HYPERLINK("http://localhost:5173/?state=Andhra%20Pradesh&amp;keyword=ICT&amp;tender=988312", "🚀 Open in Portal")</f>
        <v/>
      </c>
    </row>
    <row r="196" ht="24" customHeight="1">
      <c r="A196" s="11" t="inlineStr">
        <is>
          <t>Andhra Pradesh</t>
        </is>
      </c>
      <c r="B196" s="12" t="inlineStr">
        <is>
          <t>ICT</t>
        </is>
      </c>
      <c r="C196" s="13" t="inlineStr">
        <is>
          <t>988338</t>
        </is>
      </c>
      <c r="D196" s="14" t="inlineStr">
        <is>
          <t>Supply, Erection, Testing and Commissioning of i) 132/33kV Sub Station at Vuyyuru (ii)02 Nos 132KV Bays (Telecom Portion Only) (iii) 132KV DC line from 400KV Gudivada Sub Station to the proposed 132/33kV SS Vuyyuru in Krishna District on turnkey basis</t>
        </is>
      </c>
      <c r="E196" s="14" t="inlineStr">
        <is>
          <t>APTRANSCO WORKS-Chief Engineer Projects, Vijayawada</t>
        </is>
      </c>
      <c r="F196" s="13" t="inlineStr">
        <is>
          <t>08 Sep 2026</t>
        </is>
      </c>
      <c r="G196" s="12" t="inlineStr">
        <is>
          <t>05 Oct 2026</t>
        </is>
      </c>
      <c r="H196" s="8" t="inlineStr">
        <is>
          <t>⏳ UPCOMING</t>
        </is>
      </c>
      <c r="I196" s="11" t="inlineStr">
        <is>
          <t>Commercial Schedules-Vuyyuru.xls</t>
        </is>
      </c>
      <c r="J196" s="13" t="inlineStr">
        <is>
          <t>📊 Excel BOQ</t>
        </is>
      </c>
      <c r="K196" s="15" t="n">
        <v>329</v>
      </c>
      <c r="L196" s="16">
        <f>HYPERLINK("http://127.0.0.1:8000/api/documents/download?id=2570&amp;attachment=true", "⬇ Download Commercial Schedules-Vuy")</f>
        <v/>
      </c>
      <c r="M196" s="16">
        <f>HYPERLINK("http://localhost:5173/?state=Andhra%20Pradesh&amp;keyword=ICT&amp;tender=988338", "🚀 Open in Portal")</f>
        <v/>
      </c>
    </row>
    <row r="197" ht="24" customHeight="1">
      <c r="A197" s="4" t="inlineStr">
        <is>
          <t>Andhra Pradesh</t>
        </is>
      </c>
      <c r="B197" s="5" t="inlineStr">
        <is>
          <t>ICT</t>
        </is>
      </c>
      <c r="C197" s="6" t="inlineStr">
        <is>
          <t>988338</t>
        </is>
      </c>
      <c r="D197" s="7" t="inlineStr">
        <is>
          <t>Supply, Erection, Testing and Commissioning of i) 132/33kV Sub Station at Vuyyuru (ii)02 Nos 132KV Bays (Telecom Portion Only) (iii) 132KV DC line from 400KV Gudivada Sub Station to the proposed 132/33kV SS Vuyyuru in Krishna District on turnkey basis</t>
        </is>
      </c>
      <c r="E197" s="7" t="inlineStr">
        <is>
          <t>APTRANSCO WORKS-Chief Engineer Projects, Vijayawada</t>
        </is>
      </c>
      <c r="F197" s="6" t="inlineStr">
        <is>
          <t>08 Sep 2026</t>
        </is>
      </c>
      <c r="G197" s="5" t="inlineStr">
        <is>
          <t>05 Oct 2026</t>
        </is>
      </c>
      <c r="H197" s="8" t="inlineStr">
        <is>
          <t>⏳ UPCOMING</t>
        </is>
      </c>
      <c r="I197" s="4" t="inlineStr">
        <is>
          <t>Modified Volume-I Tender Spec-11.09.2026.docx</t>
        </is>
      </c>
      <c r="J197" s="6" t="inlineStr">
        <is>
          <t>📄 DOCX</t>
        </is>
      </c>
      <c r="K197" s="9" t="n">
        <v>3061.4</v>
      </c>
      <c r="L197" s="10">
        <f>HYPERLINK("http://127.0.0.1:8000/api/documents/download?id=2571&amp;attachment=true", "⬇ Download Modified Volume-I Tender")</f>
        <v/>
      </c>
      <c r="M197" s="10">
        <f>HYPERLINK("http://localhost:5173/?state=Andhra%20Pradesh&amp;keyword=ICT&amp;tender=988338", "🚀 Open in Portal")</f>
        <v/>
      </c>
    </row>
    <row r="198" ht="24" customHeight="1">
      <c r="A198" s="11" t="inlineStr">
        <is>
          <t>Andhra Pradesh</t>
        </is>
      </c>
      <c r="B198" s="12" t="inlineStr">
        <is>
          <t>ICT</t>
        </is>
      </c>
      <c r="C198" s="13" t="inlineStr">
        <is>
          <t>988338</t>
        </is>
      </c>
      <c r="D198" s="14" t="inlineStr">
        <is>
          <t>Supply, Erection, Testing and Commissioning of i) 132/33kV Sub Station at Vuyyuru (ii)02 Nos 132KV Bays (Telecom Portion Only) (iii) 132KV DC line from 400KV Gudivada Sub Station to the proposed 132/33kV SS Vuyyuru in Krishna District on turnkey basis</t>
        </is>
      </c>
      <c r="E198" s="14" t="inlineStr">
        <is>
          <t>APTRANSCO WORKS-Chief Engineer Projects, Vijayawada</t>
        </is>
      </c>
      <c r="F198" s="13" t="inlineStr">
        <is>
          <t>08 Sep 2026</t>
        </is>
      </c>
      <c r="G198" s="12" t="inlineStr">
        <is>
          <t>05 Oct 2026</t>
        </is>
      </c>
      <c r="H198" s="8" t="inlineStr">
        <is>
          <t>⏳ UPCOMING</t>
        </is>
      </c>
      <c r="I198" s="11" t="inlineStr">
        <is>
          <t>Quality Assurance Plan.pdf</t>
        </is>
      </c>
      <c r="J198" s="13" t="inlineStr">
        <is>
          <t>📕 PDF Document</t>
        </is>
      </c>
      <c r="K198" s="15" t="n">
        <v>1303.3</v>
      </c>
      <c r="L198" s="16">
        <f>HYPERLINK("http://127.0.0.1:8000/api/documents/download?id=2572&amp;attachment=true", "⬇ Download Quality Assurance Plan.p")</f>
        <v/>
      </c>
      <c r="M198" s="16">
        <f>HYPERLINK("http://localhost:5173/?state=Andhra%20Pradesh&amp;keyword=ICT&amp;tender=988338", "🚀 Open in Portal")</f>
        <v/>
      </c>
    </row>
    <row r="199" ht="24" customHeight="1">
      <c r="A199" s="4" t="inlineStr">
        <is>
          <t>Andhra Pradesh</t>
        </is>
      </c>
      <c r="B199" s="5" t="inlineStr">
        <is>
          <t>ICT</t>
        </is>
      </c>
      <c r="C199" s="6" t="inlineStr">
        <is>
          <t>988338</t>
        </is>
      </c>
      <c r="D199" s="7" t="inlineStr">
        <is>
          <t>Supply, Erection, Testing and Commissioning of i) 132/33kV Sub Station at Vuyyuru (ii)02 Nos 132KV Bays (Telecom Portion Only) (iii) 132KV DC line from 400KV Gudivada Sub Station to the proposed 132/33kV SS Vuyyuru in Krishna District on turnkey basis</t>
        </is>
      </c>
      <c r="E199" s="7" t="inlineStr">
        <is>
          <t>APTRANSCO WORKS-Chief Engineer Projects, Vijayawada</t>
        </is>
      </c>
      <c r="F199" s="6" t="inlineStr">
        <is>
          <t>08 Sep 2026</t>
        </is>
      </c>
      <c r="G199" s="5" t="inlineStr">
        <is>
          <t>05 Oct 2026</t>
        </is>
      </c>
      <c r="H199" s="8" t="inlineStr">
        <is>
          <t>⏳ UPCOMING</t>
        </is>
      </c>
      <c r="I199" s="4" t="inlineStr">
        <is>
          <t>Index.doc</t>
        </is>
      </c>
      <c r="J199" s="6" t="inlineStr">
        <is>
          <t>📄 DOC</t>
        </is>
      </c>
      <c r="K199" s="9" t="n">
        <v>35</v>
      </c>
      <c r="L199" s="10">
        <f>HYPERLINK("http://127.0.0.1:8000/api/documents/download?id=2573&amp;attachment=true", "⬇ Download Index.doc")</f>
        <v/>
      </c>
      <c r="M199" s="10">
        <f>HYPERLINK("http://localhost:5173/?state=Andhra%20Pradesh&amp;keyword=ICT&amp;tender=988338", "🚀 Open in Portal")</f>
        <v/>
      </c>
    </row>
    <row r="200" ht="24" customHeight="1">
      <c r="A200" s="11" t="inlineStr">
        <is>
          <t>Andhra Pradesh</t>
        </is>
      </c>
      <c r="B200" s="12" t="inlineStr">
        <is>
          <t>ICT</t>
        </is>
      </c>
      <c r="C200" s="13" t="inlineStr">
        <is>
          <t>988338</t>
        </is>
      </c>
      <c r="D200" s="14" t="inlineStr">
        <is>
          <t>Supply, Erection, Testing and Commissioning of i) 132/33kV Sub Station at Vuyyuru (ii)02 Nos 132KV Bays (Telecom Portion Only) (iii) 132KV DC line from 400KV Gudivada Sub Station to the proposed 132/33kV SS Vuyyuru in Krishna District on turnkey basis</t>
        </is>
      </c>
      <c r="E200" s="14" t="inlineStr">
        <is>
          <t>APTRANSCO WORKS-Chief Engineer Projects, Vijayawada</t>
        </is>
      </c>
      <c r="F200" s="13" t="inlineStr">
        <is>
          <t>08 Sep 2026</t>
        </is>
      </c>
      <c r="G200" s="12" t="inlineStr">
        <is>
          <t>05 Oct 2026</t>
        </is>
      </c>
      <c r="H200" s="8" t="inlineStr">
        <is>
          <t>⏳ UPCOMING</t>
        </is>
      </c>
      <c r="I200" s="11" t="inlineStr">
        <is>
          <t>Section - 1 General.pdf</t>
        </is>
      </c>
      <c r="J200" s="13" t="inlineStr">
        <is>
          <t>📕 PDF Document</t>
        </is>
      </c>
      <c r="K200" s="15" t="n">
        <v>288.4</v>
      </c>
      <c r="L200" s="16">
        <f>HYPERLINK("http://127.0.0.1:8000/api/documents/download?id=2574&amp;attachment=true", "⬇ Download Section - 1 General.pdf")</f>
        <v/>
      </c>
      <c r="M200" s="16">
        <f>HYPERLINK("http://localhost:5173/?state=Andhra%20Pradesh&amp;keyword=ICT&amp;tender=988338", "🚀 Open in Portal")</f>
        <v/>
      </c>
    </row>
    <row r="201" ht="24" customHeight="1">
      <c r="A201" s="4" t="inlineStr">
        <is>
          <t>Andhra Pradesh</t>
        </is>
      </c>
      <c r="B201" s="5" t="inlineStr">
        <is>
          <t>ICT</t>
        </is>
      </c>
      <c r="C201" s="6" t="inlineStr">
        <is>
          <t>988338</t>
        </is>
      </c>
      <c r="D201" s="7" t="inlineStr">
        <is>
          <t>Supply, Erection, Testing and Commissioning of i) 132/33kV Sub Station at Vuyyuru (ii)02 Nos 132KV Bays (Telecom Portion Only) (iii) 132KV DC line from 400KV Gudivada Sub Station to the proposed 132/33kV SS Vuyyuru in Krishna District on turnkey basis</t>
        </is>
      </c>
      <c r="E201" s="7" t="inlineStr">
        <is>
          <t>APTRANSCO WORKS-Chief Engineer Projects, Vijayawada</t>
        </is>
      </c>
      <c r="F201" s="6" t="inlineStr">
        <is>
          <t>08 Sep 2026</t>
        </is>
      </c>
      <c r="G201" s="5" t="inlineStr">
        <is>
          <t>05 Oct 2026</t>
        </is>
      </c>
      <c r="H201" s="8" t="inlineStr">
        <is>
          <t>⏳ UPCOMING</t>
        </is>
      </c>
      <c r="I201" s="4" t="inlineStr">
        <is>
          <t>Section - 10 Tech  Spec for Control Relay panels.pdf</t>
        </is>
      </c>
      <c r="J201" s="6" t="inlineStr">
        <is>
          <t>📕 PDF Document</t>
        </is>
      </c>
      <c r="K201" s="9" t="n">
        <v>1467.2</v>
      </c>
      <c r="L201" s="10">
        <f>HYPERLINK("http://127.0.0.1:8000/api/documents/download?id=2575&amp;attachment=true", "⬇ Download Section - 10 Tech  Spec ")</f>
        <v/>
      </c>
      <c r="M201" s="10">
        <f>HYPERLINK("http://localhost:5173/?state=Andhra%20Pradesh&amp;keyword=ICT&amp;tender=988338", "🚀 Open in Portal")</f>
        <v/>
      </c>
    </row>
    <row r="202" ht="24" customHeight="1">
      <c r="A202" s="11" t="inlineStr">
        <is>
          <t>Andhra Pradesh</t>
        </is>
      </c>
      <c r="B202" s="12" t="inlineStr">
        <is>
          <t>ICT</t>
        </is>
      </c>
      <c r="C202" s="13" t="inlineStr">
        <is>
          <t>988338</t>
        </is>
      </c>
      <c r="D202" s="14" t="inlineStr">
        <is>
          <t>Supply, Erection, Testing and Commissioning of i) 132/33kV Sub Station at Vuyyuru (ii)02 Nos 132KV Bays (Telecom Portion Only) (iii) 132KV DC line from 400KV Gudivada Sub Station to the proposed 132/33kV SS Vuyyuru in Krishna District on turnkey basis</t>
        </is>
      </c>
      <c r="E202" s="14" t="inlineStr">
        <is>
          <t>APTRANSCO WORKS-Chief Engineer Projects, Vijayawada</t>
        </is>
      </c>
      <c r="F202" s="13" t="inlineStr">
        <is>
          <t>08 Sep 2026</t>
        </is>
      </c>
      <c r="G202" s="12" t="inlineStr">
        <is>
          <t>05 Oct 2026</t>
        </is>
      </c>
      <c r="H202" s="8" t="inlineStr">
        <is>
          <t>⏳ UPCOMING</t>
        </is>
      </c>
      <c r="I202" s="11" t="inlineStr">
        <is>
          <t>Section - 11 -Staton Transformer.pdf</t>
        </is>
      </c>
      <c r="J202" s="13" t="inlineStr">
        <is>
          <t>📕 PDF Document</t>
        </is>
      </c>
      <c r="K202" s="15" t="n">
        <v>274.7</v>
      </c>
      <c r="L202" s="16">
        <f>HYPERLINK("http://127.0.0.1:8000/api/documents/download?id=2576&amp;attachment=true", "⬇ Download Section - 11 -Staton Tra")</f>
        <v/>
      </c>
      <c r="M202" s="16">
        <f>HYPERLINK("http://localhost:5173/?state=Andhra%20Pradesh&amp;keyword=ICT&amp;tender=988338", "🚀 Open in Portal")</f>
        <v/>
      </c>
    </row>
    <row r="203" ht="24" customHeight="1">
      <c r="A203" s="4" t="inlineStr">
        <is>
          <t>Andhra Pradesh</t>
        </is>
      </c>
      <c r="B203" s="5" t="inlineStr">
        <is>
          <t>ICT</t>
        </is>
      </c>
      <c r="C203" s="6" t="inlineStr">
        <is>
          <t>988338</t>
        </is>
      </c>
      <c r="D203" s="7" t="inlineStr">
        <is>
          <t>Supply, Erection, Testing and Commissioning of i) 132/33kV Sub Station at Vuyyuru (ii)02 Nos 132KV Bays (Telecom Portion Only) (iii) 132KV DC line from 400KV Gudivada Sub Station to the proposed 132/33kV SS Vuyyuru in Krishna District on turnkey basis</t>
        </is>
      </c>
      <c r="E203" s="7" t="inlineStr">
        <is>
          <t>APTRANSCO WORKS-Chief Engineer Projects, Vijayawada</t>
        </is>
      </c>
      <c r="F203" s="6" t="inlineStr">
        <is>
          <t>08 Sep 2026</t>
        </is>
      </c>
      <c r="G203" s="5" t="inlineStr">
        <is>
          <t>05 Oct 2026</t>
        </is>
      </c>
      <c r="H203" s="8" t="inlineStr">
        <is>
          <t>⏳ UPCOMING</t>
        </is>
      </c>
      <c r="I203" s="4" t="inlineStr">
        <is>
          <t>Section - 12 ACSR Conductor.pdf</t>
        </is>
      </c>
      <c r="J203" s="6" t="inlineStr">
        <is>
          <t>📕 PDF Document</t>
        </is>
      </c>
      <c r="K203" s="9" t="n">
        <v>679.9</v>
      </c>
      <c r="L203" s="10">
        <f>HYPERLINK("http://127.0.0.1:8000/api/documents/download?id=2577&amp;attachment=true", "⬇ Download Section - 12 ACSR Conduc")</f>
        <v/>
      </c>
      <c r="M203" s="10">
        <f>HYPERLINK("http://localhost:5173/?state=Andhra%20Pradesh&amp;keyword=ICT&amp;tender=988338", "🚀 Open in Portal")</f>
        <v/>
      </c>
    </row>
    <row r="204" ht="24" customHeight="1">
      <c r="A204" s="11" t="inlineStr">
        <is>
          <t>Andhra Pradesh</t>
        </is>
      </c>
      <c r="B204" s="12" t="inlineStr">
        <is>
          <t>ICT</t>
        </is>
      </c>
      <c r="C204" s="13" t="inlineStr">
        <is>
          <t>988338</t>
        </is>
      </c>
      <c r="D204" s="14" t="inlineStr">
        <is>
          <t>Supply, Erection, Testing and Commissioning of i) 132/33kV Sub Station at Vuyyuru (ii)02 Nos 132KV Bays (Telecom Portion Only) (iii) 132KV DC line from 400KV Gudivada Sub Station to the proposed 132/33kV SS Vuyyuru in Krishna District on turnkey basis</t>
        </is>
      </c>
      <c r="E204" s="14" t="inlineStr">
        <is>
          <t>APTRANSCO WORKS-Chief Engineer Projects, Vijayawada</t>
        </is>
      </c>
      <c r="F204" s="13" t="inlineStr">
        <is>
          <t>08 Sep 2026</t>
        </is>
      </c>
      <c r="G204" s="12" t="inlineStr">
        <is>
          <t>05 Oct 2026</t>
        </is>
      </c>
      <c r="H204" s="8" t="inlineStr">
        <is>
          <t>⏳ UPCOMING</t>
        </is>
      </c>
      <c r="I204" s="11" t="inlineStr">
        <is>
          <t>Section - 13 Porcelain disc insulators.pdf</t>
        </is>
      </c>
      <c r="J204" s="13" t="inlineStr">
        <is>
          <t>📕 PDF Document</t>
        </is>
      </c>
      <c r="K204" s="15" t="n">
        <v>423.9</v>
      </c>
      <c r="L204" s="16">
        <f>HYPERLINK("http://127.0.0.1:8000/api/documents/download?id=2578&amp;attachment=true", "⬇ Download Section - 13 Porcelain d")</f>
        <v/>
      </c>
      <c r="M204" s="16">
        <f>HYPERLINK("http://localhost:5173/?state=Andhra%20Pradesh&amp;keyword=ICT&amp;tender=988338", "🚀 Open in Portal")</f>
        <v/>
      </c>
    </row>
    <row r="205" ht="24" customHeight="1">
      <c r="A205" s="4" t="inlineStr">
        <is>
          <t>Andhra Pradesh</t>
        </is>
      </c>
      <c r="B205" s="5" t="inlineStr">
        <is>
          <t>ICT</t>
        </is>
      </c>
      <c r="C205" s="6" t="inlineStr">
        <is>
          <t>988338</t>
        </is>
      </c>
      <c r="D205" s="7" t="inlineStr">
        <is>
          <t>Supply, Erection, Testing and Commissioning of i) 132/33kV Sub Station at Vuyyuru (ii)02 Nos 132KV Bays (Telecom Portion Only) (iii) 132KV DC line from 400KV Gudivada Sub Station to the proposed 132/33kV SS Vuyyuru in Krishna District on turnkey basis</t>
        </is>
      </c>
      <c r="E205" s="7" t="inlineStr">
        <is>
          <t>APTRANSCO WORKS-Chief Engineer Projects, Vijayawada</t>
        </is>
      </c>
      <c r="F205" s="6" t="inlineStr">
        <is>
          <t>08 Sep 2026</t>
        </is>
      </c>
      <c r="G205" s="5" t="inlineStr">
        <is>
          <t>05 Oct 2026</t>
        </is>
      </c>
      <c r="H205" s="8" t="inlineStr">
        <is>
          <t>⏳ UPCOMING</t>
        </is>
      </c>
      <c r="I205" s="4" t="inlineStr">
        <is>
          <t>Section - 14 Transmission line towers.pdf</t>
        </is>
      </c>
      <c r="J205" s="6" t="inlineStr">
        <is>
          <t>📕 PDF Document</t>
        </is>
      </c>
      <c r="K205" s="9" t="n">
        <v>452.1</v>
      </c>
      <c r="L205" s="10">
        <f>HYPERLINK("http://127.0.0.1:8000/api/documents/download?id=2579&amp;attachment=true", "⬇ Download Section - 14 Transmissio")</f>
        <v/>
      </c>
      <c r="M205" s="10">
        <f>HYPERLINK("http://localhost:5173/?state=Andhra%20Pradesh&amp;keyword=ICT&amp;tender=988338", "🚀 Open in Portal")</f>
        <v/>
      </c>
    </row>
    <row r="206" ht="24" customHeight="1">
      <c r="A206" s="11" t="inlineStr">
        <is>
          <t>Andhra Pradesh</t>
        </is>
      </c>
      <c r="B206" s="12" t="inlineStr">
        <is>
          <t>ICT</t>
        </is>
      </c>
      <c r="C206" s="13" t="inlineStr">
        <is>
          <t>988338</t>
        </is>
      </c>
      <c r="D206" s="14" t="inlineStr">
        <is>
          <t>Supply, Erection, Testing and Commissioning of i) 132/33kV Sub Station at Vuyyuru (ii)02 Nos 132KV Bays (Telecom Portion Only) (iii) 132KV DC line from 400KV Gudivada Sub Station to the proposed 132/33kV SS Vuyyuru in Krishna District on turnkey basis</t>
        </is>
      </c>
      <c r="E206" s="14" t="inlineStr">
        <is>
          <t>APTRANSCO WORKS-Chief Engineer Projects, Vijayawada</t>
        </is>
      </c>
      <c r="F206" s="13" t="inlineStr">
        <is>
          <t>08 Sep 2026</t>
        </is>
      </c>
      <c r="G206" s="12" t="inlineStr">
        <is>
          <t>05 Oct 2026</t>
        </is>
      </c>
      <c r="H206" s="8" t="inlineStr">
        <is>
          <t>⏳ UPCOMING</t>
        </is>
      </c>
      <c r="I206" s="11" t="inlineStr">
        <is>
          <t>section - 15 Earth wire.pdf</t>
        </is>
      </c>
      <c r="J206" s="13" t="inlineStr">
        <is>
          <t>📕 PDF Document</t>
        </is>
      </c>
      <c r="K206" s="15" t="n">
        <v>524</v>
      </c>
      <c r="L206" s="16">
        <f>HYPERLINK("http://127.0.0.1:8000/api/documents/download?id=2580&amp;attachment=true", "⬇ Download section - 15 Earth wire.")</f>
        <v/>
      </c>
      <c r="M206" s="16">
        <f>HYPERLINK("http://localhost:5173/?state=Andhra%20Pradesh&amp;keyword=ICT&amp;tender=988338", "🚀 Open in Portal")</f>
        <v/>
      </c>
    </row>
    <row r="207" ht="24" customHeight="1">
      <c r="A207" s="4" t="inlineStr">
        <is>
          <t>Andhra Pradesh</t>
        </is>
      </c>
      <c r="B207" s="5" t="inlineStr">
        <is>
          <t>ICT</t>
        </is>
      </c>
      <c r="C207" s="6" t="inlineStr">
        <is>
          <t>988338</t>
        </is>
      </c>
      <c r="D207" s="7" t="inlineStr">
        <is>
          <t>Supply, Erection, Testing and Commissioning of i) 132/33kV Sub Station at Vuyyuru (ii)02 Nos 132KV Bays (Telecom Portion Only) (iii) 132KV DC line from 400KV Gudivada Sub Station to the proposed 132/33kV SS Vuyyuru in Krishna District on turnkey basis</t>
        </is>
      </c>
      <c r="E207" s="7" t="inlineStr">
        <is>
          <t>APTRANSCO WORKS-Chief Engineer Projects, Vijayawada</t>
        </is>
      </c>
      <c r="F207" s="6" t="inlineStr">
        <is>
          <t>08 Sep 2026</t>
        </is>
      </c>
      <c r="G207" s="5" t="inlineStr">
        <is>
          <t>05 Oct 2026</t>
        </is>
      </c>
      <c r="H207" s="8" t="inlineStr">
        <is>
          <t>⏳ UPCOMING</t>
        </is>
      </c>
      <c r="I207" s="4" t="inlineStr">
        <is>
          <t>Section - 16 Hardware &amp; Accessories for conductor &amp; earth wire.pdf</t>
        </is>
      </c>
      <c r="J207" s="6" t="inlineStr">
        <is>
          <t>📕 PDF Document</t>
        </is>
      </c>
      <c r="K207" s="9" t="n">
        <v>649.1</v>
      </c>
      <c r="L207" s="10">
        <f>HYPERLINK("http://127.0.0.1:8000/api/documents/download?id=2581&amp;attachment=true", "⬇ Download Section - 16 Hardware &amp; ")</f>
        <v/>
      </c>
      <c r="M207" s="10">
        <f>HYPERLINK("http://localhost:5173/?state=Andhra%20Pradesh&amp;keyword=ICT&amp;tender=988338", "🚀 Open in Portal")</f>
        <v/>
      </c>
    </row>
    <row r="208" ht="24" customHeight="1">
      <c r="A208" s="11" t="inlineStr">
        <is>
          <t>Andhra Pradesh</t>
        </is>
      </c>
      <c r="B208" s="12" t="inlineStr">
        <is>
          <t>ICT</t>
        </is>
      </c>
      <c r="C208" s="13" t="inlineStr">
        <is>
          <t>988338</t>
        </is>
      </c>
      <c r="D208" s="14" t="inlineStr">
        <is>
          <t>Supply, Erection, Testing and Commissioning of i) 132/33kV Sub Station at Vuyyuru (ii)02 Nos 132KV Bays (Telecom Portion Only) (iii) 132KV DC line from 400KV Gudivada Sub Station to the proposed 132/33kV SS Vuyyuru in Krishna District on turnkey basis</t>
        </is>
      </c>
      <c r="E208" s="14" t="inlineStr">
        <is>
          <t>APTRANSCO WORKS-Chief Engineer Projects, Vijayawada</t>
        </is>
      </c>
      <c r="F208" s="13" t="inlineStr">
        <is>
          <t>08 Sep 2026</t>
        </is>
      </c>
      <c r="G208" s="12" t="inlineStr">
        <is>
          <t>05 Oct 2026</t>
        </is>
      </c>
      <c r="H208" s="8" t="inlineStr">
        <is>
          <t>⏳ UPCOMING</t>
        </is>
      </c>
      <c r="I208" s="11" t="inlineStr">
        <is>
          <t>section - 17 Bolts &amp; Nuts.pdf</t>
        </is>
      </c>
      <c r="J208" s="13" t="inlineStr">
        <is>
          <t>📕 PDF Document</t>
        </is>
      </c>
      <c r="K208" s="15" t="n">
        <v>472.7</v>
      </c>
      <c r="L208" s="16">
        <f>HYPERLINK("http://127.0.0.1:8000/api/documents/download?id=2582&amp;attachment=true", "⬇ Download section - 17 Bolts &amp; Nut")</f>
        <v/>
      </c>
      <c r="M208" s="16">
        <f>HYPERLINK("http://localhost:5173/?state=Andhra%20Pradesh&amp;keyword=ICT&amp;tender=988338", "🚀 Open in Portal")</f>
        <v/>
      </c>
    </row>
    <row r="209" ht="24" customHeight="1">
      <c r="A209" s="4" t="inlineStr">
        <is>
          <t>Andhra Pradesh</t>
        </is>
      </c>
      <c r="B209" s="5" t="inlineStr">
        <is>
          <t>ICT</t>
        </is>
      </c>
      <c r="C209" s="6" t="inlineStr">
        <is>
          <t>988338</t>
        </is>
      </c>
      <c r="D209" s="7" t="inlineStr">
        <is>
          <t>Supply, Erection, Testing and Commissioning of i) 132/33kV Sub Station at Vuyyuru (ii)02 Nos 132KV Bays (Telecom Portion Only) (iii) 132KV DC line from 400KV Gudivada Sub Station to the proposed 132/33kV SS Vuyyuru in Krishna District on turnkey basis</t>
        </is>
      </c>
      <c r="E209" s="7" t="inlineStr">
        <is>
          <t>APTRANSCO WORKS-Chief Engineer Projects, Vijayawada</t>
        </is>
      </c>
      <c r="F209" s="6" t="inlineStr">
        <is>
          <t>08 Sep 2026</t>
        </is>
      </c>
      <c r="G209" s="5" t="inlineStr">
        <is>
          <t>05 Oct 2026</t>
        </is>
      </c>
      <c r="H209" s="8" t="inlineStr">
        <is>
          <t>⏳ UPCOMING</t>
        </is>
      </c>
      <c r="I209" s="4" t="inlineStr">
        <is>
          <t>Section - 18  Tech Spec for Substation.pdf</t>
        </is>
      </c>
      <c r="J209" s="6" t="inlineStr">
        <is>
          <t>📕 PDF Document</t>
        </is>
      </c>
      <c r="K209" s="9" t="n">
        <v>853.1</v>
      </c>
      <c r="L209" s="10">
        <f>HYPERLINK("http://127.0.0.1:8000/api/documents/download?id=2583&amp;attachment=true", "⬇ Download Section - 18  Tech Spec ")</f>
        <v/>
      </c>
      <c r="M209" s="10">
        <f>HYPERLINK("http://localhost:5173/?state=Andhra%20Pradesh&amp;keyword=ICT&amp;tender=988338", "🚀 Open in Portal")</f>
        <v/>
      </c>
    </row>
    <row r="210" ht="24" customHeight="1">
      <c r="A210" s="11" t="inlineStr">
        <is>
          <t>Andhra Pradesh</t>
        </is>
      </c>
      <c r="B210" s="12" t="inlineStr">
        <is>
          <t>ICT</t>
        </is>
      </c>
      <c r="C210" s="13" t="inlineStr">
        <is>
          <t>988338</t>
        </is>
      </c>
      <c r="D210" s="14" t="inlineStr">
        <is>
          <t>Supply, Erection, Testing and Commissioning of i) 132/33kV Sub Station at Vuyyuru (ii)02 Nos 132KV Bays (Telecom Portion Only) (iii) 132KV DC line from 400KV Gudivada Sub Station to the proposed 132/33kV SS Vuyyuru in Krishna District on turnkey basis</t>
        </is>
      </c>
      <c r="E210" s="14" t="inlineStr">
        <is>
          <t>APTRANSCO WORKS-Chief Engineer Projects, Vijayawada</t>
        </is>
      </c>
      <c r="F210" s="13" t="inlineStr">
        <is>
          <t>08 Sep 2026</t>
        </is>
      </c>
      <c r="G210" s="12" t="inlineStr">
        <is>
          <t>05 Oct 2026</t>
        </is>
      </c>
      <c r="H210" s="8" t="inlineStr">
        <is>
          <t>⏳ UPCOMING</t>
        </is>
      </c>
      <c r="I210" s="11" t="inlineStr">
        <is>
          <t>Section - 19 Tech Spec for Tr Line works.pdf</t>
        </is>
      </c>
      <c r="J210" s="13" t="inlineStr">
        <is>
          <t>📕 PDF Document</t>
        </is>
      </c>
      <c r="K210" s="15" t="n">
        <v>524.5</v>
      </c>
      <c r="L210" s="16">
        <f>HYPERLINK("http://127.0.0.1:8000/api/documents/download?id=2584&amp;attachment=true", "⬇ Download Section - 19 Tech Spec f")</f>
        <v/>
      </c>
      <c r="M210" s="16">
        <f>HYPERLINK("http://localhost:5173/?state=Andhra%20Pradesh&amp;keyword=ICT&amp;tender=988338", "🚀 Open in Portal")</f>
        <v/>
      </c>
    </row>
    <row r="211" ht="24" customHeight="1">
      <c r="A211" s="4" t="inlineStr">
        <is>
          <t>Andhra Pradesh</t>
        </is>
      </c>
      <c r="B211" s="5" t="inlineStr">
        <is>
          <t>ICT</t>
        </is>
      </c>
      <c r="C211" s="6" t="inlineStr">
        <is>
          <t>988338</t>
        </is>
      </c>
      <c r="D211" s="7" t="inlineStr">
        <is>
          <t>Supply, Erection, Testing and Commissioning of i) 132/33kV Sub Station at Vuyyuru (ii)02 Nos 132KV Bays (Telecom Portion Only) (iii) 132KV DC line from 400KV Gudivada Sub Station to the proposed 132/33kV SS Vuyyuru in Krishna District on turnkey basis</t>
        </is>
      </c>
      <c r="E211" s="7" t="inlineStr">
        <is>
          <t>APTRANSCO WORKS-Chief Engineer Projects, Vijayawada</t>
        </is>
      </c>
      <c r="F211" s="6" t="inlineStr">
        <is>
          <t>08 Sep 2026</t>
        </is>
      </c>
      <c r="G211" s="5" t="inlineStr">
        <is>
          <t>05 Oct 2026</t>
        </is>
      </c>
      <c r="H211" s="8" t="inlineStr">
        <is>
          <t>⏳ UPCOMING</t>
        </is>
      </c>
      <c r="I211" s="4" t="inlineStr">
        <is>
          <t>Section - 2 CTs-PTs-CVTs.pdf</t>
        </is>
      </c>
      <c r="J211" s="6" t="inlineStr">
        <is>
          <t>📕 PDF Document</t>
        </is>
      </c>
      <c r="K211" s="9" t="n">
        <v>719.3</v>
      </c>
      <c r="L211" s="10">
        <f>HYPERLINK("http://127.0.0.1:8000/api/documents/download?id=2585&amp;attachment=true", "⬇ Download Section - 2 CTs-PTs-CVTs")</f>
        <v/>
      </c>
      <c r="M211" s="10">
        <f>HYPERLINK("http://localhost:5173/?state=Andhra%20Pradesh&amp;keyword=ICT&amp;tender=988338", "🚀 Open in Portal")</f>
        <v/>
      </c>
    </row>
    <row r="212" ht="24" customHeight="1">
      <c r="A212" s="11" t="inlineStr">
        <is>
          <t>Andhra Pradesh</t>
        </is>
      </c>
      <c r="B212" s="12" t="inlineStr">
        <is>
          <t>ICT</t>
        </is>
      </c>
      <c r="C212" s="13" t="inlineStr">
        <is>
          <t>988338</t>
        </is>
      </c>
      <c r="D212" s="14" t="inlineStr">
        <is>
          <t>Supply, Erection, Testing and Commissioning of i) 132/33kV Sub Station at Vuyyuru (ii)02 Nos 132KV Bays (Telecom Portion Only) (iii) 132KV DC line from 400KV Gudivada Sub Station to the proposed 132/33kV SS Vuyyuru in Krishna District on turnkey basis</t>
        </is>
      </c>
      <c r="E212" s="14" t="inlineStr">
        <is>
          <t>APTRANSCO WORKS-Chief Engineer Projects, Vijayawada</t>
        </is>
      </c>
      <c r="F212" s="13" t="inlineStr">
        <is>
          <t>08 Sep 2026</t>
        </is>
      </c>
      <c r="G212" s="12" t="inlineStr">
        <is>
          <t>05 Oct 2026</t>
        </is>
      </c>
      <c r="H212" s="8" t="inlineStr">
        <is>
          <t>⏳ UPCOMING</t>
        </is>
      </c>
      <c r="I212" s="11" t="inlineStr">
        <is>
          <t>Section - 20  Technical specification of OPGW, OFAC &amp; FODP.pdf</t>
        </is>
      </c>
      <c r="J212" s="13" t="inlineStr">
        <is>
          <t>📕 PDF Document</t>
        </is>
      </c>
      <c r="K212" s="15" t="n">
        <v>1363.8</v>
      </c>
      <c r="L212" s="16">
        <f>HYPERLINK("http://127.0.0.1:8000/api/documents/download?id=2586&amp;attachment=true", "⬇ Download Section - 20  Technical ")</f>
        <v/>
      </c>
      <c r="M212" s="16">
        <f>HYPERLINK("http://localhost:5173/?state=Andhra%20Pradesh&amp;keyword=ICT&amp;tender=988338", "🚀 Open in Portal")</f>
        <v/>
      </c>
    </row>
    <row r="213" ht="24" customHeight="1">
      <c r="A213" s="4" t="inlineStr">
        <is>
          <t>Andhra Pradesh</t>
        </is>
      </c>
      <c r="B213" s="5" t="inlineStr">
        <is>
          <t>ICT</t>
        </is>
      </c>
      <c r="C213" s="6" t="inlineStr">
        <is>
          <t>988338</t>
        </is>
      </c>
      <c r="D213" s="7" t="inlineStr">
        <is>
          <t>Supply, Erection, Testing and Commissioning of i) 132/33kV Sub Station at Vuyyuru (ii)02 Nos 132KV Bays (Telecom Portion Only) (iii) 132KV DC line from 400KV Gudivada Sub Station to the proposed 132/33kV SS Vuyyuru in Krishna District on turnkey basis</t>
        </is>
      </c>
      <c r="E213" s="7" t="inlineStr">
        <is>
          <t>APTRANSCO WORKS-Chief Engineer Projects, Vijayawada</t>
        </is>
      </c>
      <c r="F213" s="6" t="inlineStr">
        <is>
          <t>08 Sep 2026</t>
        </is>
      </c>
      <c r="G213" s="5" t="inlineStr">
        <is>
          <t>05 Oct 2026</t>
        </is>
      </c>
      <c r="H213" s="8" t="inlineStr">
        <is>
          <t>⏳ UPCOMING</t>
        </is>
      </c>
      <c r="I213" s="4" t="inlineStr">
        <is>
          <t>Section - 21  Technical spec for UG OFC, HDPE duct &amp; RCC chambers.pdf</t>
        </is>
      </c>
      <c r="J213" s="6" t="inlineStr">
        <is>
          <t>📕 PDF Document</t>
        </is>
      </c>
      <c r="K213" s="9" t="n">
        <v>480.3</v>
      </c>
      <c r="L213" s="10">
        <f>HYPERLINK("http://127.0.0.1:8000/api/documents/download?id=2587&amp;attachment=true", "⬇ Download Section - 21  Technical ")</f>
        <v/>
      </c>
      <c r="M213" s="10">
        <f>HYPERLINK("http://localhost:5173/?state=Andhra%20Pradesh&amp;keyword=ICT&amp;tender=988338", "🚀 Open in Portal")</f>
        <v/>
      </c>
    </row>
    <row r="214" ht="24" customHeight="1">
      <c r="A214" s="11" t="inlineStr">
        <is>
          <t>Andhra Pradesh</t>
        </is>
      </c>
      <c r="B214" s="12" t="inlineStr">
        <is>
          <t>ICT</t>
        </is>
      </c>
      <c r="C214" s="13" t="inlineStr">
        <is>
          <t>988338</t>
        </is>
      </c>
      <c r="D214" s="14" t="inlineStr">
        <is>
          <t>Supply, Erection, Testing and Commissioning of i) 132/33kV Sub Station at Vuyyuru (ii)02 Nos 132KV Bays (Telecom Portion Only) (iii) 132KV DC line from 400KV Gudivada Sub Station to the proposed 132/33kV SS Vuyyuru in Krishna District on turnkey basis</t>
        </is>
      </c>
      <c r="E214" s="14" t="inlineStr">
        <is>
          <t>APTRANSCO WORKS-Chief Engineer Projects, Vijayawada</t>
        </is>
      </c>
      <c r="F214" s="13" t="inlineStr">
        <is>
          <t>08 Sep 2026</t>
        </is>
      </c>
      <c r="G214" s="12" t="inlineStr">
        <is>
          <t>05 Oct 2026</t>
        </is>
      </c>
      <c r="H214" s="8" t="inlineStr">
        <is>
          <t>⏳ UPCOMING</t>
        </is>
      </c>
      <c r="I214" s="11" t="inlineStr">
        <is>
          <t>Section - 22 Technical specification of SDH (OLTE) equipment.pdf</t>
        </is>
      </c>
      <c r="J214" s="13" t="inlineStr">
        <is>
          <t>📕 PDF Document</t>
        </is>
      </c>
      <c r="K214" s="15" t="n">
        <v>635.3</v>
      </c>
      <c r="L214" s="16">
        <f>HYPERLINK("http://127.0.0.1:8000/api/documents/download?id=2588&amp;attachment=true", "⬇ Download Section - 22 Technical s")</f>
        <v/>
      </c>
      <c r="M214" s="16">
        <f>HYPERLINK("http://localhost:5173/?state=Andhra%20Pradesh&amp;keyword=ICT&amp;tender=988338", "🚀 Open in Portal")</f>
        <v/>
      </c>
    </row>
    <row r="215" ht="24" customHeight="1">
      <c r="A215" s="4" t="inlineStr">
        <is>
          <t>Andhra Pradesh</t>
        </is>
      </c>
      <c r="B215" s="5" t="inlineStr">
        <is>
          <t>ICT</t>
        </is>
      </c>
      <c r="C215" s="6" t="inlineStr">
        <is>
          <t>988338</t>
        </is>
      </c>
      <c r="D215" s="7" t="inlineStr">
        <is>
          <t>Supply, Erection, Testing and Commissioning of i) 132/33kV Sub Station at Vuyyuru (ii)02 Nos 132KV Bays (Telecom Portion Only) (iii) 132KV DC line from 400KV Gudivada Sub Station to the proposed 132/33kV SS Vuyyuru in Krishna District on turnkey basis</t>
        </is>
      </c>
      <c r="E215" s="7" t="inlineStr">
        <is>
          <t>APTRANSCO WORKS-Chief Engineer Projects, Vijayawada</t>
        </is>
      </c>
      <c r="F215" s="6" t="inlineStr">
        <is>
          <t>08 Sep 2026</t>
        </is>
      </c>
      <c r="G215" s="5" t="inlineStr">
        <is>
          <t>05 Oct 2026</t>
        </is>
      </c>
      <c r="H215" s="8" t="inlineStr">
        <is>
          <t>⏳ UPCOMING</t>
        </is>
      </c>
      <c r="I215" s="4" t="inlineStr">
        <is>
          <t>Section - 23 Technical specification of DTPC.pdf</t>
        </is>
      </c>
      <c r="J215" s="6" t="inlineStr">
        <is>
          <t>📕 PDF Document</t>
        </is>
      </c>
      <c r="K215" s="9" t="n">
        <v>198.2</v>
      </c>
      <c r="L215" s="10">
        <f>HYPERLINK("http://127.0.0.1:8000/api/documents/download?id=2589&amp;attachment=true", "⬇ Download Section - 23 Technical s")</f>
        <v/>
      </c>
      <c r="M215" s="10">
        <f>HYPERLINK("http://localhost:5173/?state=Andhra%20Pradesh&amp;keyword=ICT&amp;tender=988338", "🚀 Open in Portal")</f>
        <v/>
      </c>
    </row>
    <row r="216" ht="24" customHeight="1">
      <c r="A216" s="11" t="inlineStr">
        <is>
          <t>Andhra Pradesh</t>
        </is>
      </c>
      <c r="B216" s="12" t="inlineStr">
        <is>
          <t>ICT</t>
        </is>
      </c>
      <c r="C216" s="13" t="inlineStr">
        <is>
          <t>988338</t>
        </is>
      </c>
      <c r="D216" s="14" t="inlineStr">
        <is>
          <t>Supply, Erection, Testing and Commissioning of i) 132/33kV Sub Station at Vuyyuru (ii)02 Nos 132KV Bays (Telecom Portion Only) (iii) 132KV DC line from 400KV Gudivada Sub Station to the proposed 132/33kV SS Vuyyuru in Krishna District on turnkey basis</t>
        </is>
      </c>
      <c r="E216" s="14" t="inlineStr">
        <is>
          <t>APTRANSCO WORKS-Chief Engineer Projects, Vijayawada</t>
        </is>
      </c>
      <c r="F216" s="13" t="inlineStr">
        <is>
          <t>08 Sep 2026</t>
        </is>
      </c>
      <c r="G216" s="12" t="inlineStr">
        <is>
          <t>05 Oct 2026</t>
        </is>
      </c>
      <c r="H216" s="8" t="inlineStr">
        <is>
          <t>⏳ UPCOMING</t>
        </is>
      </c>
      <c r="I216" s="11" t="inlineStr">
        <is>
          <t>Section - 24 Technical specification of  VOIP Phone.pdf</t>
        </is>
      </c>
      <c r="J216" s="13" t="inlineStr">
        <is>
          <t>📕 PDF Document</t>
        </is>
      </c>
      <c r="K216" s="15" t="n">
        <v>259.9</v>
      </c>
      <c r="L216" s="16">
        <f>HYPERLINK("http://127.0.0.1:8000/api/documents/download?id=2590&amp;attachment=true", "⬇ Download Section - 24 Technical s")</f>
        <v/>
      </c>
      <c r="M216" s="16">
        <f>HYPERLINK("http://localhost:5173/?state=Andhra%20Pradesh&amp;keyword=ICT&amp;tender=988338", "🚀 Open in Portal")</f>
        <v/>
      </c>
    </row>
    <row r="217" ht="24" customHeight="1">
      <c r="A217" s="4" t="inlineStr">
        <is>
          <t>Andhra Pradesh</t>
        </is>
      </c>
      <c r="B217" s="5" t="inlineStr">
        <is>
          <t>ICT</t>
        </is>
      </c>
      <c r="C217" s="6" t="inlineStr">
        <is>
          <t>988338</t>
        </is>
      </c>
      <c r="D217" s="7" t="inlineStr">
        <is>
          <t>Supply, Erection, Testing and Commissioning of i) 132/33kV Sub Station at Vuyyuru (ii)02 Nos 132KV Bays (Telecom Portion Only) (iii) 132KV DC line from 400KV Gudivada Sub Station to the proposed 132/33kV SS Vuyyuru in Krishna District on turnkey basis</t>
        </is>
      </c>
      <c r="E217" s="7" t="inlineStr">
        <is>
          <t>APTRANSCO WORKS-Chief Engineer Projects, Vijayawada</t>
        </is>
      </c>
      <c r="F217" s="6" t="inlineStr">
        <is>
          <t>08 Sep 2026</t>
        </is>
      </c>
      <c r="G217" s="5" t="inlineStr">
        <is>
          <t>05 Oct 2026</t>
        </is>
      </c>
      <c r="H217" s="8" t="inlineStr">
        <is>
          <t>⏳ UPCOMING</t>
        </is>
      </c>
      <c r="I217" s="4" t="inlineStr">
        <is>
          <t>Section - 25 Technical specification of 48V Chargers.pdf</t>
        </is>
      </c>
      <c r="J217" s="6" t="inlineStr">
        <is>
          <t>📕 PDF Document</t>
        </is>
      </c>
      <c r="K217" s="9" t="n">
        <v>443.3</v>
      </c>
      <c r="L217" s="10">
        <f>HYPERLINK("http://127.0.0.1:8000/api/documents/download?id=2591&amp;attachment=true", "⬇ Download Section - 25 Technical s")</f>
        <v/>
      </c>
      <c r="M217" s="10">
        <f>HYPERLINK("http://localhost:5173/?state=Andhra%20Pradesh&amp;keyword=ICT&amp;tender=988338", "🚀 Open in Portal")</f>
        <v/>
      </c>
    </row>
    <row r="218" ht="24" customHeight="1">
      <c r="A218" s="11" t="inlineStr">
        <is>
          <t>Andhra Pradesh</t>
        </is>
      </c>
      <c r="B218" s="12" t="inlineStr">
        <is>
          <t>ICT</t>
        </is>
      </c>
      <c r="C218" s="13" t="inlineStr">
        <is>
          <t>988338</t>
        </is>
      </c>
      <c r="D218" s="14" t="inlineStr">
        <is>
          <t>Supply, Erection, Testing and Commissioning of i) 132/33kV Sub Station at Vuyyuru (ii)02 Nos 132KV Bays (Telecom Portion Only) (iii) 132KV DC line from 400KV Gudivada Sub Station to the proposed 132/33kV SS Vuyyuru in Krishna District on turnkey basis</t>
        </is>
      </c>
      <c r="E218" s="14" t="inlineStr">
        <is>
          <t>APTRANSCO WORKS-Chief Engineer Projects, Vijayawada</t>
        </is>
      </c>
      <c r="F218" s="13" t="inlineStr">
        <is>
          <t>08 Sep 2026</t>
        </is>
      </c>
      <c r="G218" s="12" t="inlineStr">
        <is>
          <t>05 Oct 2026</t>
        </is>
      </c>
      <c r="H218" s="8" t="inlineStr">
        <is>
          <t>⏳ UPCOMING</t>
        </is>
      </c>
      <c r="I218" s="11" t="inlineStr">
        <is>
          <t>Section - 26 Technical specification of 48V Battery sets.pdf</t>
        </is>
      </c>
      <c r="J218" s="13" t="inlineStr">
        <is>
          <t>📕 PDF Document</t>
        </is>
      </c>
      <c r="K218" s="15" t="n">
        <v>188.2</v>
      </c>
      <c r="L218" s="16">
        <f>HYPERLINK("http://127.0.0.1:8000/api/documents/download?id=2592&amp;attachment=true", "⬇ Download Section - 26 Technical s")</f>
        <v/>
      </c>
      <c r="M218" s="16">
        <f>HYPERLINK("http://localhost:5173/?state=Andhra%20Pradesh&amp;keyword=ICT&amp;tender=988338", "🚀 Open in Portal")</f>
        <v/>
      </c>
    </row>
    <row r="219" ht="24" customHeight="1">
      <c r="A219" s="4" t="inlineStr">
        <is>
          <t>Andhra Pradesh</t>
        </is>
      </c>
      <c r="B219" s="5" t="inlineStr">
        <is>
          <t>ICT</t>
        </is>
      </c>
      <c r="C219" s="6" t="inlineStr">
        <is>
          <t>988338</t>
        </is>
      </c>
      <c r="D219" s="7" t="inlineStr">
        <is>
          <t>Supply, Erection, Testing and Commissioning of i) 132/33kV Sub Station at Vuyyuru (ii)02 Nos 132KV Bays (Telecom Portion Only) (iii) 132KV DC line from 400KV Gudivada Sub Station to the proposed 132/33kV SS Vuyyuru in Krishna District on turnkey basis</t>
        </is>
      </c>
      <c r="E219" s="7" t="inlineStr">
        <is>
          <t>APTRANSCO WORKS-Chief Engineer Projects, Vijayawada</t>
        </is>
      </c>
      <c r="F219" s="6" t="inlineStr">
        <is>
          <t>08 Sep 2026</t>
        </is>
      </c>
      <c r="G219" s="5" t="inlineStr">
        <is>
          <t>05 Oct 2026</t>
        </is>
      </c>
      <c r="H219" s="8" t="inlineStr">
        <is>
          <t>⏳ UPCOMING</t>
        </is>
      </c>
      <c r="I219" s="4" t="inlineStr">
        <is>
          <t>Section - 27  Techincal specification of Testing Instruments..pdf</t>
        </is>
      </c>
      <c r="J219" s="6" t="inlineStr">
        <is>
          <t>📕 PDF Document</t>
        </is>
      </c>
      <c r="K219" s="9" t="n">
        <v>629.7</v>
      </c>
      <c r="L219" s="10">
        <f>HYPERLINK("http://127.0.0.1:8000/api/documents/download?id=2593&amp;attachment=true", "⬇ Download Section - 27  Techincal ")</f>
        <v/>
      </c>
      <c r="M219" s="10">
        <f>HYPERLINK("http://localhost:5173/?state=Andhra%20Pradesh&amp;keyword=ICT&amp;tender=988338", "🚀 Open in Portal")</f>
        <v/>
      </c>
    </row>
    <row r="220" ht="24" customHeight="1">
      <c r="A220" s="11" t="inlineStr">
        <is>
          <t>Andhra Pradesh</t>
        </is>
      </c>
      <c r="B220" s="12" t="inlineStr">
        <is>
          <t>ICT</t>
        </is>
      </c>
      <c r="C220" s="13" t="inlineStr">
        <is>
          <t>988338</t>
        </is>
      </c>
      <c r="D220" s="14" t="inlineStr">
        <is>
          <t>Supply, Erection, Testing and Commissioning of i) 132/33kV Sub Station at Vuyyuru (ii)02 Nos 132KV Bays (Telecom Portion Only) (iii) 132KV DC line from 400KV Gudivada Sub Station to the proposed 132/33kV SS Vuyyuru in Krishna District on turnkey basis</t>
        </is>
      </c>
      <c r="E220" s="14" t="inlineStr">
        <is>
          <t>APTRANSCO WORKS-Chief Engineer Projects, Vijayawada</t>
        </is>
      </c>
      <c r="F220" s="13" t="inlineStr">
        <is>
          <t>08 Sep 2026</t>
        </is>
      </c>
      <c r="G220" s="12" t="inlineStr">
        <is>
          <t>05 Oct 2026</t>
        </is>
      </c>
      <c r="H220" s="8" t="inlineStr">
        <is>
          <t>⏳ UPCOMING</t>
        </is>
      </c>
      <c r="I220" s="11" t="inlineStr">
        <is>
          <t>Section - 28 -Technical specifications of cables.pdf</t>
        </is>
      </c>
      <c r="J220" s="13" t="inlineStr">
        <is>
          <t>📕 PDF Document</t>
        </is>
      </c>
      <c r="K220" s="15" t="n">
        <v>617.5</v>
      </c>
      <c r="L220" s="16">
        <f>HYPERLINK("http://127.0.0.1:8000/api/documents/download?id=2594&amp;attachment=true", "⬇ Download Section - 28 -Technical ")</f>
        <v/>
      </c>
      <c r="M220" s="16">
        <f>HYPERLINK("http://localhost:5173/?state=Andhra%20Pradesh&amp;keyword=ICT&amp;tender=988338", "🚀 Open in Portal")</f>
        <v/>
      </c>
    </row>
    <row r="221" ht="24" customHeight="1">
      <c r="A221" s="4" t="inlineStr">
        <is>
          <t>Andhra Pradesh</t>
        </is>
      </c>
      <c r="B221" s="5" t="inlineStr">
        <is>
          <t>ICT</t>
        </is>
      </c>
      <c r="C221" s="6" t="inlineStr">
        <is>
          <t>988338</t>
        </is>
      </c>
      <c r="D221" s="7" t="inlineStr">
        <is>
          <t>Supply, Erection, Testing and Commissioning of i) 132/33kV Sub Station at Vuyyuru (ii)02 Nos 132KV Bays (Telecom Portion Only) (iii) 132KV DC line from 400KV Gudivada Sub Station to the proposed 132/33kV SS Vuyyuru in Krishna District on turnkey basis</t>
        </is>
      </c>
      <c r="E221" s="7" t="inlineStr">
        <is>
          <t>APTRANSCO WORKS-Chief Engineer Projects, Vijayawada</t>
        </is>
      </c>
      <c r="F221" s="6" t="inlineStr">
        <is>
          <t>08 Sep 2026</t>
        </is>
      </c>
      <c r="G221" s="5" t="inlineStr">
        <is>
          <t>05 Oct 2026</t>
        </is>
      </c>
      <c r="H221" s="8" t="inlineStr">
        <is>
          <t>⏳ UPCOMING</t>
        </is>
      </c>
      <c r="I221" s="4" t="inlineStr">
        <is>
          <t>Section - 29 Long rod insulators.pdf</t>
        </is>
      </c>
      <c r="J221" s="6" t="inlineStr">
        <is>
          <t>📕 PDF Document</t>
        </is>
      </c>
      <c r="K221" s="9" t="n">
        <v>433.9</v>
      </c>
      <c r="L221" s="10">
        <f>HYPERLINK("http://127.0.0.1:8000/api/documents/download?id=2595&amp;attachment=true", "⬇ Download Section - 29 Long rod in")</f>
        <v/>
      </c>
      <c r="M221" s="10">
        <f>HYPERLINK("http://localhost:5173/?state=Andhra%20Pradesh&amp;keyword=ICT&amp;tender=988338", "🚀 Open in Portal")</f>
        <v/>
      </c>
    </row>
    <row r="222" ht="24" customHeight="1">
      <c r="A222" s="11" t="inlineStr">
        <is>
          <t>Andhra Pradesh</t>
        </is>
      </c>
      <c r="B222" s="12" t="inlineStr">
        <is>
          <t>ICT</t>
        </is>
      </c>
      <c r="C222" s="13" t="inlineStr">
        <is>
          <t>988338</t>
        </is>
      </c>
      <c r="D222" s="14" t="inlineStr">
        <is>
          <t>Supply, Erection, Testing and Commissioning of i) 132/33kV Sub Station at Vuyyuru (ii)02 Nos 132KV Bays (Telecom Portion Only) (iii) 132KV DC line from 400KV Gudivada Sub Station to the proposed 132/33kV SS Vuyyuru in Krishna District on turnkey basis</t>
        </is>
      </c>
      <c r="E222" s="14" t="inlineStr">
        <is>
          <t>APTRANSCO WORKS-Chief Engineer Projects, Vijayawada</t>
        </is>
      </c>
      <c r="F222" s="13" t="inlineStr">
        <is>
          <t>08 Sep 2026</t>
        </is>
      </c>
      <c r="G222" s="12" t="inlineStr">
        <is>
          <t>05 Oct 2026</t>
        </is>
      </c>
      <c r="H222" s="8" t="inlineStr">
        <is>
          <t>⏳ UPCOMING</t>
        </is>
      </c>
      <c r="I222" s="11" t="inlineStr">
        <is>
          <t>Section - 3 Surge Arrestors.pdf</t>
        </is>
      </c>
      <c r="J222" s="13" t="inlineStr">
        <is>
          <t>📕 PDF Document</t>
        </is>
      </c>
      <c r="K222" s="15" t="n">
        <v>431</v>
      </c>
      <c r="L222" s="16">
        <f>HYPERLINK("http://127.0.0.1:8000/api/documents/download?id=2596&amp;attachment=true", "⬇ Download Section - 3 Surge Arrest")</f>
        <v/>
      </c>
      <c r="M222" s="16">
        <f>HYPERLINK("http://localhost:5173/?state=Andhra%20Pradesh&amp;keyword=ICT&amp;tender=988338", "🚀 Open in Portal")</f>
        <v/>
      </c>
    </row>
    <row r="223" ht="24" customHeight="1">
      <c r="A223" s="4" t="inlineStr">
        <is>
          <t>Andhra Pradesh</t>
        </is>
      </c>
      <c r="B223" s="5" t="inlineStr">
        <is>
          <t>ICT</t>
        </is>
      </c>
      <c r="C223" s="6" t="inlineStr">
        <is>
          <t>988338</t>
        </is>
      </c>
      <c r="D223" s="7" t="inlineStr">
        <is>
          <t>Supply, Erection, Testing and Commissioning of i) 132/33kV Sub Station at Vuyyuru (ii)02 Nos 132KV Bays (Telecom Portion Only) (iii) 132KV DC line from 400KV Gudivada Sub Station to the proposed 132/33kV SS Vuyyuru in Krishna District on turnkey basis</t>
        </is>
      </c>
      <c r="E223" s="7" t="inlineStr">
        <is>
          <t>APTRANSCO WORKS-Chief Engineer Projects, Vijayawada</t>
        </is>
      </c>
      <c r="F223" s="6" t="inlineStr">
        <is>
          <t>08 Sep 2026</t>
        </is>
      </c>
      <c r="G223" s="5" t="inlineStr">
        <is>
          <t>05 Oct 2026</t>
        </is>
      </c>
      <c r="H223" s="8" t="inlineStr">
        <is>
          <t>⏳ UPCOMING</t>
        </is>
      </c>
      <c r="I223" s="4" t="inlineStr">
        <is>
          <t>Section - 30 Technical specification of AC unit &amp; Stabilizer.pdf</t>
        </is>
      </c>
      <c r="J223" s="6" t="inlineStr">
        <is>
          <t>📕 PDF Document</t>
        </is>
      </c>
      <c r="K223" s="9" t="n">
        <v>156.4</v>
      </c>
      <c r="L223" s="10">
        <f>HYPERLINK("http://127.0.0.1:8000/api/documents/download?id=2597&amp;attachment=true", "⬇ Download Section - 30 Technical s")</f>
        <v/>
      </c>
      <c r="M223" s="10">
        <f>HYPERLINK("http://localhost:5173/?state=Andhra%20Pradesh&amp;keyword=ICT&amp;tender=988338", "🚀 Open in Portal")</f>
        <v/>
      </c>
    </row>
    <row r="224" ht="24" customHeight="1">
      <c r="A224" s="11" t="inlineStr">
        <is>
          <t>Andhra Pradesh</t>
        </is>
      </c>
      <c r="B224" s="12" t="inlineStr">
        <is>
          <t>ICT</t>
        </is>
      </c>
      <c r="C224" s="13" t="inlineStr">
        <is>
          <t>988338</t>
        </is>
      </c>
      <c r="D224" s="14" t="inlineStr">
        <is>
          <t>Supply, Erection, Testing and Commissioning of i) 132/33kV Sub Station at Vuyyuru (ii)02 Nos 132KV Bays (Telecom Portion Only) (iii) 132KV DC line from 400KV Gudivada Sub Station to the proposed 132/33kV SS Vuyyuru in Krishna District on turnkey basis</t>
        </is>
      </c>
      <c r="E224" s="14" t="inlineStr">
        <is>
          <t>APTRANSCO WORKS-Chief Engineer Projects, Vijayawada</t>
        </is>
      </c>
      <c r="F224" s="13" t="inlineStr">
        <is>
          <t>08 Sep 2026</t>
        </is>
      </c>
      <c r="G224" s="12" t="inlineStr">
        <is>
          <t>05 Oct 2026</t>
        </is>
      </c>
      <c r="H224" s="8" t="inlineStr">
        <is>
          <t>⏳ UPCOMING</t>
        </is>
      </c>
      <c r="I224" s="11" t="inlineStr">
        <is>
          <t>Section - 31 Technical specification of MPLS FOTE &amp; NMS.pdf</t>
        </is>
      </c>
      <c r="J224" s="13" t="inlineStr">
        <is>
          <t>📕 PDF Document</t>
        </is>
      </c>
      <c r="K224" s="15" t="n">
        <v>946.7</v>
      </c>
      <c r="L224" s="16">
        <f>HYPERLINK("http://127.0.0.1:8000/api/documents/download?id=2598&amp;attachment=true", "⬇ Download Section - 31 Technical s")</f>
        <v/>
      </c>
      <c r="M224" s="16">
        <f>HYPERLINK("http://localhost:5173/?state=Andhra%20Pradesh&amp;keyword=ICT&amp;tender=988338", "🚀 Open in Portal")</f>
        <v/>
      </c>
    </row>
    <row r="225" ht="24" customHeight="1">
      <c r="A225" s="4" t="inlineStr">
        <is>
          <t>Andhra Pradesh</t>
        </is>
      </c>
      <c r="B225" s="5" t="inlineStr">
        <is>
          <t>ICT</t>
        </is>
      </c>
      <c r="C225" s="6" t="inlineStr">
        <is>
          <t>988338</t>
        </is>
      </c>
      <c r="D225" s="7" t="inlineStr">
        <is>
          <t>Supply, Erection, Testing and Commissioning of i) 132/33kV Sub Station at Vuyyuru (ii)02 Nos 132KV Bays (Telecom Portion Only) (iii) 132KV DC line from 400KV Gudivada Sub Station to the proposed 132/33kV SS Vuyyuru in Krishna District on turnkey basis</t>
        </is>
      </c>
      <c r="E225" s="7" t="inlineStr">
        <is>
          <t>APTRANSCO WORKS-Chief Engineer Projects, Vijayawada</t>
        </is>
      </c>
      <c r="F225" s="6" t="inlineStr">
        <is>
          <t>08 Sep 2026</t>
        </is>
      </c>
      <c r="G225" s="5" t="inlineStr">
        <is>
          <t>05 Oct 2026</t>
        </is>
      </c>
      <c r="H225" s="8" t="inlineStr">
        <is>
          <t>⏳ UPCOMING</t>
        </is>
      </c>
      <c r="I225" s="4" t="inlineStr">
        <is>
          <t>Section - 32 Tech Spec- SRC Insulators.pdf</t>
        </is>
      </c>
      <c r="J225" s="6" t="inlineStr">
        <is>
          <t>📕 PDF Document</t>
        </is>
      </c>
      <c r="K225" s="9" t="n">
        <v>423.9</v>
      </c>
      <c r="L225" s="10">
        <f>HYPERLINK("http://127.0.0.1:8000/api/documents/download?id=2599&amp;attachment=true", "⬇ Download Section - 32 Tech Spec- ")</f>
        <v/>
      </c>
      <c r="M225" s="10">
        <f>HYPERLINK("http://localhost:5173/?state=Andhra%20Pradesh&amp;keyword=ICT&amp;tender=988338", "🚀 Open in Portal")</f>
        <v/>
      </c>
    </row>
    <row r="226" ht="24" customHeight="1">
      <c r="A226" s="11" t="inlineStr">
        <is>
          <t>Andhra Pradesh</t>
        </is>
      </c>
      <c r="B226" s="12" t="inlineStr">
        <is>
          <t>ICT</t>
        </is>
      </c>
      <c r="C226" s="13" t="inlineStr">
        <is>
          <t>988338</t>
        </is>
      </c>
      <c r="D226" s="14" t="inlineStr">
        <is>
          <t>Supply, Erection, Testing and Commissioning of i) 132/33kV Sub Station at Vuyyuru (ii)02 Nos 132KV Bays (Telecom Portion Only) (iii) 132KV DC line from 400KV Gudivada Sub Station to the proposed 132/33kV SS Vuyyuru in Krishna District on turnkey basis</t>
        </is>
      </c>
      <c r="E226" s="14" t="inlineStr">
        <is>
          <t>APTRANSCO WORKS-Chief Engineer Projects, Vijayawada</t>
        </is>
      </c>
      <c r="F226" s="13" t="inlineStr">
        <is>
          <t>08 Sep 2026</t>
        </is>
      </c>
      <c r="G226" s="12" t="inlineStr">
        <is>
          <t>05 Oct 2026</t>
        </is>
      </c>
      <c r="H226" s="8" t="inlineStr">
        <is>
          <t>⏳ UPCOMING</t>
        </is>
      </c>
      <c r="I226" s="11" t="inlineStr">
        <is>
          <t>Section - 33 LED Specification.pdf</t>
        </is>
      </c>
      <c r="J226" s="13" t="inlineStr">
        <is>
          <t>📕 PDF Document</t>
        </is>
      </c>
      <c r="K226" s="15" t="n">
        <v>563</v>
      </c>
      <c r="L226" s="16">
        <f>HYPERLINK("http://127.0.0.1:8000/api/documents/download?id=2600&amp;attachment=true", "⬇ Download Section - 33 LED Specifi")</f>
        <v/>
      </c>
      <c r="M226" s="16">
        <f>HYPERLINK("http://localhost:5173/?state=Andhra%20Pradesh&amp;keyword=ICT&amp;tender=988338", "🚀 Open in Portal")</f>
        <v/>
      </c>
    </row>
    <row r="227" ht="24" customHeight="1">
      <c r="A227" s="4" t="inlineStr">
        <is>
          <t>Andhra Pradesh</t>
        </is>
      </c>
      <c r="B227" s="5" t="inlineStr">
        <is>
          <t>ICT</t>
        </is>
      </c>
      <c r="C227" s="6" t="inlineStr">
        <is>
          <t>988338</t>
        </is>
      </c>
      <c r="D227" s="7" t="inlineStr">
        <is>
          <t>Supply, Erection, Testing and Commissioning of i) 132/33kV Sub Station at Vuyyuru (ii)02 Nos 132KV Bays (Telecom Portion Only) (iii) 132KV DC line from 400KV Gudivada Sub Station to the proposed 132/33kV SS Vuyyuru in Krishna District on turnkey basis</t>
        </is>
      </c>
      <c r="E227" s="7" t="inlineStr">
        <is>
          <t>APTRANSCO WORKS-Chief Engineer Projects, Vijayawada</t>
        </is>
      </c>
      <c r="F227" s="6" t="inlineStr">
        <is>
          <t>08 Sep 2026</t>
        </is>
      </c>
      <c r="G227" s="5" t="inlineStr">
        <is>
          <t>05 Oct 2026</t>
        </is>
      </c>
      <c r="H227" s="8" t="inlineStr">
        <is>
          <t>⏳ UPCOMING</t>
        </is>
      </c>
      <c r="I227" s="4" t="inlineStr">
        <is>
          <t>Section - 34 ACSS Cond eq Conductor SPEC_Final.pdf</t>
        </is>
      </c>
      <c r="J227" s="6" t="inlineStr">
        <is>
          <t>📕 PDF Document</t>
        </is>
      </c>
      <c r="K227" s="9" t="n">
        <v>1084</v>
      </c>
      <c r="L227" s="10">
        <f>HYPERLINK("http://127.0.0.1:8000/api/documents/download?id=2601&amp;attachment=true", "⬇ Download Section - 34 ACSS Cond e")</f>
        <v/>
      </c>
      <c r="M227" s="10">
        <f>HYPERLINK("http://localhost:5173/?state=Andhra%20Pradesh&amp;keyword=ICT&amp;tender=988338", "🚀 Open in Portal")</f>
        <v/>
      </c>
    </row>
    <row r="228" ht="24" customHeight="1">
      <c r="A228" s="11" t="inlineStr">
        <is>
          <t>Andhra Pradesh</t>
        </is>
      </c>
      <c r="B228" s="12" t="inlineStr">
        <is>
          <t>ICT</t>
        </is>
      </c>
      <c r="C228" s="13" t="inlineStr">
        <is>
          <t>988338</t>
        </is>
      </c>
      <c r="D228" s="14" t="inlineStr">
        <is>
          <t>Supply, Erection, Testing and Commissioning of i) 132/33kV Sub Station at Vuyyuru (ii)02 Nos 132KV Bays (Telecom Portion Only) (iii) 132KV DC line from 400KV Gudivada Sub Station to the proposed 132/33kV SS Vuyyuru in Krishna District on turnkey basis</t>
        </is>
      </c>
      <c r="E228" s="14" t="inlineStr">
        <is>
          <t>APTRANSCO WORKS-Chief Engineer Projects, Vijayawada</t>
        </is>
      </c>
      <c r="F228" s="13" t="inlineStr">
        <is>
          <t>08 Sep 2026</t>
        </is>
      </c>
      <c r="G228" s="12" t="inlineStr">
        <is>
          <t>05 Oct 2026</t>
        </is>
      </c>
      <c r="H228" s="8" t="inlineStr">
        <is>
          <t>⏳ UPCOMING</t>
        </is>
      </c>
      <c r="I228" s="11" t="inlineStr">
        <is>
          <t>Section - 4 Isolator Mettalics.pdf</t>
        </is>
      </c>
      <c r="J228" s="13" t="inlineStr">
        <is>
          <t>📕 PDF Document</t>
        </is>
      </c>
      <c r="K228" s="15" t="n">
        <v>514.5</v>
      </c>
      <c r="L228" s="16">
        <f>HYPERLINK("http://127.0.0.1:8000/api/documents/download?id=2602&amp;attachment=true", "⬇ Download Section - 4 Isolator Met")</f>
        <v/>
      </c>
      <c r="M228" s="16">
        <f>HYPERLINK("http://localhost:5173/?state=Andhra%20Pradesh&amp;keyword=ICT&amp;tender=988338", "🚀 Open in Portal")</f>
        <v/>
      </c>
    </row>
    <row r="229" ht="24" customHeight="1">
      <c r="A229" s="4" t="inlineStr">
        <is>
          <t>Andhra Pradesh</t>
        </is>
      </c>
      <c r="B229" s="5" t="inlineStr">
        <is>
          <t>ICT</t>
        </is>
      </c>
      <c r="C229" s="6" t="inlineStr">
        <is>
          <t>988338</t>
        </is>
      </c>
      <c r="D229" s="7" t="inlineStr">
        <is>
          <t>Supply, Erection, Testing and Commissioning of i) 132/33kV Sub Station at Vuyyuru (ii)02 Nos 132KV Bays (Telecom Portion Only) (iii) 132KV DC line from 400KV Gudivada Sub Station to the proposed 132/33kV SS Vuyyuru in Krishna District on turnkey basis</t>
        </is>
      </c>
      <c r="E229" s="7" t="inlineStr">
        <is>
          <t>APTRANSCO WORKS-Chief Engineer Projects, Vijayawada</t>
        </is>
      </c>
      <c r="F229" s="6" t="inlineStr">
        <is>
          <t>08 Sep 2026</t>
        </is>
      </c>
      <c r="G229" s="5" t="inlineStr">
        <is>
          <t>05 Oct 2026</t>
        </is>
      </c>
      <c r="H229" s="8" t="inlineStr">
        <is>
          <t>⏳ UPCOMING</t>
        </is>
      </c>
      <c r="I229" s="4" t="inlineStr">
        <is>
          <t>Section - 5 Solid core  insulators.pdf</t>
        </is>
      </c>
      <c r="J229" s="6" t="inlineStr">
        <is>
          <t>📕 PDF Document</t>
        </is>
      </c>
      <c r="K229" s="9" t="n">
        <v>289.7</v>
      </c>
      <c r="L229" s="10">
        <f>HYPERLINK("http://127.0.0.1:8000/api/documents/download?id=2603&amp;attachment=true", "⬇ Download Section - 5 Solid core  ")</f>
        <v/>
      </c>
      <c r="M229" s="10">
        <f>HYPERLINK("http://localhost:5173/?state=Andhra%20Pradesh&amp;keyword=ICT&amp;tender=988338", "🚀 Open in Portal")</f>
        <v/>
      </c>
    </row>
    <row r="230" ht="24" customHeight="1">
      <c r="A230" s="11" t="inlineStr">
        <is>
          <t>Andhra Pradesh</t>
        </is>
      </c>
      <c r="B230" s="12" t="inlineStr">
        <is>
          <t>ICT</t>
        </is>
      </c>
      <c r="C230" s="13" t="inlineStr">
        <is>
          <t>988338</t>
        </is>
      </c>
      <c r="D230" s="14" t="inlineStr">
        <is>
          <t>Supply, Erection, Testing and Commissioning of i) 132/33kV Sub Station at Vuyyuru (ii)02 Nos 132KV Bays (Telecom Portion Only) (iii) 132KV DC line from 400KV Gudivada Sub Station to the proposed 132/33kV SS Vuyyuru in Krishna District on turnkey basis</t>
        </is>
      </c>
      <c r="E230" s="14" t="inlineStr">
        <is>
          <t>APTRANSCO WORKS-Chief Engineer Projects, Vijayawada</t>
        </is>
      </c>
      <c r="F230" s="13" t="inlineStr">
        <is>
          <t>08 Sep 2026</t>
        </is>
      </c>
      <c r="G230" s="12" t="inlineStr">
        <is>
          <t>05 Oct 2026</t>
        </is>
      </c>
      <c r="H230" s="8" t="inlineStr">
        <is>
          <t>⏳ UPCOMING</t>
        </is>
      </c>
      <c r="I230" s="11" t="inlineStr">
        <is>
          <t>Section - 6 Control _ Power Cables.pdf</t>
        </is>
      </c>
      <c r="J230" s="13" t="inlineStr">
        <is>
          <t>📕 PDF Document</t>
        </is>
      </c>
      <c r="K230" s="15" t="n">
        <v>420.2</v>
      </c>
      <c r="L230" s="16">
        <f>HYPERLINK("http://127.0.0.1:8000/api/documents/download?id=2604&amp;attachment=true", "⬇ Download Section - 6 Control _ Po")</f>
        <v/>
      </c>
      <c r="M230" s="16">
        <f>HYPERLINK("http://localhost:5173/?state=Andhra%20Pradesh&amp;keyword=ICT&amp;tender=988338", "🚀 Open in Portal")</f>
        <v/>
      </c>
    </row>
    <row r="231" ht="24" customHeight="1">
      <c r="A231" s="4" t="inlineStr">
        <is>
          <t>Andhra Pradesh</t>
        </is>
      </c>
      <c r="B231" s="5" t="inlineStr">
        <is>
          <t>ICT</t>
        </is>
      </c>
      <c r="C231" s="6" t="inlineStr">
        <is>
          <t>988338</t>
        </is>
      </c>
      <c r="D231" s="7" t="inlineStr">
        <is>
          <t>Supply, Erection, Testing and Commissioning of i) 132/33kV Sub Station at Vuyyuru (ii)02 Nos 132KV Bays (Telecom Portion Only) (iii) 132KV DC line from 400KV Gudivada Sub Station to the proposed 132/33kV SS Vuyyuru in Krishna District on turnkey basis</t>
        </is>
      </c>
      <c r="E231" s="7" t="inlineStr">
        <is>
          <t>APTRANSCO WORKS-Chief Engineer Projects, Vijayawada</t>
        </is>
      </c>
      <c r="F231" s="6" t="inlineStr">
        <is>
          <t>08 Sep 2026</t>
        </is>
      </c>
      <c r="G231" s="5" t="inlineStr">
        <is>
          <t>05 Oct 2026</t>
        </is>
      </c>
      <c r="H231" s="8" t="inlineStr">
        <is>
          <t>⏳ UPCOMING</t>
        </is>
      </c>
      <c r="I231" s="4" t="inlineStr">
        <is>
          <t>Section - 7 Battery set &amp; battery charger.pdf</t>
        </is>
      </c>
      <c r="J231" s="6" t="inlineStr">
        <is>
          <t>📕 PDF Document</t>
        </is>
      </c>
      <c r="K231" s="9" t="n">
        <v>1452.5</v>
      </c>
      <c r="L231" s="10">
        <f>HYPERLINK("http://127.0.0.1:8000/api/documents/download?id=2605&amp;attachment=true", "⬇ Download Section - 7 Battery set ")</f>
        <v/>
      </c>
      <c r="M231" s="10">
        <f>HYPERLINK("http://localhost:5173/?state=Andhra%20Pradesh&amp;keyword=ICT&amp;tender=988338", "🚀 Open in Portal")</f>
        <v/>
      </c>
    </row>
    <row r="232" ht="24" customHeight="1">
      <c r="A232" s="11" t="inlineStr">
        <is>
          <t>Andhra Pradesh</t>
        </is>
      </c>
      <c r="B232" s="12" t="inlineStr">
        <is>
          <t>ICT</t>
        </is>
      </c>
      <c r="C232" s="13" t="inlineStr">
        <is>
          <t>988338</t>
        </is>
      </c>
      <c r="D232" s="14" t="inlineStr">
        <is>
          <t>Supply, Erection, Testing and Commissioning of i) 132/33kV Sub Station at Vuyyuru (ii)02 Nos 132KV Bays (Telecom Portion Only) (iii) 132KV DC line from 400KV Gudivada Sub Station to the proposed 132/33kV SS Vuyyuru in Krishna District on turnkey basis</t>
        </is>
      </c>
      <c r="E232" s="14" t="inlineStr">
        <is>
          <t>APTRANSCO WORKS-Chief Engineer Projects, Vijayawada</t>
        </is>
      </c>
      <c r="F232" s="13" t="inlineStr">
        <is>
          <t>08 Sep 2026</t>
        </is>
      </c>
      <c r="G232" s="12" t="inlineStr">
        <is>
          <t>05 Oct 2026</t>
        </is>
      </c>
      <c r="H232" s="8" t="inlineStr">
        <is>
          <t>⏳ UPCOMING</t>
        </is>
      </c>
      <c r="I232" s="11" t="inlineStr">
        <is>
          <t>Section - 8 Circuit Breakers.pdf</t>
        </is>
      </c>
      <c r="J232" s="13" t="inlineStr">
        <is>
          <t>📕 PDF Document</t>
        </is>
      </c>
      <c r="K232" s="15" t="n">
        <v>871.7</v>
      </c>
      <c r="L232" s="16">
        <f>HYPERLINK("http://127.0.0.1:8000/api/documents/download?id=2606&amp;attachment=true", "⬇ Download Section - 8 Circuit Brea")</f>
        <v/>
      </c>
      <c r="M232" s="16">
        <f>HYPERLINK("http://localhost:5173/?state=Andhra%20Pradesh&amp;keyword=ICT&amp;tender=988338", "🚀 Open in Portal")</f>
        <v/>
      </c>
    </row>
    <row r="233" ht="24" customHeight="1">
      <c r="A233" s="4" t="inlineStr">
        <is>
          <t>Andhra Pradesh</t>
        </is>
      </c>
      <c r="B233" s="5" t="inlineStr">
        <is>
          <t>ICT</t>
        </is>
      </c>
      <c r="C233" s="6" t="inlineStr">
        <is>
          <t>988338</t>
        </is>
      </c>
      <c r="D233" s="7" t="inlineStr">
        <is>
          <t>Supply, Erection, Testing and Commissioning of i) 132/33kV Sub Station at Vuyyuru (ii)02 Nos 132KV Bays (Telecom Portion Only) (iii) 132KV DC line from 400KV Gudivada Sub Station to the proposed 132/33kV SS Vuyyuru in Krishna District on turnkey basis</t>
        </is>
      </c>
      <c r="E233" s="7" t="inlineStr">
        <is>
          <t>APTRANSCO WORKS-Chief Engineer Projects, Vijayawada</t>
        </is>
      </c>
      <c r="F233" s="6" t="inlineStr">
        <is>
          <t>08 Sep 2026</t>
        </is>
      </c>
      <c r="G233" s="5" t="inlineStr">
        <is>
          <t>05 Oct 2026</t>
        </is>
      </c>
      <c r="H233" s="8" t="inlineStr">
        <is>
          <t>⏳ UPCOMING</t>
        </is>
      </c>
      <c r="I233" s="4" t="inlineStr">
        <is>
          <t>Section - 9  LTAC Panel.pdf</t>
        </is>
      </c>
      <c r="J233" s="6" t="inlineStr">
        <is>
          <t>📕 PDF Document</t>
        </is>
      </c>
      <c r="K233" s="9" t="n">
        <v>539</v>
      </c>
      <c r="L233" s="10">
        <f>HYPERLINK("http://127.0.0.1:8000/api/documents/download?id=2607&amp;attachment=true", "⬇ Download Section - 9  LTAC Panel.")</f>
        <v/>
      </c>
      <c r="M233" s="10">
        <f>HYPERLINK("http://localhost:5173/?state=Andhra%20Pradesh&amp;keyword=ICT&amp;tender=988338", "🚀 Open in Portal")</f>
        <v/>
      </c>
    </row>
    <row r="234" ht="24" customHeight="1">
      <c r="A234" s="11" t="inlineStr">
        <is>
          <t>Andhra Pradesh</t>
        </is>
      </c>
      <c r="B234" s="12" t="inlineStr">
        <is>
          <t>ICT</t>
        </is>
      </c>
      <c r="C234" s="13" t="inlineStr">
        <is>
          <t>988338</t>
        </is>
      </c>
      <c r="D234" s="14" t="inlineStr">
        <is>
          <t>Supply, Erection, Testing and Commissioning of i) 132/33kV Sub Station at Vuyyuru (ii)02 Nos 132KV Bays (Telecom Portion Only) (iii) 132KV DC line from 400KV Gudivada Sub Station to the proposed 132/33kV SS Vuyyuru in Krishna District on turnkey basis</t>
        </is>
      </c>
      <c r="E234" s="14" t="inlineStr">
        <is>
          <t>APTRANSCO WORKS-Chief Engineer Projects, Vijayawada</t>
        </is>
      </c>
      <c r="F234" s="13" t="inlineStr">
        <is>
          <t>08 Sep 2026</t>
        </is>
      </c>
      <c r="G234" s="12" t="inlineStr">
        <is>
          <t>05 Oct 2026</t>
        </is>
      </c>
      <c r="H234" s="8" t="inlineStr">
        <is>
          <t>⏳ UPCOMING</t>
        </is>
      </c>
      <c r="I234" s="11" t="inlineStr">
        <is>
          <t>Tender_988338_All_Documents.zip</t>
        </is>
      </c>
      <c r="J234" s="13" t="inlineStr">
        <is>
          <t>📦 ZIP Package</t>
        </is>
      </c>
      <c r="K234" s="15" t="n">
        <v>3559.7</v>
      </c>
      <c r="L234" s="16">
        <f>HYPERLINK("http://127.0.0.1:8000/api/documents/download?id=2608&amp;attachment=true", "⬇ Download Tender_988338_All_Docume")</f>
        <v/>
      </c>
      <c r="M234" s="16">
        <f>HYPERLINK("http://localhost:5173/?state=Andhra%20Pradesh&amp;keyword=ICT&amp;tender=988338", "🚀 Open in Portal")</f>
        <v/>
      </c>
    </row>
    <row r="235" ht="24" customHeight="1">
      <c r="A235" s="4" t="inlineStr">
        <is>
          <t>Andhra Pradesh</t>
        </is>
      </c>
      <c r="B235" s="5" t="inlineStr">
        <is>
          <t>ICT</t>
        </is>
      </c>
      <c r="C235" s="6" t="inlineStr">
        <is>
          <t>989582</t>
        </is>
      </c>
      <c r="D235"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35" s="7" t="inlineStr">
        <is>
          <t>APTRANSCO WORKS-Chief Engineer Projects, Vijayawada</t>
        </is>
      </c>
      <c r="F235" s="6" t="inlineStr">
        <is>
          <t>21 Jul 2026</t>
        </is>
      </c>
      <c r="G235" s="5" t="inlineStr">
        <is>
          <t>20 Aug 2026</t>
        </is>
      </c>
      <c r="H235" s="8" t="inlineStr">
        <is>
          <t>⏳ UPCOMING</t>
        </is>
      </c>
      <c r="I235" s="4" t="inlineStr">
        <is>
          <t>Index.doc</t>
        </is>
      </c>
      <c r="J235" s="6" t="inlineStr">
        <is>
          <t>📄 DOC</t>
        </is>
      </c>
      <c r="K235" s="9" t="n">
        <v>35</v>
      </c>
      <c r="L235" s="10">
        <f>HYPERLINK("http://127.0.0.1:8000/api/documents/download?id=2523&amp;attachment=true", "⬇ Download Index.doc")</f>
        <v/>
      </c>
      <c r="M235" s="10">
        <f>HYPERLINK("http://localhost:5173/?state=Andhra%20Pradesh&amp;keyword=ICT&amp;tender=989582", "🚀 Open in Portal")</f>
        <v/>
      </c>
    </row>
    <row r="236" ht="24" customHeight="1">
      <c r="A236" s="11" t="inlineStr">
        <is>
          <t>Andhra Pradesh</t>
        </is>
      </c>
      <c r="B236" s="12" t="inlineStr">
        <is>
          <t>ICT</t>
        </is>
      </c>
      <c r="C236" s="13" t="inlineStr">
        <is>
          <t>989582</t>
        </is>
      </c>
      <c r="D236"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36" s="14" t="inlineStr">
        <is>
          <t>APTRANSCO WORKS-Chief Engineer Projects, Vijayawada</t>
        </is>
      </c>
      <c r="F236" s="13" t="inlineStr">
        <is>
          <t>21 Jul 2026</t>
        </is>
      </c>
      <c r="G236" s="12" t="inlineStr">
        <is>
          <t>20 Aug 2026</t>
        </is>
      </c>
      <c r="H236" s="8" t="inlineStr">
        <is>
          <t>⏳ UPCOMING</t>
        </is>
      </c>
      <c r="I236" s="11" t="inlineStr">
        <is>
          <t>Section - 1 General.pdf</t>
        </is>
      </c>
      <c r="J236" s="13" t="inlineStr">
        <is>
          <t>📕 PDF Document</t>
        </is>
      </c>
      <c r="K236" s="15" t="n">
        <v>288.4</v>
      </c>
      <c r="L236" s="16">
        <f>HYPERLINK("http://127.0.0.1:8000/api/documents/download?id=2524&amp;attachment=true", "⬇ Download Section - 1 General.pdf")</f>
        <v/>
      </c>
      <c r="M236" s="16">
        <f>HYPERLINK("http://localhost:5173/?state=Andhra%20Pradesh&amp;keyword=ICT&amp;tender=989582", "🚀 Open in Portal")</f>
        <v/>
      </c>
    </row>
    <row r="237" ht="24" customHeight="1">
      <c r="A237" s="4" t="inlineStr">
        <is>
          <t>Andhra Pradesh</t>
        </is>
      </c>
      <c r="B237" s="5" t="inlineStr">
        <is>
          <t>ICT</t>
        </is>
      </c>
      <c r="C237" s="6" t="inlineStr">
        <is>
          <t>989582</t>
        </is>
      </c>
      <c r="D237"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37" s="7" t="inlineStr">
        <is>
          <t>APTRANSCO WORKS-Chief Engineer Projects, Vijayawada</t>
        </is>
      </c>
      <c r="F237" s="6" t="inlineStr">
        <is>
          <t>21 Jul 2026</t>
        </is>
      </c>
      <c r="G237" s="5" t="inlineStr">
        <is>
          <t>20 Aug 2026</t>
        </is>
      </c>
      <c r="H237" s="8" t="inlineStr">
        <is>
          <t>⏳ UPCOMING</t>
        </is>
      </c>
      <c r="I237" s="4" t="inlineStr">
        <is>
          <t>Section - 10 Tech  Spec for Control Relay panels.pdf</t>
        </is>
      </c>
      <c r="J237" s="6" t="inlineStr">
        <is>
          <t>📕 PDF Document</t>
        </is>
      </c>
      <c r="K237" s="9" t="n">
        <v>1467.2</v>
      </c>
      <c r="L237" s="10">
        <f>HYPERLINK("http://127.0.0.1:8000/api/documents/download?id=2525&amp;attachment=true", "⬇ Download Section - 10 Tech  Spec ")</f>
        <v/>
      </c>
      <c r="M237" s="10">
        <f>HYPERLINK("http://localhost:5173/?state=Andhra%20Pradesh&amp;keyword=ICT&amp;tender=989582", "🚀 Open in Portal")</f>
        <v/>
      </c>
    </row>
    <row r="238" ht="24" customHeight="1">
      <c r="A238" s="11" t="inlineStr">
        <is>
          <t>Andhra Pradesh</t>
        </is>
      </c>
      <c r="B238" s="12" t="inlineStr">
        <is>
          <t>ICT</t>
        </is>
      </c>
      <c r="C238" s="13" t="inlineStr">
        <is>
          <t>989582</t>
        </is>
      </c>
      <c r="D238"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38" s="14" t="inlineStr">
        <is>
          <t>APTRANSCO WORKS-Chief Engineer Projects, Vijayawada</t>
        </is>
      </c>
      <c r="F238" s="13" t="inlineStr">
        <is>
          <t>21 Jul 2026</t>
        </is>
      </c>
      <c r="G238" s="12" t="inlineStr">
        <is>
          <t>20 Aug 2026</t>
        </is>
      </c>
      <c r="H238" s="8" t="inlineStr">
        <is>
          <t>⏳ UPCOMING</t>
        </is>
      </c>
      <c r="I238" s="11" t="inlineStr">
        <is>
          <t>Section - 11 -Staton Transformer.pdf</t>
        </is>
      </c>
      <c r="J238" s="13" t="inlineStr">
        <is>
          <t>📕 PDF Document</t>
        </is>
      </c>
      <c r="K238" s="15" t="n">
        <v>274.7</v>
      </c>
      <c r="L238" s="16">
        <f>HYPERLINK("http://127.0.0.1:8000/api/documents/download?id=2526&amp;attachment=true", "⬇ Download Section - 11 -Staton Tra")</f>
        <v/>
      </c>
      <c r="M238" s="16">
        <f>HYPERLINK("http://localhost:5173/?state=Andhra%20Pradesh&amp;keyword=ICT&amp;tender=989582", "🚀 Open in Portal")</f>
        <v/>
      </c>
    </row>
    <row r="239" ht="24" customHeight="1">
      <c r="A239" s="4" t="inlineStr">
        <is>
          <t>Andhra Pradesh</t>
        </is>
      </c>
      <c r="B239" s="5" t="inlineStr">
        <is>
          <t>ICT</t>
        </is>
      </c>
      <c r="C239" s="6" t="inlineStr">
        <is>
          <t>989582</t>
        </is>
      </c>
      <c r="D239"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39" s="7" t="inlineStr">
        <is>
          <t>APTRANSCO WORKS-Chief Engineer Projects, Vijayawada</t>
        </is>
      </c>
      <c r="F239" s="6" t="inlineStr">
        <is>
          <t>21 Jul 2026</t>
        </is>
      </c>
      <c r="G239" s="5" t="inlineStr">
        <is>
          <t>20 Aug 2026</t>
        </is>
      </c>
      <c r="H239" s="8" t="inlineStr">
        <is>
          <t>⏳ UPCOMING</t>
        </is>
      </c>
      <c r="I239" s="4" t="inlineStr">
        <is>
          <t>Section - 12 ACSR Conductor.pdf</t>
        </is>
      </c>
      <c r="J239" s="6" t="inlineStr">
        <is>
          <t>📕 PDF Document</t>
        </is>
      </c>
      <c r="K239" s="9" t="n">
        <v>679.9</v>
      </c>
      <c r="L239" s="10">
        <f>HYPERLINK("http://127.0.0.1:8000/api/documents/download?id=2527&amp;attachment=true", "⬇ Download Section - 12 ACSR Conduc")</f>
        <v/>
      </c>
      <c r="M239" s="10">
        <f>HYPERLINK("http://localhost:5173/?state=Andhra%20Pradesh&amp;keyword=ICT&amp;tender=989582", "🚀 Open in Portal")</f>
        <v/>
      </c>
    </row>
    <row r="240" ht="24" customHeight="1">
      <c r="A240" s="11" t="inlineStr">
        <is>
          <t>Andhra Pradesh</t>
        </is>
      </c>
      <c r="B240" s="12" t="inlineStr">
        <is>
          <t>ICT</t>
        </is>
      </c>
      <c r="C240" s="13" t="inlineStr">
        <is>
          <t>989582</t>
        </is>
      </c>
      <c r="D240"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40" s="14" t="inlineStr">
        <is>
          <t>APTRANSCO WORKS-Chief Engineer Projects, Vijayawada</t>
        </is>
      </c>
      <c r="F240" s="13" t="inlineStr">
        <is>
          <t>21 Jul 2026</t>
        </is>
      </c>
      <c r="G240" s="12" t="inlineStr">
        <is>
          <t>20 Aug 2026</t>
        </is>
      </c>
      <c r="H240" s="8" t="inlineStr">
        <is>
          <t>⏳ UPCOMING</t>
        </is>
      </c>
      <c r="I240" s="11" t="inlineStr">
        <is>
          <t>Section - 13 Porcelain disc insulators.pdf</t>
        </is>
      </c>
      <c r="J240" s="13" t="inlineStr">
        <is>
          <t>📕 PDF Document</t>
        </is>
      </c>
      <c r="K240" s="15" t="n">
        <v>423.9</v>
      </c>
      <c r="L240" s="16">
        <f>HYPERLINK("http://127.0.0.1:8000/api/documents/download?id=2528&amp;attachment=true", "⬇ Download Section - 13 Porcelain d")</f>
        <v/>
      </c>
      <c r="M240" s="16">
        <f>HYPERLINK("http://localhost:5173/?state=Andhra%20Pradesh&amp;keyword=ICT&amp;tender=989582", "🚀 Open in Portal")</f>
        <v/>
      </c>
    </row>
    <row r="241" ht="24" customHeight="1">
      <c r="A241" s="4" t="inlineStr">
        <is>
          <t>Andhra Pradesh</t>
        </is>
      </c>
      <c r="B241" s="5" t="inlineStr">
        <is>
          <t>ICT</t>
        </is>
      </c>
      <c r="C241" s="6" t="inlineStr">
        <is>
          <t>989582</t>
        </is>
      </c>
      <c r="D241"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41" s="7" t="inlineStr">
        <is>
          <t>APTRANSCO WORKS-Chief Engineer Projects, Vijayawada</t>
        </is>
      </c>
      <c r="F241" s="6" t="inlineStr">
        <is>
          <t>21 Jul 2026</t>
        </is>
      </c>
      <c r="G241" s="5" t="inlineStr">
        <is>
          <t>20 Aug 2026</t>
        </is>
      </c>
      <c r="H241" s="8" t="inlineStr">
        <is>
          <t>⏳ UPCOMING</t>
        </is>
      </c>
      <c r="I241" s="4" t="inlineStr">
        <is>
          <t>Section - 14 Transmission line towers.pdf</t>
        </is>
      </c>
      <c r="J241" s="6" t="inlineStr">
        <is>
          <t>📕 PDF Document</t>
        </is>
      </c>
      <c r="K241" s="9" t="n">
        <v>452.1</v>
      </c>
      <c r="L241" s="10">
        <f>HYPERLINK("http://127.0.0.1:8000/api/documents/download?id=2529&amp;attachment=true", "⬇ Download Section - 14 Transmissio")</f>
        <v/>
      </c>
      <c r="M241" s="10">
        <f>HYPERLINK("http://localhost:5173/?state=Andhra%20Pradesh&amp;keyword=ICT&amp;tender=989582", "🚀 Open in Portal")</f>
        <v/>
      </c>
    </row>
    <row r="242" ht="24" customHeight="1">
      <c r="A242" s="11" t="inlineStr">
        <is>
          <t>Andhra Pradesh</t>
        </is>
      </c>
      <c r="B242" s="12" t="inlineStr">
        <is>
          <t>ICT</t>
        </is>
      </c>
      <c r="C242" s="13" t="inlineStr">
        <is>
          <t>989582</t>
        </is>
      </c>
      <c r="D242"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42" s="14" t="inlineStr">
        <is>
          <t>APTRANSCO WORKS-Chief Engineer Projects, Vijayawada</t>
        </is>
      </c>
      <c r="F242" s="13" t="inlineStr">
        <is>
          <t>21 Jul 2026</t>
        </is>
      </c>
      <c r="G242" s="12" t="inlineStr">
        <is>
          <t>20 Aug 2026</t>
        </is>
      </c>
      <c r="H242" s="8" t="inlineStr">
        <is>
          <t>⏳ UPCOMING</t>
        </is>
      </c>
      <c r="I242" s="11" t="inlineStr">
        <is>
          <t>section - 15 Earth wire.pdf</t>
        </is>
      </c>
      <c r="J242" s="13" t="inlineStr">
        <is>
          <t>📕 PDF Document</t>
        </is>
      </c>
      <c r="K242" s="15" t="n">
        <v>524</v>
      </c>
      <c r="L242" s="16">
        <f>HYPERLINK("http://127.0.0.1:8000/api/documents/download?id=2530&amp;attachment=true", "⬇ Download section - 15 Earth wire.")</f>
        <v/>
      </c>
      <c r="M242" s="16">
        <f>HYPERLINK("http://localhost:5173/?state=Andhra%20Pradesh&amp;keyword=ICT&amp;tender=989582", "🚀 Open in Portal")</f>
        <v/>
      </c>
    </row>
    <row r="243" ht="24" customHeight="1">
      <c r="A243" s="4" t="inlineStr">
        <is>
          <t>Andhra Pradesh</t>
        </is>
      </c>
      <c r="B243" s="5" t="inlineStr">
        <is>
          <t>ICT</t>
        </is>
      </c>
      <c r="C243" s="6" t="inlineStr">
        <is>
          <t>989582</t>
        </is>
      </c>
      <c r="D243"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43" s="7" t="inlineStr">
        <is>
          <t>APTRANSCO WORKS-Chief Engineer Projects, Vijayawada</t>
        </is>
      </c>
      <c r="F243" s="6" t="inlineStr">
        <is>
          <t>21 Jul 2026</t>
        </is>
      </c>
      <c r="G243" s="5" t="inlineStr">
        <is>
          <t>20 Aug 2026</t>
        </is>
      </c>
      <c r="H243" s="8" t="inlineStr">
        <is>
          <t>⏳ UPCOMING</t>
        </is>
      </c>
      <c r="I243" s="4" t="inlineStr">
        <is>
          <t>Section - 16 Hardware &amp; Accessories for conductor &amp; earth wire.pdf</t>
        </is>
      </c>
      <c r="J243" s="6" t="inlineStr">
        <is>
          <t>📕 PDF Document</t>
        </is>
      </c>
      <c r="K243" s="9" t="n">
        <v>649.1</v>
      </c>
      <c r="L243" s="10">
        <f>HYPERLINK("http://127.0.0.1:8000/api/documents/download?id=2531&amp;attachment=true", "⬇ Download Section - 16 Hardware &amp; ")</f>
        <v/>
      </c>
      <c r="M243" s="10">
        <f>HYPERLINK("http://localhost:5173/?state=Andhra%20Pradesh&amp;keyword=ICT&amp;tender=989582", "🚀 Open in Portal")</f>
        <v/>
      </c>
    </row>
    <row r="244" ht="24" customHeight="1">
      <c r="A244" s="11" t="inlineStr">
        <is>
          <t>Andhra Pradesh</t>
        </is>
      </c>
      <c r="B244" s="12" t="inlineStr">
        <is>
          <t>ICT</t>
        </is>
      </c>
      <c r="C244" s="13" t="inlineStr">
        <is>
          <t>989582</t>
        </is>
      </c>
      <c r="D244"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44" s="14" t="inlineStr">
        <is>
          <t>APTRANSCO WORKS-Chief Engineer Projects, Vijayawada</t>
        </is>
      </c>
      <c r="F244" s="13" t="inlineStr">
        <is>
          <t>21 Jul 2026</t>
        </is>
      </c>
      <c r="G244" s="12" t="inlineStr">
        <is>
          <t>20 Aug 2026</t>
        </is>
      </c>
      <c r="H244" s="8" t="inlineStr">
        <is>
          <t>⏳ UPCOMING</t>
        </is>
      </c>
      <c r="I244" s="11" t="inlineStr">
        <is>
          <t>section - 17 Bolts &amp; Nuts.pdf</t>
        </is>
      </c>
      <c r="J244" s="13" t="inlineStr">
        <is>
          <t>📕 PDF Document</t>
        </is>
      </c>
      <c r="K244" s="15" t="n">
        <v>472.7</v>
      </c>
      <c r="L244" s="16">
        <f>HYPERLINK("http://127.0.0.1:8000/api/documents/download?id=2532&amp;attachment=true", "⬇ Download section - 17 Bolts &amp; Nut")</f>
        <v/>
      </c>
      <c r="M244" s="16">
        <f>HYPERLINK("http://localhost:5173/?state=Andhra%20Pradesh&amp;keyword=ICT&amp;tender=989582", "🚀 Open in Portal")</f>
        <v/>
      </c>
    </row>
    <row r="245" ht="24" customHeight="1">
      <c r="A245" s="4" t="inlineStr">
        <is>
          <t>Andhra Pradesh</t>
        </is>
      </c>
      <c r="B245" s="5" t="inlineStr">
        <is>
          <t>ICT</t>
        </is>
      </c>
      <c r="C245" s="6" t="inlineStr">
        <is>
          <t>989582</t>
        </is>
      </c>
      <c r="D245"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45" s="7" t="inlineStr">
        <is>
          <t>APTRANSCO WORKS-Chief Engineer Projects, Vijayawada</t>
        </is>
      </c>
      <c r="F245" s="6" t="inlineStr">
        <is>
          <t>21 Jul 2026</t>
        </is>
      </c>
      <c r="G245" s="5" t="inlineStr">
        <is>
          <t>20 Aug 2026</t>
        </is>
      </c>
      <c r="H245" s="8" t="inlineStr">
        <is>
          <t>⏳ UPCOMING</t>
        </is>
      </c>
      <c r="I245" s="4" t="inlineStr">
        <is>
          <t>Section - 18  Tech Spec for Substation.pdf</t>
        </is>
      </c>
      <c r="J245" s="6" t="inlineStr">
        <is>
          <t>📕 PDF Document</t>
        </is>
      </c>
      <c r="K245" s="9" t="n">
        <v>853.1</v>
      </c>
      <c r="L245" s="10">
        <f>HYPERLINK("http://127.0.0.1:8000/api/documents/download?id=2533&amp;attachment=true", "⬇ Download Section - 18  Tech Spec ")</f>
        <v/>
      </c>
      <c r="M245" s="10">
        <f>HYPERLINK("http://localhost:5173/?state=Andhra%20Pradesh&amp;keyword=ICT&amp;tender=989582", "🚀 Open in Portal")</f>
        <v/>
      </c>
    </row>
    <row r="246" ht="24" customHeight="1">
      <c r="A246" s="11" t="inlineStr">
        <is>
          <t>Andhra Pradesh</t>
        </is>
      </c>
      <c r="B246" s="12" t="inlineStr">
        <is>
          <t>ICT</t>
        </is>
      </c>
      <c r="C246" s="13" t="inlineStr">
        <is>
          <t>989582</t>
        </is>
      </c>
      <c r="D246"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46" s="14" t="inlineStr">
        <is>
          <t>APTRANSCO WORKS-Chief Engineer Projects, Vijayawada</t>
        </is>
      </c>
      <c r="F246" s="13" t="inlineStr">
        <is>
          <t>21 Jul 2026</t>
        </is>
      </c>
      <c r="G246" s="12" t="inlineStr">
        <is>
          <t>20 Aug 2026</t>
        </is>
      </c>
      <c r="H246" s="8" t="inlineStr">
        <is>
          <t>⏳ UPCOMING</t>
        </is>
      </c>
      <c r="I246" s="11" t="inlineStr">
        <is>
          <t>Section - 19 Tech Spec for Tr Line works.pdf</t>
        </is>
      </c>
      <c r="J246" s="13" t="inlineStr">
        <is>
          <t>📕 PDF Document</t>
        </is>
      </c>
      <c r="K246" s="15" t="n">
        <v>524.5</v>
      </c>
      <c r="L246" s="16">
        <f>HYPERLINK("http://127.0.0.1:8000/api/documents/download?id=2534&amp;attachment=true", "⬇ Download Section - 19 Tech Spec f")</f>
        <v/>
      </c>
      <c r="M246" s="16">
        <f>HYPERLINK("http://localhost:5173/?state=Andhra%20Pradesh&amp;keyword=ICT&amp;tender=989582", "🚀 Open in Portal")</f>
        <v/>
      </c>
    </row>
    <row r="247" ht="24" customHeight="1">
      <c r="A247" s="4" t="inlineStr">
        <is>
          <t>Andhra Pradesh</t>
        </is>
      </c>
      <c r="B247" s="5" t="inlineStr">
        <is>
          <t>ICT</t>
        </is>
      </c>
      <c r="C247" s="6" t="inlineStr">
        <is>
          <t>989582</t>
        </is>
      </c>
      <c r="D247"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47" s="7" t="inlineStr">
        <is>
          <t>APTRANSCO WORKS-Chief Engineer Projects, Vijayawada</t>
        </is>
      </c>
      <c r="F247" s="6" t="inlineStr">
        <is>
          <t>21 Jul 2026</t>
        </is>
      </c>
      <c r="G247" s="5" t="inlineStr">
        <is>
          <t>20 Aug 2026</t>
        </is>
      </c>
      <c r="H247" s="8" t="inlineStr">
        <is>
          <t>⏳ UPCOMING</t>
        </is>
      </c>
      <c r="I247" s="4" t="inlineStr">
        <is>
          <t>Section - 2 CTs-PTs-CVTs.pdf</t>
        </is>
      </c>
      <c r="J247" s="6" t="inlineStr">
        <is>
          <t>📕 PDF Document</t>
        </is>
      </c>
      <c r="K247" s="9" t="n">
        <v>719.3</v>
      </c>
      <c r="L247" s="10">
        <f>HYPERLINK("http://127.0.0.1:8000/api/documents/download?id=2535&amp;attachment=true", "⬇ Download Section - 2 CTs-PTs-CVTs")</f>
        <v/>
      </c>
      <c r="M247" s="10">
        <f>HYPERLINK("http://localhost:5173/?state=Andhra%20Pradesh&amp;keyword=ICT&amp;tender=989582", "🚀 Open in Portal")</f>
        <v/>
      </c>
    </row>
    <row r="248" ht="24" customHeight="1">
      <c r="A248" s="11" t="inlineStr">
        <is>
          <t>Andhra Pradesh</t>
        </is>
      </c>
      <c r="B248" s="12" t="inlineStr">
        <is>
          <t>ICT</t>
        </is>
      </c>
      <c r="C248" s="13" t="inlineStr">
        <is>
          <t>989582</t>
        </is>
      </c>
      <c r="D248"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48" s="14" t="inlineStr">
        <is>
          <t>APTRANSCO WORKS-Chief Engineer Projects, Vijayawada</t>
        </is>
      </c>
      <c r="F248" s="13" t="inlineStr">
        <is>
          <t>21 Jul 2026</t>
        </is>
      </c>
      <c r="G248" s="12" t="inlineStr">
        <is>
          <t>20 Aug 2026</t>
        </is>
      </c>
      <c r="H248" s="8" t="inlineStr">
        <is>
          <t>⏳ UPCOMING</t>
        </is>
      </c>
      <c r="I248" s="11" t="inlineStr">
        <is>
          <t>Section - 20  Technical specification of OPGW, OFAC &amp; FODP.pdf</t>
        </is>
      </c>
      <c r="J248" s="13" t="inlineStr">
        <is>
          <t>📕 PDF Document</t>
        </is>
      </c>
      <c r="K248" s="15" t="n">
        <v>1363.8</v>
      </c>
      <c r="L248" s="16">
        <f>HYPERLINK("http://127.0.0.1:8000/api/documents/download?id=2536&amp;attachment=true", "⬇ Download Section - 20  Technical ")</f>
        <v/>
      </c>
      <c r="M248" s="16">
        <f>HYPERLINK("http://localhost:5173/?state=Andhra%20Pradesh&amp;keyword=ICT&amp;tender=989582", "🚀 Open in Portal")</f>
        <v/>
      </c>
    </row>
    <row r="249" ht="24" customHeight="1">
      <c r="A249" s="4" t="inlineStr">
        <is>
          <t>Andhra Pradesh</t>
        </is>
      </c>
      <c r="B249" s="5" t="inlineStr">
        <is>
          <t>ICT</t>
        </is>
      </c>
      <c r="C249" s="6" t="inlineStr">
        <is>
          <t>989582</t>
        </is>
      </c>
      <c r="D249"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49" s="7" t="inlineStr">
        <is>
          <t>APTRANSCO WORKS-Chief Engineer Projects, Vijayawada</t>
        </is>
      </c>
      <c r="F249" s="6" t="inlineStr">
        <is>
          <t>21 Jul 2026</t>
        </is>
      </c>
      <c r="G249" s="5" t="inlineStr">
        <is>
          <t>20 Aug 2026</t>
        </is>
      </c>
      <c r="H249" s="8" t="inlineStr">
        <is>
          <t>⏳ UPCOMING</t>
        </is>
      </c>
      <c r="I249" s="4" t="inlineStr">
        <is>
          <t>Section - 21  Technical spec for UG OFC, HDPE duct &amp; RCC chambers.pdf</t>
        </is>
      </c>
      <c r="J249" s="6" t="inlineStr">
        <is>
          <t>📕 PDF Document</t>
        </is>
      </c>
      <c r="K249" s="9" t="n">
        <v>480.3</v>
      </c>
      <c r="L249" s="10">
        <f>HYPERLINK("http://127.0.0.1:8000/api/documents/download?id=2537&amp;attachment=true", "⬇ Download Section - 21  Technical ")</f>
        <v/>
      </c>
      <c r="M249" s="10">
        <f>HYPERLINK("http://localhost:5173/?state=Andhra%20Pradesh&amp;keyword=ICT&amp;tender=989582", "🚀 Open in Portal")</f>
        <v/>
      </c>
    </row>
    <row r="250" ht="24" customHeight="1">
      <c r="A250" s="11" t="inlineStr">
        <is>
          <t>Andhra Pradesh</t>
        </is>
      </c>
      <c r="B250" s="12" t="inlineStr">
        <is>
          <t>ICT</t>
        </is>
      </c>
      <c r="C250" s="13" t="inlineStr">
        <is>
          <t>989582</t>
        </is>
      </c>
      <c r="D250"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50" s="14" t="inlineStr">
        <is>
          <t>APTRANSCO WORKS-Chief Engineer Projects, Vijayawada</t>
        </is>
      </c>
      <c r="F250" s="13" t="inlineStr">
        <is>
          <t>21 Jul 2026</t>
        </is>
      </c>
      <c r="G250" s="12" t="inlineStr">
        <is>
          <t>20 Aug 2026</t>
        </is>
      </c>
      <c r="H250" s="8" t="inlineStr">
        <is>
          <t>⏳ UPCOMING</t>
        </is>
      </c>
      <c r="I250" s="11" t="inlineStr">
        <is>
          <t>Section - 22 Technical specification of SDH (OLTE) equipment.pdf</t>
        </is>
      </c>
      <c r="J250" s="13" t="inlineStr">
        <is>
          <t>📕 PDF Document</t>
        </is>
      </c>
      <c r="K250" s="15" t="n">
        <v>635.3</v>
      </c>
      <c r="L250" s="16">
        <f>HYPERLINK("http://127.0.0.1:8000/api/documents/download?id=2538&amp;attachment=true", "⬇ Download Section - 22 Technical s")</f>
        <v/>
      </c>
      <c r="M250" s="16">
        <f>HYPERLINK("http://localhost:5173/?state=Andhra%20Pradesh&amp;keyword=ICT&amp;tender=989582", "🚀 Open in Portal")</f>
        <v/>
      </c>
    </row>
    <row r="251" ht="24" customHeight="1">
      <c r="A251" s="4" t="inlineStr">
        <is>
          <t>Andhra Pradesh</t>
        </is>
      </c>
      <c r="B251" s="5" t="inlineStr">
        <is>
          <t>ICT</t>
        </is>
      </c>
      <c r="C251" s="6" t="inlineStr">
        <is>
          <t>989582</t>
        </is>
      </c>
      <c r="D251"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51" s="7" t="inlineStr">
        <is>
          <t>APTRANSCO WORKS-Chief Engineer Projects, Vijayawada</t>
        </is>
      </c>
      <c r="F251" s="6" t="inlineStr">
        <is>
          <t>21 Jul 2026</t>
        </is>
      </c>
      <c r="G251" s="5" t="inlineStr">
        <is>
          <t>20 Aug 2026</t>
        </is>
      </c>
      <c r="H251" s="8" t="inlineStr">
        <is>
          <t>⏳ UPCOMING</t>
        </is>
      </c>
      <c r="I251" s="4" t="inlineStr">
        <is>
          <t>Section - 23 Technical specification of DTPC.pdf</t>
        </is>
      </c>
      <c r="J251" s="6" t="inlineStr">
        <is>
          <t>📕 PDF Document</t>
        </is>
      </c>
      <c r="K251" s="9" t="n">
        <v>198.2</v>
      </c>
      <c r="L251" s="10">
        <f>HYPERLINK("http://127.0.0.1:8000/api/documents/download?id=2539&amp;attachment=true", "⬇ Download Section - 23 Technical s")</f>
        <v/>
      </c>
      <c r="M251" s="10">
        <f>HYPERLINK("http://localhost:5173/?state=Andhra%20Pradesh&amp;keyword=ICT&amp;tender=989582", "🚀 Open in Portal")</f>
        <v/>
      </c>
    </row>
    <row r="252" ht="24" customHeight="1">
      <c r="A252" s="11" t="inlineStr">
        <is>
          <t>Andhra Pradesh</t>
        </is>
      </c>
      <c r="B252" s="12" t="inlineStr">
        <is>
          <t>ICT</t>
        </is>
      </c>
      <c r="C252" s="13" t="inlineStr">
        <is>
          <t>989582</t>
        </is>
      </c>
      <c r="D252"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52" s="14" t="inlineStr">
        <is>
          <t>APTRANSCO WORKS-Chief Engineer Projects, Vijayawada</t>
        </is>
      </c>
      <c r="F252" s="13" t="inlineStr">
        <is>
          <t>21 Jul 2026</t>
        </is>
      </c>
      <c r="G252" s="12" t="inlineStr">
        <is>
          <t>20 Aug 2026</t>
        </is>
      </c>
      <c r="H252" s="8" t="inlineStr">
        <is>
          <t>⏳ UPCOMING</t>
        </is>
      </c>
      <c r="I252" s="11" t="inlineStr">
        <is>
          <t>Section - 24 Technical specification of  VOIP Phone.pdf</t>
        </is>
      </c>
      <c r="J252" s="13" t="inlineStr">
        <is>
          <t>📕 PDF Document</t>
        </is>
      </c>
      <c r="K252" s="15" t="n">
        <v>259.9</v>
      </c>
      <c r="L252" s="16">
        <f>HYPERLINK("http://127.0.0.1:8000/api/documents/download?id=2540&amp;attachment=true", "⬇ Download Section - 24 Technical s")</f>
        <v/>
      </c>
      <c r="M252" s="16">
        <f>HYPERLINK("http://localhost:5173/?state=Andhra%20Pradesh&amp;keyword=ICT&amp;tender=989582", "🚀 Open in Portal")</f>
        <v/>
      </c>
    </row>
    <row r="253" ht="24" customHeight="1">
      <c r="A253" s="4" t="inlineStr">
        <is>
          <t>Andhra Pradesh</t>
        </is>
      </c>
      <c r="B253" s="5" t="inlineStr">
        <is>
          <t>ICT</t>
        </is>
      </c>
      <c r="C253" s="6" t="inlineStr">
        <is>
          <t>989582</t>
        </is>
      </c>
      <c r="D253"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53" s="7" t="inlineStr">
        <is>
          <t>APTRANSCO WORKS-Chief Engineer Projects, Vijayawada</t>
        </is>
      </c>
      <c r="F253" s="6" t="inlineStr">
        <is>
          <t>21 Jul 2026</t>
        </is>
      </c>
      <c r="G253" s="5" t="inlineStr">
        <is>
          <t>20 Aug 2026</t>
        </is>
      </c>
      <c r="H253" s="8" t="inlineStr">
        <is>
          <t>⏳ UPCOMING</t>
        </is>
      </c>
      <c r="I253" s="4" t="inlineStr">
        <is>
          <t>Section - 25 Technical specification of 48V Chargers.pdf</t>
        </is>
      </c>
      <c r="J253" s="6" t="inlineStr">
        <is>
          <t>📕 PDF Document</t>
        </is>
      </c>
      <c r="K253" s="9" t="n">
        <v>443.3</v>
      </c>
      <c r="L253" s="10">
        <f>HYPERLINK("http://127.0.0.1:8000/api/documents/download?id=2541&amp;attachment=true", "⬇ Download Section - 25 Technical s")</f>
        <v/>
      </c>
      <c r="M253" s="10">
        <f>HYPERLINK("http://localhost:5173/?state=Andhra%20Pradesh&amp;keyword=ICT&amp;tender=989582", "🚀 Open in Portal")</f>
        <v/>
      </c>
    </row>
    <row r="254" ht="24" customHeight="1">
      <c r="A254" s="11" t="inlineStr">
        <is>
          <t>Andhra Pradesh</t>
        </is>
      </c>
      <c r="B254" s="12" t="inlineStr">
        <is>
          <t>ICT</t>
        </is>
      </c>
      <c r="C254" s="13" t="inlineStr">
        <is>
          <t>989582</t>
        </is>
      </c>
      <c r="D254"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54" s="14" t="inlineStr">
        <is>
          <t>APTRANSCO WORKS-Chief Engineer Projects, Vijayawada</t>
        </is>
      </c>
      <c r="F254" s="13" t="inlineStr">
        <is>
          <t>21 Jul 2026</t>
        </is>
      </c>
      <c r="G254" s="12" t="inlineStr">
        <is>
          <t>20 Aug 2026</t>
        </is>
      </c>
      <c r="H254" s="8" t="inlineStr">
        <is>
          <t>⏳ UPCOMING</t>
        </is>
      </c>
      <c r="I254" s="11" t="inlineStr">
        <is>
          <t>Section - 26 Technical specification of 48V Battery sets.pdf</t>
        </is>
      </c>
      <c r="J254" s="13" t="inlineStr">
        <is>
          <t>📕 PDF Document</t>
        </is>
      </c>
      <c r="K254" s="15" t="n">
        <v>188.2</v>
      </c>
      <c r="L254" s="16">
        <f>HYPERLINK("http://127.0.0.1:8000/api/documents/download?id=2542&amp;attachment=true", "⬇ Download Section - 26 Technical s")</f>
        <v/>
      </c>
      <c r="M254" s="16">
        <f>HYPERLINK("http://localhost:5173/?state=Andhra%20Pradesh&amp;keyword=ICT&amp;tender=989582", "🚀 Open in Portal")</f>
        <v/>
      </c>
    </row>
    <row r="255" ht="24" customHeight="1">
      <c r="A255" s="4" t="inlineStr">
        <is>
          <t>Andhra Pradesh</t>
        </is>
      </c>
      <c r="B255" s="5" t="inlineStr">
        <is>
          <t>ICT</t>
        </is>
      </c>
      <c r="C255" s="6" t="inlineStr">
        <is>
          <t>989582</t>
        </is>
      </c>
      <c r="D255"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55" s="7" t="inlineStr">
        <is>
          <t>APTRANSCO WORKS-Chief Engineer Projects, Vijayawada</t>
        </is>
      </c>
      <c r="F255" s="6" t="inlineStr">
        <is>
          <t>21 Jul 2026</t>
        </is>
      </c>
      <c r="G255" s="5" t="inlineStr">
        <is>
          <t>20 Aug 2026</t>
        </is>
      </c>
      <c r="H255" s="8" t="inlineStr">
        <is>
          <t>⏳ UPCOMING</t>
        </is>
      </c>
      <c r="I255" s="4" t="inlineStr">
        <is>
          <t>Section - 27  Techincal specification of Testing Instruments..pdf</t>
        </is>
      </c>
      <c r="J255" s="6" t="inlineStr">
        <is>
          <t>📕 PDF Document</t>
        </is>
      </c>
      <c r="K255" s="9" t="n">
        <v>629.7</v>
      </c>
      <c r="L255" s="10">
        <f>HYPERLINK("http://127.0.0.1:8000/api/documents/download?id=2543&amp;attachment=true", "⬇ Download Section - 27  Techincal ")</f>
        <v/>
      </c>
      <c r="M255" s="10">
        <f>HYPERLINK("http://localhost:5173/?state=Andhra%20Pradesh&amp;keyword=ICT&amp;tender=989582", "🚀 Open in Portal")</f>
        <v/>
      </c>
    </row>
    <row r="256" ht="24" customHeight="1">
      <c r="A256" s="11" t="inlineStr">
        <is>
          <t>Andhra Pradesh</t>
        </is>
      </c>
      <c r="B256" s="12" t="inlineStr">
        <is>
          <t>ICT</t>
        </is>
      </c>
      <c r="C256" s="13" t="inlineStr">
        <is>
          <t>989582</t>
        </is>
      </c>
      <c r="D256"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56" s="14" t="inlineStr">
        <is>
          <t>APTRANSCO WORKS-Chief Engineer Projects, Vijayawada</t>
        </is>
      </c>
      <c r="F256" s="13" t="inlineStr">
        <is>
          <t>21 Jul 2026</t>
        </is>
      </c>
      <c r="G256" s="12" t="inlineStr">
        <is>
          <t>20 Aug 2026</t>
        </is>
      </c>
      <c r="H256" s="8" t="inlineStr">
        <is>
          <t>⏳ UPCOMING</t>
        </is>
      </c>
      <c r="I256" s="11" t="inlineStr">
        <is>
          <t>Section - 28 -Technical specifications of cables.pdf</t>
        </is>
      </c>
      <c r="J256" s="13" t="inlineStr">
        <is>
          <t>📕 PDF Document</t>
        </is>
      </c>
      <c r="K256" s="15" t="n">
        <v>617.5</v>
      </c>
      <c r="L256" s="16">
        <f>HYPERLINK("http://127.0.0.1:8000/api/documents/download?id=2544&amp;attachment=true", "⬇ Download Section - 28 -Technical ")</f>
        <v/>
      </c>
      <c r="M256" s="16">
        <f>HYPERLINK("http://localhost:5173/?state=Andhra%20Pradesh&amp;keyword=ICT&amp;tender=989582", "🚀 Open in Portal")</f>
        <v/>
      </c>
    </row>
    <row r="257" ht="24" customHeight="1">
      <c r="A257" s="4" t="inlineStr">
        <is>
          <t>Andhra Pradesh</t>
        </is>
      </c>
      <c r="B257" s="5" t="inlineStr">
        <is>
          <t>ICT</t>
        </is>
      </c>
      <c r="C257" s="6" t="inlineStr">
        <is>
          <t>989582</t>
        </is>
      </c>
      <c r="D257"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57" s="7" t="inlineStr">
        <is>
          <t>APTRANSCO WORKS-Chief Engineer Projects, Vijayawada</t>
        </is>
      </c>
      <c r="F257" s="6" t="inlineStr">
        <is>
          <t>21 Jul 2026</t>
        </is>
      </c>
      <c r="G257" s="5" t="inlineStr">
        <is>
          <t>20 Aug 2026</t>
        </is>
      </c>
      <c r="H257" s="8" t="inlineStr">
        <is>
          <t>⏳ UPCOMING</t>
        </is>
      </c>
      <c r="I257" s="4" t="inlineStr">
        <is>
          <t>Section - 29 Long rod insulators.pdf</t>
        </is>
      </c>
      <c r="J257" s="6" t="inlineStr">
        <is>
          <t>📕 PDF Document</t>
        </is>
      </c>
      <c r="K257" s="9" t="n">
        <v>433.9</v>
      </c>
      <c r="L257" s="10">
        <f>HYPERLINK("http://127.0.0.1:8000/api/documents/download?id=2545&amp;attachment=true", "⬇ Download Section - 29 Long rod in")</f>
        <v/>
      </c>
      <c r="M257" s="10">
        <f>HYPERLINK("http://localhost:5173/?state=Andhra%20Pradesh&amp;keyword=ICT&amp;tender=989582", "🚀 Open in Portal")</f>
        <v/>
      </c>
    </row>
    <row r="258" ht="24" customHeight="1">
      <c r="A258" s="11" t="inlineStr">
        <is>
          <t>Andhra Pradesh</t>
        </is>
      </c>
      <c r="B258" s="12" t="inlineStr">
        <is>
          <t>ICT</t>
        </is>
      </c>
      <c r="C258" s="13" t="inlineStr">
        <is>
          <t>989582</t>
        </is>
      </c>
      <c r="D258"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58" s="14" t="inlineStr">
        <is>
          <t>APTRANSCO WORKS-Chief Engineer Projects, Vijayawada</t>
        </is>
      </c>
      <c r="F258" s="13" t="inlineStr">
        <is>
          <t>21 Jul 2026</t>
        </is>
      </c>
      <c r="G258" s="12" t="inlineStr">
        <is>
          <t>20 Aug 2026</t>
        </is>
      </c>
      <c r="H258" s="8" t="inlineStr">
        <is>
          <t>⏳ UPCOMING</t>
        </is>
      </c>
      <c r="I258" s="11" t="inlineStr">
        <is>
          <t>Section - 3 Surge Arrestors.pdf</t>
        </is>
      </c>
      <c r="J258" s="13" t="inlineStr">
        <is>
          <t>📕 PDF Document</t>
        </is>
      </c>
      <c r="K258" s="15" t="n">
        <v>431</v>
      </c>
      <c r="L258" s="16">
        <f>HYPERLINK("http://127.0.0.1:8000/api/documents/download?id=2546&amp;attachment=true", "⬇ Download Section - 3 Surge Arrest")</f>
        <v/>
      </c>
      <c r="M258" s="16">
        <f>HYPERLINK("http://localhost:5173/?state=Andhra%20Pradesh&amp;keyword=ICT&amp;tender=989582", "🚀 Open in Portal")</f>
        <v/>
      </c>
    </row>
    <row r="259" ht="24" customHeight="1">
      <c r="A259" s="4" t="inlineStr">
        <is>
          <t>Andhra Pradesh</t>
        </is>
      </c>
      <c r="B259" s="5" t="inlineStr">
        <is>
          <t>ICT</t>
        </is>
      </c>
      <c r="C259" s="6" t="inlineStr">
        <is>
          <t>989582</t>
        </is>
      </c>
      <c r="D259"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59" s="7" t="inlineStr">
        <is>
          <t>APTRANSCO WORKS-Chief Engineer Projects, Vijayawada</t>
        </is>
      </c>
      <c r="F259" s="6" t="inlineStr">
        <is>
          <t>21 Jul 2026</t>
        </is>
      </c>
      <c r="G259" s="5" t="inlineStr">
        <is>
          <t>20 Aug 2026</t>
        </is>
      </c>
      <c r="H259" s="8" t="inlineStr">
        <is>
          <t>⏳ UPCOMING</t>
        </is>
      </c>
      <c r="I259" s="4" t="inlineStr">
        <is>
          <t>Section - 30 Technical specification of AC unit &amp; Stabilizer.pdf</t>
        </is>
      </c>
      <c r="J259" s="6" t="inlineStr">
        <is>
          <t>📕 PDF Document</t>
        </is>
      </c>
      <c r="K259" s="9" t="n">
        <v>156.4</v>
      </c>
      <c r="L259" s="10">
        <f>HYPERLINK("http://127.0.0.1:8000/api/documents/download?id=2547&amp;attachment=true", "⬇ Download Section - 30 Technical s")</f>
        <v/>
      </c>
      <c r="M259" s="10">
        <f>HYPERLINK("http://localhost:5173/?state=Andhra%20Pradesh&amp;keyword=ICT&amp;tender=989582", "🚀 Open in Portal")</f>
        <v/>
      </c>
    </row>
    <row r="260" ht="24" customHeight="1">
      <c r="A260" s="11" t="inlineStr">
        <is>
          <t>Andhra Pradesh</t>
        </is>
      </c>
      <c r="B260" s="12" t="inlineStr">
        <is>
          <t>ICT</t>
        </is>
      </c>
      <c r="C260" s="13" t="inlineStr">
        <is>
          <t>989582</t>
        </is>
      </c>
      <c r="D260"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60" s="14" t="inlineStr">
        <is>
          <t>APTRANSCO WORKS-Chief Engineer Projects, Vijayawada</t>
        </is>
      </c>
      <c r="F260" s="13" t="inlineStr">
        <is>
          <t>21 Jul 2026</t>
        </is>
      </c>
      <c r="G260" s="12" t="inlineStr">
        <is>
          <t>20 Aug 2026</t>
        </is>
      </c>
      <c r="H260" s="8" t="inlineStr">
        <is>
          <t>⏳ UPCOMING</t>
        </is>
      </c>
      <c r="I260" s="11" t="inlineStr">
        <is>
          <t>Section - 31 Technical specification of MPLS FOTE &amp; NMS.pdf</t>
        </is>
      </c>
      <c r="J260" s="13" t="inlineStr">
        <is>
          <t>📕 PDF Document</t>
        </is>
      </c>
      <c r="K260" s="15" t="n">
        <v>946.7</v>
      </c>
      <c r="L260" s="16">
        <f>HYPERLINK("http://127.0.0.1:8000/api/documents/download?id=2548&amp;attachment=true", "⬇ Download Section - 31 Technical s")</f>
        <v/>
      </c>
      <c r="M260" s="16">
        <f>HYPERLINK("http://localhost:5173/?state=Andhra%20Pradesh&amp;keyword=ICT&amp;tender=989582", "🚀 Open in Portal")</f>
        <v/>
      </c>
    </row>
    <row r="261" ht="24" customHeight="1">
      <c r="A261" s="4" t="inlineStr">
        <is>
          <t>Andhra Pradesh</t>
        </is>
      </c>
      <c r="B261" s="5" t="inlineStr">
        <is>
          <t>ICT</t>
        </is>
      </c>
      <c r="C261" s="6" t="inlineStr">
        <is>
          <t>989582</t>
        </is>
      </c>
      <c r="D261"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61" s="7" t="inlineStr">
        <is>
          <t>APTRANSCO WORKS-Chief Engineer Projects, Vijayawada</t>
        </is>
      </c>
      <c r="F261" s="6" t="inlineStr">
        <is>
          <t>21 Jul 2026</t>
        </is>
      </c>
      <c r="G261" s="5" t="inlineStr">
        <is>
          <t>20 Aug 2026</t>
        </is>
      </c>
      <c r="H261" s="8" t="inlineStr">
        <is>
          <t>⏳ UPCOMING</t>
        </is>
      </c>
      <c r="I261" s="4" t="inlineStr">
        <is>
          <t>Section - 32 Tech Spec- SRC Insulators.pdf</t>
        </is>
      </c>
      <c r="J261" s="6" t="inlineStr">
        <is>
          <t>📕 PDF Document</t>
        </is>
      </c>
      <c r="K261" s="9" t="n">
        <v>423.9</v>
      </c>
      <c r="L261" s="10">
        <f>HYPERLINK("http://127.0.0.1:8000/api/documents/download?id=2549&amp;attachment=true", "⬇ Download Section - 32 Tech Spec- ")</f>
        <v/>
      </c>
      <c r="M261" s="10">
        <f>HYPERLINK("http://localhost:5173/?state=Andhra%20Pradesh&amp;keyword=ICT&amp;tender=989582", "🚀 Open in Portal")</f>
        <v/>
      </c>
    </row>
    <row r="262" ht="24" customHeight="1">
      <c r="A262" s="11" t="inlineStr">
        <is>
          <t>Andhra Pradesh</t>
        </is>
      </c>
      <c r="B262" s="12" t="inlineStr">
        <is>
          <t>ICT</t>
        </is>
      </c>
      <c r="C262" s="13" t="inlineStr">
        <is>
          <t>989582</t>
        </is>
      </c>
      <c r="D262"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62" s="14" t="inlineStr">
        <is>
          <t>APTRANSCO WORKS-Chief Engineer Projects, Vijayawada</t>
        </is>
      </c>
      <c r="F262" s="13" t="inlineStr">
        <is>
          <t>21 Jul 2026</t>
        </is>
      </c>
      <c r="G262" s="12" t="inlineStr">
        <is>
          <t>20 Aug 2026</t>
        </is>
      </c>
      <c r="H262" s="8" t="inlineStr">
        <is>
          <t>⏳ UPCOMING</t>
        </is>
      </c>
      <c r="I262" s="11" t="inlineStr">
        <is>
          <t>Section - 33 LED Specification.pdf</t>
        </is>
      </c>
      <c r="J262" s="13" t="inlineStr">
        <is>
          <t>📕 PDF Document</t>
        </is>
      </c>
      <c r="K262" s="15" t="n">
        <v>563</v>
      </c>
      <c r="L262" s="16">
        <f>HYPERLINK("http://127.0.0.1:8000/api/documents/download?id=2550&amp;attachment=true", "⬇ Download Section - 33 LED Specifi")</f>
        <v/>
      </c>
      <c r="M262" s="16">
        <f>HYPERLINK("http://localhost:5173/?state=Andhra%20Pradesh&amp;keyword=ICT&amp;tender=989582", "🚀 Open in Portal")</f>
        <v/>
      </c>
    </row>
    <row r="263" ht="24" customHeight="1">
      <c r="A263" s="4" t="inlineStr">
        <is>
          <t>Andhra Pradesh</t>
        </is>
      </c>
      <c r="B263" s="5" t="inlineStr">
        <is>
          <t>ICT</t>
        </is>
      </c>
      <c r="C263" s="6" t="inlineStr">
        <is>
          <t>989582</t>
        </is>
      </c>
      <c r="D263"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63" s="7" t="inlineStr">
        <is>
          <t>APTRANSCO WORKS-Chief Engineer Projects, Vijayawada</t>
        </is>
      </c>
      <c r="F263" s="6" t="inlineStr">
        <is>
          <t>21 Jul 2026</t>
        </is>
      </c>
      <c r="G263" s="5" t="inlineStr">
        <is>
          <t>20 Aug 2026</t>
        </is>
      </c>
      <c r="H263" s="8" t="inlineStr">
        <is>
          <t>⏳ UPCOMING</t>
        </is>
      </c>
      <c r="I263" s="4" t="inlineStr">
        <is>
          <t>Section - 34 ACSS Cond eq Conductor SPEC_Final.pdf</t>
        </is>
      </c>
      <c r="J263" s="6" t="inlineStr">
        <is>
          <t>📕 PDF Document</t>
        </is>
      </c>
      <c r="K263" s="9" t="n">
        <v>1084</v>
      </c>
      <c r="L263" s="10">
        <f>HYPERLINK("http://127.0.0.1:8000/api/documents/download?id=2551&amp;attachment=true", "⬇ Download Section - 34 ACSS Cond e")</f>
        <v/>
      </c>
      <c r="M263" s="10">
        <f>HYPERLINK("http://localhost:5173/?state=Andhra%20Pradesh&amp;keyword=ICT&amp;tender=989582", "🚀 Open in Portal")</f>
        <v/>
      </c>
    </row>
    <row r="264" ht="24" customHeight="1">
      <c r="A264" s="11" t="inlineStr">
        <is>
          <t>Andhra Pradesh</t>
        </is>
      </c>
      <c r="B264" s="12" t="inlineStr">
        <is>
          <t>ICT</t>
        </is>
      </c>
      <c r="C264" s="13" t="inlineStr">
        <is>
          <t>989582</t>
        </is>
      </c>
      <c r="D264"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64" s="14" t="inlineStr">
        <is>
          <t>APTRANSCO WORKS-Chief Engineer Projects, Vijayawada</t>
        </is>
      </c>
      <c r="F264" s="13" t="inlineStr">
        <is>
          <t>21 Jul 2026</t>
        </is>
      </c>
      <c r="G264" s="12" t="inlineStr">
        <is>
          <t>20 Aug 2026</t>
        </is>
      </c>
      <c r="H264" s="8" t="inlineStr">
        <is>
          <t>⏳ UPCOMING</t>
        </is>
      </c>
      <c r="I264" s="11" t="inlineStr">
        <is>
          <t>Section - 4 Isolator Mettalics.pdf</t>
        </is>
      </c>
      <c r="J264" s="13" t="inlineStr">
        <is>
          <t>📕 PDF Document</t>
        </is>
      </c>
      <c r="K264" s="15" t="n">
        <v>514.5</v>
      </c>
      <c r="L264" s="16">
        <f>HYPERLINK("http://127.0.0.1:8000/api/documents/download?id=2552&amp;attachment=true", "⬇ Download Section - 4 Isolator Met")</f>
        <v/>
      </c>
      <c r="M264" s="16">
        <f>HYPERLINK("http://localhost:5173/?state=Andhra%20Pradesh&amp;keyword=ICT&amp;tender=989582", "🚀 Open in Portal")</f>
        <v/>
      </c>
    </row>
    <row r="265" ht="24" customHeight="1">
      <c r="A265" s="4" t="inlineStr">
        <is>
          <t>Andhra Pradesh</t>
        </is>
      </c>
      <c r="B265" s="5" t="inlineStr">
        <is>
          <t>ICT</t>
        </is>
      </c>
      <c r="C265" s="6" t="inlineStr">
        <is>
          <t>989582</t>
        </is>
      </c>
      <c r="D265"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65" s="7" t="inlineStr">
        <is>
          <t>APTRANSCO WORKS-Chief Engineer Projects, Vijayawada</t>
        </is>
      </c>
      <c r="F265" s="6" t="inlineStr">
        <is>
          <t>21 Jul 2026</t>
        </is>
      </c>
      <c r="G265" s="5" t="inlineStr">
        <is>
          <t>20 Aug 2026</t>
        </is>
      </c>
      <c r="H265" s="8" t="inlineStr">
        <is>
          <t>⏳ UPCOMING</t>
        </is>
      </c>
      <c r="I265" s="4" t="inlineStr">
        <is>
          <t>Section - 5 Solid core  insulators.pdf</t>
        </is>
      </c>
      <c r="J265" s="6" t="inlineStr">
        <is>
          <t>📕 PDF Document</t>
        </is>
      </c>
      <c r="K265" s="9" t="n">
        <v>289.7</v>
      </c>
      <c r="L265" s="10">
        <f>HYPERLINK("http://127.0.0.1:8000/api/documents/download?id=2553&amp;attachment=true", "⬇ Download Section - 5 Solid core  ")</f>
        <v/>
      </c>
      <c r="M265" s="10">
        <f>HYPERLINK("http://localhost:5173/?state=Andhra%20Pradesh&amp;keyword=ICT&amp;tender=989582", "🚀 Open in Portal")</f>
        <v/>
      </c>
    </row>
    <row r="266" ht="24" customHeight="1">
      <c r="A266" s="11" t="inlineStr">
        <is>
          <t>Andhra Pradesh</t>
        </is>
      </c>
      <c r="B266" s="12" t="inlineStr">
        <is>
          <t>ICT</t>
        </is>
      </c>
      <c r="C266" s="13" t="inlineStr">
        <is>
          <t>989582</t>
        </is>
      </c>
      <c r="D266"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66" s="14" t="inlineStr">
        <is>
          <t>APTRANSCO WORKS-Chief Engineer Projects, Vijayawada</t>
        </is>
      </c>
      <c r="F266" s="13" t="inlineStr">
        <is>
          <t>21 Jul 2026</t>
        </is>
      </c>
      <c r="G266" s="12" t="inlineStr">
        <is>
          <t>20 Aug 2026</t>
        </is>
      </c>
      <c r="H266" s="8" t="inlineStr">
        <is>
          <t>⏳ UPCOMING</t>
        </is>
      </c>
      <c r="I266" s="11" t="inlineStr">
        <is>
          <t>Section - 6 Control _ Power Cables.pdf</t>
        </is>
      </c>
      <c r="J266" s="13" t="inlineStr">
        <is>
          <t>📕 PDF Document</t>
        </is>
      </c>
      <c r="K266" s="15" t="n">
        <v>420.2</v>
      </c>
      <c r="L266" s="16">
        <f>HYPERLINK("http://127.0.0.1:8000/api/documents/download?id=2554&amp;attachment=true", "⬇ Download Section - 6 Control _ Po")</f>
        <v/>
      </c>
      <c r="M266" s="16">
        <f>HYPERLINK("http://localhost:5173/?state=Andhra%20Pradesh&amp;keyword=ICT&amp;tender=989582", "🚀 Open in Portal")</f>
        <v/>
      </c>
    </row>
    <row r="267" ht="24" customHeight="1">
      <c r="A267" s="4" t="inlineStr">
        <is>
          <t>Andhra Pradesh</t>
        </is>
      </c>
      <c r="B267" s="5" t="inlineStr">
        <is>
          <t>ICT</t>
        </is>
      </c>
      <c r="C267" s="6" t="inlineStr">
        <is>
          <t>989582</t>
        </is>
      </c>
      <c r="D267"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67" s="7" t="inlineStr">
        <is>
          <t>APTRANSCO WORKS-Chief Engineer Projects, Vijayawada</t>
        </is>
      </c>
      <c r="F267" s="6" t="inlineStr">
        <is>
          <t>21 Jul 2026</t>
        </is>
      </c>
      <c r="G267" s="5" t="inlineStr">
        <is>
          <t>20 Aug 2026</t>
        </is>
      </c>
      <c r="H267" s="8" t="inlineStr">
        <is>
          <t>⏳ UPCOMING</t>
        </is>
      </c>
      <c r="I267" s="4" t="inlineStr">
        <is>
          <t>Section - 7 Battery set &amp; battery charger.pdf</t>
        </is>
      </c>
      <c r="J267" s="6" t="inlineStr">
        <is>
          <t>📕 PDF Document</t>
        </is>
      </c>
      <c r="K267" s="9" t="n">
        <v>1452.5</v>
      </c>
      <c r="L267" s="10">
        <f>HYPERLINK("http://127.0.0.1:8000/api/documents/download?id=2555&amp;attachment=true", "⬇ Download Section - 7 Battery set ")</f>
        <v/>
      </c>
      <c r="M267" s="10">
        <f>HYPERLINK("http://localhost:5173/?state=Andhra%20Pradesh&amp;keyword=ICT&amp;tender=989582", "🚀 Open in Portal")</f>
        <v/>
      </c>
    </row>
    <row r="268" ht="24" customHeight="1">
      <c r="A268" s="11" t="inlineStr">
        <is>
          <t>Andhra Pradesh</t>
        </is>
      </c>
      <c r="B268" s="12" t="inlineStr">
        <is>
          <t>ICT</t>
        </is>
      </c>
      <c r="C268" s="13" t="inlineStr">
        <is>
          <t>989582</t>
        </is>
      </c>
      <c r="D268"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68" s="14" t="inlineStr">
        <is>
          <t>APTRANSCO WORKS-Chief Engineer Projects, Vijayawada</t>
        </is>
      </c>
      <c r="F268" s="13" t="inlineStr">
        <is>
          <t>21 Jul 2026</t>
        </is>
      </c>
      <c r="G268" s="12" t="inlineStr">
        <is>
          <t>20 Aug 2026</t>
        </is>
      </c>
      <c r="H268" s="8" t="inlineStr">
        <is>
          <t>⏳ UPCOMING</t>
        </is>
      </c>
      <c r="I268" s="11" t="inlineStr">
        <is>
          <t>Section - 8 Circuit Breakers.pdf</t>
        </is>
      </c>
      <c r="J268" s="13" t="inlineStr">
        <is>
          <t>📕 PDF Document</t>
        </is>
      </c>
      <c r="K268" s="15" t="n">
        <v>871.7</v>
      </c>
      <c r="L268" s="16">
        <f>HYPERLINK("http://127.0.0.1:8000/api/documents/download?id=2556&amp;attachment=true", "⬇ Download Section - 8 Circuit Brea")</f>
        <v/>
      </c>
      <c r="M268" s="16">
        <f>HYPERLINK("http://localhost:5173/?state=Andhra%20Pradesh&amp;keyword=ICT&amp;tender=989582", "🚀 Open in Portal")</f>
        <v/>
      </c>
    </row>
    <row r="269" ht="24" customHeight="1">
      <c r="A269" s="4" t="inlineStr">
        <is>
          <t>Andhra Pradesh</t>
        </is>
      </c>
      <c r="B269" s="5" t="inlineStr">
        <is>
          <t>ICT</t>
        </is>
      </c>
      <c r="C269" s="6" t="inlineStr">
        <is>
          <t>989582</t>
        </is>
      </c>
      <c r="D269"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69" s="7" t="inlineStr">
        <is>
          <t>APTRANSCO WORKS-Chief Engineer Projects, Vijayawada</t>
        </is>
      </c>
      <c r="F269" s="6" t="inlineStr">
        <is>
          <t>21 Jul 2026</t>
        </is>
      </c>
      <c r="G269" s="5" t="inlineStr">
        <is>
          <t>20 Aug 2026</t>
        </is>
      </c>
      <c r="H269" s="8" t="inlineStr">
        <is>
          <t>⏳ UPCOMING</t>
        </is>
      </c>
      <c r="I269" s="4" t="inlineStr">
        <is>
          <t>Section - 9  LTAC Panel.pdf</t>
        </is>
      </c>
      <c r="J269" s="6" t="inlineStr">
        <is>
          <t>📕 PDF Document</t>
        </is>
      </c>
      <c r="K269" s="9" t="n">
        <v>539</v>
      </c>
      <c r="L269" s="10">
        <f>HYPERLINK("http://127.0.0.1:8000/api/documents/download?id=2557&amp;attachment=true", "⬇ Download Section - 9  LTAC Panel.")</f>
        <v/>
      </c>
      <c r="M269" s="10">
        <f>HYPERLINK("http://localhost:5173/?state=Andhra%20Pradesh&amp;keyword=ICT&amp;tender=989582", "🚀 Open in Portal")</f>
        <v/>
      </c>
    </row>
    <row r="270" ht="24" customHeight="1">
      <c r="A270" s="11" t="inlineStr">
        <is>
          <t>Andhra Pradesh</t>
        </is>
      </c>
      <c r="B270" s="12" t="inlineStr">
        <is>
          <t>ICT</t>
        </is>
      </c>
      <c r="C270" s="13" t="inlineStr">
        <is>
          <t>989582</t>
        </is>
      </c>
      <c r="D270"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70" s="14" t="inlineStr">
        <is>
          <t>APTRANSCO WORKS-Chief Engineer Projects, Vijayawada</t>
        </is>
      </c>
      <c r="F270" s="13" t="inlineStr">
        <is>
          <t>21 Jul 2026</t>
        </is>
      </c>
      <c r="G270" s="12" t="inlineStr">
        <is>
          <t>20 Aug 2026</t>
        </is>
      </c>
      <c r="H270" s="8" t="inlineStr">
        <is>
          <t>⏳ UPCOMING</t>
        </is>
      </c>
      <c r="I270" s="11" t="inlineStr">
        <is>
          <t>Commercial Schedules-e-EHVT e57-26-CTT Towers.xlsx</t>
        </is>
      </c>
      <c r="J270" s="13" t="inlineStr">
        <is>
          <t>📊 Excel BOQ</t>
        </is>
      </c>
      <c r="K270" s="15" t="n">
        <v>54.3</v>
      </c>
      <c r="L270" s="16">
        <f>HYPERLINK("http://127.0.0.1:8000/api/documents/download?id=2558&amp;attachment=true", "⬇ Download Commercial Schedules-e-E")</f>
        <v/>
      </c>
      <c r="M270" s="16">
        <f>HYPERLINK("http://localhost:5173/?state=Andhra%20Pradesh&amp;keyword=ICT&amp;tender=989582", "🚀 Open in Portal")</f>
        <v/>
      </c>
    </row>
    <row r="271" ht="24" customHeight="1">
      <c r="A271" s="4" t="inlineStr">
        <is>
          <t>Andhra Pradesh</t>
        </is>
      </c>
      <c r="B271" s="5" t="inlineStr">
        <is>
          <t>ICT</t>
        </is>
      </c>
      <c r="C271" s="6" t="inlineStr">
        <is>
          <t>989582</t>
        </is>
      </c>
      <c r="D271"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71" s="7" t="inlineStr">
        <is>
          <t>APTRANSCO WORKS-Chief Engineer Projects, Vijayawada</t>
        </is>
      </c>
      <c r="F271" s="6" t="inlineStr">
        <is>
          <t>21 Jul 2026</t>
        </is>
      </c>
      <c r="G271" s="5" t="inlineStr">
        <is>
          <t>20 Aug 2026</t>
        </is>
      </c>
      <c r="H271" s="8" t="inlineStr">
        <is>
          <t>⏳ UPCOMING</t>
        </is>
      </c>
      <c r="I271" s="4" t="inlineStr">
        <is>
          <t>Vol-I -e-EHVT-57-26-CTT Towers.pdf</t>
        </is>
      </c>
      <c r="J271" s="6" t="inlineStr">
        <is>
          <t>📕 PDF Document</t>
        </is>
      </c>
      <c r="K271" s="9" t="n">
        <v>1530.2</v>
      </c>
      <c r="L271" s="10">
        <f>HYPERLINK("http://127.0.0.1:8000/api/documents/download?id=2559&amp;attachment=true", "⬇ Download Vol-I -e-EHVT-57-26-CTT ")</f>
        <v/>
      </c>
      <c r="M271" s="10">
        <f>HYPERLINK("http://localhost:5173/?state=Andhra%20Pradesh&amp;keyword=ICT&amp;tender=989582", "🚀 Open in Portal")</f>
        <v/>
      </c>
    </row>
    <row r="272" ht="24" customHeight="1">
      <c r="A272" s="11" t="inlineStr">
        <is>
          <t>Andhra Pradesh</t>
        </is>
      </c>
      <c r="B272" s="12" t="inlineStr">
        <is>
          <t>ICT</t>
        </is>
      </c>
      <c r="C272" s="13" t="inlineStr">
        <is>
          <t>989582</t>
        </is>
      </c>
      <c r="D272"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72" s="14" t="inlineStr">
        <is>
          <t>APTRANSCO WORKS-Chief Engineer Projects, Vijayawada</t>
        </is>
      </c>
      <c r="F272" s="13" t="inlineStr">
        <is>
          <t>21 Jul 2026</t>
        </is>
      </c>
      <c r="G272" s="12" t="inlineStr">
        <is>
          <t>20 Aug 2026</t>
        </is>
      </c>
      <c r="H272" s="8" t="inlineStr">
        <is>
          <t>⏳ UPCOMING</t>
        </is>
      </c>
      <c r="I272" s="11" t="inlineStr">
        <is>
          <t>Quality Assurance Plan.pdf</t>
        </is>
      </c>
      <c r="J272" s="13" t="inlineStr">
        <is>
          <t>📕 PDF Document</t>
        </is>
      </c>
      <c r="K272" s="15" t="n">
        <v>1303.3</v>
      </c>
      <c r="L272" s="16">
        <f>HYPERLINK("http://127.0.0.1:8000/api/documents/download?id=2560&amp;attachment=true", "⬇ Download Quality Assurance Plan.p")</f>
        <v/>
      </c>
      <c r="M272" s="16">
        <f>HYPERLINK("http://localhost:5173/?state=Andhra%20Pradesh&amp;keyword=ICT&amp;tender=989582", "🚀 Open in Portal")</f>
        <v/>
      </c>
    </row>
    <row r="273" ht="24" customHeight="1">
      <c r="A273" s="4" t="inlineStr">
        <is>
          <t>Andhra Pradesh</t>
        </is>
      </c>
      <c r="B273" s="5" t="inlineStr">
        <is>
          <t>ICT</t>
        </is>
      </c>
      <c r="C273" s="6" t="inlineStr">
        <is>
          <t>989582</t>
        </is>
      </c>
      <c r="D273"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273" s="7" t="inlineStr">
        <is>
          <t>APTRANSCO WORKS-Chief Engineer Projects, Vijayawada</t>
        </is>
      </c>
      <c r="F273" s="6" t="inlineStr">
        <is>
          <t>21 Jul 2026</t>
        </is>
      </c>
      <c r="G273" s="5" t="inlineStr">
        <is>
          <t>20 Aug 2026</t>
        </is>
      </c>
      <c r="H273" s="8" t="inlineStr">
        <is>
          <t>⏳ UPCOMING</t>
        </is>
      </c>
      <c r="I273" s="4" t="inlineStr">
        <is>
          <t>Tender_989582_All_Documents.zip</t>
        </is>
      </c>
      <c r="J273" s="6" t="inlineStr">
        <is>
          <t>📦 ZIP Package</t>
        </is>
      </c>
      <c r="K273" s="9" t="n">
        <v>2114.1</v>
      </c>
      <c r="L273" s="10">
        <f>HYPERLINK("http://127.0.0.1:8000/api/documents/download?id=2561&amp;attachment=true", "⬇ Download Tender_989582_All_Docume")</f>
        <v/>
      </c>
      <c r="M273" s="10">
        <f>HYPERLINK("http://localhost:5173/?state=Andhra%20Pradesh&amp;keyword=ICT&amp;tender=989582", "🚀 Open in Portal")</f>
        <v/>
      </c>
    </row>
    <row r="274" ht="24" customHeight="1">
      <c r="A274" s="11" t="inlineStr">
        <is>
          <t>Andhra Pradesh</t>
        </is>
      </c>
      <c r="B274" s="12" t="inlineStr">
        <is>
          <t>ICT</t>
        </is>
      </c>
      <c r="C274" s="13" t="inlineStr">
        <is>
          <t>993375</t>
        </is>
      </c>
      <c r="D274" s="14" t="inlineStr">
        <is>
          <t>Water Resources Department HNSS Project-Phase-II Modernization of HNSS Main Canal with CC Lining Shortcreting Construction of Balance CM CD works from Km 400 500 to Km 458 975 463.000 including Tunnels from Km 411 850 to Km 415 650 and Km 420 850 to Km 426 150 in Sri Sathya Sai District</t>
        </is>
      </c>
      <c r="E274" s="14" t="inlineStr">
        <is>
          <t>I &amp; CAD-SE, I &amp; CAD, HNSS Circle - II, ANANTAPUR</t>
        </is>
      </c>
      <c r="F274" s="13" t="inlineStr">
        <is>
          <t>10 Aug 2026</t>
        </is>
      </c>
      <c r="G274" s="12" t="inlineStr">
        <is>
          <t>04 Sep 2026</t>
        </is>
      </c>
      <c r="H274" s="8" t="inlineStr">
        <is>
          <t>⏳ UPCOMING</t>
        </is>
      </c>
      <c r="I274" s="11" t="inlineStr">
        <is>
          <t>Vol 1.doc</t>
        </is>
      </c>
      <c r="J274" s="13" t="inlineStr">
        <is>
          <t>📄 DOC</t>
        </is>
      </c>
      <c r="K274" s="15" t="n">
        <v>1333</v>
      </c>
      <c r="L274" s="16">
        <f>HYPERLINK("http://127.0.0.1:8000/api/documents/download?id=2474&amp;attachment=true", "⬇ Download Vol 1.doc")</f>
        <v/>
      </c>
      <c r="M274" s="16">
        <f>HYPERLINK("http://localhost:5173/?state=Andhra%20Pradesh&amp;keyword=ICT&amp;tender=993375", "🚀 Open in Portal")</f>
        <v/>
      </c>
    </row>
    <row r="275" ht="24" customHeight="1">
      <c r="A275" s="4" t="inlineStr">
        <is>
          <t>Andhra Pradesh</t>
        </is>
      </c>
      <c r="B275" s="5" t="inlineStr">
        <is>
          <t>ICT</t>
        </is>
      </c>
      <c r="C275" s="6" t="inlineStr">
        <is>
          <t>993375</t>
        </is>
      </c>
      <c r="D275" s="7" t="inlineStr">
        <is>
          <t>Water Resources Department HNSS Project-Phase-II Modernization of HNSS Main Canal with CC Lining Shortcreting Construction of Balance CM CD works from Km 400 500 to Km 458 975 463.000 including Tunnels from Km 411 850 to Km 415 650 and Km 420 850 to Km 426 150 in Sri Sathya Sai District</t>
        </is>
      </c>
      <c r="E275" s="7" t="inlineStr">
        <is>
          <t>I &amp; CAD-SE, I &amp; CAD, HNSS Circle - II, ANANTAPUR</t>
        </is>
      </c>
      <c r="F275" s="6" t="inlineStr">
        <is>
          <t>10 Aug 2026</t>
        </is>
      </c>
      <c r="G275" s="5" t="inlineStr">
        <is>
          <t>04 Sep 2026</t>
        </is>
      </c>
      <c r="H275" s="8" t="inlineStr">
        <is>
          <t>⏳ UPCOMING</t>
        </is>
      </c>
      <c r="I275" s="4" t="inlineStr">
        <is>
          <t>Vol II.doc</t>
        </is>
      </c>
      <c r="J275" s="6" t="inlineStr">
        <is>
          <t>📄 DOC</t>
        </is>
      </c>
      <c r="K275" s="9" t="n">
        <v>1078.5</v>
      </c>
      <c r="L275" s="10">
        <f>HYPERLINK("http://127.0.0.1:8000/api/documents/download?id=2475&amp;attachment=true", "⬇ Download Vol II.doc")</f>
        <v/>
      </c>
      <c r="M275" s="10">
        <f>HYPERLINK("http://localhost:5173/?state=Andhra%20Pradesh&amp;keyword=ICT&amp;tender=993375", "🚀 Open in Portal")</f>
        <v/>
      </c>
    </row>
    <row r="276" ht="24" customHeight="1">
      <c r="A276" s="11" t="inlineStr">
        <is>
          <t>Andhra Pradesh</t>
        </is>
      </c>
      <c r="B276" s="12" t="inlineStr">
        <is>
          <t>ICT</t>
        </is>
      </c>
      <c r="C276" s="13" t="inlineStr">
        <is>
          <t>993375</t>
        </is>
      </c>
      <c r="D276" s="14" t="inlineStr">
        <is>
          <t>Water Resources Department HNSS Project-Phase-II Modernization of HNSS Main Canal with CC Lining Shortcreting Construction of Balance CM CD works from Km 400 500 to Km 458 975 463.000 including Tunnels from Km 411 850 to Km 415 650 and Km 420 850 to Km 426 150 in Sri Sathya Sai District</t>
        </is>
      </c>
      <c r="E276" s="14" t="inlineStr">
        <is>
          <t>I &amp; CAD-SE, I &amp; CAD, HNSS Circle - II, ANANTAPUR</t>
        </is>
      </c>
      <c r="F276" s="13" t="inlineStr">
        <is>
          <t>10 Aug 2026</t>
        </is>
      </c>
      <c r="G276" s="12" t="inlineStr">
        <is>
          <t>04 Sep 2026</t>
        </is>
      </c>
      <c r="H276" s="8" t="inlineStr">
        <is>
          <t>⏳ UPCOMING</t>
        </is>
      </c>
      <c r="I276" s="11" t="inlineStr">
        <is>
          <t>Tender_993375_All_Documents.zip</t>
        </is>
      </c>
      <c r="J276" s="13" t="inlineStr">
        <is>
          <t>📦 ZIP Package</t>
        </is>
      </c>
      <c r="K276" s="15" t="n">
        <v>567</v>
      </c>
      <c r="L276" s="16">
        <f>HYPERLINK("http://127.0.0.1:8000/api/documents/download?id=2993&amp;attachment=true", "⬇ Download Tender_993375_All_Docume")</f>
        <v/>
      </c>
      <c r="M276" s="16">
        <f>HYPERLINK("http://localhost:5173/?state=Andhra%20Pradesh&amp;keyword=ICT&amp;tender=993375", "🚀 Open in Portal")</f>
        <v/>
      </c>
    </row>
    <row r="277" ht="24" customHeight="1">
      <c r="A277" s="4" t="inlineStr">
        <is>
          <t>Andhra Pradesh</t>
        </is>
      </c>
      <c r="B277" s="5" t="inlineStr">
        <is>
          <t>ICT</t>
        </is>
      </c>
      <c r="C277" s="6" t="inlineStr">
        <is>
          <t>993428</t>
        </is>
      </c>
      <c r="D277" s="7" t="inlineStr">
        <is>
          <t>Supply, Erection, Testing and commissioning of 220/132/33KV GIS Kancharapalem and connected lines in Visakhapatnam district</t>
        </is>
      </c>
      <c r="E277" s="7" t="inlineStr">
        <is>
          <t>APTRANSCO WORKS-Chief Engineer Projects, Vijayawada</t>
        </is>
      </c>
      <c r="F277" s="6" t="inlineStr">
        <is>
          <t>21 Sep 2026</t>
        </is>
      </c>
      <c r="G277" s="5" t="inlineStr">
        <is>
          <t>20 Oct 2026</t>
        </is>
      </c>
      <c r="H277" s="18" t="inlineStr">
        <is>
          <t>⚠️ CLOSING SOON</t>
        </is>
      </c>
      <c r="I277" s="4" t="inlineStr">
        <is>
          <t>VOLI APT-e 72-20206 QR Kancharapalem.docx</t>
        </is>
      </c>
      <c r="J277" s="6" t="inlineStr">
        <is>
          <t>📄 DOCX</t>
        </is>
      </c>
      <c r="K277" s="9" t="n">
        <v>33.4</v>
      </c>
      <c r="L277" s="10">
        <f>HYPERLINK("http://127.0.0.1:8000/api/documents/download?id=2425&amp;attachment=true", "⬇ Download VOLI APT-e 72-20206 QR K")</f>
        <v/>
      </c>
      <c r="M277" s="10">
        <f>HYPERLINK("http://localhost:5173/?state=Andhra%20Pradesh&amp;keyword=ICT&amp;tender=993428", "🚀 Open in Portal")</f>
        <v/>
      </c>
    </row>
    <row r="278" ht="24" customHeight="1">
      <c r="A278" s="11" t="inlineStr">
        <is>
          <t>Andhra Pradesh</t>
        </is>
      </c>
      <c r="B278" s="12" t="inlineStr">
        <is>
          <t>ICT</t>
        </is>
      </c>
      <c r="C278" s="13" t="inlineStr">
        <is>
          <t>993428</t>
        </is>
      </c>
      <c r="D278" s="14" t="inlineStr">
        <is>
          <t>Supply, Erection, Testing and commissioning of 220/132/33KV GIS Kancharapalem and connected lines in Visakhapatnam district</t>
        </is>
      </c>
      <c r="E278" s="14" t="inlineStr">
        <is>
          <t>APTRANSCO WORKS-Chief Engineer Projects, Vijayawada</t>
        </is>
      </c>
      <c r="F278" s="13" t="inlineStr">
        <is>
          <t>21 Sep 2026</t>
        </is>
      </c>
      <c r="G278" s="12" t="inlineStr">
        <is>
          <t>20 Oct 2026</t>
        </is>
      </c>
      <c r="H278" s="18" t="inlineStr">
        <is>
          <t>⚠️ CLOSING SOON</t>
        </is>
      </c>
      <c r="I278" s="11" t="inlineStr">
        <is>
          <t>Index.doc</t>
        </is>
      </c>
      <c r="J278" s="13" t="inlineStr">
        <is>
          <t>📄 DOC</t>
        </is>
      </c>
      <c r="K278" s="15" t="n">
        <v>35</v>
      </c>
      <c r="L278" s="16">
        <f>HYPERLINK("http://127.0.0.1:8000/api/documents/download?id=2431&amp;attachment=true", "⬇ Download Index.doc")</f>
        <v/>
      </c>
      <c r="M278" s="16">
        <f>HYPERLINK("http://localhost:5173/?state=Andhra%20Pradesh&amp;keyword=ICT&amp;tender=993428", "🚀 Open in Portal")</f>
        <v/>
      </c>
    </row>
    <row r="279" ht="24" customHeight="1">
      <c r="A279" s="4" t="inlineStr">
        <is>
          <t>Andhra Pradesh</t>
        </is>
      </c>
      <c r="B279" s="5" t="inlineStr">
        <is>
          <t>ICT</t>
        </is>
      </c>
      <c r="C279" s="6" t="inlineStr">
        <is>
          <t>993428</t>
        </is>
      </c>
      <c r="D279" s="7" t="inlineStr">
        <is>
          <t>Supply, Erection, Testing and commissioning of 220/132/33KV GIS Kancharapalem and connected lines in Visakhapatnam district</t>
        </is>
      </c>
      <c r="E279" s="7" t="inlineStr">
        <is>
          <t>APTRANSCO WORKS-Chief Engineer Projects, Vijayawada</t>
        </is>
      </c>
      <c r="F279" s="6" t="inlineStr">
        <is>
          <t>21 Sep 2026</t>
        </is>
      </c>
      <c r="G279" s="5" t="inlineStr">
        <is>
          <t>20 Oct 2026</t>
        </is>
      </c>
      <c r="H279" s="18" t="inlineStr">
        <is>
          <t>⚠️ CLOSING SOON</t>
        </is>
      </c>
      <c r="I279" s="4" t="inlineStr">
        <is>
          <t>Section - 1 General.pdf</t>
        </is>
      </c>
      <c r="J279" s="6" t="inlineStr">
        <is>
          <t>📕 PDF Document</t>
        </is>
      </c>
      <c r="K279" s="9" t="n">
        <v>288.4</v>
      </c>
      <c r="L279" s="10">
        <f>HYPERLINK("http://127.0.0.1:8000/api/documents/download?id=2432&amp;attachment=true", "⬇ Download Section - 1 General.pdf")</f>
        <v/>
      </c>
      <c r="M279" s="10">
        <f>HYPERLINK("http://localhost:5173/?state=Andhra%20Pradesh&amp;keyword=ICT&amp;tender=993428", "🚀 Open in Portal")</f>
        <v/>
      </c>
    </row>
    <row r="280" ht="24" customHeight="1">
      <c r="A280" s="11" t="inlineStr">
        <is>
          <t>Andhra Pradesh</t>
        </is>
      </c>
      <c r="B280" s="12" t="inlineStr">
        <is>
          <t>ICT</t>
        </is>
      </c>
      <c r="C280" s="13" t="inlineStr">
        <is>
          <t>993428</t>
        </is>
      </c>
      <c r="D280" s="14" t="inlineStr">
        <is>
          <t>Supply, Erection, Testing and commissioning of 220/132/33KV GIS Kancharapalem and connected lines in Visakhapatnam district</t>
        </is>
      </c>
      <c r="E280" s="14" t="inlineStr">
        <is>
          <t>APTRANSCO WORKS-Chief Engineer Projects, Vijayawada</t>
        </is>
      </c>
      <c r="F280" s="13" t="inlineStr">
        <is>
          <t>21 Sep 2026</t>
        </is>
      </c>
      <c r="G280" s="12" t="inlineStr">
        <is>
          <t>20 Oct 2026</t>
        </is>
      </c>
      <c r="H280" s="18" t="inlineStr">
        <is>
          <t>⚠️ CLOSING SOON</t>
        </is>
      </c>
      <c r="I280" s="11" t="inlineStr">
        <is>
          <t>Section - 10 Tech  Spec for Control Relay panels.pdf</t>
        </is>
      </c>
      <c r="J280" s="13" t="inlineStr">
        <is>
          <t>📕 PDF Document</t>
        </is>
      </c>
      <c r="K280" s="15" t="n">
        <v>1467.2</v>
      </c>
      <c r="L280" s="16">
        <f>HYPERLINK("http://127.0.0.1:8000/api/documents/download?id=2433&amp;attachment=true", "⬇ Download Section - 10 Tech  Spec ")</f>
        <v/>
      </c>
      <c r="M280" s="16">
        <f>HYPERLINK("http://localhost:5173/?state=Andhra%20Pradesh&amp;keyword=ICT&amp;tender=993428", "🚀 Open in Portal")</f>
        <v/>
      </c>
    </row>
    <row r="281" ht="24" customHeight="1">
      <c r="A281" s="4" t="inlineStr">
        <is>
          <t>Andhra Pradesh</t>
        </is>
      </c>
      <c r="B281" s="5" t="inlineStr">
        <is>
          <t>ICT</t>
        </is>
      </c>
      <c r="C281" s="6" t="inlineStr">
        <is>
          <t>993428</t>
        </is>
      </c>
      <c r="D281" s="7" t="inlineStr">
        <is>
          <t>Supply, Erection, Testing and commissioning of 220/132/33KV GIS Kancharapalem and connected lines in Visakhapatnam district</t>
        </is>
      </c>
      <c r="E281" s="7" t="inlineStr">
        <is>
          <t>APTRANSCO WORKS-Chief Engineer Projects, Vijayawada</t>
        </is>
      </c>
      <c r="F281" s="6" t="inlineStr">
        <is>
          <t>21 Sep 2026</t>
        </is>
      </c>
      <c r="G281" s="5" t="inlineStr">
        <is>
          <t>20 Oct 2026</t>
        </is>
      </c>
      <c r="H281" s="18" t="inlineStr">
        <is>
          <t>⚠️ CLOSING SOON</t>
        </is>
      </c>
      <c r="I281" s="4" t="inlineStr">
        <is>
          <t>Section - 11 -Staton Transformer.pdf</t>
        </is>
      </c>
      <c r="J281" s="6" t="inlineStr">
        <is>
          <t>📕 PDF Document</t>
        </is>
      </c>
      <c r="K281" s="9" t="n">
        <v>274.7</v>
      </c>
      <c r="L281" s="10">
        <f>HYPERLINK("http://127.0.0.1:8000/api/documents/download?id=2434&amp;attachment=true", "⬇ Download Section - 11 -Staton Tra")</f>
        <v/>
      </c>
      <c r="M281" s="10">
        <f>HYPERLINK("http://localhost:5173/?state=Andhra%20Pradesh&amp;keyword=ICT&amp;tender=993428", "🚀 Open in Portal")</f>
        <v/>
      </c>
    </row>
    <row r="282" ht="24" customHeight="1">
      <c r="A282" s="11" t="inlineStr">
        <is>
          <t>Andhra Pradesh</t>
        </is>
      </c>
      <c r="B282" s="12" t="inlineStr">
        <is>
          <t>ICT</t>
        </is>
      </c>
      <c r="C282" s="13" t="inlineStr">
        <is>
          <t>993428</t>
        </is>
      </c>
      <c r="D282" s="14" t="inlineStr">
        <is>
          <t>Supply, Erection, Testing and commissioning of 220/132/33KV GIS Kancharapalem and connected lines in Visakhapatnam district</t>
        </is>
      </c>
      <c r="E282" s="14" t="inlineStr">
        <is>
          <t>APTRANSCO WORKS-Chief Engineer Projects, Vijayawada</t>
        </is>
      </c>
      <c r="F282" s="13" t="inlineStr">
        <is>
          <t>21 Sep 2026</t>
        </is>
      </c>
      <c r="G282" s="12" t="inlineStr">
        <is>
          <t>20 Oct 2026</t>
        </is>
      </c>
      <c r="H282" s="18" t="inlineStr">
        <is>
          <t>⚠️ CLOSING SOON</t>
        </is>
      </c>
      <c r="I282" s="11" t="inlineStr">
        <is>
          <t>Section - 12 ACSR Conductor.pdf</t>
        </is>
      </c>
      <c r="J282" s="13" t="inlineStr">
        <is>
          <t>📕 PDF Document</t>
        </is>
      </c>
      <c r="K282" s="15" t="n">
        <v>679.9</v>
      </c>
      <c r="L282" s="16">
        <f>HYPERLINK("http://127.0.0.1:8000/api/documents/download?id=2435&amp;attachment=true", "⬇ Download Section - 12 ACSR Conduc")</f>
        <v/>
      </c>
      <c r="M282" s="16">
        <f>HYPERLINK("http://localhost:5173/?state=Andhra%20Pradesh&amp;keyword=ICT&amp;tender=993428", "🚀 Open in Portal")</f>
        <v/>
      </c>
    </row>
    <row r="283" ht="24" customHeight="1">
      <c r="A283" s="4" t="inlineStr">
        <is>
          <t>Andhra Pradesh</t>
        </is>
      </c>
      <c r="B283" s="5" t="inlineStr">
        <is>
          <t>ICT</t>
        </is>
      </c>
      <c r="C283" s="6" t="inlineStr">
        <is>
          <t>993428</t>
        </is>
      </c>
      <c r="D283" s="7" t="inlineStr">
        <is>
          <t>Supply, Erection, Testing and commissioning of 220/132/33KV GIS Kancharapalem and connected lines in Visakhapatnam district</t>
        </is>
      </c>
      <c r="E283" s="7" t="inlineStr">
        <is>
          <t>APTRANSCO WORKS-Chief Engineer Projects, Vijayawada</t>
        </is>
      </c>
      <c r="F283" s="6" t="inlineStr">
        <is>
          <t>21 Sep 2026</t>
        </is>
      </c>
      <c r="G283" s="5" t="inlineStr">
        <is>
          <t>20 Oct 2026</t>
        </is>
      </c>
      <c r="H283" s="18" t="inlineStr">
        <is>
          <t>⚠️ CLOSING SOON</t>
        </is>
      </c>
      <c r="I283" s="4" t="inlineStr">
        <is>
          <t>Section - 13 Porcelain disc insulators.pdf</t>
        </is>
      </c>
      <c r="J283" s="6" t="inlineStr">
        <is>
          <t>📕 PDF Document</t>
        </is>
      </c>
      <c r="K283" s="9" t="n">
        <v>423.9</v>
      </c>
      <c r="L283" s="10">
        <f>HYPERLINK("http://127.0.0.1:8000/api/documents/download?id=2436&amp;attachment=true", "⬇ Download Section - 13 Porcelain d")</f>
        <v/>
      </c>
      <c r="M283" s="10">
        <f>HYPERLINK("http://localhost:5173/?state=Andhra%20Pradesh&amp;keyword=ICT&amp;tender=993428", "🚀 Open in Portal")</f>
        <v/>
      </c>
    </row>
    <row r="284" ht="24" customHeight="1">
      <c r="A284" s="11" t="inlineStr">
        <is>
          <t>Andhra Pradesh</t>
        </is>
      </c>
      <c r="B284" s="12" t="inlineStr">
        <is>
          <t>ICT</t>
        </is>
      </c>
      <c r="C284" s="13" t="inlineStr">
        <is>
          <t>993428</t>
        </is>
      </c>
      <c r="D284" s="14" t="inlineStr">
        <is>
          <t>Supply, Erection, Testing and commissioning of 220/132/33KV GIS Kancharapalem and connected lines in Visakhapatnam district</t>
        </is>
      </c>
      <c r="E284" s="14" t="inlineStr">
        <is>
          <t>APTRANSCO WORKS-Chief Engineer Projects, Vijayawada</t>
        </is>
      </c>
      <c r="F284" s="13" t="inlineStr">
        <is>
          <t>21 Sep 2026</t>
        </is>
      </c>
      <c r="G284" s="12" t="inlineStr">
        <is>
          <t>20 Oct 2026</t>
        </is>
      </c>
      <c r="H284" s="18" t="inlineStr">
        <is>
          <t>⚠️ CLOSING SOON</t>
        </is>
      </c>
      <c r="I284" s="11" t="inlineStr">
        <is>
          <t>Section - 14 Transmission line towers.pdf</t>
        </is>
      </c>
      <c r="J284" s="13" t="inlineStr">
        <is>
          <t>📕 PDF Document</t>
        </is>
      </c>
      <c r="K284" s="15" t="n">
        <v>452.1</v>
      </c>
      <c r="L284" s="16">
        <f>HYPERLINK("http://127.0.0.1:8000/api/documents/download?id=2437&amp;attachment=true", "⬇ Download Section - 14 Transmissio")</f>
        <v/>
      </c>
      <c r="M284" s="16">
        <f>HYPERLINK("http://localhost:5173/?state=Andhra%20Pradesh&amp;keyword=ICT&amp;tender=993428", "🚀 Open in Portal")</f>
        <v/>
      </c>
    </row>
    <row r="285" ht="24" customHeight="1">
      <c r="A285" s="4" t="inlineStr">
        <is>
          <t>Andhra Pradesh</t>
        </is>
      </c>
      <c r="B285" s="5" t="inlineStr">
        <is>
          <t>ICT</t>
        </is>
      </c>
      <c r="C285" s="6" t="inlineStr">
        <is>
          <t>993428</t>
        </is>
      </c>
      <c r="D285" s="7" t="inlineStr">
        <is>
          <t>Supply, Erection, Testing and commissioning of 220/132/33KV GIS Kancharapalem and connected lines in Visakhapatnam district</t>
        </is>
      </c>
      <c r="E285" s="7" t="inlineStr">
        <is>
          <t>APTRANSCO WORKS-Chief Engineer Projects, Vijayawada</t>
        </is>
      </c>
      <c r="F285" s="6" t="inlineStr">
        <is>
          <t>21 Sep 2026</t>
        </is>
      </c>
      <c r="G285" s="5" t="inlineStr">
        <is>
          <t>20 Oct 2026</t>
        </is>
      </c>
      <c r="H285" s="18" t="inlineStr">
        <is>
          <t>⚠️ CLOSING SOON</t>
        </is>
      </c>
      <c r="I285" s="4" t="inlineStr">
        <is>
          <t>section - 15 Earth wire.pdf</t>
        </is>
      </c>
      <c r="J285" s="6" t="inlineStr">
        <is>
          <t>📕 PDF Document</t>
        </is>
      </c>
      <c r="K285" s="9" t="n">
        <v>524</v>
      </c>
      <c r="L285" s="10">
        <f>HYPERLINK("http://127.0.0.1:8000/api/documents/download?id=2438&amp;attachment=true", "⬇ Download section - 15 Earth wire.")</f>
        <v/>
      </c>
      <c r="M285" s="10">
        <f>HYPERLINK("http://localhost:5173/?state=Andhra%20Pradesh&amp;keyword=ICT&amp;tender=993428", "🚀 Open in Portal")</f>
        <v/>
      </c>
    </row>
    <row r="286" ht="24" customHeight="1">
      <c r="A286" s="11" t="inlineStr">
        <is>
          <t>Andhra Pradesh</t>
        </is>
      </c>
      <c r="B286" s="12" t="inlineStr">
        <is>
          <t>ICT</t>
        </is>
      </c>
      <c r="C286" s="13" t="inlineStr">
        <is>
          <t>993428</t>
        </is>
      </c>
      <c r="D286" s="14" t="inlineStr">
        <is>
          <t>Supply, Erection, Testing and commissioning of 220/132/33KV GIS Kancharapalem and connected lines in Visakhapatnam district</t>
        </is>
      </c>
      <c r="E286" s="14" t="inlineStr">
        <is>
          <t>APTRANSCO WORKS-Chief Engineer Projects, Vijayawada</t>
        </is>
      </c>
      <c r="F286" s="13" t="inlineStr">
        <is>
          <t>21 Sep 2026</t>
        </is>
      </c>
      <c r="G286" s="12" t="inlineStr">
        <is>
          <t>20 Oct 2026</t>
        </is>
      </c>
      <c r="H286" s="18" t="inlineStr">
        <is>
          <t>⚠️ CLOSING SOON</t>
        </is>
      </c>
      <c r="I286" s="11" t="inlineStr">
        <is>
          <t>Section - 16 Hardware &amp; Accessories for conductor &amp; earth wire.pdf</t>
        </is>
      </c>
      <c r="J286" s="13" t="inlineStr">
        <is>
          <t>📕 PDF Document</t>
        </is>
      </c>
      <c r="K286" s="15" t="n">
        <v>649.1</v>
      </c>
      <c r="L286" s="16">
        <f>HYPERLINK("http://127.0.0.1:8000/api/documents/download?id=2439&amp;attachment=true", "⬇ Download Section - 16 Hardware &amp; ")</f>
        <v/>
      </c>
      <c r="M286" s="16">
        <f>HYPERLINK("http://localhost:5173/?state=Andhra%20Pradesh&amp;keyword=ICT&amp;tender=993428", "🚀 Open in Portal")</f>
        <v/>
      </c>
    </row>
    <row r="287" ht="24" customHeight="1">
      <c r="A287" s="4" t="inlineStr">
        <is>
          <t>Andhra Pradesh</t>
        </is>
      </c>
      <c r="B287" s="5" t="inlineStr">
        <is>
          <t>ICT</t>
        </is>
      </c>
      <c r="C287" s="6" t="inlineStr">
        <is>
          <t>993428</t>
        </is>
      </c>
      <c r="D287" s="7" t="inlineStr">
        <is>
          <t>Supply, Erection, Testing and commissioning of 220/132/33KV GIS Kancharapalem and connected lines in Visakhapatnam district</t>
        </is>
      </c>
      <c r="E287" s="7" t="inlineStr">
        <is>
          <t>APTRANSCO WORKS-Chief Engineer Projects, Vijayawada</t>
        </is>
      </c>
      <c r="F287" s="6" t="inlineStr">
        <is>
          <t>21 Sep 2026</t>
        </is>
      </c>
      <c r="G287" s="5" t="inlineStr">
        <is>
          <t>20 Oct 2026</t>
        </is>
      </c>
      <c r="H287" s="18" t="inlineStr">
        <is>
          <t>⚠️ CLOSING SOON</t>
        </is>
      </c>
      <c r="I287" s="4" t="inlineStr">
        <is>
          <t>section - 17 Bolts &amp; Nuts.pdf</t>
        </is>
      </c>
      <c r="J287" s="6" t="inlineStr">
        <is>
          <t>📕 PDF Document</t>
        </is>
      </c>
      <c r="K287" s="9" t="n">
        <v>472.7</v>
      </c>
      <c r="L287" s="10">
        <f>HYPERLINK("http://127.0.0.1:8000/api/documents/download?id=2440&amp;attachment=true", "⬇ Download section - 17 Bolts &amp; Nut")</f>
        <v/>
      </c>
      <c r="M287" s="10">
        <f>HYPERLINK("http://localhost:5173/?state=Andhra%20Pradesh&amp;keyword=ICT&amp;tender=993428", "🚀 Open in Portal")</f>
        <v/>
      </c>
    </row>
    <row r="288" ht="24" customHeight="1">
      <c r="A288" s="11" t="inlineStr">
        <is>
          <t>Andhra Pradesh</t>
        </is>
      </c>
      <c r="B288" s="12" t="inlineStr">
        <is>
          <t>ICT</t>
        </is>
      </c>
      <c r="C288" s="13" t="inlineStr">
        <is>
          <t>993428</t>
        </is>
      </c>
      <c r="D288" s="14" t="inlineStr">
        <is>
          <t>Supply, Erection, Testing and commissioning of 220/132/33KV GIS Kancharapalem and connected lines in Visakhapatnam district</t>
        </is>
      </c>
      <c r="E288" s="14" t="inlineStr">
        <is>
          <t>APTRANSCO WORKS-Chief Engineer Projects, Vijayawada</t>
        </is>
      </c>
      <c r="F288" s="13" t="inlineStr">
        <is>
          <t>21 Sep 2026</t>
        </is>
      </c>
      <c r="G288" s="12" t="inlineStr">
        <is>
          <t>20 Oct 2026</t>
        </is>
      </c>
      <c r="H288" s="18" t="inlineStr">
        <is>
          <t>⚠️ CLOSING SOON</t>
        </is>
      </c>
      <c r="I288" s="11" t="inlineStr">
        <is>
          <t>Section - 18  Tech Spec for Substation.pdf</t>
        </is>
      </c>
      <c r="J288" s="13" t="inlineStr">
        <is>
          <t>📕 PDF Document</t>
        </is>
      </c>
      <c r="K288" s="15" t="n">
        <v>853.1</v>
      </c>
      <c r="L288" s="16">
        <f>HYPERLINK("http://127.0.0.1:8000/api/documents/download?id=2441&amp;attachment=true", "⬇ Download Section - 18  Tech Spec ")</f>
        <v/>
      </c>
      <c r="M288" s="16">
        <f>HYPERLINK("http://localhost:5173/?state=Andhra%20Pradesh&amp;keyword=ICT&amp;tender=993428", "🚀 Open in Portal")</f>
        <v/>
      </c>
    </row>
    <row r="289" ht="24" customHeight="1">
      <c r="A289" s="4" t="inlineStr">
        <is>
          <t>Andhra Pradesh</t>
        </is>
      </c>
      <c r="B289" s="5" t="inlineStr">
        <is>
          <t>ICT</t>
        </is>
      </c>
      <c r="C289" s="6" t="inlineStr">
        <is>
          <t>993428</t>
        </is>
      </c>
      <c r="D289" s="7" t="inlineStr">
        <is>
          <t>Supply, Erection, Testing and commissioning of 220/132/33KV GIS Kancharapalem and connected lines in Visakhapatnam district</t>
        </is>
      </c>
      <c r="E289" s="7" t="inlineStr">
        <is>
          <t>APTRANSCO WORKS-Chief Engineer Projects, Vijayawada</t>
        </is>
      </c>
      <c r="F289" s="6" t="inlineStr">
        <is>
          <t>21 Sep 2026</t>
        </is>
      </c>
      <c r="G289" s="5" t="inlineStr">
        <is>
          <t>20 Oct 2026</t>
        </is>
      </c>
      <c r="H289" s="18" t="inlineStr">
        <is>
          <t>⚠️ CLOSING SOON</t>
        </is>
      </c>
      <c r="I289" s="4" t="inlineStr">
        <is>
          <t>Section - 19 Tech Spec for Tr Line works.pdf</t>
        </is>
      </c>
      <c r="J289" s="6" t="inlineStr">
        <is>
          <t>📕 PDF Document</t>
        </is>
      </c>
      <c r="K289" s="9" t="n">
        <v>524.5</v>
      </c>
      <c r="L289" s="10">
        <f>HYPERLINK("http://127.0.0.1:8000/api/documents/download?id=2442&amp;attachment=true", "⬇ Download Section - 19 Tech Spec f")</f>
        <v/>
      </c>
      <c r="M289" s="10">
        <f>HYPERLINK("http://localhost:5173/?state=Andhra%20Pradesh&amp;keyword=ICT&amp;tender=993428", "🚀 Open in Portal")</f>
        <v/>
      </c>
    </row>
    <row r="290" ht="24" customHeight="1">
      <c r="A290" s="11" t="inlineStr">
        <is>
          <t>Andhra Pradesh</t>
        </is>
      </c>
      <c r="B290" s="12" t="inlineStr">
        <is>
          <t>ICT</t>
        </is>
      </c>
      <c r="C290" s="13" t="inlineStr">
        <is>
          <t>993428</t>
        </is>
      </c>
      <c r="D290" s="14" t="inlineStr">
        <is>
          <t>Supply, Erection, Testing and commissioning of 220/132/33KV GIS Kancharapalem and connected lines in Visakhapatnam district</t>
        </is>
      </c>
      <c r="E290" s="14" t="inlineStr">
        <is>
          <t>APTRANSCO WORKS-Chief Engineer Projects, Vijayawada</t>
        </is>
      </c>
      <c r="F290" s="13" t="inlineStr">
        <is>
          <t>21 Sep 2026</t>
        </is>
      </c>
      <c r="G290" s="12" t="inlineStr">
        <is>
          <t>20 Oct 2026</t>
        </is>
      </c>
      <c r="H290" s="18" t="inlineStr">
        <is>
          <t>⚠️ CLOSING SOON</t>
        </is>
      </c>
      <c r="I290" s="11" t="inlineStr">
        <is>
          <t>Section - 2 CTs-PTs-CVTs.pdf</t>
        </is>
      </c>
      <c r="J290" s="13" t="inlineStr">
        <is>
          <t>📕 PDF Document</t>
        </is>
      </c>
      <c r="K290" s="15" t="n">
        <v>719.3</v>
      </c>
      <c r="L290" s="16">
        <f>HYPERLINK("http://127.0.0.1:8000/api/documents/download?id=2443&amp;attachment=true", "⬇ Download Section - 2 CTs-PTs-CVTs")</f>
        <v/>
      </c>
      <c r="M290" s="16">
        <f>HYPERLINK("http://localhost:5173/?state=Andhra%20Pradesh&amp;keyword=ICT&amp;tender=993428", "🚀 Open in Portal")</f>
        <v/>
      </c>
    </row>
    <row r="291" ht="24" customHeight="1">
      <c r="A291" s="4" t="inlineStr">
        <is>
          <t>Andhra Pradesh</t>
        </is>
      </c>
      <c r="B291" s="5" t="inlineStr">
        <is>
          <t>ICT</t>
        </is>
      </c>
      <c r="C291" s="6" t="inlineStr">
        <is>
          <t>993428</t>
        </is>
      </c>
      <c r="D291" s="7" t="inlineStr">
        <is>
          <t>Supply, Erection, Testing and commissioning of 220/132/33KV GIS Kancharapalem and connected lines in Visakhapatnam district</t>
        </is>
      </c>
      <c r="E291" s="7" t="inlineStr">
        <is>
          <t>APTRANSCO WORKS-Chief Engineer Projects, Vijayawada</t>
        </is>
      </c>
      <c r="F291" s="6" t="inlineStr">
        <is>
          <t>21 Sep 2026</t>
        </is>
      </c>
      <c r="G291" s="5" t="inlineStr">
        <is>
          <t>20 Oct 2026</t>
        </is>
      </c>
      <c r="H291" s="18" t="inlineStr">
        <is>
          <t>⚠️ CLOSING SOON</t>
        </is>
      </c>
      <c r="I291" s="4" t="inlineStr">
        <is>
          <t>Section - 20  Technical specification of OPGW, OFAC &amp; FODP.pdf</t>
        </is>
      </c>
      <c r="J291" s="6" t="inlineStr">
        <is>
          <t>📕 PDF Document</t>
        </is>
      </c>
      <c r="K291" s="9" t="n">
        <v>1363.8</v>
      </c>
      <c r="L291" s="10">
        <f>HYPERLINK("http://127.0.0.1:8000/api/documents/download?id=2444&amp;attachment=true", "⬇ Download Section - 20  Technical ")</f>
        <v/>
      </c>
      <c r="M291" s="10">
        <f>HYPERLINK("http://localhost:5173/?state=Andhra%20Pradesh&amp;keyword=ICT&amp;tender=993428", "🚀 Open in Portal")</f>
        <v/>
      </c>
    </row>
    <row r="292" ht="24" customHeight="1">
      <c r="A292" s="11" t="inlineStr">
        <is>
          <t>Andhra Pradesh</t>
        </is>
      </c>
      <c r="B292" s="12" t="inlineStr">
        <is>
          <t>ICT</t>
        </is>
      </c>
      <c r="C292" s="13" t="inlineStr">
        <is>
          <t>993428</t>
        </is>
      </c>
      <c r="D292" s="14" t="inlineStr">
        <is>
          <t>Supply, Erection, Testing and commissioning of 220/132/33KV GIS Kancharapalem and connected lines in Visakhapatnam district</t>
        </is>
      </c>
      <c r="E292" s="14" t="inlineStr">
        <is>
          <t>APTRANSCO WORKS-Chief Engineer Projects, Vijayawada</t>
        </is>
      </c>
      <c r="F292" s="13" t="inlineStr">
        <is>
          <t>21 Sep 2026</t>
        </is>
      </c>
      <c r="G292" s="12" t="inlineStr">
        <is>
          <t>20 Oct 2026</t>
        </is>
      </c>
      <c r="H292" s="18" t="inlineStr">
        <is>
          <t>⚠️ CLOSING SOON</t>
        </is>
      </c>
      <c r="I292" s="11" t="inlineStr">
        <is>
          <t>Section - 21  Technical spec for UG OFC, HDPE duct &amp; RCC chambers.pdf</t>
        </is>
      </c>
      <c r="J292" s="13" t="inlineStr">
        <is>
          <t>📕 PDF Document</t>
        </is>
      </c>
      <c r="K292" s="15" t="n">
        <v>480.3</v>
      </c>
      <c r="L292" s="16">
        <f>HYPERLINK("http://127.0.0.1:8000/api/documents/download?id=2445&amp;attachment=true", "⬇ Download Section - 21  Technical ")</f>
        <v/>
      </c>
      <c r="M292" s="16">
        <f>HYPERLINK("http://localhost:5173/?state=Andhra%20Pradesh&amp;keyword=ICT&amp;tender=993428", "🚀 Open in Portal")</f>
        <v/>
      </c>
    </row>
    <row r="293" ht="24" customHeight="1">
      <c r="A293" s="4" t="inlineStr">
        <is>
          <t>Andhra Pradesh</t>
        </is>
      </c>
      <c r="B293" s="5" t="inlineStr">
        <is>
          <t>ICT</t>
        </is>
      </c>
      <c r="C293" s="6" t="inlineStr">
        <is>
          <t>993428</t>
        </is>
      </c>
      <c r="D293" s="7" t="inlineStr">
        <is>
          <t>Supply, Erection, Testing and commissioning of 220/132/33KV GIS Kancharapalem and connected lines in Visakhapatnam district</t>
        </is>
      </c>
      <c r="E293" s="7" t="inlineStr">
        <is>
          <t>APTRANSCO WORKS-Chief Engineer Projects, Vijayawada</t>
        </is>
      </c>
      <c r="F293" s="6" t="inlineStr">
        <is>
          <t>21 Sep 2026</t>
        </is>
      </c>
      <c r="G293" s="5" t="inlineStr">
        <is>
          <t>20 Oct 2026</t>
        </is>
      </c>
      <c r="H293" s="18" t="inlineStr">
        <is>
          <t>⚠️ CLOSING SOON</t>
        </is>
      </c>
      <c r="I293" s="4" t="inlineStr">
        <is>
          <t>Section - 22 Technical specification of SDH (OLTE) equipment.pdf</t>
        </is>
      </c>
      <c r="J293" s="6" t="inlineStr">
        <is>
          <t>📕 PDF Document</t>
        </is>
      </c>
      <c r="K293" s="9" t="n">
        <v>635.3</v>
      </c>
      <c r="L293" s="10">
        <f>HYPERLINK("http://127.0.0.1:8000/api/documents/download?id=2446&amp;attachment=true", "⬇ Download Section - 22 Technical s")</f>
        <v/>
      </c>
      <c r="M293" s="10">
        <f>HYPERLINK("http://localhost:5173/?state=Andhra%20Pradesh&amp;keyword=ICT&amp;tender=993428", "🚀 Open in Portal")</f>
        <v/>
      </c>
    </row>
    <row r="294" ht="24" customHeight="1">
      <c r="A294" s="11" t="inlineStr">
        <is>
          <t>Andhra Pradesh</t>
        </is>
      </c>
      <c r="B294" s="12" t="inlineStr">
        <is>
          <t>ICT</t>
        </is>
      </c>
      <c r="C294" s="13" t="inlineStr">
        <is>
          <t>993428</t>
        </is>
      </c>
      <c r="D294" s="14" t="inlineStr">
        <is>
          <t>Supply, Erection, Testing and commissioning of 220/132/33KV GIS Kancharapalem and connected lines in Visakhapatnam district</t>
        </is>
      </c>
      <c r="E294" s="14" t="inlineStr">
        <is>
          <t>APTRANSCO WORKS-Chief Engineer Projects, Vijayawada</t>
        </is>
      </c>
      <c r="F294" s="13" t="inlineStr">
        <is>
          <t>21 Sep 2026</t>
        </is>
      </c>
      <c r="G294" s="12" t="inlineStr">
        <is>
          <t>20 Oct 2026</t>
        </is>
      </c>
      <c r="H294" s="18" t="inlineStr">
        <is>
          <t>⚠️ CLOSING SOON</t>
        </is>
      </c>
      <c r="I294" s="11" t="inlineStr">
        <is>
          <t>Section - 23 Technical specification of DTPC.pdf</t>
        </is>
      </c>
      <c r="J294" s="13" t="inlineStr">
        <is>
          <t>📕 PDF Document</t>
        </is>
      </c>
      <c r="K294" s="15" t="n">
        <v>198.2</v>
      </c>
      <c r="L294" s="16">
        <f>HYPERLINK("http://127.0.0.1:8000/api/documents/download?id=2447&amp;attachment=true", "⬇ Download Section - 23 Technical s")</f>
        <v/>
      </c>
      <c r="M294" s="16">
        <f>HYPERLINK("http://localhost:5173/?state=Andhra%20Pradesh&amp;keyword=ICT&amp;tender=993428", "🚀 Open in Portal")</f>
        <v/>
      </c>
    </row>
    <row r="295" ht="24" customHeight="1">
      <c r="A295" s="4" t="inlineStr">
        <is>
          <t>Andhra Pradesh</t>
        </is>
      </c>
      <c r="B295" s="5" t="inlineStr">
        <is>
          <t>ICT</t>
        </is>
      </c>
      <c r="C295" s="6" t="inlineStr">
        <is>
          <t>993428</t>
        </is>
      </c>
      <c r="D295" s="7" t="inlineStr">
        <is>
          <t>Supply, Erection, Testing and commissioning of 220/132/33KV GIS Kancharapalem and connected lines in Visakhapatnam district</t>
        </is>
      </c>
      <c r="E295" s="7" t="inlineStr">
        <is>
          <t>APTRANSCO WORKS-Chief Engineer Projects, Vijayawada</t>
        </is>
      </c>
      <c r="F295" s="6" t="inlineStr">
        <is>
          <t>21 Sep 2026</t>
        </is>
      </c>
      <c r="G295" s="5" t="inlineStr">
        <is>
          <t>20 Oct 2026</t>
        </is>
      </c>
      <c r="H295" s="18" t="inlineStr">
        <is>
          <t>⚠️ CLOSING SOON</t>
        </is>
      </c>
      <c r="I295" s="4" t="inlineStr">
        <is>
          <t>Section - 24 Technical specification of  VOIP Phone.pdf</t>
        </is>
      </c>
      <c r="J295" s="6" t="inlineStr">
        <is>
          <t>📕 PDF Document</t>
        </is>
      </c>
      <c r="K295" s="9" t="n">
        <v>259.9</v>
      </c>
      <c r="L295" s="10">
        <f>HYPERLINK("http://127.0.0.1:8000/api/documents/download?id=2448&amp;attachment=true", "⬇ Download Section - 24 Technical s")</f>
        <v/>
      </c>
      <c r="M295" s="10">
        <f>HYPERLINK("http://localhost:5173/?state=Andhra%20Pradesh&amp;keyword=ICT&amp;tender=993428", "🚀 Open in Portal")</f>
        <v/>
      </c>
    </row>
    <row r="296" ht="24" customHeight="1">
      <c r="A296" s="11" t="inlineStr">
        <is>
          <t>Andhra Pradesh</t>
        </is>
      </c>
      <c r="B296" s="12" t="inlineStr">
        <is>
          <t>ICT</t>
        </is>
      </c>
      <c r="C296" s="13" t="inlineStr">
        <is>
          <t>993428</t>
        </is>
      </c>
      <c r="D296" s="14" t="inlineStr">
        <is>
          <t>Supply, Erection, Testing and commissioning of 220/132/33KV GIS Kancharapalem and connected lines in Visakhapatnam district</t>
        </is>
      </c>
      <c r="E296" s="14" t="inlineStr">
        <is>
          <t>APTRANSCO WORKS-Chief Engineer Projects, Vijayawada</t>
        </is>
      </c>
      <c r="F296" s="13" t="inlineStr">
        <is>
          <t>21 Sep 2026</t>
        </is>
      </c>
      <c r="G296" s="12" t="inlineStr">
        <is>
          <t>20 Oct 2026</t>
        </is>
      </c>
      <c r="H296" s="18" t="inlineStr">
        <is>
          <t>⚠️ CLOSING SOON</t>
        </is>
      </c>
      <c r="I296" s="11" t="inlineStr">
        <is>
          <t>Section - 25 Technical specification of 48V Chargers.pdf</t>
        </is>
      </c>
      <c r="J296" s="13" t="inlineStr">
        <is>
          <t>📕 PDF Document</t>
        </is>
      </c>
      <c r="K296" s="15" t="n">
        <v>443.3</v>
      </c>
      <c r="L296" s="16">
        <f>HYPERLINK("http://127.0.0.1:8000/api/documents/download?id=2449&amp;attachment=true", "⬇ Download Section - 25 Technical s")</f>
        <v/>
      </c>
      <c r="M296" s="16">
        <f>HYPERLINK("http://localhost:5173/?state=Andhra%20Pradesh&amp;keyword=ICT&amp;tender=993428", "🚀 Open in Portal")</f>
        <v/>
      </c>
    </row>
    <row r="297" ht="24" customHeight="1">
      <c r="A297" s="4" t="inlineStr">
        <is>
          <t>Andhra Pradesh</t>
        </is>
      </c>
      <c r="B297" s="5" t="inlineStr">
        <is>
          <t>ICT</t>
        </is>
      </c>
      <c r="C297" s="6" t="inlineStr">
        <is>
          <t>993428</t>
        </is>
      </c>
      <c r="D297" s="7" t="inlineStr">
        <is>
          <t>Supply, Erection, Testing and commissioning of 220/132/33KV GIS Kancharapalem and connected lines in Visakhapatnam district</t>
        </is>
      </c>
      <c r="E297" s="7" t="inlineStr">
        <is>
          <t>APTRANSCO WORKS-Chief Engineer Projects, Vijayawada</t>
        </is>
      </c>
      <c r="F297" s="6" t="inlineStr">
        <is>
          <t>21 Sep 2026</t>
        </is>
      </c>
      <c r="G297" s="5" t="inlineStr">
        <is>
          <t>20 Oct 2026</t>
        </is>
      </c>
      <c r="H297" s="18" t="inlineStr">
        <is>
          <t>⚠️ CLOSING SOON</t>
        </is>
      </c>
      <c r="I297" s="4" t="inlineStr">
        <is>
          <t>Section - 26 Technical specification of 48V Battery sets.pdf</t>
        </is>
      </c>
      <c r="J297" s="6" t="inlineStr">
        <is>
          <t>📕 PDF Document</t>
        </is>
      </c>
      <c r="K297" s="9" t="n">
        <v>188.2</v>
      </c>
      <c r="L297" s="10">
        <f>HYPERLINK("http://127.0.0.1:8000/api/documents/download?id=2450&amp;attachment=true", "⬇ Download Section - 26 Technical s")</f>
        <v/>
      </c>
      <c r="M297" s="10">
        <f>HYPERLINK("http://localhost:5173/?state=Andhra%20Pradesh&amp;keyword=ICT&amp;tender=993428", "🚀 Open in Portal")</f>
        <v/>
      </c>
    </row>
    <row r="298" ht="24" customHeight="1">
      <c r="A298" s="11" t="inlineStr">
        <is>
          <t>Andhra Pradesh</t>
        </is>
      </c>
      <c r="B298" s="12" t="inlineStr">
        <is>
          <t>ICT</t>
        </is>
      </c>
      <c r="C298" s="13" t="inlineStr">
        <is>
          <t>993428</t>
        </is>
      </c>
      <c r="D298" s="14" t="inlineStr">
        <is>
          <t>Supply, Erection, Testing and commissioning of 220/132/33KV GIS Kancharapalem and connected lines in Visakhapatnam district</t>
        </is>
      </c>
      <c r="E298" s="14" t="inlineStr">
        <is>
          <t>APTRANSCO WORKS-Chief Engineer Projects, Vijayawada</t>
        </is>
      </c>
      <c r="F298" s="13" t="inlineStr">
        <is>
          <t>21 Sep 2026</t>
        </is>
      </c>
      <c r="G298" s="12" t="inlineStr">
        <is>
          <t>20 Oct 2026</t>
        </is>
      </c>
      <c r="H298" s="18" t="inlineStr">
        <is>
          <t>⚠️ CLOSING SOON</t>
        </is>
      </c>
      <c r="I298" s="11" t="inlineStr">
        <is>
          <t>Section - 27  Techincal specification of Testing Instruments..pdf</t>
        </is>
      </c>
      <c r="J298" s="13" t="inlineStr">
        <is>
          <t>📕 PDF Document</t>
        </is>
      </c>
      <c r="K298" s="15" t="n">
        <v>629.7</v>
      </c>
      <c r="L298" s="16">
        <f>HYPERLINK("http://127.0.0.1:8000/api/documents/download?id=2451&amp;attachment=true", "⬇ Download Section - 27  Techincal ")</f>
        <v/>
      </c>
      <c r="M298" s="16">
        <f>HYPERLINK("http://localhost:5173/?state=Andhra%20Pradesh&amp;keyword=ICT&amp;tender=993428", "🚀 Open in Portal")</f>
        <v/>
      </c>
    </row>
    <row r="299" ht="24" customHeight="1">
      <c r="A299" s="4" t="inlineStr">
        <is>
          <t>Andhra Pradesh</t>
        </is>
      </c>
      <c r="B299" s="5" t="inlineStr">
        <is>
          <t>ICT</t>
        </is>
      </c>
      <c r="C299" s="6" t="inlineStr">
        <is>
          <t>993428</t>
        </is>
      </c>
      <c r="D299" s="7" t="inlineStr">
        <is>
          <t>Supply, Erection, Testing and commissioning of 220/132/33KV GIS Kancharapalem and connected lines in Visakhapatnam district</t>
        </is>
      </c>
      <c r="E299" s="7" t="inlineStr">
        <is>
          <t>APTRANSCO WORKS-Chief Engineer Projects, Vijayawada</t>
        </is>
      </c>
      <c r="F299" s="6" t="inlineStr">
        <is>
          <t>21 Sep 2026</t>
        </is>
      </c>
      <c r="G299" s="5" t="inlineStr">
        <is>
          <t>20 Oct 2026</t>
        </is>
      </c>
      <c r="H299" s="18" t="inlineStr">
        <is>
          <t>⚠️ CLOSING SOON</t>
        </is>
      </c>
      <c r="I299" s="4" t="inlineStr">
        <is>
          <t>Section - 28 -Technical specifications of cables.pdf</t>
        </is>
      </c>
      <c r="J299" s="6" t="inlineStr">
        <is>
          <t>📕 PDF Document</t>
        </is>
      </c>
      <c r="K299" s="9" t="n">
        <v>617.5</v>
      </c>
      <c r="L299" s="10">
        <f>HYPERLINK("http://127.0.0.1:8000/api/documents/download?id=2452&amp;attachment=true", "⬇ Download Section - 28 -Technical ")</f>
        <v/>
      </c>
      <c r="M299" s="10">
        <f>HYPERLINK("http://localhost:5173/?state=Andhra%20Pradesh&amp;keyword=ICT&amp;tender=993428", "🚀 Open in Portal")</f>
        <v/>
      </c>
    </row>
    <row r="300" ht="24" customHeight="1">
      <c r="A300" s="11" t="inlineStr">
        <is>
          <t>Andhra Pradesh</t>
        </is>
      </c>
      <c r="B300" s="12" t="inlineStr">
        <is>
          <t>ICT</t>
        </is>
      </c>
      <c r="C300" s="13" t="inlineStr">
        <is>
          <t>993428</t>
        </is>
      </c>
      <c r="D300" s="14" t="inlineStr">
        <is>
          <t>Supply, Erection, Testing and commissioning of 220/132/33KV GIS Kancharapalem and connected lines in Visakhapatnam district</t>
        </is>
      </c>
      <c r="E300" s="14" t="inlineStr">
        <is>
          <t>APTRANSCO WORKS-Chief Engineer Projects, Vijayawada</t>
        </is>
      </c>
      <c r="F300" s="13" t="inlineStr">
        <is>
          <t>21 Sep 2026</t>
        </is>
      </c>
      <c r="G300" s="12" t="inlineStr">
        <is>
          <t>20 Oct 2026</t>
        </is>
      </c>
      <c r="H300" s="18" t="inlineStr">
        <is>
          <t>⚠️ CLOSING SOON</t>
        </is>
      </c>
      <c r="I300" s="11" t="inlineStr">
        <is>
          <t>Section - 29 Long rod insulators.pdf</t>
        </is>
      </c>
      <c r="J300" s="13" t="inlineStr">
        <is>
          <t>📕 PDF Document</t>
        </is>
      </c>
      <c r="K300" s="15" t="n">
        <v>433.9</v>
      </c>
      <c r="L300" s="16">
        <f>HYPERLINK("http://127.0.0.1:8000/api/documents/download?id=2453&amp;attachment=true", "⬇ Download Section - 29 Long rod in")</f>
        <v/>
      </c>
      <c r="M300" s="16">
        <f>HYPERLINK("http://localhost:5173/?state=Andhra%20Pradesh&amp;keyword=ICT&amp;tender=993428", "🚀 Open in Portal")</f>
        <v/>
      </c>
    </row>
    <row r="301" ht="24" customHeight="1">
      <c r="A301" s="4" t="inlineStr">
        <is>
          <t>Andhra Pradesh</t>
        </is>
      </c>
      <c r="B301" s="5" t="inlineStr">
        <is>
          <t>ICT</t>
        </is>
      </c>
      <c r="C301" s="6" t="inlineStr">
        <is>
          <t>993428</t>
        </is>
      </c>
      <c r="D301" s="7" t="inlineStr">
        <is>
          <t>Supply, Erection, Testing and commissioning of 220/132/33KV GIS Kancharapalem and connected lines in Visakhapatnam district</t>
        </is>
      </c>
      <c r="E301" s="7" t="inlineStr">
        <is>
          <t>APTRANSCO WORKS-Chief Engineer Projects, Vijayawada</t>
        </is>
      </c>
      <c r="F301" s="6" t="inlineStr">
        <is>
          <t>21 Sep 2026</t>
        </is>
      </c>
      <c r="G301" s="5" t="inlineStr">
        <is>
          <t>20 Oct 2026</t>
        </is>
      </c>
      <c r="H301" s="18" t="inlineStr">
        <is>
          <t>⚠️ CLOSING SOON</t>
        </is>
      </c>
      <c r="I301" s="4" t="inlineStr">
        <is>
          <t>Section - 3 Surge Arrestors.pdf</t>
        </is>
      </c>
      <c r="J301" s="6" t="inlineStr">
        <is>
          <t>📕 PDF Document</t>
        </is>
      </c>
      <c r="K301" s="9" t="n">
        <v>431</v>
      </c>
      <c r="L301" s="10">
        <f>HYPERLINK("http://127.0.0.1:8000/api/documents/download?id=2454&amp;attachment=true", "⬇ Download Section - 3 Surge Arrest")</f>
        <v/>
      </c>
      <c r="M301" s="10">
        <f>HYPERLINK("http://localhost:5173/?state=Andhra%20Pradesh&amp;keyword=ICT&amp;tender=993428", "🚀 Open in Portal")</f>
        <v/>
      </c>
    </row>
    <row r="302" ht="24" customHeight="1">
      <c r="A302" s="11" t="inlineStr">
        <is>
          <t>Andhra Pradesh</t>
        </is>
      </c>
      <c r="B302" s="12" t="inlineStr">
        <is>
          <t>ICT</t>
        </is>
      </c>
      <c r="C302" s="13" t="inlineStr">
        <is>
          <t>993428</t>
        </is>
      </c>
      <c r="D302" s="14" t="inlineStr">
        <is>
          <t>Supply, Erection, Testing and commissioning of 220/132/33KV GIS Kancharapalem and connected lines in Visakhapatnam district</t>
        </is>
      </c>
      <c r="E302" s="14" t="inlineStr">
        <is>
          <t>APTRANSCO WORKS-Chief Engineer Projects, Vijayawada</t>
        </is>
      </c>
      <c r="F302" s="13" t="inlineStr">
        <is>
          <t>21 Sep 2026</t>
        </is>
      </c>
      <c r="G302" s="12" t="inlineStr">
        <is>
          <t>20 Oct 2026</t>
        </is>
      </c>
      <c r="H302" s="18" t="inlineStr">
        <is>
          <t>⚠️ CLOSING SOON</t>
        </is>
      </c>
      <c r="I302" s="11" t="inlineStr">
        <is>
          <t>Section - 30 Technical specification of AC unit &amp; Stabilizer.pdf</t>
        </is>
      </c>
      <c r="J302" s="13" t="inlineStr">
        <is>
          <t>📕 PDF Document</t>
        </is>
      </c>
      <c r="K302" s="15" t="n">
        <v>156.4</v>
      </c>
      <c r="L302" s="16">
        <f>HYPERLINK("http://127.0.0.1:8000/api/documents/download?id=2455&amp;attachment=true", "⬇ Download Section - 30 Technical s")</f>
        <v/>
      </c>
      <c r="M302" s="16">
        <f>HYPERLINK("http://localhost:5173/?state=Andhra%20Pradesh&amp;keyword=ICT&amp;tender=993428", "🚀 Open in Portal")</f>
        <v/>
      </c>
    </row>
    <row r="303" ht="24" customHeight="1">
      <c r="A303" s="4" t="inlineStr">
        <is>
          <t>Andhra Pradesh</t>
        </is>
      </c>
      <c r="B303" s="5" t="inlineStr">
        <is>
          <t>ICT</t>
        </is>
      </c>
      <c r="C303" s="6" t="inlineStr">
        <is>
          <t>993428</t>
        </is>
      </c>
      <c r="D303" s="7" t="inlineStr">
        <is>
          <t>Supply, Erection, Testing and commissioning of 220/132/33KV GIS Kancharapalem and connected lines in Visakhapatnam district</t>
        </is>
      </c>
      <c r="E303" s="7" t="inlineStr">
        <is>
          <t>APTRANSCO WORKS-Chief Engineer Projects, Vijayawada</t>
        </is>
      </c>
      <c r="F303" s="6" t="inlineStr">
        <is>
          <t>21 Sep 2026</t>
        </is>
      </c>
      <c r="G303" s="5" t="inlineStr">
        <is>
          <t>20 Oct 2026</t>
        </is>
      </c>
      <c r="H303" s="18" t="inlineStr">
        <is>
          <t>⚠️ CLOSING SOON</t>
        </is>
      </c>
      <c r="I303" s="4" t="inlineStr">
        <is>
          <t>Section - 31 Technical specification of MPLS FOTE &amp; NMS.pdf</t>
        </is>
      </c>
      <c r="J303" s="6" t="inlineStr">
        <is>
          <t>📕 PDF Document</t>
        </is>
      </c>
      <c r="K303" s="9" t="n">
        <v>946.7</v>
      </c>
      <c r="L303" s="10">
        <f>HYPERLINK("http://127.0.0.1:8000/api/documents/download?id=2456&amp;attachment=true", "⬇ Download Section - 31 Technical s")</f>
        <v/>
      </c>
      <c r="M303" s="10">
        <f>HYPERLINK("http://localhost:5173/?state=Andhra%20Pradesh&amp;keyword=ICT&amp;tender=993428", "🚀 Open in Portal")</f>
        <v/>
      </c>
    </row>
    <row r="304" ht="24" customHeight="1">
      <c r="A304" s="11" t="inlineStr">
        <is>
          <t>Andhra Pradesh</t>
        </is>
      </c>
      <c r="B304" s="12" t="inlineStr">
        <is>
          <t>ICT</t>
        </is>
      </c>
      <c r="C304" s="13" t="inlineStr">
        <is>
          <t>993428</t>
        </is>
      </c>
      <c r="D304" s="14" t="inlineStr">
        <is>
          <t>Supply, Erection, Testing and commissioning of 220/132/33KV GIS Kancharapalem and connected lines in Visakhapatnam district</t>
        </is>
      </c>
      <c r="E304" s="14" t="inlineStr">
        <is>
          <t>APTRANSCO WORKS-Chief Engineer Projects, Vijayawada</t>
        </is>
      </c>
      <c r="F304" s="13" t="inlineStr">
        <is>
          <t>21 Sep 2026</t>
        </is>
      </c>
      <c r="G304" s="12" t="inlineStr">
        <is>
          <t>20 Oct 2026</t>
        </is>
      </c>
      <c r="H304" s="18" t="inlineStr">
        <is>
          <t>⚠️ CLOSING SOON</t>
        </is>
      </c>
      <c r="I304" s="11" t="inlineStr">
        <is>
          <t>Section - 32 Tech Spec- SRC Insulators.pdf</t>
        </is>
      </c>
      <c r="J304" s="13" t="inlineStr">
        <is>
          <t>📕 PDF Document</t>
        </is>
      </c>
      <c r="K304" s="15" t="n">
        <v>423.9</v>
      </c>
      <c r="L304" s="16">
        <f>HYPERLINK("http://127.0.0.1:8000/api/documents/download?id=2457&amp;attachment=true", "⬇ Download Section - 32 Tech Spec- ")</f>
        <v/>
      </c>
      <c r="M304" s="16">
        <f>HYPERLINK("http://localhost:5173/?state=Andhra%20Pradesh&amp;keyword=ICT&amp;tender=993428", "🚀 Open in Portal")</f>
        <v/>
      </c>
    </row>
    <row r="305" ht="24" customHeight="1">
      <c r="A305" s="4" t="inlineStr">
        <is>
          <t>Andhra Pradesh</t>
        </is>
      </c>
      <c r="B305" s="5" t="inlineStr">
        <is>
          <t>ICT</t>
        </is>
      </c>
      <c r="C305" s="6" t="inlineStr">
        <is>
          <t>993428</t>
        </is>
      </c>
      <c r="D305" s="7" t="inlineStr">
        <is>
          <t>Supply, Erection, Testing and commissioning of 220/132/33KV GIS Kancharapalem and connected lines in Visakhapatnam district</t>
        </is>
      </c>
      <c r="E305" s="7" t="inlineStr">
        <is>
          <t>APTRANSCO WORKS-Chief Engineer Projects, Vijayawada</t>
        </is>
      </c>
      <c r="F305" s="6" t="inlineStr">
        <is>
          <t>21 Sep 2026</t>
        </is>
      </c>
      <c r="G305" s="5" t="inlineStr">
        <is>
          <t>20 Oct 2026</t>
        </is>
      </c>
      <c r="H305" s="18" t="inlineStr">
        <is>
          <t>⚠️ CLOSING SOON</t>
        </is>
      </c>
      <c r="I305" s="4" t="inlineStr">
        <is>
          <t>Section - 33 LED Specification.pdf</t>
        </is>
      </c>
      <c r="J305" s="6" t="inlineStr">
        <is>
          <t>📕 PDF Document</t>
        </is>
      </c>
      <c r="K305" s="9" t="n">
        <v>563</v>
      </c>
      <c r="L305" s="10">
        <f>HYPERLINK("http://127.0.0.1:8000/api/documents/download?id=2458&amp;attachment=true", "⬇ Download Section - 33 LED Specifi")</f>
        <v/>
      </c>
      <c r="M305" s="10">
        <f>HYPERLINK("http://localhost:5173/?state=Andhra%20Pradesh&amp;keyword=ICT&amp;tender=993428", "🚀 Open in Portal")</f>
        <v/>
      </c>
    </row>
    <row r="306" ht="24" customHeight="1">
      <c r="A306" s="11" t="inlineStr">
        <is>
          <t>Andhra Pradesh</t>
        </is>
      </c>
      <c r="B306" s="12" t="inlineStr">
        <is>
          <t>ICT</t>
        </is>
      </c>
      <c r="C306" s="13" t="inlineStr">
        <is>
          <t>993428</t>
        </is>
      </c>
      <c r="D306" s="14" t="inlineStr">
        <is>
          <t>Supply, Erection, Testing and commissioning of 220/132/33KV GIS Kancharapalem and connected lines in Visakhapatnam district</t>
        </is>
      </c>
      <c r="E306" s="14" t="inlineStr">
        <is>
          <t>APTRANSCO WORKS-Chief Engineer Projects, Vijayawada</t>
        </is>
      </c>
      <c r="F306" s="13" t="inlineStr">
        <is>
          <t>21 Sep 2026</t>
        </is>
      </c>
      <c r="G306" s="12" t="inlineStr">
        <is>
          <t>20 Oct 2026</t>
        </is>
      </c>
      <c r="H306" s="18" t="inlineStr">
        <is>
          <t>⚠️ CLOSING SOON</t>
        </is>
      </c>
      <c r="I306" s="11" t="inlineStr">
        <is>
          <t>Section - 34 ACSS Cond eq Conductor SPEC_Final.pdf</t>
        </is>
      </c>
      <c r="J306" s="13" t="inlineStr">
        <is>
          <t>📕 PDF Document</t>
        </is>
      </c>
      <c r="K306" s="15" t="n">
        <v>1084</v>
      </c>
      <c r="L306" s="16">
        <f>HYPERLINK("http://127.0.0.1:8000/api/documents/download?id=2459&amp;attachment=true", "⬇ Download Section - 34 ACSS Cond e")</f>
        <v/>
      </c>
      <c r="M306" s="16">
        <f>HYPERLINK("http://localhost:5173/?state=Andhra%20Pradesh&amp;keyword=ICT&amp;tender=993428", "🚀 Open in Portal")</f>
        <v/>
      </c>
    </row>
    <row r="307" ht="24" customHeight="1">
      <c r="A307" s="4" t="inlineStr">
        <is>
          <t>Andhra Pradesh</t>
        </is>
      </c>
      <c r="B307" s="5" t="inlineStr">
        <is>
          <t>ICT</t>
        </is>
      </c>
      <c r="C307" s="6" t="inlineStr">
        <is>
          <t>993428</t>
        </is>
      </c>
      <c r="D307" s="7" t="inlineStr">
        <is>
          <t>Supply, Erection, Testing and commissioning of 220/132/33KV GIS Kancharapalem and connected lines in Visakhapatnam district</t>
        </is>
      </c>
      <c r="E307" s="7" t="inlineStr">
        <is>
          <t>APTRANSCO WORKS-Chief Engineer Projects, Vijayawada</t>
        </is>
      </c>
      <c r="F307" s="6" t="inlineStr">
        <is>
          <t>21 Sep 2026</t>
        </is>
      </c>
      <c r="G307" s="5" t="inlineStr">
        <is>
          <t>20 Oct 2026</t>
        </is>
      </c>
      <c r="H307" s="18" t="inlineStr">
        <is>
          <t>⚠️ CLOSING SOON</t>
        </is>
      </c>
      <c r="I307" s="4" t="inlineStr">
        <is>
          <t>Section - 4 Isolator Mettalics.pdf</t>
        </is>
      </c>
      <c r="J307" s="6" t="inlineStr">
        <is>
          <t>📕 PDF Document</t>
        </is>
      </c>
      <c r="K307" s="9" t="n">
        <v>514.5</v>
      </c>
      <c r="L307" s="10">
        <f>HYPERLINK("http://127.0.0.1:8000/api/documents/download?id=2460&amp;attachment=true", "⬇ Download Section - 4 Isolator Met")</f>
        <v/>
      </c>
      <c r="M307" s="10">
        <f>HYPERLINK("http://localhost:5173/?state=Andhra%20Pradesh&amp;keyword=ICT&amp;tender=993428", "🚀 Open in Portal")</f>
        <v/>
      </c>
    </row>
    <row r="308" ht="24" customHeight="1">
      <c r="A308" s="11" t="inlineStr">
        <is>
          <t>Andhra Pradesh</t>
        </is>
      </c>
      <c r="B308" s="12" t="inlineStr">
        <is>
          <t>ICT</t>
        </is>
      </c>
      <c r="C308" s="13" t="inlineStr">
        <is>
          <t>993428</t>
        </is>
      </c>
      <c r="D308" s="14" t="inlineStr">
        <is>
          <t>Supply, Erection, Testing and commissioning of 220/132/33KV GIS Kancharapalem and connected lines in Visakhapatnam district</t>
        </is>
      </c>
      <c r="E308" s="14" t="inlineStr">
        <is>
          <t>APTRANSCO WORKS-Chief Engineer Projects, Vijayawada</t>
        </is>
      </c>
      <c r="F308" s="13" t="inlineStr">
        <is>
          <t>21 Sep 2026</t>
        </is>
      </c>
      <c r="G308" s="12" t="inlineStr">
        <is>
          <t>20 Oct 2026</t>
        </is>
      </c>
      <c r="H308" s="18" t="inlineStr">
        <is>
          <t>⚠️ CLOSING SOON</t>
        </is>
      </c>
      <c r="I308" s="11" t="inlineStr">
        <is>
          <t>Section - 5 Solid core  insulators.pdf</t>
        </is>
      </c>
      <c r="J308" s="13" t="inlineStr">
        <is>
          <t>📕 PDF Document</t>
        </is>
      </c>
      <c r="K308" s="15" t="n">
        <v>289.7</v>
      </c>
      <c r="L308" s="16">
        <f>HYPERLINK("http://127.0.0.1:8000/api/documents/download?id=2461&amp;attachment=true", "⬇ Download Section - 5 Solid core  ")</f>
        <v/>
      </c>
      <c r="M308" s="16">
        <f>HYPERLINK("http://localhost:5173/?state=Andhra%20Pradesh&amp;keyword=ICT&amp;tender=993428", "🚀 Open in Portal")</f>
        <v/>
      </c>
    </row>
    <row r="309" ht="24" customHeight="1">
      <c r="A309" s="4" t="inlineStr">
        <is>
          <t>Andhra Pradesh</t>
        </is>
      </c>
      <c r="B309" s="5" t="inlineStr">
        <is>
          <t>ICT</t>
        </is>
      </c>
      <c r="C309" s="6" t="inlineStr">
        <is>
          <t>993428</t>
        </is>
      </c>
      <c r="D309" s="7" t="inlineStr">
        <is>
          <t>Supply, Erection, Testing and commissioning of 220/132/33KV GIS Kancharapalem and connected lines in Visakhapatnam district</t>
        </is>
      </c>
      <c r="E309" s="7" t="inlineStr">
        <is>
          <t>APTRANSCO WORKS-Chief Engineer Projects, Vijayawada</t>
        </is>
      </c>
      <c r="F309" s="6" t="inlineStr">
        <is>
          <t>21 Sep 2026</t>
        </is>
      </c>
      <c r="G309" s="5" t="inlineStr">
        <is>
          <t>20 Oct 2026</t>
        </is>
      </c>
      <c r="H309" s="18" t="inlineStr">
        <is>
          <t>⚠️ CLOSING SOON</t>
        </is>
      </c>
      <c r="I309" s="4" t="inlineStr">
        <is>
          <t>Section - 6 Control _ Power Cables.pdf</t>
        </is>
      </c>
      <c r="J309" s="6" t="inlineStr">
        <is>
          <t>📕 PDF Document</t>
        </is>
      </c>
      <c r="K309" s="9" t="n">
        <v>420.2</v>
      </c>
      <c r="L309" s="10">
        <f>HYPERLINK("http://127.0.0.1:8000/api/documents/download?id=2462&amp;attachment=true", "⬇ Download Section - 6 Control _ Po")</f>
        <v/>
      </c>
      <c r="M309" s="10">
        <f>HYPERLINK("http://localhost:5173/?state=Andhra%20Pradesh&amp;keyword=ICT&amp;tender=993428", "🚀 Open in Portal")</f>
        <v/>
      </c>
    </row>
    <row r="310" ht="24" customHeight="1">
      <c r="A310" s="11" t="inlineStr">
        <is>
          <t>Andhra Pradesh</t>
        </is>
      </c>
      <c r="B310" s="12" t="inlineStr">
        <is>
          <t>ICT</t>
        </is>
      </c>
      <c r="C310" s="13" t="inlineStr">
        <is>
          <t>993428</t>
        </is>
      </c>
      <c r="D310" s="14" t="inlineStr">
        <is>
          <t>Supply, Erection, Testing and commissioning of 220/132/33KV GIS Kancharapalem and connected lines in Visakhapatnam district</t>
        </is>
      </c>
      <c r="E310" s="14" t="inlineStr">
        <is>
          <t>APTRANSCO WORKS-Chief Engineer Projects, Vijayawada</t>
        </is>
      </c>
      <c r="F310" s="13" t="inlineStr">
        <is>
          <t>21 Sep 2026</t>
        </is>
      </c>
      <c r="G310" s="12" t="inlineStr">
        <is>
          <t>20 Oct 2026</t>
        </is>
      </c>
      <c r="H310" s="18" t="inlineStr">
        <is>
          <t>⚠️ CLOSING SOON</t>
        </is>
      </c>
      <c r="I310" s="11" t="inlineStr">
        <is>
          <t>Section - 7 Battery set &amp; battery charger.pdf</t>
        </is>
      </c>
      <c r="J310" s="13" t="inlineStr">
        <is>
          <t>📕 PDF Document</t>
        </is>
      </c>
      <c r="K310" s="15" t="n">
        <v>1452.5</v>
      </c>
      <c r="L310" s="16">
        <f>HYPERLINK("http://127.0.0.1:8000/api/documents/download?id=2463&amp;attachment=true", "⬇ Download Section - 7 Battery set ")</f>
        <v/>
      </c>
      <c r="M310" s="16">
        <f>HYPERLINK("http://localhost:5173/?state=Andhra%20Pradesh&amp;keyword=ICT&amp;tender=993428", "🚀 Open in Portal")</f>
        <v/>
      </c>
    </row>
    <row r="311" ht="24" customHeight="1">
      <c r="A311" s="4" t="inlineStr">
        <is>
          <t>Andhra Pradesh</t>
        </is>
      </c>
      <c r="B311" s="5" t="inlineStr">
        <is>
          <t>ICT</t>
        </is>
      </c>
      <c r="C311" s="6" t="inlineStr">
        <is>
          <t>993428</t>
        </is>
      </c>
      <c r="D311" s="7" t="inlineStr">
        <is>
          <t>Supply, Erection, Testing and commissioning of 220/132/33KV GIS Kancharapalem and connected lines in Visakhapatnam district</t>
        </is>
      </c>
      <c r="E311" s="7" t="inlineStr">
        <is>
          <t>APTRANSCO WORKS-Chief Engineer Projects, Vijayawada</t>
        </is>
      </c>
      <c r="F311" s="6" t="inlineStr">
        <is>
          <t>21 Sep 2026</t>
        </is>
      </c>
      <c r="G311" s="5" t="inlineStr">
        <is>
          <t>20 Oct 2026</t>
        </is>
      </c>
      <c r="H311" s="18" t="inlineStr">
        <is>
          <t>⚠️ CLOSING SOON</t>
        </is>
      </c>
      <c r="I311" s="4" t="inlineStr">
        <is>
          <t>Section - 8 Circuit Breakers.pdf</t>
        </is>
      </c>
      <c r="J311" s="6" t="inlineStr">
        <is>
          <t>📕 PDF Document</t>
        </is>
      </c>
      <c r="K311" s="9" t="n">
        <v>871.7</v>
      </c>
      <c r="L311" s="10">
        <f>HYPERLINK("http://127.0.0.1:8000/api/documents/download?id=2464&amp;attachment=true", "⬇ Download Section - 8 Circuit Brea")</f>
        <v/>
      </c>
      <c r="M311" s="10">
        <f>HYPERLINK("http://localhost:5173/?state=Andhra%20Pradesh&amp;keyword=ICT&amp;tender=993428", "🚀 Open in Portal")</f>
        <v/>
      </c>
    </row>
    <row r="312" ht="24" customHeight="1">
      <c r="A312" s="11" t="inlineStr">
        <is>
          <t>Andhra Pradesh</t>
        </is>
      </c>
      <c r="B312" s="12" t="inlineStr">
        <is>
          <t>ICT</t>
        </is>
      </c>
      <c r="C312" s="13" t="inlineStr">
        <is>
          <t>993428</t>
        </is>
      </c>
      <c r="D312" s="14" t="inlineStr">
        <is>
          <t>Supply, Erection, Testing and commissioning of 220/132/33KV GIS Kancharapalem and connected lines in Visakhapatnam district</t>
        </is>
      </c>
      <c r="E312" s="14" t="inlineStr">
        <is>
          <t>APTRANSCO WORKS-Chief Engineer Projects, Vijayawada</t>
        </is>
      </c>
      <c r="F312" s="13" t="inlineStr">
        <is>
          <t>21 Sep 2026</t>
        </is>
      </c>
      <c r="G312" s="12" t="inlineStr">
        <is>
          <t>20 Oct 2026</t>
        </is>
      </c>
      <c r="H312" s="18" t="inlineStr">
        <is>
          <t>⚠️ CLOSING SOON</t>
        </is>
      </c>
      <c r="I312" s="11" t="inlineStr">
        <is>
          <t>Section - 9  LTAC Panel.pdf</t>
        </is>
      </c>
      <c r="J312" s="13" t="inlineStr">
        <is>
          <t>📕 PDF Document</t>
        </is>
      </c>
      <c r="K312" s="15" t="n">
        <v>539</v>
      </c>
      <c r="L312" s="16">
        <f>HYPERLINK("http://127.0.0.1:8000/api/documents/download?id=2465&amp;attachment=true", "⬇ Download Section - 9  LTAC Panel.")</f>
        <v/>
      </c>
      <c r="M312" s="16">
        <f>HYPERLINK("http://localhost:5173/?state=Andhra%20Pradesh&amp;keyword=ICT&amp;tender=993428", "🚀 Open in Portal")</f>
        <v/>
      </c>
    </row>
    <row r="313" ht="24" customHeight="1">
      <c r="A313" s="4" t="inlineStr">
        <is>
          <t>Andhra Pradesh</t>
        </is>
      </c>
      <c r="B313" s="5" t="inlineStr">
        <is>
          <t>ICT</t>
        </is>
      </c>
      <c r="C313" s="6" t="inlineStr">
        <is>
          <t>993428</t>
        </is>
      </c>
      <c r="D313" s="7" t="inlineStr">
        <is>
          <t>Supply, Erection, Testing and commissioning of 220/132/33KV GIS Kancharapalem and connected lines in Visakhapatnam district</t>
        </is>
      </c>
      <c r="E313" s="7" t="inlineStr">
        <is>
          <t>APTRANSCO WORKS-Chief Engineer Projects, Vijayawada</t>
        </is>
      </c>
      <c r="F313" s="6" t="inlineStr">
        <is>
          <t>21 Sep 2026</t>
        </is>
      </c>
      <c r="G313" s="5" t="inlineStr">
        <is>
          <t>20 Oct 2026</t>
        </is>
      </c>
      <c r="H313" s="18" t="inlineStr">
        <is>
          <t>⚠️ CLOSING SOON</t>
        </is>
      </c>
      <c r="I313" s="4" t="inlineStr">
        <is>
          <t>Quality Assurance Plan .pdf</t>
        </is>
      </c>
      <c r="J313" s="6" t="inlineStr">
        <is>
          <t>📕 PDF Document</t>
        </is>
      </c>
      <c r="K313" s="9" t="n">
        <v>1303.3</v>
      </c>
      <c r="L313" s="10">
        <f>HYPERLINK("http://127.0.0.1:8000/api/documents/download?id=2467&amp;attachment=true", "⬇ Download Quality Assurance Plan .")</f>
        <v/>
      </c>
      <c r="M313" s="10">
        <f>HYPERLINK("http://localhost:5173/?state=Andhra%20Pradesh&amp;keyword=ICT&amp;tender=993428", "🚀 Open in Portal")</f>
        <v/>
      </c>
    </row>
    <row r="314" ht="24" customHeight="1">
      <c r="A314" s="11" t="inlineStr">
        <is>
          <t>Andhra Pradesh</t>
        </is>
      </c>
      <c r="B314" s="12" t="inlineStr">
        <is>
          <t>ICT</t>
        </is>
      </c>
      <c r="C314" s="13" t="inlineStr">
        <is>
          <t>993428</t>
        </is>
      </c>
      <c r="D314" s="14" t="inlineStr">
        <is>
          <t>Supply, Erection, Testing and commissioning of 220/132/33KV GIS Kancharapalem and connected lines in Visakhapatnam district</t>
        </is>
      </c>
      <c r="E314" s="14" t="inlineStr">
        <is>
          <t>APTRANSCO WORKS-Chief Engineer Projects, Vijayawada</t>
        </is>
      </c>
      <c r="F314" s="13" t="inlineStr">
        <is>
          <t>21 Sep 2026</t>
        </is>
      </c>
      <c r="G314" s="12" t="inlineStr">
        <is>
          <t>20 Oct 2026</t>
        </is>
      </c>
      <c r="H314" s="18" t="inlineStr">
        <is>
          <t>⚠️ CLOSING SOON</t>
        </is>
      </c>
      <c r="I314" s="11" t="inlineStr">
        <is>
          <t>Vol I APT-e72-2026-Kancharapalem GIS.zip</t>
        </is>
      </c>
      <c r="J314" s="13" t="inlineStr">
        <is>
          <t>📦 ZIP Package</t>
        </is>
      </c>
      <c r="K314" s="15" t="n">
        <v>2928.4</v>
      </c>
      <c r="L314" s="16">
        <f>HYPERLINK("http://127.0.0.1:8000/api/documents/download?id=2428&amp;attachment=true", "⬇ Download Vol I APT-e72-2026-Kanch")</f>
        <v/>
      </c>
      <c r="M314" s="16">
        <f>HYPERLINK("http://localhost:5173/?state=Andhra%20Pradesh&amp;keyword=ICT&amp;tender=993428", "🚀 Open in Portal")</f>
        <v/>
      </c>
    </row>
    <row r="315" ht="20" customHeight="1">
      <c r="A315" s="19" t="inlineStr">
        <is>
          <t>Andhra Pradesh</t>
        </is>
      </c>
      <c r="B315" s="19" t="inlineStr">
        <is>
          <t>ICT</t>
        </is>
      </c>
      <c r="C315" s="19" t="inlineStr">
        <is>
          <t>993428 (pkg)</t>
        </is>
      </c>
      <c r="D315" s="19" t="inlineStr">
        <is>
          <t>↳ Part of: Vol I APT-e72-2026-Kancharapalem GIS.zip</t>
        </is>
      </c>
      <c r="E315" s="19" t="inlineStr">
        <is>
          <t>APTRANSCO WORKS-Chief Engineer Projects, Vijayawada</t>
        </is>
      </c>
      <c r="F315" s="19" t="inlineStr">
        <is>
          <t>21 Sep 2026</t>
        </is>
      </c>
      <c r="G315" s="19" t="inlineStr">
        <is>
          <t>20 Oct 2026</t>
        </is>
      </c>
      <c r="H315" s="19" t="inlineStr">
        <is>
          <t>📂 PACKAGE FILE</t>
        </is>
      </c>
      <c r="I315" s="20" t="inlineStr">
        <is>
          <t xml:space="preserve">  ↳ Vol I APT-e72-2026-Kancharapalem GIS.docx</t>
        </is>
      </c>
      <c r="J315" s="19" t="inlineStr">
        <is>
          <t>Section Doc</t>
        </is>
      </c>
      <c r="K315" s="19" t="n">
        <v>3071.1</v>
      </c>
      <c r="L315" s="21">
        <f>HYPERLINK("http://127.0.0.1:8000/api/documents/download?id=2427&amp;attachment=true", "⬇ Download Vol I APT-e72-2026-K")</f>
        <v/>
      </c>
      <c r="M315" s="21">
        <f>HYPERLINK("http://localhost:5173/?state=Andhra%20Pradesh&amp;keyword=ICT&amp;tender=993428", "🚀 Open")</f>
        <v/>
      </c>
    </row>
    <row r="316" ht="24" customHeight="1">
      <c r="A316" s="11" t="inlineStr">
        <is>
          <t>Andhra Pradesh</t>
        </is>
      </c>
      <c r="B316" s="12" t="inlineStr">
        <is>
          <t>ICT</t>
        </is>
      </c>
      <c r="C316" s="13" t="inlineStr">
        <is>
          <t>993428</t>
        </is>
      </c>
      <c r="D316" s="14" t="inlineStr">
        <is>
          <t>Supply, Erection, Testing and commissioning of 220/132/33KV GIS Kancharapalem and connected lines in Visakhapatnam district</t>
        </is>
      </c>
      <c r="E316" s="14" t="inlineStr">
        <is>
          <t>APTRANSCO WORKS-Chief Engineer Projects, Vijayawada</t>
        </is>
      </c>
      <c r="F316" s="13" t="inlineStr">
        <is>
          <t>21 Sep 2026</t>
        </is>
      </c>
      <c r="G316" s="12" t="inlineStr">
        <is>
          <t>20 Oct 2026</t>
        </is>
      </c>
      <c r="H316" s="18" t="inlineStr">
        <is>
          <t>⚠️ CLOSING SOON</t>
        </is>
      </c>
      <c r="I316" s="11" t="inlineStr">
        <is>
          <t>Commercial Schedules-APT-e72-2026.zip</t>
        </is>
      </c>
      <c r="J316" s="13" t="inlineStr">
        <is>
          <t>📦 ZIP Package</t>
        </is>
      </c>
      <c r="K316" s="15" t="n">
        <v>431.3</v>
      </c>
      <c r="L316" s="16">
        <f>HYPERLINK("http://127.0.0.1:8000/api/documents/download?id=2430&amp;attachment=true", "⬇ Download Commercial Schedules-APT")</f>
        <v/>
      </c>
      <c r="M316" s="16">
        <f>HYPERLINK("http://localhost:5173/?state=Andhra%20Pradesh&amp;keyword=ICT&amp;tender=993428", "🚀 Open in Portal")</f>
        <v/>
      </c>
    </row>
    <row r="317" ht="20" customHeight="1">
      <c r="A317" s="19" t="inlineStr">
        <is>
          <t>Andhra Pradesh</t>
        </is>
      </c>
      <c r="B317" s="19" t="inlineStr">
        <is>
          <t>ICT</t>
        </is>
      </c>
      <c r="C317" s="19" t="inlineStr">
        <is>
          <t>993428 (pkg)</t>
        </is>
      </c>
      <c r="D317" s="19" t="inlineStr">
        <is>
          <t>↳ Part of: Commercial Schedules-APT-e72-2026.zip</t>
        </is>
      </c>
      <c r="E317" s="19" t="inlineStr">
        <is>
          <t>APTRANSCO WORKS-Chief Engineer Projects, Vijayawada</t>
        </is>
      </c>
      <c r="F317" s="19" t="inlineStr">
        <is>
          <t>21 Sep 2026</t>
        </is>
      </c>
      <c r="G317" s="19" t="inlineStr">
        <is>
          <t>20 Oct 2026</t>
        </is>
      </c>
      <c r="H317" s="19" t="inlineStr">
        <is>
          <t>📂 PACKAGE FILE</t>
        </is>
      </c>
      <c r="I317" s="20" t="inlineStr">
        <is>
          <t xml:space="preserve">  ↳ Commercial Schedules-APT-e72-2026.xlsx</t>
        </is>
      </c>
      <c r="J317" s="19" t="inlineStr">
        <is>
          <t>Section Doc</t>
        </is>
      </c>
      <c r="K317" s="19" t="n">
        <v>650.2</v>
      </c>
      <c r="L317" s="21">
        <f>HYPERLINK("http://127.0.0.1:8000/api/documents/download?id=2429&amp;attachment=true", "⬇ Download Commercial Schedules")</f>
        <v/>
      </c>
      <c r="M317" s="21">
        <f>HYPERLINK("http://localhost:5173/?state=Andhra%20Pradesh&amp;keyword=ICT&amp;tender=993428", "🚀 Open")</f>
        <v/>
      </c>
    </row>
    <row r="318" ht="24" customHeight="1">
      <c r="A318" s="11" t="inlineStr">
        <is>
          <t>Andhra Pradesh</t>
        </is>
      </c>
      <c r="B318" s="12" t="inlineStr">
        <is>
          <t>ICT</t>
        </is>
      </c>
      <c r="C318" s="13" t="inlineStr">
        <is>
          <t>993428</t>
        </is>
      </c>
      <c r="D318" s="14" t="inlineStr">
        <is>
          <t>Supply, Erection, Testing and commissioning of 220/132/33KV GIS Kancharapalem and connected lines in Visakhapatnam district</t>
        </is>
      </c>
      <c r="E318" s="14" t="inlineStr">
        <is>
          <t>APTRANSCO WORKS-Chief Engineer Projects, Vijayawada</t>
        </is>
      </c>
      <c r="F318" s="13" t="inlineStr">
        <is>
          <t>21 Sep 2026</t>
        </is>
      </c>
      <c r="G318" s="12" t="inlineStr">
        <is>
          <t>20 Oct 2026</t>
        </is>
      </c>
      <c r="H318" s="18" t="inlineStr">
        <is>
          <t>⚠️ CLOSING SOON</t>
        </is>
      </c>
      <c r="I318" s="11" t="inlineStr">
        <is>
          <t>Volume 2 Technical Specifications.zip</t>
        </is>
      </c>
      <c r="J318" s="13" t="inlineStr">
        <is>
          <t>📦 ZIP Package</t>
        </is>
      </c>
      <c r="K318" s="15" t="n">
        <v>16489.8</v>
      </c>
      <c r="L318" s="16">
        <f>HYPERLINK("http://127.0.0.1:8000/api/documents/download?id=2466&amp;attachment=true", "⬇ Download Volume 2 Technical Speci")</f>
        <v/>
      </c>
      <c r="M318" s="16">
        <f>HYPERLINK("http://localhost:5173/?state=Andhra%20Pradesh&amp;keyword=ICT&amp;tender=993428", "🚀 Open in Portal")</f>
        <v/>
      </c>
    </row>
    <row r="319" ht="24" customHeight="1">
      <c r="A319" s="4" t="inlineStr">
        <is>
          <t>Andhra Pradesh</t>
        </is>
      </c>
      <c r="B319" s="5" t="inlineStr">
        <is>
          <t>ICT</t>
        </is>
      </c>
      <c r="C319" s="6" t="inlineStr">
        <is>
          <t>993428</t>
        </is>
      </c>
      <c r="D319" s="7" t="inlineStr">
        <is>
          <t>Supply, Erection, Testing and commissioning of 220/132/33KV GIS Kancharapalem and connected lines in Visakhapatnam district</t>
        </is>
      </c>
      <c r="E319" s="7" t="inlineStr">
        <is>
          <t>APTRANSCO WORKS-Chief Engineer Projects, Vijayawada</t>
        </is>
      </c>
      <c r="F319" s="6" t="inlineStr">
        <is>
          <t>21 Sep 2026</t>
        </is>
      </c>
      <c r="G319" s="5" t="inlineStr">
        <is>
          <t>20 Oct 2026</t>
        </is>
      </c>
      <c r="H319" s="18" t="inlineStr">
        <is>
          <t>⚠️ CLOSING SOON</t>
        </is>
      </c>
      <c r="I319" s="4" t="inlineStr">
        <is>
          <t>Tender_993428_All_Documents.zip</t>
        </is>
      </c>
      <c r="J319" s="6" t="inlineStr">
        <is>
          <t>📦 ZIP Package</t>
        </is>
      </c>
      <c r="K319" s="9" t="n">
        <v>3950</v>
      </c>
      <c r="L319" s="10">
        <f>HYPERLINK("http://127.0.0.1:8000/api/documents/download?id=2426&amp;attachment=true", "⬇ Download Tender_993428_All_Docume")</f>
        <v/>
      </c>
      <c r="M319" s="10">
        <f>HYPERLINK("http://localhost:5173/?state=Andhra%20Pradesh&amp;keyword=ICT&amp;tender=993428", "🚀 Open in Portal")</f>
        <v/>
      </c>
    </row>
    <row r="320" ht="24" customHeight="1">
      <c r="A320" s="11" t="inlineStr">
        <is>
          <t>Andhra Pradesh</t>
        </is>
      </c>
      <c r="B320" s="12" t="inlineStr">
        <is>
          <t>ICT</t>
        </is>
      </c>
      <c r="C320" s="13" t="inlineStr">
        <is>
          <t>995336</t>
        </is>
      </c>
      <c r="D320" s="14" t="inlineStr">
        <is>
          <t>Construction of 398 houses and providing infrastructure for 1,276 houses in 3 R&amp;R Layouts Block No 1, 2&amp; 22 and 3 &amp;12 at Taduvai Village Jangareddygudem Mandal of Eluru District under Polavaram Project</t>
        </is>
      </c>
      <c r="E320" s="14" t="inlineStr">
        <is>
          <t>A P STATE HOUSING CORPORATION LIMITED-Chief Engineer Office</t>
        </is>
      </c>
      <c r="F320" s="13" t="inlineStr">
        <is>
          <t>05 Sep 2026</t>
        </is>
      </c>
      <c r="G320" s="12" t="inlineStr">
        <is>
          <t>04 Oct 2026</t>
        </is>
      </c>
      <c r="H320" s="8" t="inlineStr">
        <is>
          <t>⏳ UPCOMING</t>
        </is>
      </c>
      <c r="I320" s="11" t="inlineStr">
        <is>
          <t>SBD-(398Houses)&amp; 1276Infra@Taduvai-R&amp;R-07.10.2026.pdf</t>
        </is>
      </c>
      <c r="J320" s="13" t="inlineStr">
        <is>
          <t>📕 PDF Document</t>
        </is>
      </c>
      <c r="K320" s="15" t="n">
        <v>1728.5</v>
      </c>
      <c r="L320" s="16">
        <f>HYPERLINK("http://127.0.0.1:8000/api/documents/download?id=2476&amp;attachment=true", "⬇ Download SBD-(398Houses)&amp; 1276Inf")</f>
        <v/>
      </c>
      <c r="M320" s="16">
        <f>HYPERLINK("http://localhost:5173/?state=Andhra%20Pradesh&amp;keyword=ICT&amp;tender=995336", "🚀 Open in Portal")</f>
        <v/>
      </c>
    </row>
    <row r="321" ht="24" customHeight="1">
      <c r="A321" s="4" t="inlineStr">
        <is>
          <t>Andhra Pradesh</t>
        </is>
      </c>
      <c r="B321" s="5" t="inlineStr">
        <is>
          <t>ICT</t>
        </is>
      </c>
      <c r="C321" s="6" t="inlineStr">
        <is>
          <t>995336</t>
        </is>
      </c>
      <c r="D321" s="7" t="inlineStr">
        <is>
          <t>Construction of 398 houses and providing infrastructure for 1,276 houses in 3 R&amp;R Layouts Block No 1, 2&amp; 22 and 3 &amp;12 at Taduvai Village Jangareddygudem Mandal of Eluru District under Polavaram Project</t>
        </is>
      </c>
      <c r="E321" s="7" t="inlineStr">
        <is>
          <t>A P STATE HOUSING CORPORATION LIMITED-Chief Engineer Office</t>
        </is>
      </c>
      <c r="F321" s="6" t="inlineStr">
        <is>
          <t>05 Sep 2026</t>
        </is>
      </c>
      <c r="G321" s="5" t="inlineStr">
        <is>
          <t>04 Oct 2026</t>
        </is>
      </c>
      <c r="H321" s="8" t="inlineStr">
        <is>
          <t>⏳ UPCOMING</t>
        </is>
      </c>
      <c r="I321" s="4" t="inlineStr">
        <is>
          <t>1 BOQ Block No1 49 Houses.pdf</t>
        </is>
      </c>
      <c r="J321" s="6" t="inlineStr">
        <is>
          <t>📕 PDF Document</t>
        </is>
      </c>
      <c r="K321" s="9" t="n">
        <v>1330.2</v>
      </c>
      <c r="L321" s="10">
        <f>HYPERLINK("http://127.0.0.1:8000/api/documents/download?id=2478&amp;attachment=true", "⬇ Download 1 BOQ Block No1 49 House")</f>
        <v/>
      </c>
      <c r="M321" s="10">
        <f>HYPERLINK("http://localhost:5173/?state=Andhra%20Pradesh&amp;keyword=ICT&amp;tender=995336", "🚀 Open in Portal")</f>
        <v/>
      </c>
    </row>
    <row r="322" ht="24" customHeight="1">
      <c r="A322" s="11" t="inlineStr">
        <is>
          <t>Andhra Pradesh</t>
        </is>
      </c>
      <c r="B322" s="12" t="inlineStr">
        <is>
          <t>ICT</t>
        </is>
      </c>
      <c r="C322" s="13" t="inlineStr">
        <is>
          <t>995336</t>
        </is>
      </c>
      <c r="D322" s="14" t="inlineStr">
        <is>
          <t>Construction of 398 houses and providing infrastructure for 1,276 houses in 3 R&amp;R Layouts Block No 1, 2&amp; 22 and 3 &amp;12 at Taduvai Village Jangareddygudem Mandal of Eluru District under Polavaram Project</t>
        </is>
      </c>
      <c r="E322" s="14" t="inlineStr">
        <is>
          <t>A P STATE HOUSING CORPORATION LIMITED-Chief Engineer Office</t>
        </is>
      </c>
      <c r="F322" s="13" t="inlineStr">
        <is>
          <t>05 Sep 2026</t>
        </is>
      </c>
      <c r="G322" s="12" t="inlineStr">
        <is>
          <t>04 Oct 2026</t>
        </is>
      </c>
      <c r="H322" s="8" t="inlineStr">
        <is>
          <t>⏳ UPCOMING</t>
        </is>
      </c>
      <c r="I322" s="11" t="inlineStr">
        <is>
          <t>2 BOQ Block No 2 and 22 104 Houses.pdf</t>
        </is>
      </c>
      <c r="J322" s="13" t="inlineStr">
        <is>
          <t>📕 PDF Document</t>
        </is>
      </c>
      <c r="K322" s="15" t="n">
        <v>1746.5</v>
      </c>
      <c r="L322" s="16">
        <f>HYPERLINK("http://127.0.0.1:8000/api/documents/download?id=2479&amp;attachment=true", "⬇ Download 2 BOQ Block No 2 and 22 ")</f>
        <v/>
      </c>
      <c r="M322" s="16">
        <f>HYPERLINK("http://localhost:5173/?state=Andhra%20Pradesh&amp;keyword=ICT&amp;tender=995336", "🚀 Open in Portal")</f>
        <v/>
      </c>
    </row>
    <row r="323" ht="24" customHeight="1">
      <c r="A323" s="4" t="inlineStr">
        <is>
          <t>Andhra Pradesh</t>
        </is>
      </c>
      <c r="B323" s="5" t="inlineStr">
        <is>
          <t>ICT</t>
        </is>
      </c>
      <c r="C323" s="6" t="inlineStr">
        <is>
          <t>995336</t>
        </is>
      </c>
      <c r="D323" s="7" t="inlineStr">
        <is>
          <t>Construction of 398 houses and providing infrastructure for 1,276 houses in 3 R&amp;R Layouts Block No 1, 2&amp; 22 and 3 &amp;12 at Taduvai Village Jangareddygudem Mandal of Eluru District under Polavaram Project</t>
        </is>
      </c>
      <c r="E323" s="7" t="inlineStr">
        <is>
          <t>A P STATE HOUSING CORPORATION LIMITED-Chief Engineer Office</t>
        </is>
      </c>
      <c r="F323" s="6" t="inlineStr">
        <is>
          <t>05 Sep 2026</t>
        </is>
      </c>
      <c r="G323" s="5" t="inlineStr">
        <is>
          <t>04 Oct 2026</t>
        </is>
      </c>
      <c r="H323" s="8" t="inlineStr">
        <is>
          <t>⏳ UPCOMING</t>
        </is>
      </c>
      <c r="I323" s="4" t="inlineStr">
        <is>
          <t>3 BOQ Block No  3 and 12 245 Houses.pdf</t>
        </is>
      </c>
      <c r="J323" s="6" t="inlineStr">
        <is>
          <t>📕 PDF Document</t>
        </is>
      </c>
      <c r="K323" s="9" t="n">
        <v>1633.6</v>
      </c>
      <c r="L323" s="10">
        <f>HYPERLINK("http://127.0.0.1:8000/api/documents/download?id=2480&amp;attachment=true", "⬇ Download 3 BOQ Block No  3 and 12")</f>
        <v/>
      </c>
      <c r="M323" s="10">
        <f>HYPERLINK("http://localhost:5173/?state=Andhra%20Pradesh&amp;keyword=ICT&amp;tender=995336", "🚀 Open in Portal")</f>
        <v/>
      </c>
    </row>
    <row r="324" ht="24" customHeight="1">
      <c r="A324" s="11" t="inlineStr">
        <is>
          <t>Andhra Pradesh</t>
        </is>
      </c>
      <c r="B324" s="12" t="inlineStr">
        <is>
          <t>ICT</t>
        </is>
      </c>
      <c r="C324" s="13" t="inlineStr">
        <is>
          <t>995336</t>
        </is>
      </c>
      <c r="D324" s="14" t="inlineStr">
        <is>
          <t>Construction of 398 houses and providing infrastructure for 1,276 houses in 3 R&amp;R Layouts Block No 1, 2&amp; 22 and 3 &amp;12 at Taduvai Village Jangareddygudem Mandal of Eluru District under Polavaram Project</t>
        </is>
      </c>
      <c r="E324" s="14" t="inlineStr">
        <is>
          <t>A P STATE HOUSING CORPORATION LIMITED-Chief Engineer Office</t>
        </is>
      </c>
      <c r="F324" s="13" t="inlineStr">
        <is>
          <t>05 Sep 2026</t>
        </is>
      </c>
      <c r="G324" s="12" t="inlineStr">
        <is>
          <t>04 Oct 2026</t>
        </is>
      </c>
      <c r="H324" s="8" t="inlineStr">
        <is>
          <t>⏳ UPCOMING</t>
        </is>
      </c>
      <c r="I324" s="11" t="inlineStr">
        <is>
          <t>Drawings R and R Infra.pdf</t>
        </is>
      </c>
      <c r="J324" s="13" t="inlineStr">
        <is>
          <t>📕 PDF Document</t>
        </is>
      </c>
      <c r="K324" s="15" t="n">
        <v>3872.8</v>
      </c>
      <c r="L324" s="16">
        <f>HYPERLINK("http://127.0.0.1:8000/api/documents/download?id=2482&amp;attachment=true", "⬇ Download Drawings R and R Infra.p")</f>
        <v/>
      </c>
      <c r="M324" s="16">
        <f>HYPERLINK("http://localhost:5173/?state=Andhra%20Pradesh&amp;keyword=ICT&amp;tender=995336", "🚀 Open in Portal")</f>
        <v/>
      </c>
    </row>
    <row r="325" ht="24" customHeight="1">
      <c r="A325" s="4" t="inlineStr">
        <is>
          <t>Andhra Pradesh</t>
        </is>
      </c>
      <c r="B325" s="5" t="inlineStr">
        <is>
          <t>ICT</t>
        </is>
      </c>
      <c r="C325" s="6" t="inlineStr">
        <is>
          <t>995336</t>
        </is>
      </c>
      <c r="D325" s="7" t="inlineStr">
        <is>
          <t>Construction of 398 houses and providing infrastructure for 1,276 houses in 3 R&amp;R Layouts Block No 1, 2&amp; 22 and 3 &amp;12 at Taduvai Village Jangareddygudem Mandal of Eluru District under Polavaram Project</t>
        </is>
      </c>
      <c r="E325" s="7" t="inlineStr">
        <is>
          <t>A P STATE HOUSING CORPORATION LIMITED-Chief Engineer Office</t>
        </is>
      </c>
      <c r="F325" s="6" t="inlineStr">
        <is>
          <t>05 Sep 2026</t>
        </is>
      </c>
      <c r="G325" s="5" t="inlineStr">
        <is>
          <t>04 Oct 2026</t>
        </is>
      </c>
      <c r="H325" s="8" t="inlineStr">
        <is>
          <t>⏳ UPCOMING</t>
        </is>
      </c>
      <c r="I325" s="4" t="inlineStr">
        <is>
          <t>BOQs Taduvai PDF.zip</t>
        </is>
      </c>
      <c r="J325" s="6" t="inlineStr">
        <is>
          <t>📦 ZIP Package</t>
        </is>
      </c>
      <c r="K325" s="9" t="n">
        <v>3629.8</v>
      </c>
      <c r="L325" s="10">
        <f>HYPERLINK("http://127.0.0.1:8000/api/documents/download?id=2481&amp;attachment=true", "⬇ Download BOQs Taduvai PDF.zip")</f>
        <v/>
      </c>
      <c r="M325" s="10">
        <f>HYPERLINK("http://localhost:5173/?state=Andhra%20Pradesh&amp;keyword=ICT&amp;tender=995336", "🚀 Open in Portal")</f>
        <v/>
      </c>
    </row>
    <row r="326" ht="24" customHeight="1">
      <c r="A326" s="11" t="inlineStr">
        <is>
          <t>Andhra Pradesh</t>
        </is>
      </c>
      <c r="B326" s="12" t="inlineStr">
        <is>
          <t>ICT</t>
        </is>
      </c>
      <c r="C326" s="13" t="inlineStr">
        <is>
          <t>995336</t>
        </is>
      </c>
      <c r="D326" s="14" t="inlineStr">
        <is>
          <t>Construction of 398 houses and providing infrastructure for 1,276 houses in 3 R&amp;R Layouts Block No 1, 2&amp; 22 and 3 &amp;12 at Taduvai Village Jangareddygudem Mandal of Eluru District under Polavaram Project</t>
        </is>
      </c>
      <c r="E326" s="14" t="inlineStr">
        <is>
          <t>A P STATE HOUSING CORPORATION LIMITED-Chief Engineer Office</t>
        </is>
      </c>
      <c r="F326" s="13" t="inlineStr">
        <is>
          <t>05 Sep 2026</t>
        </is>
      </c>
      <c r="G326" s="12" t="inlineStr">
        <is>
          <t>04 Oct 2026</t>
        </is>
      </c>
      <c r="H326" s="8" t="inlineStr">
        <is>
          <t>⏳ UPCOMING</t>
        </is>
      </c>
      <c r="I326" s="11" t="inlineStr">
        <is>
          <t>Tender_995336_All_Documents.zip</t>
        </is>
      </c>
      <c r="J326" s="13" t="inlineStr">
        <is>
          <t>📦 ZIP Package</t>
        </is>
      </c>
      <c r="K326" s="15" t="n">
        <v>14539.1</v>
      </c>
      <c r="L326" s="16">
        <f>HYPERLINK("http://127.0.0.1:8000/api/documents/download?id=2477&amp;attachment=true", "⬇ Download Tender_995336_All_Docume")</f>
        <v/>
      </c>
      <c r="M326" s="16">
        <f>HYPERLINK("http://localhost:5173/?state=Andhra%20Pradesh&amp;keyword=ICT&amp;tender=995336", "🚀 Open in Portal")</f>
        <v/>
      </c>
    </row>
    <row r="327" ht="24" customHeight="1">
      <c r="A327" s="4" t="inlineStr">
        <is>
          <t>Andhra Pradesh</t>
        </is>
      </c>
      <c r="B327" s="5" t="inlineStr">
        <is>
          <t>ICT</t>
        </is>
      </c>
      <c r="C327" s="6" t="inlineStr">
        <is>
          <t>996779</t>
        </is>
      </c>
      <c r="D327" s="7" t="inlineStr">
        <is>
          <t>HNSS Project, Phase-II, Modernization of HNSS Main canal balance works including CC lining and construction of balance CM &amp; CD works from Km. 463.000 to Km 485.300 / 490.000, from Km.490.000/0.000 to Km.6.185/490.000, from Km.490.000 to Km 504.345/506.000 and from Km.511.000 to Km 554.175 in Sri Sathya Sai and Annamayya Districts.</t>
        </is>
      </c>
      <c r="E327" s="7" t="inlineStr">
        <is>
          <t>I &amp; CAD-SE, I &amp; CAD, HNSS CIRCLE - 3, MADANAPALLI</t>
        </is>
      </c>
      <c r="F327" s="6" t="inlineStr">
        <is>
          <t>14 Oct 2026</t>
        </is>
      </c>
      <c r="G327" s="5" t="inlineStr">
        <is>
          <t>16 Nov 2026</t>
        </is>
      </c>
      <c r="H327" s="17" t="inlineStr">
        <is>
          <t>🟢 LIVE ACTIVE</t>
        </is>
      </c>
      <c r="I327" s="4" t="inlineStr">
        <is>
          <t>BOQ Main Canal 01.10.2026 Rev.xlsx</t>
        </is>
      </c>
      <c r="J327" s="6" t="inlineStr">
        <is>
          <t>📊 Excel BOQ</t>
        </is>
      </c>
      <c r="K327" s="9" t="n">
        <v>296.1</v>
      </c>
      <c r="L327" s="10">
        <f>HYPERLINK("http://127.0.0.1:8000/api/documents/download?id=2470&amp;attachment=true", "⬇ Download BOQ Main Canal 01.10.202")</f>
        <v/>
      </c>
      <c r="M327" s="10">
        <f>HYPERLINK("http://localhost:5173/?state=Andhra%20Pradesh&amp;keyword=ICT&amp;tender=996779", "🚀 Open in Portal")</f>
        <v/>
      </c>
    </row>
    <row r="328" ht="24" customHeight="1">
      <c r="A328" s="11" t="inlineStr">
        <is>
          <t>Andhra Pradesh</t>
        </is>
      </c>
      <c r="B328" s="12" t="inlineStr">
        <is>
          <t>ICT</t>
        </is>
      </c>
      <c r="C328" s="13" t="inlineStr">
        <is>
          <t>996779</t>
        </is>
      </c>
      <c r="D328" s="14" t="inlineStr">
        <is>
          <t>HNSS Project, Phase-II, Modernization of HNSS Main canal balance works including CC lining and construction of balance CM &amp; CD works from Km. 463.000 to Km 485.300 / 490.000, from Km.490.000/0.000 to Km.6.185/490.000, from Km.490.000 to Km 504.345/506.000 and from Km.511.000 to Km 554.175 in Sri Sathya Sai and Annamayya Districts.</t>
        </is>
      </c>
      <c r="E328" s="14" t="inlineStr">
        <is>
          <t>I &amp; CAD-SE, I &amp; CAD, HNSS CIRCLE - 3, MADANAPALLI</t>
        </is>
      </c>
      <c r="F328" s="13" t="inlineStr">
        <is>
          <t>14 Oct 2026</t>
        </is>
      </c>
      <c r="G328" s="12" t="inlineStr">
        <is>
          <t>16 Nov 2026</t>
        </is>
      </c>
      <c r="H328" s="17" t="inlineStr">
        <is>
          <t>🟢 LIVE ACTIVE</t>
        </is>
      </c>
      <c r="I328" s="11" t="inlineStr">
        <is>
          <t>Main Canal Tender document 01.10.26).doc</t>
        </is>
      </c>
      <c r="J328" s="13" t="inlineStr">
        <is>
          <t>📄 DOC</t>
        </is>
      </c>
      <c r="K328" s="15" t="n">
        <v>1329.5</v>
      </c>
      <c r="L328" s="16">
        <f>HYPERLINK("http://127.0.0.1:8000/api/documents/download?id=2471&amp;attachment=true", "⬇ Download Main Canal Tender docume")</f>
        <v/>
      </c>
      <c r="M328" s="16">
        <f>HYPERLINK("http://localhost:5173/?state=Andhra%20Pradesh&amp;keyword=ICT&amp;tender=996779", "🚀 Open in Portal")</f>
        <v/>
      </c>
    </row>
    <row r="329" ht="24" customHeight="1">
      <c r="A329" s="4" t="inlineStr">
        <is>
          <t>Andhra Pradesh</t>
        </is>
      </c>
      <c r="B329" s="5" t="inlineStr">
        <is>
          <t>ICT</t>
        </is>
      </c>
      <c r="C329" s="6" t="inlineStr">
        <is>
          <t>996779</t>
        </is>
      </c>
      <c r="D329" s="7" t="inlineStr">
        <is>
          <t>HNSS Project, Phase-II, Modernization of HNSS Main canal balance works including CC lining and construction of balance CM &amp; CD works from Km. 463.000 to Km 485.300 / 490.000, from Km.490.000/0.000 to Km.6.185/490.000, from Km.490.000 to Km 504.345/506.000 and from Km.511.000 to Km 554.175 in Sri Sathya Sai and Annamayya Districts.</t>
        </is>
      </c>
      <c r="E329" s="7" t="inlineStr">
        <is>
          <t>I &amp; CAD-SE, I &amp; CAD, HNSS CIRCLE - 3, MADANAPALLI</t>
        </is>
      </c>
      <c r="F329" s="6" t="inlineStr">
        <is>
          <t>14 Oct 2026</t>
        </is>
      </c>
      <c r="G329" s="5" t="inlineStr">
        <is>
          <t>16 Nov 2026</t>
        </is>
      </c>
      <c r="H329" s="17" t="inlineStr">
        <is>
          <t>🟢 LIVE ACTIVE</t>
        </is>
      </c>
      <c r="I329" s="4" t="inlineStr">
        <is>
          <t>Technical Secifications Vol.2 01.10.2026.doc</t>
        </is>
      </c>
      <c r="J329" s="6" t="inlineStr">
        <is>
          <t>📄 DOC</t>
        </is>
      </c>
      <c r="K329" s="9" t="n">
        <v>1066.5</v>
      </c>
      <c r="L329" s="10">
        <f>HYPERLINK("http://127.0.0.1:8000/api/documents/download?id=2472&amp;attachment=true", "⬇ Download Technical Secifications ")</f>
        <v/>
      </c>
      <c r="M329" s="10">
        <f>HYPERLINK("http://localhost:5173/?state=Andhra%20Pradesh&amp;keyword=ICT&amp;tender=996779", "🚀 Open in Portal")</f>
        <v/>
      </c>
    </row>
    <row r="330" ht="24" customHeight="1">
      <c r="A330" s="11" t="inlineStr">
        <is>
          <t>Andhra Pradesh</t>
        </is>
      </c>
      <c r="B330" s="12" t="inlineStr">
        <is>
          <t>ICT</t>
        </is>
      </c>
      <c r="C330" s="13" t="inlineStr">
        <is>
          <t>996779</t>
        </is>
      </c>
      <c r="D330" s="14" t="inlineStr">
        <is>
          <t>HNSS Project, Phase-II, Modernization of HNSS Main canal balance works including CC lining and construction of balance CM &amp; CD works from Km. 463.000 to Km 485.300 / 490.000, from Km.490.000/0.000 to Km.6.185/490.000, from Km.490.000 to Km 504.345/506.000 and from Km.511.000 to Km 554.175 in Sri Sathya Sai and Annamayya Districts.</t>
        </is>
      </c>
      <c r="E330" s="14" t="inlineStr">
        <is>
          <t>I &amp; CAD-SE, I &amp; CAD, HNSS CIRCLE - 3, MADANAPALLI</t>
        </is>
      </c>
      <c r="F330" s="13" t="inlineStr">
        <is>
          <t>14 Oct 2026</t>
        </is>
      </c>
      <c r="G330" s="12" t="inlineStr">
        <is>
          <t>16 Nov 2026</t>
        </is>
      </c>
      <c r="H330" s="17" t="inlineStr">
        <is>
          <t>🟢 LIVE ACTIVE</t>
        </is>
      </c>
      <c r="I330" s="11" t="inlineStr">
        <is>
          <t>Tender_996779_All_Documents.zip</t>
        </is>
      </c>
      <c r="J330" s="13" t="inlineStr">
        <is>
          <t>📦 ZIP Package</t>
        </is>
      </c>
      <c r="K330" s="15" t="n">
        <v>11.6</v>
      </c>
      <c r="L330" s="16">
        <f>HYPERLINK("http://127.0.0.1:8000/api/documents/download?id=2473&amp;attachment=true", "⬇ Download Tender_996779_All_Docume")</f>
        <v/>
      </c>
      <c r="M330" s="16">
        <f>HYPERLINK("http://localhost:5173/?state=Andhra%20Pradesh&amp;keyword=ICT&amp;tender=996779", "🚀 Open in Portal")</f>
        <v/>
      </c>
    </row>
    <row r="331" ht="24" customHeight="1">
      <c r="A331" s="4" t="inlineStr">
        <is>
          <t>Andhra Pradesh</t>
        </is>
      </c>
      <c r="B331" s="5" t="inlineStr">
        <is>
          <t>ICT</t>
        </is>
      </c>
      <c r="C331" s="6" t="inlineStr">
        <is>
          <t>997014</t>
        </is>
      </c>
      <c r="D331" s="7" t="inlineStr">
        <is>
          <t>WIDENING AND STRENGTHENING OF SAMALKOTA-GOKAVARAM ROAD FROM KM 39/75 TO 49/200 IN EAST GODAVARI DISTRICT</t>
        </is>
      </c>
      <c r="E331" s="7" t="inlineStr">
        <is>
          <t>R&amp;B-SE R&amp;B KAKINADA</t>
        </is>
      </c>
      <c r="F331" s="6" t="inlineStr">
        <is>
          <t>24 Sep 2026</t>
        </is>
      </c>
      <c r="G331" s="5" t="inlineStr">
        <is>
          <t>27 Oct 2026</t>
        </is>
      </c>
      <c r="H331" s="17" t="inlineStr">
        <is>
          <t>🟢 LIVE ACTIVE</t>
        </is>
      </c>
      <c r="I331" s="4" t="inlineStr">
        <is>
          <t>BID - SG Rd.doc</t>
        </is>
      </c>
      <c r="J331" s="6" t="inlineStr">
        <is>
          <t>📄 DOC</t>
        </is>
      </c>
      <c r="K331" s="9" t="n">
        <v>660.5</v>
      </c>
      <c r="L331" s="10">
        <f>HYPERLINK("http://127.0.0.1:8000/api/documents/download?id=2609&amp;attachment=true", "⬇ Download BID - SG Rd.doc")</f>
        <v/>
      </c>
      <c r="M331" s="10">
        <f>HYPERLINK("http://localhost:5173/?state=Andhra%20Pradesh&amp;keyword=ICT&amp;tender=997014", "🚀 Open in Portal")</f>
        <v/>
      </c>
    </row>
    <row r="332" ht="24" customHeight="1">
      <c r="A332" s="11" t="inlineStr">
        <is>
          <t>Andhra Pradesh</t>
        </is>
      </c>
      <c r="B332" s="12" t="inlineStr">
        <is>
          <t>ICT</t>
        </is>
      </c>
      <c r="C332" s="13" t="inlineStr">
        <is>
          <t>997014</t>
        </is>
      </c>
      <c r="D332" s="14" t="inlineStr">
        <is>
          <t>WIDENING AND STRENGTHENING OF SAMALKOTA-GOKAVARAM ROAD FROM KM 39/75 TO 49/200 IN EAST GODAVARI DISTRICT</t>
        </is>
      </c>
      <c r="E332" s="14" t="inlineStr">
        <is>
          <t>R&amp;B-SE R&amp;B KAKINADA</t>
        </is>
      </c>
      <c r="F332" s="13" t="inlineStr">
        <is>
          <t>24 Sep 2026</t>
        </is>
      </c>
      <c r="G332" s="12" t="inlineStr">
        <is>
          <t>27 Oct 2026</t>
        </is>
      </c>
      <c r="H332" s="17" t="inlineStr">
        <is>
          <t>🟢 LIVE ACTIVE</t>
        </is>
      </c>
      <c r="I332" s="11" t="inlineStr">
        <is>
          <t>Tender_997014_All_Documents.zip</t>
        </is>
      </c>
      <c r="J332" s="13" t="inlineStr">
        <is>
          <t>📦 ZIP Package</t>
        </is>
      </c>
      <c r="K332" s="15" t="n">
        <v>224</v>
      </c>
      <c r="L332" s="16">
        <f>HYPERLINK("http://127.0.0.1:8000/api/documents/download?id=2994&amp;attachment=true", "⬇ Download Tender_997014_All_Docume")</f>
        <v/>
      </c>
      <c r="M332" s="16">
        <f>HYPERLINK("http://localhost:5173/?state=Andhra%20Pradesh&amp;keyword=ICT&amp;tender=997014", "🚀 Open in Portal")</f>
        <v/>
      </c>
    </row>
    <row r="333" ht="24" customHeight="1">
      <c r="A333" s="4" t="inlineStr">
        <is>
          <t>Andhra Pradesh</t>
        </is>
      </c>
      <c r="B333" s="5" t="inlineStr">
        <is>
          <t>Forest</t>
        </is>
      </c>
      <c r="C333" s="6" t="inlineStr">
        <is>
          <t>1002200</t>
        </is>
      </c>
      <c r="D333" s="7" t="inlineStr">
        <is>
          <t>Procurement of Polythene bags to Forest Department in Anantapuramu District during 2026-27</t>
        </is>
      </c>
      <c r="E333" s="7" t="inlineStr">
        <is>
          <t>A P FOREST DEPARTMENT-Divisional Forest Officer, Social Forestry Division,Ananthapuramu</t>
        </is>
      </c>
      <c r="F333" s="6" t="inlineStr">
        <is>
          <t>10 Oct 2026</t>
        </is>
      </c>
      <c r="G333" s="5" t="inlineStr">
        <is>
          <t>06 Nov 2026</t>
        </is>
      </c>
      <c r="H333" s="17" t="inlineStr">
        <is>
          <t>🟢 LIVE ACTIVE</t>
        </is>
      </c>
      <c r="I333" s="4" t="inlineStr">
        <is>
          <t>TenderDocument_PolyBags_2026-27_compressed.pdf</t>
        </is>
      </c>
      <c r="J333" s="6" t="inlineStr">
        <is>
          <t>📕 PDF Document</t>
        </is>
      </c>
      <c r="K333" s="9" t="n">
        <v>2880.2</v>
      </c>
      <c r="L333" s="10">
        <f>HYPERLINK("http://127.0.0.1:8000/api/documents/download?id=2610&amp;attachment=true", "⬇ Download TenderDocument_PolyBags_")</f>
        <v/>
      </c>
      <c r="M333" s="10">
        <f>HYPERLINK("http://localhost:5173/?state=Andhra%20Pradesh&amp;keyword=Forest&amp;tender=1002200", "🚀 Open in Portal")</f>
        <v/>
      </c>
    </row>
    <row r="334" ht="24" customHeight="1">
      <c r="A334" s="11" t="inlineStr">
        <is>
          <t>Andhra Pradesh</t>
        </is>
      </c>
      <c r="B334" s="12" t="inlineStr">
        <is>
          <t>Forest</t>
        </is>
      </c>
      <c r="C334" s="13" t="inlineStr">
        <is>
          <t>1002200</t>
        </is>
      </c>
      <c r="D334" s="14" t="inlineStr">
        <is>
          <t>Procurement of Polythene bags to Forest Department in Anantapuramu District during 2026-27</t>
        </is>
      </c>
      <c r="E334" s="14" t="inlineStr">
        <is>
          <t>A P FOREST DEPARTMENT-Divisional Forest Officer, Social Forestry Division,Ananthapuramu</t>
        </is>
      </c>
      <c r="F334" s="13" t="inlineStr">
        <is>
          <t>10 Oct 2026</t>
        </is>
      </c>
      <c r="G334" s="12" t="inlineStr">
        <is>
          <t>06 Nov 2026</t>
        </is>
      </c>
      <c r="H334" s="17" t="inlineStr">
        <is>
          <t>🟢 LIVE ACTIVE</t>
        </is>
      </c>
      <c r="I334" s="11" t="inlineStr">
        <is>
          <t>Tender_1002200_All_Documents.zip</t>
        </is>
      </c>
      <c r="J334" s="13" t="inlineStr">
        <is>
          <t>📦 ZIP Package</t>
        </is>
      </c>
      <c r="K334" s="15" t="n">
        <v>2870.1</v>
      </c>
      <c r="L334" s="16">
        <f>HYPERLINK("http://127.0.0.1:8000/api/documents/download?id=2995&amp;attachment=true", "⬇ Download Tender_1002200_All_Docum")</f>
        <v/>
      </c>
      <c r="M334" s="16">
        <f>HYPERLINK("http://localhost:5173/?state=Andhra%20Pradesh&amp;keyword=Forest&amp;tender=1002200", "🚀 Open in Portal")</f>
        <v/>
      </c>
    </row>
    <row r="335" ht="24" customHeight="1">
      <c r="A335" s="4" t="inlineStr">
        <is>
          <t>Andhra Pradesh</t>
        </is>
      </c>
      <c r="B335" s="5" t="inlineStr">
        <is>
          <t>Environment</t>
        </is>
      </c>
      <c r="C335" s="6" t="inlineStr">
        <is>
          <t>996532</t>
        </is>
      </c>
      <c r="D335" s="7" t="inlineStr">
        <is>
          <t>Printing &amp; Transportation of Main. CwSN, Practical, Ethics and Human Values, Environmental and Additional Answer Books with 60 GSM White Paper for IPE &amp; IPASE 2027</t>
        </is>
      </c>
      <c r="E335" s="7" t="inlineStr">
        <is>
          <t>Board of Intermediate Education-Secretary BIE AP</t>
        </is>
      </c>
      <c r="F335" s="6" t="inlineStr">
        <is>
          <t>27 Jul 2026</t>
        </is>
      </c>
      <c r="G335" s="5" t="inlineStr">
        <is>
          <t>17 Aug 2026</t>
        </is>
      </c>
      <c r="H335" s="8" t="inlineStr">
        <is>
          <t>⏳ UPCOMING</t>
        </is>
      </c>
      <c r="I335" s="4" t="inlineStr">
        <is>
          <t>Approved Tender Document IPE and IPASE 2027.pdf</t>
        </is>
      </c>
      <c r="J335" s="6" t="inlineStr">
        <is>
          <t>📕 PDF Document</t>
        </is>
      </c>
      <c r="K335" s="9" t="n">
        <v>193.8</v>
      </c>
      <c r="L335" s="10">
        <f>HYPERLINK("http://127.0.0.1:8000/api/documents/download?id=2611&amp;attachment=true", "⬇ Download Approved Tender Document")</f>
        <v/>
      </c>
      <c r="M335" s="10">
        <f>HYPERLINK("http://localhost:5173/?state=Andhra%20Pradesh&amp;keyword=Environment&amp;tender=996532", "🚀 Open in Portal")</f>
        <v/>
      </c>
    </row>
    <row r="336" ht="24" customHeight="1">
      <c r="A336" s="11" t="inlineStr">
        <is>
          <t>Andhra Pradesh</t>
        </is>
      </c>
      <c r="B336" s="12" t="inlineStr">
        <is>
          <t>Environment</t>
        </is>
      </c>
      <c r="C336" s="13" t="inlineStr">
        <is>
          <t>996532</t>
        </is>
      </c>
      <c r="D336" s="14" t="inlineStr">
        <is>
          <t>Printing &amp; Transportation of Main. CwSN, Practical, Ethics and Human Values, Environmental and Additional Answer Books with 60 GSM White Paper for IPE &amp; IPASE 2027</t>
        </is>
      </c>
      <c r="E336" s="14" t="inlineStr">
        <is>
          <t>Board of Intermediate Education-Secretary BIE AP</t>
        </is>
      </c>
      <c r="F336" s="13" t="inlineStr">
        <is>
          <t>27 Jul 2026</t>
        </is>
      </c>
      <c r="G336" s="12" t="inlineStr">
        <is>
          <t>17 Aug 2026</t>
        </is>
      </c>
      <c r="H336" s="8" t="inlineStr">
        <is>
          <t>⏳ UPCOMING</t>
        </is>
      </c>
      <c r="I336" s="11" t="inlineStr">
        <is>
          <t>Tender_996532_All_Documents.zip</t>
        </is>
      </c>
      <c r="J336" s="13" t="inlineStr">
        <is>
          <t>📦 ZIP Package</t>
        </is>
      </c>
      <c r="K336" s="15" t="n">
        <v>165.5</v>
      </c>
      <c r="L336" s="16">
        <f>HYPERLINK("http://127.0.0.1:8000/api/documents/download?id=2996&amp;attachment=true", "⬇ Download Tender_996532_All_Docume")</f>
        <v/>
      </c>
      <c r="M336" s="16">
        <f>HYPERLINK("http://localhost:5173/?state=Andhra%20Pradesh&amp;keyword=Environment&amp;tender=996532", "🚀 Open in Portal")</f>
        <v/>
      </c>
    </row>
    <row r="337" ht="24" customHeight="1">
      <c r="A337" s="4" t="inlineStr">
        <is>
          <t>Andhra Pradesh</t>
        </is>
      </c>
      <c r="B337" s="5" t="inlineStr">
        <is>
          <t>Water Resources</t>
        </is>
      </c>
      <c r="C337" s="6" t="inlineStr">
        <is>
          <t>1002390</t>
        </is>
      </c>
      <c r="D337" s="7" t="inlineStr">
        <is>
          <t>Water Resources Department HNSS Project Phase II Package No 52 A Balance work Investigation Preparation of HPs Designs LP Schedules Drawings for Provideing Distributory System to an ayacut of 8000 Acres in Amidyala Raketla and Peddakowkuntla villages of Uravakonda M by lifting water at KM 203 000 of HNSS Main Canal excluding laying of pressuremain in Anantapuramu District</t>
        </is>
      </c>
      <c r="E337" s="7" t="inlineStr">
        <is>
          <t>I &amp; CAD-SE, I &amp; CAD, HNSS Circle - II, ANANTAPUR</t>
        </is>
      </c>
      <c r="F337" s="6" t="inlineStr">
        <is>
          <t>07 Aug 2026</t>
        </is>
      </c>
      <c r="G337" s="5" t="inlineStr">
        <is>
          <t>05 Sep 2026</t>
        </is>
      </c>
      <c r="H337" s="8" t="inlineStr">
        <is>
          <t>⏳ UPCOMING</t>
        </is>
      </c>
      <c r="I337" s="4" t="inlineStr">
        <is>
          <t>Technical specifications Vol.II.doc</t>
        </is>
      </c>
      <c r="J337" s="6" t="inlineStr">
        <is>
          <t>📄 DOC</t>
        </is>
      </c>
      <c r="K337" s="9" t="n">
        <v>2301.5</v>
      </c>
      <c r="L337" s="10">
        <f>HYPERLINK("http://127.0.0.1:8000/api/documents/download?id=2562&amp;attachment=true", "⬇ Download Technical specifications")</f>
        <v/>
      </c>
      <c r="M337" s="10">
        <f>HYPERLINK("http://localhost:5173/?state=Andhra%20Pradesh&amp;keyword=Water%20Resources&amp;tender=1002390", "🚀 Open in Portal")</f>
        <v/>
      </c>
    </row>
    <row r="338" ht="24" customHeight="1">
      <c r="A338" s="11" t="inlineStr">
        <is>
          <t>Andhra Pradesh</t>
        </is>
      </c>
      <c r="B338" s="12" t="inlineStr">
        <is>
          <t>Water Resources</t>
        </is>
      </c>
      <c r="C338" s="13" t="inlineStr">
        <is>
          <t>1002390</t>
        </is>
      </c>
      <c r="D338" s="14" t="inlineStr">
        <is>
          <t>Water Resources Department HNSS Project Phase II Package No 52 A Balance work Investigation Preparation of HPs Designs LP Schedules Drawings for Provideing Distributory System to an ayacut of 8000 Acres in Amidyala Raketla and Peddakowkuntla villages of Uravakonda M by lifting water at KM 203 000 of HNSS Main Canal excluding laying of pressuremain in Anantapuramu District</t>
        </is>
      </c>
      <c r="E338" s="14" t="inlineStr">
        <is>
          <t>I &amp; CAD-SE, I &amp; CAD, HNSS Circle - II, ANANTAPUR</t>
        </is>
      </c>
      <c r="F338" s="13" t="inlineStr">
        <is>
          <t>07 Aug 2026</t>
        </is>
      </c>
      <c r="G338" s="12" t="inlineStr">
        <is>
          <t>05 Sep 2026</t>
        </is>
      </c>
      <c r="H338" s="8" t="inlineStr">
        <is>
          <t>⏳ UPCOMING</t>
        </is>
      </c>
      <c r="I338" s="11" t="inlineStr">
        <is>
          <t>Pkg.No.52 (A) Balance work Tender Document (09.10.2026) Vol.1.doc</t>
        </is>
      </c>
      <c r="J338" s="13" t="inlineStr">
        <is>
          <t>📄 DOC</t>
        </is>
      </c>
      <c r="K338" s="15" t="n">
        <v>1337.5</v>
      </c>
      <c r="L338" s="16">
        <f>HYPERLINK("http://127.0.0.1:8000/api/documents/download?id=2563&amp;attachment=true", "⬇ Download Pkg.No.52 (A) Balance wo")</f>
        <v/>
      </c>
      <c r="M338" s="16">
        <f>HYPERLINK("http://localhost:5173/?state=Andhra%20Pradesh&amp;keyword=Water%20Resources&amp;tender=1002390", "🚀 Open in Portal")</f>
        <v/>
      </c>
    </row>
    <row r="339" ht="24" customHeight="1">
      <c r="A339" s="4" t="inlineStr">
        <is>
          <t>Andhra Pradesh</t>
        </is>
      </c>
      <c r="B339" s="5" t="inlineStr">
        <is>
          <t>Water Resources</t>
        </is>
      </c>
      <c r="C339" s="6" t="inlineStr">
        <is>
          <t>1002390</t>
        </is>
      </c>
      <c r="D339" s="7" t="inlineStr">
        <is>
          <t>Water Resources Department HNSS Project Phase II Package No 52 A Balance work Investigation Preparation of HPs Designs LP Schedules Drawings for Provideing Distributory System to an ayacut of 8000 Acres in Amidyala Raketla and Peddakowkuntla villages of Uravakonda M by lifting water at KM 203 000 of HNSS Main Canal excluding laying of pressuremain in Anantapuramu District</t>
        </is>
      </c>
      <c r="E339" s="7" t="inlineStr">
        <is>
          <t>I &amp; CAD-SE, I &amp; CAD, HNSS Circle - II, ANANTAPUR</t>
        </is>
      </c>
      <c r="F339" s="6" t="inlineStr">
        <is>
          <t>07 Aug 2026</t>
        </is>
      </c>
      <c r="G339" s="5" t="inlineStr">
        <is>
          <t>05 Sep 2026</t>
        </is>
      </c>
      <c r="H339" s="8" t="inlineStr">
        <is>
          <t>⏳ UPCOMING</t>
        </is>
      </c>
      <c r="I339" s="4" t="inlineStr">
        <is>
          <t>Scdule A.xlsx</t>
        </is>
      </c>
      <c r="J339" s="6" t="inlineStr">
        <is>
          <t>📊 Excel BOQ</t>
        </is>
      </c>
      <c r="K339" s="9" t="n">
        <v>107.6</v>
      </c>
      <c r="L339" s="10">
        <f>HYPERLINK("http://127.0.0.1:8000/api/documents/download?id=2564&amp;attachment=true", "⬇ Download Scdule A.xlsx")</f>
        <v/>
      </c>
      <c r="M339" s="10">
        <f>HYPERLINK("http://localhost:5173/?state=Andhra%20Pradesh&amp;keyword=Water%20Resources&amp;tender=1002390", "🚀 Open in Portal")</f>
        <v/>
      </c>
    </row>
    <row r="340" ht="24" customHeight="1">
      <c r="A340" s="11" t="inlineStr">
        <is>
          <t>Andhra Pradesh</t>
        </is>
      </c>
      <c r="B340" s="12" t="inlineStr">
        <is>
          <t>Water Resources</t>
        </is>
      </c>
      <c r="C340" s="13" t="inlineStr">
        <is>
          <t>1002390</t>
        </is>
      </c>
      <c r="D340" s="14" t="inlineStr">
        <is>
          <t>Water Resources Department HNSS Project Phase II Package No 52 A Balance work Investigation Preparation of HPs Designs LP Schedules Drawings for Provideing Distributory System to an ayacut of 8000 Acres in Amidyala Raketla and Peddakowkuntla villages of Uravakonda M by lifting water at KM 203 000 of HNSS Main Canal excluding laying of pressuremain in Anantapuramu District</t>
        </is>
      </c>
      <c r="E340" s="14" t="inlineStr">
        <is>
          <t>I &amp; CAD-SE, I &amp; CAD, HNSS Circle - II, ANANTAPUR</t>
        </is>
      </c>
      <c r="F340" s="13" t="inlineStr">
        <is>
          <t>07 Aug 2026</t>
        </is>
      </c>
      <c r="G340" s="12" t="inlineStr">
        <is>
          <t>05 Sep 2026</t>
        </is>
      </c>
      <c r="H340" s="8" t="inlineStr">
        <is>
          <t>⏳ UPCOMING</t>
        </is>
      </c>
      <c r="I340" s="11" t="inlineStr">
        <is>
          <t>Tender_1002390_All_Documents.zip</t>
        </is>
      </c>
      <c r="J340" s="13" t="inlineStr">
        <is>
          <t>📦 ZIP Package</t>
        </is>
      </c>
      <c r="K340" s="15" t="n">
        <v>1088.5</v>
      </c>
      <c r="L340" s="16">
        <f>HYPERLINK("http://127.0.0.1:8000/api/documents/download?id=2565&amp;attachment=true", "⬇ Download Tender_1002390_All_Docum")</f>
        <v/>
      </c>
      <c r="M340" s="16">
        <f>HYPERLINK("http://localhost:5173/?state=Andhra%20Pradesh&amp;keyword=Water%20Resources&amp;tender=1002390", "🚀 Open in Portal")</f>
        <v/>
      </c>
    </row>
    <row r="341" ht="24" customHeight="1">
      <c r="A341" s="4" t="inlineStr">
        <is>
          <t>Andhra Pradesh</t>
        </is>
      </c>
      <c r="B341" s="5" t="inlineStr">
        <is>
          <t>Water Resources</t>
        </is>
      </c>
      <c r="C341" s="6" t="inlineStr">
        <is>
          <t>1002400</t>
        </is>
      </c>
      <c r="D341" s="7" t="inlineStr">
        <is>
          <t>Water Resources Department HNSS Project Phase I Design Supply Erection and Commissioning of Amidyala Lift Scheme near Raketla Village to Lift 109 000 Cusecs of water from HNSS Main Canal at Km203 000 to irrigate an ayacut of 8000 Acres in Uravakonda Mandal in Ananthapuramu District</t>
        </is>
      </c>
      <c r="E341" s="7" t="inlineStr">
        <is>
          <t>I &amp; CAD-SE, I &amp; CAD, HNSS Circle - II, ANANTAPUR</t>
        </is>
      </c>
      <c r="F341" s="6" t="inlineStr">
        <is>
          <t>23 Aug 2026</t>
        </is>
      </c>
      <c r="G341" s="5" t="inlineStr">
        <is>
          <t>18 Sep 2026</t>
        </is>
      </c>
      <c r="H341" s="8" t="inlineStr">
        <is>
          <t>⏳ UPCOMING</t>
        </is>
      </c>
      <c r="I341" s="4" t="inlineStr">
        <is>
          <t>Technical specifications Vol.II.doc</t>
        </is>
      </c>
      <c r="J341" s="6" t="inlineStr">
        <is>
          <t>📄 DOC</t>
        </is>
      </c>
      <c r="K341" s="9" t="n">
        <v>2303</v>
      </c>
      <c r="L341" s="10">
        <f>HYPERLINK("http://127.0.0.1:8000/api/documents/download?id=2566&amp;attachment=true", "⬇ Download Technical specifications")</f>
        <v/>
      </c>
      <c r="M341" s="10">
        <f>HYPERLINK("http://localhost:5173/?state=Andhra%20Pradesh&amp;keyword=Water%20Resources&amp;tender=1002400", "🚀 Open in Portal")</f>
        <v/>
      </c>
    </row>
    <row r="342" ht="24" customHeight="1">
      <c r="A342" s="11" t="inlineStr">
        <is>
          <t>Andhra Pradesh</t>
        </is>
      </c>
      <c r="B342" s="12" t="inlineStr">
        <is>
          <t>Water Resources</t>
        </is>
      </c>
      <c r="C342" s="13" t="inlineStr">
        <is>
          <t>1002400</t>
        </is>
      </c>
      <c r="D342" s="14" t="inlineStr">
        <is>
          <t>Water Resources Department HNSS Project Phase I Design Supply Erection and Commissioning of Amidyala Lift Scheme near Raketla Village to Lift 109 000 Cusecs of water from HNSS Main Canal at Km203 000 to irrigate an ayacut of 8000 Acres in Uravakonda Mandal in Ananthapuramu District</t>
        </is>
      </c>
      <c r="E342" s="14" t="inlineStr">
        <is>
          <t>I &amp; CAD-SE, I &amp; CAD, HNSS Circle - II, ANANTAPUR</t>
        </is>
      </c>
      <c r="F342" s="13" t="inlineStr">
        <is>
          <t>23 Aug 2026</t>
        </is>
      </c>
      <c r="G342" s="12" t="inlineStr">
        <is>
          <t>18 Sep 2026</t>
        </is>
      </c>
      <c r="H342" s="8" t="inlineStr">
        <is>
          <t>⏳ UPCOMING</t>
        </is>
      </c>
      <c r="I342" s="11" t="inlineStr">
        <is>
          <t>BOQ.xlsx</t>
        </is>
      </c>
      <c r="J342" s="13" t="inlineStr">
        <is>
          <t>📊 Excel BOQ</t>
        </is>
      </c>
      <c r="K342" s="15" t="n">
        <v>1126.7</v>
      </c>
      <c r="L342" s="16">
        <f>HYPERLINK("http://127.0.0.1:8000/api/documents/download?id=2567&amp;attachment=true", "⬇ Download BOQ.xlsx")</f>
        <v/>
      </c>
      <c r="M342" s="16">
        <f>HYPERLINK("http://localhost:5173/?state=Andhra%20Pradesh&amp;keyword=Water%20Resources&amp;tender=1002400", "🚀 Open in Portal")</f>
        <v/>
      </c>
    </row>
    <row r="343" ht="24" customHeight="1">
      <c r="A343" s="4" t="inlineStr">
        <is>
          <t>Andhra Pradesh</t>
        </is>
      </c>
      <c r="B343" s="5" t="inlineStr">
        <is>
          <t>Water Resources</t>
        </is>
      </c>
      <c r="C343" s="6" t="inlineStr">
        <is>
          <t>1002400</t>
        </is>
      </c>
      <c r="D343" s="7" t="inlineStr">
        <is>
          <t>Water Resources Department HNSS Project Phase I Design Supply Erection and Commissioning of Amidyala Lift Scheme near Raketla Village to Lift 109 000 Cusecs of water from HNSS Main Canal at Km203 000 to irrigate an ayacut of 8000 Acres in Uravakonda Mandal in Ananthapuramu District</t>
        </is>
      </c>
      <c r="E343" s="7" t="inlineStr">
        <is>
          <t>I &amp; CAD-SE, I &amp; CAD, HNSS Circle - II, ANANTAPUR</t>
        </is>
      </c>
      <c r="F343" s="6" t="inlineStr">
        <is>
          <t>23 Aug 2026</t>
        </is>
      </c>
      <c r="G343" s="5" t="inlineStr">
        <is>
          <t>18 Sep 2026</t>
        </is>
      </c>
      <c r="H343" s="8" t="inlineStr">
        <is>
          <t>⏳ UPCOMING</t>
        </is>
      </c>
      <c r="I343" s="4" t="inlineStr">
        <is>
          <t>P52 (Amidyala Lift) Tender Document (09.10.2026) (VOL.1).doc</t>
        </is>
      </c>
      <c r="J343" s="6" t="inlineStr">
        <is>
          <t>📄 DOC</t>
        </is>
      </c>
      <c r="K343" s="9" t="n">
        <v>1320</v>
      </c>
      <c r="L343" s="10">
        <f>HYPERLINK("http://127.0.0.1:8000/api/documents/download?id=2568&amp;attachment=true", "⬇ Download P52 (Amidyala Lift) Tend")</f>
        <v/>
      </c>
      <c r="M343" s="10">
        <f>HYPERLINK("http://localhost:5173/?state=Andhra%20Pradesh&amp;keyword=Water%20Resources&amp;tender=1002400", "🚀 Open in Portal")</f>
        <v/>
      </c>
    </row>
    <row r="344" ht="24" customHeight="1">
      <c r="A344" s="11" t="inlineStr">
        <is>
          <t>Andhra Pradesh</t>
        </is>
      </c>
      <c r="B344" s="12" t="inlineStr">
        <is>
          <t>Water Resources</t>
        </is>
      </c>
      <c r="C344" s="13" t="inlineStr">
        <is>
          <t>1002400</t>
        </is>
      </c>
      <c r="D344" s="14" t="inlineStr">
        <is>
          <t>Water Resources Department HNSS Project Phase I Design Supply Erection and Commissioning of Amidyala Lift Scheme near Raketla Village to Lift 109 000 Cusecs of water from HNSS Main Canal at Km203 000 to irrigate an ayacut of 8000 Acres in Uravakonda Mandal in Ananthapuramu District</t>
        </is>
      </c>
      <c r="E344" s="14" t="inlineStr">
        <is>
          <t>I &amp; CAD-SE, I &amp; CAD, HNSS Circle - II, ANANTAPUR</t>
        </is>
      </c>
      <c r="F344" s="13" t="inlineStr">
        <is>
          <t>23 Aug 2026</t>
        </is>
      </c>
      <c r="G344" s="12" t="inlineStr">
        <is>
          <t>18 Sep 2026</t>
        </is>
      </c>
      <c r="H344" s="8" t="inlineStr">
        <is>
          <t>⏳ UPCOMING</t>
        </is>
      </c>
      <c r="I344" s="11" t="inlineStr">
        <is>
          <t>Tender_1002400_All_Documents.zip</t>
        </is>
      </c>
      <c r="J344" s="13" t="inlineStr">
        <is>
          <t>📦 ZIP Package</t>
        </is>
      </c>
      <c r="K344" s="15" t="n">
        <v>1518</v>
      </c>
      <c r="L344" s="16">
        <f>HYPERLINK("http://127.0.0.1:8000/api/documents/download?id=2569&amp;attachment=true", "⬇ Download Tender_1002400_All_Docum")</f>
        <v/>
      </c>
      <c r="M344" s="16">
        <f>HYPERLINK("http://localhost:5173/?state=Andhra%20Pradesh&amp;keyword=Water%20Resources&amp;tender=1002400", "🚀 Open in Portal")</f>
        <v/>
      </c>
    </row>
    <row r="345" ht="24" customHeight="1">
      <c r="A345" s="4" t="inlineStr">
        <is>
          <t>Andhra Pradesh</t>
        </is>
      </c>
      <c r="B345" s="5" t="inlineStr">
        <is>
          <t>Water Resources</t>
        </is>
      </c>
      <c r="C345" s="6" t="inlineStr">
        <is>
          <t>2026_AND_6254312_13</t>
        </is>
      </c>
      <c r="D345" s="7" t="inlineStr">
        <is>
          <t>Water Resources-Based River Basin Hydro-Meteorological Sensor Network &amp; GIS Flood Simulation</t>
        </is>
      </c>
      <c r="E345" s="7" t="inlineStr">
        <is>
          <t>WATER RESOURCES &amp; IRRIGATION DEPARTMENT</t>
        </is>
      </c>
      <c r="F345" s="6" t="inlineStr">
        <is>
          <t>07 Aug 2026</t>
        </is>
      </c>
      <c r="G345" s="5" t="inlineStr">
        <is>
          <t>04 Sep 2026</t>
        </is>
      </c>
      <c r="H345" s="8" t="inlineStr">
        <is>
          <t>⏳ UPCOMING</t>
        </is>
      </c>
      <c r="I345" s="4" t="inlineStr">
        <is>
          <t>Tendernotice_2026_AND_6254312_13.pdf</t>
        </is>
      </c>
      <c r="J345" s="6" t="inlineStr">
        <is>
          <t>📕 PDF Document</t>
        </is>
      </c>
      <c r="K345" s="9" t="n">
        <v>18</v>
      </c>
      <c r="L345" s="10">
        <f>HYPERLINK("http://127.0.0.1:8000/api/documents/download?id=3337&amp;attachment=true", "⬇ Download Tendernotice_2026_AND_62")</f>
        <v/>
      </c>
      <c r="M345" s="10">
        <f>HYPERLINK("http://localhost:5173/?state=Andhra%20Pradesh&amp;keyword=Water%20Resources&amp;tender=2026_AND_6254312_13", "🚀 Open in Portal")</f>
        <v/>
      </c>
    </row>
    <row r="346" ht="24" customHeight="1">
      <c r="A346" s="11" t="inlineStr">
        <is>
          <t>Andhra Pradesh</t>
        </is>
      </c>
      <c r="B346" s="12" t="inlineStr">
        <is>
          <t>Water Resources</t>
        </is>
      </c>
      <c r="C346" s="13" t="inlineStr">
        <is>
          <t>2026_AND_6254312_13</t>
        </is>
      </c>
      <c r="D346" s="14" t="inlineStr">
        <is>
          <t>Water Resources-Based River Basin Hydro-Meteorological Sensor Network &amp; GIS Flood Simulation</t>
        </is>
      </c>
      <c r="E346" s="14" t="inlineStr">
        <is>
          <t>WATER RESOURCES &amp; IRRIGATION DEPARTMENT</t>
        </is>
      </c>
      <c r="F346" s="13" t="inlineStr">
        <is>
          <t>07 Aug 2026</t>
        </is>
      </c>
      <c r="G346" s="12" t="inlineStr">
        <is>
          <t>04 Sep 2026</t>
        </is>
      </c>
      <c r="H346" s="8" t="inlineStr">
        <is>
          <t>⏳ UPCOMING</t>
        </is>
      </c>
      <c r="I346" s="11" t="inlineStr">
        <is>
          <t>Technical_RFP_Specification_Water Resources.pdf</t>
        </is>
      </c>
      <c r="J346" s="13" t="inlineStr">
        <is>
          <t>📕 PDF Document</t>
        </is>
      </c>
      <c r="K346" s="15" t="n">
        <v>18</v>
      </c>
      <c r="L346" s="16">
        <f>HYPERLINK("http://127.0.0.1:8000/api/documents/download?id=3338&amp;attachment=true", "⬇ Download Technical_RFP_Specificat")</f>
        <v/>
      </c>
      <c r="M346" s="16">
        <f>HYPERLINK("http://localhost:5173/?state=Andhra%20Pradesh&amp;keyword=Water%20Resources&amp;tender=2026_AND_6254312_13", "🚀 Open in Portal")</f>
        <v/>
      </c>
    </row>
    <row r="347" ht="24" customHeight="1">
      <c r="A347" s="4" t="inlineStr">
        <is>
          <t>Andhra Pradesh</t>
        </is>
      </c>
      <c r="B347" s="5" t="inlineStr">
        <is>
          <t>Water Resources</t>
        </is>
      </c>
      <c r="C347" s="6" t="inlineStr">
        <is>
          <t>2026_AND_6254312_13</t>
        </is>
      </c>
      <c r="D347" s="7" t="inlineStr">
        <is>
          <t>Water Resources-Based River Basin Hydro-Meteorological Sensor Network &amp; GIS Flood Simulation</t>
        </is>
      </c>
      <c r="E347" s="7" t="inlineStr">
        <is>
          <t>WATER RESOURCES &amp; IRRIGATION DEPARTMENT</t>
        </is>
      </c>
      <c r="F347" s="6" t="inlineStr">
        <is>
          <t>07 Aug 2026</t>
        </is>
      </c>
      <c r="G347" s="5" t="inlineStr">
        <is>
          <t>04 Sep 2026</t>
        </is>
      </c>
      <c r="H347" s="8" t="inlineStr">
        <is>
          <t>⏳ UPCOMING</t>
        </is>
      </c>
      <c r="I347" s="4" t="inlineStr">
        <is>
          <t>BOQ_Financial_Schedule_2026_AND_6254312_13.xlsx</t>
        </is>
      </c>
      <c r="J347" s="6" t="inlineStr">
        <is>
          <t>📊 Excel BOQ</t>
        </is>
      </c>
      <c r="K347" s="9" t="n">
        <v>2.5</v>
      </c>
      <c r="L347" s="10">
        <f>HYPERLINK("http://127.0.0.1:8000/api/documents/download?id=3339&amp;attachment=true", "⬇ Download BOQ_Financial_Schedule_2")</f>
        <v/>
      </c>
      <c r="M347" s="10">
        <f>HYPERLINK("http://localhost:5173/?state=Andhra%20Pradesh&amp;keyword=Water%20Resources&amp;tender=2026_AND_6254312_13", "🚀 Open in Portal")</f>
        <v/>
      </c>
    </row>
    <row r="348" ht="24" customHeight="1">
      <c r="A348" s="11" t="inlineStr">
        <is>
          <t>Andhra Pradesh</t>
        </is>
      </c>
      <c r="B348" s="12" t="inlineStr">
        <is>
          <t>Water Resources</t>
        </is>
      </c>
      <c r="C348" s="13" t="inlineStr">
        <is>
          <t>2026_AND_6254312_13</t>
        </is>
      </c>
      <c r="D348" s="14" t="inlineStr">
        <is>
          <t>Water Resources-Based River Basin Hydro-Meteorological Sensor Network &amp; GIS Flood Simulation</t>
        </is>
      </c>
      <c r="E348" s="14" t="inlineStr">
        <is>
          <t>WATER RESOURCES &amp; IRRIGATION DEPARTMENT</t>
        </is>
      </c>
      <c r="F348" s="13" t="inlineStr">
        <is>
          <t>07 Aug 2026</t>
        </is>
      </c>
      <c r="G348" s="12" t="inlineStr">
        <is>
          <t>04 Sep 2026</t>
        </is>
      </c>
      <c r="H348" s="8" t="inlineStr">
        <is>
          <t>⏳ UPCOMING</t>
        </is>
      </c>
      <c r="I348" s="11" t="inlineStr">
        <is>
          <t>Tender_2026_AND_6254312_13_All_Documents.zip</t>
        </is>
      </c>
      <c r="J348" s="13" t="inlineStr">
        <is>
          <t>📦 ZIP Package</t>
        </is>
      </c>
      <c r="K348" s="15" t="n">
        <v>45</v>
      </c>
      <c r="L348" s="16">
        <f>HYPERLINK("https://tender.apeprocurement.gov.in/tender/2026_AND_6254312_13", "⬇ Download Tender_2026_AND_6254312_")</f>
        <v/>
      </c>
      <c r="M348" s="16">
        <f>HYPERLINK("http://localhost:5173/?state=Andhra%20Pradesh&amp;keyword=Water%20Resources&amp;tender=2026_AND_6254312_13", "🚀 Open in Portal")</f>
        <v/>
      </c>
    </row>
    <row r="349" ht="24" customHeight="1">
      <c r="A349" s="4" t="inlineStr">
        <is>
          <t>Andhra Pradesh</t>
        </is>
      </c>
      <c r="B349" s="5" t="inlineStr">
        <is>
          <t>Water Resources</t>
        </is>
      </c>
      <c r="C349" s="6" t="inlineStr">
        <is>
          <t>993375</t>
        </is>
      </c>
      <c r="D349" s="7" t="inlineStr">
        <is>
          <t>Water Resources Department HNSS Project-Phase-II Modernization of HNSS Main Canal with CC Lining Shortcreting Construction of Balance CM CD works from Km 400 500 to Km 458 975 463.000 including Tunnels from Km 411 850 to Km 415 650 and Km 420 850 to Km 426 150 in Sri Sathya Sai District</t>
        </is>
      </c>
      <c r="E349" s="7" t="inlineStr">
        <is>
          <t>I &amp; CAD-SE, I &amp; CAD, HNSS Circle - II, ANANTAPUR</t>
        </is>
      </c>
      <c r="F349" s="6" t="inlineStr">
        <is>
          <t>10 Aug 2026</t>
        </is>
      </c>
      <c r="G349" s="5" t="inlineStr">
        <is>
          <t>04 Sep 2026</t>
        </is>
      </c>
      <c r="H349" s="8" t="inlineStr">
        <is>
          <t>⏳ UPCOMING</t>
        </is>
      </c>
      <c r="I349" s="4" t="inlineStr">
        <is>
          <t>Vol 1.doc</t>
        </is>
      </c>
      <c r="J349" s="6" t="inlineStr">
        <is>
          <t>📄 DOC</t>
        </is>
      </c>
      <c r="K349" s="9" t="n">
        <v>1333</v>
      </c>
      <c r="L349" s="10">
        <f>HYPERLINK("http://127.0.0.1:8000/api/documents/download?id=2474&amp;attachment=true", "⬇ Download Vol 1.doc")</f>
        <v/>
      </c>
      <c r="M349" s="10">
        <f>HYPERLINK("http://localhost:5173/?state=Andhra%20Pradesh&amp;keyword=Water%20Resources&amp;tender=993375", "🚀 Open in Portal")</f>
        <v/>
      </c>
    </row>
    <row r="350" ht="24" customHeight="1">
      <c r="A350" s="11" t="inlineStr">
        <is>
          <t>Andhra Pradesh</t>
        </is>
      </c>
      <c r="B350" s="12" t="inlineStr">
        <is>
          <t>Water Resources</t>
        </is>
      </c>
      <c r="C350" s="13" t="inlineStr">
        <is>
          <t>993375</t>
        </is>
      </c>
      <c r="D350" s="14" t="inlineStr">
        <is>
          <t>Water Resources Department HNSS Project-Phase-II Modernization of HNSS Main Canal with CC Lining Shortcreting Construction of Balance CM CD works from Km 400 500 to Km 458 975 463.000 including Tunnels from Km 411 850 to Km 415 650 and Km 420 850 to Km 426 150 in Sri Sathya Sai District</t>
        </is>
      </c>
      <c r="E350" s="14" t="inlineStr">
        <is>
          <t>I &amp; CAD-SE, I &amp; CAD, HNSS Circle - II, ANANTAPUR</t>
        </is>
      </c>
      <c r="F350" s="13" t="inlineStr">
        <is>
          <t>10 Aug 2026</t>
        </is>
      </c>
      <c r="G350" s="12" t="inlineStr">
        <is>
          <t>04 Sep 2026</t>
        </is>
      </c>
      <c r="H350" s="8" t="inlineStr">
        <is>
          <t>⏳ UPCOMING</t>
        </is>
      </c>
      <c r="I350" s="11" t="inlineStr">
        <is>
          <t>Vol II.doc</t>
        </is>
      </c>
      <c r="J350" s="13" t="inlineStr">
        <is>
          <t>📄 DOC</t>
        </is>
      </c>
      <c r="K350" s="15" t="n">
        <v>1078.5</v>
      </c>
      <c r="L350" s="16">
        <f>HYPERLINK("http://127.0.0.1:8000/api/documents/download?id=2475&amp;attachment=true", "⬇ Download Vol II.doc")</f>
        <v/>
      </c>
      <c r="M350" s="16">
        <f>HYPERLINK("http://localhost:5173/?state=Andhra%20Pradesh&amp;keyword=Water%20Resources&amp;tender=993375", "🚀 Open in Portal")</f>
        <v/>
      </c>
    </row>
    <row r="351" ht="24" customHeight="1">
      <c r="A351" s="4" t="inlineStr">
        <is>
          <t>Andhra Pradesh</t>
        </is>
      </c>
      <c r="B351" s="5" t="inlineStr">
        <is>
          <t>Water Resources</t>
        </is>
      </c>
      <c r="C351" s="6" t="inlineStr">
        <is>
          <t>993375</t>
        </is>
      </c>
      <c r="D351" s="7" t="inlineStr">
        <is>
          <t>Water Resources Department HNSS Project-Phase-II Modernization of HNSS Main Canal with CC Lining Shortcreting Construction of Balance CM CD works from Km 400 500 to Km 458 975 463.000 including Tunnels from Km 411 850 to Km 415 650 and Km 420 850 to Km 426 150 in Sri Sathya Sai District</t>
        </is>
      </c>
      <c r="E351" s="7" t="inlineStr">
        <is>
          <t>I &amp; CAD-SE, I &amp; CAD, HNSS Circle - II, ANANTAPUR</t>
        </is>
      </c>
      <c r="F351" s="6" t="inlineStr">
        <is>
          <t>10 Aug 2026</t>
        </is>
      </c>
      <c r="G351" s="5" t="inlineStr">
        <is>
          <t>04 Sep 2026</t>
        </is>
      </c>
      <c r="H351" s="8" t="inlineStr">
        <is>
          <t>⏳ UPCOMING</t>
        </is>
      </c>
      <c r="I351" s="4" t="inlineStr">
        <is>
          <t>Tender_993375_All_Documents.zip</t>
        </is>
      </c>
      <c r="J351" s="6" t="inlineStr">
        <is>
          <t>📦 ZIP Package</t>
        </is>
      </c>
      <c r="K351" s="9" t="n">
        <v>567</v>
      </c>
      <c r="L351" s="10">
        <f>HYPERLINK("http://127.0.0.1:8000/api/documents/download?id=2993&amp;attachment=true", "⬇ Download Tender_993375_All_Docume")</f>
        <v/>
      </c>
      <c r="M351" s="10">
        <f>HYPERLINK("http://localhost:5173/?state=Andhra%20Pradesh&amp;keyword=Water%20Resources&amp;tender=993375", "🚀 Open in Portal")</f>
        <v/>
      </c>
    </row>
    <row r="352" ht="24" customHeight="1">
      <c r="A352" s="11" t="inlineStr">
        <is>
          <t>Andhra Pradesh</t>
        </is>
      </c>
      <c r="B352" s="12" t="inlineStr">
        <is>
          <t>Spatial</t>
        </is>
      </c>
      <c r="C352" s="13" t="inlineStr">
        <is>
          <t>1000170</t>
        </is>
      </c>
      <c r="D352" s="14" t="inlineStr">
        <is>
          <t>Supply, Installation, Commissioning, Training and Post-Supply Support of GEOSPATIAL SURVEY AND MAPPING DRONE SYSTEMS</t>
        </is>
      </c>
      <c r="E352" s="14" t="inlineStr">
        <is>
          <t>INFRASTRUCTURE AND INVESTMENT DEPARTMENT OF ANDHRA PRADESH-A P Drones Corporation, Vijayawada</t>
        </is>
      </c>
      <c r="F352" s="13" t="inlineStr">
        <is>
          <t>12 Aug 2026</t>
        </is>
      </c>
      <c r="G352" s="12" t="inlineStr">
        <is>
          <t>05 Sep 2026</t>
        </is>
      </c>
      <c r="H352" s="8" t="inlineStr">
        <is>
          <t>⏳ UPCOMING</t>
        </is>
      </c>
      <c r="I352" s="11" t="inlineStr">
        <is>
          <t>APDC_RFP_Geospatial_Survey_Drone_Systems.pdf</t>
        </is>
      </c>
      <c r="J352" s="13" t="inlineStr">
        <is>
          <t>📕 PDF Document</t>
        </is>
      </c>
      <c r="K352" s="15" t="n">
        <v>460.7</v>
      </c>
      <c r="L352" s="16">
        <f>HYPERLINK("http://127.0.0.1:8000/api/documents/download?id=2612&amp;attachment=true", "⬇ Download APDC_RFP_Geospatial_Surv")</f>
        <v/>
      </c>
      <c r="M352" s="16">
        <f>HYPERLINK("http://localhost:5173/?state=Andhra%20Pradesh&amp;keyword=Spatial&amp;tender=1000170", "🚀 Open in Portal")</f>
        <v/>
      </c>
    </row>
    <row r="353" ht="24" customHeight="1">
      <c r="A353" s="4" t="inlineStr">
        <is>
          <t>Andhra Pradesh</t>
        </is>
      </c>
      <c r="B353" s="5" t="inlineStr">
        <is>
          <t>Spatial</t>
        </is>
      </c>
      <c r="C353" s="6" t="inlineStr">
        <is>
          <t>1000170</t>
        </is>
      </c>
      <c r="D353" s="7" t="inlineStr">
        <is>
          <t>Supply, Installation, Commissioning, Training and Post-Supply Support of GEOSPATIAL SURVEY AND MAPPING DRONE SYSTEMS</t>
        </is>
      </c>
      <c r="E353" s="7" t="inlineStr">
        <is>
          <t>INFRASTRUCTURE AND INVESTMENT DEPARTMENT OF ANDHRA PRADESH-A P Drones Corporation, Vijayawada</t>
        </is>
      </c>
      <c r="F353" s="6" t="inlineStr">
        <is>
          <t>12 Aug 2026</t>
        </is>
      </c>
      <c r="G353" s="5" t="inlineStr">
        <is>
          <t>05 Sep 2026</t>
        </is>
      </c>
      <c r="H353" s="8" t="inlineStr">
        <is>
          <t>⏳ UPCOMING</t>
        </is>
      </c>
      <c r="I353" s="4" t="inlineStr">
        <is>
          <t>Tender_1000170_All_Documents.zip</t>
        </is>
      </c>
      <c r="J353" s="6" t="inlineStr">
        <is>
          <t>📦 ZIP Package</t>
        </is>
      </c>
      <c r="K353" s="9" t="n">
        <v>400</v>
      </c>
      <c r="L353" s="10">
        <f>HYPERLINK("http://127.0.0.1:8000/api/documents/download?id=2997&amp;attachment=true", "⬇ Download Tender_1000170_All_Docum")</f>
        <v/>
      </c>
      <c r="M353" s="10">
        <f>HYPERLINK("http://localhost:5173/?state=Andhra%20Pradesh&amp;keyword=Spatial&amp;tender=1000170", "🚀 Open in Portal")</f>
        <v/>
      </c>
    </row>
    <row r="354" ht="24" customHeight="1">
      <c r="A354" s="11" t="inlineStr">
        <is>
          <t>Andhra Pradesh</t>
        </is>
      </c>
      <c r="B354" s="12" t="inlineStr">
        <is>
          <t>Software Development</t>
        </is>
      </c>
      <c r="C354" s="13" t="inlineStr">
        <is>
          <t>997108</t>
        </is>
      </c>
      <c r="D354" s="14" t="inlineStr">
        <is>
          <t>Software Development, Data Processing, and Results Preparation (SDDPRP) for examinations to be conducted by the Board of Intermediate Education, Andhra Pradesh for the Academic year 2026-2027.</t>
        </is>
      </c>
      <c r="E354" s="14" t="inlineStr">
        <is>
          <t>Board of Intermediate Education-Secretary BIE AP</t>
        </is>
      </c>
      <c r="F354" s="13" t="inlineStr">
        <is>
          <t>27 Aug 2026</t>
        </is>
      </c>
      <c r="G354" s="12" t="inlineStr">
        <is>
          <t>18 Sep 2026</t>
        </is>
      </c>
      <c r="H354" s="8" t="inlineStr">
        <is>
          <t>⏳ UPCOMING</t>
        </is>
      </c>
      <c r="I354" s="11" t="inlineStr">
        <is>
          <t>SDDPRP Tender Document Final.pdf</t>
        </is>
      </c>
      <c r="J354" s="13" t="inlineStr">
        <is>
          <t>📕 PDF Document</t>
        </is>
      </c>
      <c r="K354" s="15" t="n">
        <v>1189.5</v>
      </c>
      <c r="L354" s="16">
        <f>HYPERLINK("http://127.0.0.1:8000/api/documents/download?id=2613&amp;attachment=true", "⬇ Download SDDPRP Tender Document F")</f>
        <v/>
      </c>
      <c r="M354" s="16">
        <f>HYPERLINK("http://localhost:5173/?state=Andhra%20Pradesh&amp;keyword=Software%20Development&amp;tender=997108", "🚀 Open in Portal")</f>
        <v/>
      </c>
    </row>
    <row r="355" ht="24" customHeight="1">
      <c r="A355" s="4" t="inlineStr">
        <is>
          <t>Andhra Pradesh</t>
        </is>
      </c>
      <c r="B355" s="5" t="inlineStr">
        <is>
          <t>Software Development</t>
        </is>
      </c>
      <c r="C355" s="6" t="inlineStr">
        <is>
          <t>997108</t>
        </is>
      </c>
      <c r="D355" s="7" t="inlineStr">
        <is>
          <t>Software Development, Data Processing, and Results Preparation (SDDPRP) for examinations to be conducted by the Board of Intermediate Education, Andhra Pradesh for the Academic year 2026-2027.</t>
        </is>
      </c>
      <c r="E355" s="7" t="inlineStr">
        <is>
          <t>Board of Intermediate Education-Secretary BIE AP</t>
        </is>
      </c>
      <c r="F355" s="6" t="inlineStr">
        <is>
          <t>27 Aug 2026</t>
        </is>
      </c>
      <c r="G355" s="5" t="inlineStr">
        <is>
          <t>18 Sep 2026</t>
        </is>
      </c>
      <c r="H355" s="8" t="inlineStr">
        <is>
          <t>⏳ UPCOMING</t>
        </is>
      </c>
      <c r="I355" s="4" t="inlineStr">
        <is>
          <t>Tender_997108_All_Documents.zip</t>
        </is>
      </c>
      <c r="J355" s="6" t="inlineStr">
        <is>
          <t>📦 ZIP Package</t>
        </is>
      </c>
      <c r="K355" s="9" t="n">
        <v>1158</v>
      </c>
      <c r="L355" s="10">
        <f>HYPERLINK("http://127.0.0.1:8000/api/documents/download?id=2998&amp;attachment=true", "⬇ Download Tender_997108_All_Docume")</f>
        <v/>
      </c>
      <c r="M355" s="10">
        <f>HYPERLINK("http://localhost:5173/?state=Andhra%20Pradesh&amp;keyword=Software%20Development&amp;tender=997108", "🚀 Open in Portal")</f>
        <v/>
      </c>
    </row>
    <row r="356" ht="24" customHeight="1">
      <c r="A356" s="11" t="inlineStr">
        <is>
          <t>Andhra Pradesh</t>
        </is>
      </c>
      <c r="B356" s="12" t="inlineStr">
        <is>
          <t>MIS</t>
        </is>
      </c>
      <c r="C356" s="13" t="inlineStr">
        <is>
          <t>1002400</t>
        </is>
      </c>
      <c r="D356" s="14" t="inlineStr">
        <is>
          <t>Water Resources Department HNSS Project Phase I Design Supply Erection and Commissioning of Amidyala Lift Scheme near Raketla Village to Lift 109 000 Cusecs of water from HNSS Main Canal at Km203 000 to irrigate an ayacut of 8000 Acres in Uravakonda Mandal in Ananthapuramu District</t>
        </is>
      </c>
      <c r="E356" s="14" t="inlineStr">
        <is>
          <t>I &amp; CAD-SE, I &amp; CAD, HNSS Circle - II, ANANTAPUR</t>
        </is>
      </c>
      <c r="F356" s="13" t="inlineStr">
        <is>
          <t>23 Aug 2026</t>
        </is>
      </c>
      <c r="G356" s="12" t="inlineStr">
        <is>
          <t>18 Sep 2026</t>
        </is>
      </c>
      <c r="H356" s="8" t="inlineStr">
        <is>
          <t>⏳ UPCOMING</t>
        </is>
      </c>
      <c r="I356" s="11" t="inlineStr">
        <is>
          <t>Technical specifications Vol.II.doc</t>
        </is>
      </c>
      <c r="J356" s="13" t="inlineStr">
        <is>
          <t>📄 DOC</t>
        </is>
      </c>
      <c r="K356" s="15" t="n">
        <v>2303</v>
      </c>
      <c r="L356" s="16">
        <f>HYPERLINK("http://127.0.0.1:8000/api/documents/download?id=2566&amp;attachment=true", "⬇ Download Technical specifications")</f>
        <v/>
      </c>
      <c r="M356" s="16">
        <f>HYPERLINK("http://localhost:5173/?state=Andhra%20Pradesh&amp;keyword=MIS&amp;tender=1002400", "🚀 Open in Portal")</f>
        <v/>
      </c>
    </row>
    <row r="357" ht="24" customHeight="1">
      <c r="A357" s="4" t="inlineStr">
        <is>
          <t>Andhra Pradesh</t>
        </is>
      </c>
      <c r="B357" s="5" t="inlineStr">
        <is>
          <t>MIS</t>
        </is>
      </c>
      <c r="C357" s="6" t="inlineStr">
        <is>
          <t>1002400</t>
        </is>
      </c>
      <c r="D357" s="7" t="inlineStr">
        <is>
          <t>Water Resources Department HNSS Project Phase I Design Supply Erection and Commissioning of Amidyala Lift Scheme near Raketla Village to Lift 109 000 Cusecs of water from HNSS Main Canal at Km203 000 to irrigate an ayacut of 8000 Acres in Uravakonda Mandal in Ananthapuramu District</t>
        </is>
      </c>
      <c r="E357" s="7" t="inlineStr">
        <is>
          <t>I &amp; CAD-SE, I &amp; CAD, HNSS Circle - II, ANANTAPUR</t>
        </is>
      </c>
      <c r="F357" s="6" t="inlineStr">
        <is>
          <t>23 Aug 2026</t>
        </is>
      </c>
      <c r="G357" s="5" t="inlineStr">
        <is>
          <t>18 Sep 2026</t>
        </is>
      </c>
      <c r="H357" s="8" t="inlineStr">
        <is>
          <t>⏳ UPCOMING</t>
        </is>
      </c>
      <c r="I357" s="4" t="inlineStr">
        <is>
          <t>BOQ.xlsx</t>
        </is>
      </c>
      <c r="J357" s="6" t="inlineStr">
        <is>
          <t>📊 Excel BOQ</t>
        </is>
      </c>
      <c r="K357" s="9" t="n">
        <v>1126.7</v>
      </c>
      <c r="L357" s="10">
        <f>HYPERLINK("http://127.0.0.1:8000/api/documents/download?id=2567&amp;attachment=true", "⬇ Download BOQ.xlsx")</f>
        <v/>
      </c>
      <c r="M357" s="10">
        <f>HYPERLINK("http://localhost:5173/?state=Andhra%20Pradesh&amp;keyword=MIS&amp;tender=1002400", "🚀 Open in Portal")</f>
        <v/>
      </c>
    </row>
    <row r="358" ht="24" customHeight="1">
      <c r="A358" s="11" t="inlineStr">
        <is>
          <t>Andhra Pradesh</t>
        </is>
      </c>
      <c r="B358" s="12" t="inlineStr">
        <is>
          <t>MIS</t>
        </is>
      </c>
      <c r="C358" s="13" t="inlineStr">
        <is>
          <t>1002400</t>
        </is>
      </c>
      <c r="D358" s="14" t="inlineStr">
        <is>
          <t>Water Resources Department HNSS Project Phase I Design Supply Erection and Commissioning of Amidyala Lift Scheme near Raketla Village to Lift 109 000 Cusecs of water from HNSS Main Canal at Km203 000 to irrigate an ayacut of 8000 Acres in Uravakonda Mandal in Ananthapuramu District</t>
        </is>
      </c>
      <c r="E358" s="14" t="inlineStr">
        <is>
          <t>I &amp; CAD-SE, I &amp; CAD, HNSS Circle - II, ANANTAPUR</t>
        </is>
      </c>
      <c r="F358" s="13" t="inlineStr">
        <is>
          <t>23 Aug 2026</t>
        </is>
      </c>
      <c r="G358" s="12" t="inlineStr">
        <is>
          <t>18 Sep 2026</t>
        </is>
      </c>
      <c r="H358" s="8" t="inlineStr">
        <is>
          <t>⏳ UPCOMING</t>
        </is>
      </c>
      <c r="I358" s="11" t="inlineStr">
        <is>
          <t>P52 (Amidyala Lift) Tender Document (09.10.2026) (VOL.1).doc</t>
        </is>
      </c>
      <c r="J358" s="13" t="inlineStr">
        <is>
          <t>📄 DOC</t>
        </is>
      </c>
      <c r="K358" s="15" t="n">
        <v>1320</v>
      </c>
      <c r="L358" s="16">
        <f>HYPERLINK("http://127.0.0.1:8000/api/documents/download?id=2568&amp;attachment=true", "⬇ Download P52 (Amidyala Lift) Tend")</f>
        <v/>
      </c>
      <c r="M358" s="16">
        <f>HYPERLINK("http://localhost:5173/?state=Andhra%20Pradesh&amp;keyword=MIS&amp;tender=1002400", "🚀 Open in Portal")</f>
        <v/>
      </c>
    </row>
    <row r="359" ht="24" customHeight="1">
      <c r="A359" s="4" t="inlineStr">
        <is>
          <t>Andhra Pradesh</t>
        </is>
      </c>
      <c r="B359" s="5" t="inlineStr">
        <is>
          <t>MIS</t>
        </is>
      </c>
      <c r="C359" s="6" t="inlineStr">
        <is>
          <t>1002400</t>
        </is>
      </c>
      <c r="D359" s="7" t="inlineStr">
        <is>
          <t>Water Resources Department HNSS Project Phase I Design Supply Erection and Commissioning of Amidyala Lift Scheme near Raketla Village to Lift 109 000 Cusecs of water from HNSS Main Canal at Km203 000 to irrigate an ayacut of 8000 Acres in Uravakonda Mandal in Ananthapuramu District</t>
        </is>
      </c>
      <c r="E359" s="7" t="inlineStr">
        <is>
          <t>I &amp; CAD-SE, I &amp; CAD, HNSS Circle - II, ANANTAPUR</t>
        </is>
      </c>
      <c r="F359" s="6" t="inlineStr">
        <is>
          <t>23 Aug 2026</t>
        </is>
      </c>
      <c r="G359" s="5" t="inlineStr">
        <is>
          <t>18 Sep 2026</t>
        </is>
      </c>
      <c r="H359" s="8" t="inlineStr">
        <is>
          <t>⏳ UPCOMING</t>
        </is>
      </c>
      <c r="I359" s="4" t="inlineStr">
        <is>
          <t>Tender_1002400_All_Documents.zip</t>
        </is>
      </c>
      <c r="J359" s="6" t="inlineStr">
        <is>
          <t>📦 ZIP Package</t>
        </is>
      </c>
      <c r="K359" s="9" t="n">
        <v>1518</v>
      </c>
      <c r="L359" s="10">
        <f>HYPERLINK("http://127.0.0.1:8000/api/documents/download?id=2569&amp;attachment=true", "⬇ Download Tender_1002400_All_Docum")</f>
        <v/>
      </c>
      <c r="M359" s="10">
        <f>HYPERLINK("http://localhost:5173/?state=Andhra%20Pradesh&amp;keyword=MIS&amp;tender=1002400", "🚀 Open in Portal")</f>
        <v/>
      </c>
    </row>
    <row r="360" ht="24" customHeight="1">
      <c r="A360" s="11" t="inlineStr">
        <is>
          <t>Andhra Pradesh</t>
        </is>
      </c>
      <c r="B360" s="12" t="inlineStr">
        <is>
          <t>MIS</t>
        </is>
      </c>
      <c r="C360" s="13" t="inlineStr">
        <is>
          <t>1002403</t>
        </is>
      </c>
      <c r="D360" s="14" t="inlineStr">
        <is>
          <t>HNSS Project Phase I -Package No Kottalapalli Lift Scheme Design Supply Errection and Commissioning of Kottalapalli lift Scheme in the vajrakarur mandal to lift the 100 Cusecs of water to irrigate the 10 500 Acres in the uravakonda vidapanakal and vajrakarur mandals</t>
        </is>
      </c>
      <c r="E360" s="14" t="inlineStr">
        <is>
          <t>I &amp; CAD-SE, I &amp; CAD, HNSS Circle - II, ANANTAPUR</t>
        </is>
      </c>
      <c r="F360" s="13" t="inlineStr">
        <is>
          <t>24 Sep 2026</t>
        </is>
      </c>
      <c r="G360" s="12" t="inlineStr">
        <is>
          <t>23 Oct 2026</t>
        </is>
      </c>
      <c r="H360" s="17" t="inlineStr">
        <is>
          <t>🟢 LIVE ACTIVE</t>
        </is>
      </c>
      <c r="I360" s="11" t="inlineStr">
        <is>
          <t>Kottalapalli Tender document Vol 1(2nd Call )09.10.2026.doc</t>
        </is>
      </c>
      <c r="J360" s="13" t="inlineStr">
        <is>
          <t>📄 DOC</t>
        </is>
      </c>
      <c r="K360" s="15" t="n">
        <v>1321.5</v>
      </c>
      <c r="L360" s="16">
        <f>HYPERLINK("http://127.0.0.1:8000/api/documents/download?id=2617&amp;attachment=true", "⬇ Download Kottalapalli Tender docu")</f>
        <v/>
      </c>
      <c r="M360" s="16">
        <f>HYPERLINK("http://localhost:5173/?state=Andhra%20Pradesh&amp;keyword=MIS&amp;tender=1002403", "🚀 Open in Portal")</f>
        <v/>
      </c>
    </row>
    <row r="361" ht="24" customHeight="1">
      <c r="A361" s="4" t="inlineStr">
        <is>
          <t>Andhra Pradesh</t>
        </is>
      </c>
      <c r="B361" s="5" t="inlineStr">
        <is>
          <t>MIS</t>
        </is>
      </c>
      <c r="C361" s="6" t="inlineStr">
        <is>
          <t>1002403</t>
        </is>
      </c>
      <c r="D361" s="7" t="inlineStr">
        <is>
          <t>HNSS Project Phase I -Package No Kottalapalli Lift Scheme Design Supply Errection and Commissioning of Kottalapalli lift Scheme in the vajrakarur mandal to lift the 100 Cusecs of water to irrigate the 10 500 Acres in the uravakonda vidapanakal and vajrakarur mandals</t>
        </is>
      </c>
      <c r="E361" s="7" t="inlineStr">
        <is>
          <t>I &amp; CAD-SE, I &amp; CAD, HNSS Circle - II, ANANTAPUR</t>
        </is>
      </c>
      <c r="F361" s="6" t="inlineStr">
        <is>
          <t>24 Sep 2026</t>
        </is>
      </c>
      <c r="G361" s="5" t="inlineStr">
        <is>
          <t>23 Oct 2026</t>
        </is>
      </c>
      <c r="H361" s="17" t="inlineStr">
        <is>
          <t>🟢 LIVE ACTIVE</t>
        </is>
      </c>
      <c r="I361" s="4" t="inlineStr">
        <is>
          <t>Pkg Kottalapalli Lift Scheme Schedule A final (19.07.2026).xlsx</t>
        </is>
      </c>
      <c r="J361" s="6" t="inlineStr">
        <is>
          <t>📊 Excel BOQ</t>
        </is>
      </c>
      <c r="K361" s="9" t="n">
        <v>74.40000000000001</v>
      </c>
      <c r="L361" s="10">
        <f>HYPERLINK("http://127.0.0.1:8000/api/documents/download?id=2618&amp;attachment=true", "⬇ Download Pkg Kottalapalli Lift Sc")</f>
        <v/>
      </c>
      <c r="M361" s="10">
        <f>HYPERLINK("http://localhost:5173/?state=Andhra%20Pradesh&amp;keyword=MIS&amp;tender=1002403", "🚀 Open in Portal")</f>
        <v/>
      </c>
    </row>
    <row r="362" ht="24" customHeight="1">
      <c r="A362" s="11" t="inlineStr">
        <is>
          <t>Andhra Pradesh</t>
        </is>
      </c>
      <c r="B362" s="12" t="inlineStr">
        <is>
          <t>MIS</t>
        </is>
      </c>
      <c r="C362" s="13" t="inlineStr">
        <is>
          <t>1002403</t>
        </is>
      </c>
      <c r="D362" s="14" t="inlineStr">
        <is>
          <t>HNSS Project Phase I -Package No Kottalapalli Lift Scheme Design Supply Errection and Commissioning of Kottalapalli lift Scheme in the vajrakarur mandal to lift the 100 Cusecs of water to irrigate the 10 500 Acres in the uravakonda vidapanakal and vajrakarur mandals</t>
        </is>
      </c>
      <c r="E362" s="14" t="inlineStr">
        <is>
          <t>I &amp; CAD-SE, I &amp; CAD, HNSS Circle - II, ANANTAPUR</t>
        </is>
      </c>
      <c r="F362" s="13" t="inlineStr">
        <is>
          <t>24 Sep 2026</t>
        </is>
      </c>
      <c r="G362" s="12" t="inlineStr">
        <is>
          <t>23 Oct 2026</t>
        </is>
      </c>
      <c r="H362" s="17" t="inlineStr">
        <is>
          <t>🟢 LIVE ACTIVE</t>
        </is>
      </c>
      <c r="I362" s="11" t="inlineStr">
        <is>
          <t>Technical specifications Vol.II.doc</t>
        </is>
      </c>
      <c r="J362" s="13" t="inlineStr">
        <is>
          <t>📄 DOC</t>
        </is>
      </c>
      <c r="K362" s="15" t="n">
        <v>2314</v>
      </c>
      <c r="L362" s="16">
        <f>HYPERLINK("http://127.0.0.1:8000/api/documents/download?id=2619&amp;attachment=true", "⬇ Download Technical specifications")</f>
        <v/>
      </c>
      <c r="M362" s="16">
        <f>HYPERLINK("http://localhost:5173/?state=Andhra%20Pradesh&amp;keyword=MIS&amp;tender=1002403", "🚀 Open in Portal")</f>
        <v/>
      </c>
    </row>
    <row r="363" ht="24" customHeight="1">
      <c r="A363" s="4" t="inlineStr">
        <is>
          <t>Andhra Pradesh</t>
        </is>
      </c>
      <c r="B363" s="5" t="inlineStr">
        <is>
          <t>MIS</t>
        </is>
      </c>
      <c r="C363" s="6" t="inlineStr">
        <is>
          <t>1002403</t>
        </is>
      </c>
      <c r="D363" s="7" t="inlineStr">
        <is>
          <t>HNSS Project Phase I -Package No Kottalapalli Lift Scheme Design Supply Errection and Commissioning of Kottalapalli lift Scheme in the vajrakarur mandal to lift the 100 Cusecs of water to irrigate the 10 500 Acres in the uravakonda vidapanakal and vajrakarur mandals</t>
        </is>
      </c>
      <c r="E363" s="7" t="inlineStr">
        <is>
          <t>I &amp; CAD-SE, I &amp; CAD, HNSS Circle - II, ANANTAPUR</t>
        </is>
      </c>
      <c r="F363" s="6" t="inlineStr">
        <is>
          <t>24 Sep 2026</t>
        </is>
      </c>
      <c r="G363" s="5" t="inlineStr">
        <is>
          <t>23 Oct 2026</t>
        </is>
      </c>
      <c r="H363" s="17" t="inlineStr">
        <is>
          <t>🟢 LIVE ACTIVE</t>
        </is>
      </c>
      <c r="I363" s="4" t="inlineStr">
        <is>
          <t>Tender_1002403_All_Documents.zip</t>
        </is>
      </c>
      <c r="J363" s="6" t="inlineStr">
        <is>
          <t>📦 ZIP Package</t>
        </is>
      </c>
      <c r="K363" s="9" t="n">
        <v>1064.3</v>
      </c>
      <c r="L363" s="10">
        <f>HYPERLINK("http://127.0.0.1:8000/api/documents/download?id=2620&amp;attachment=true", "⬇ Download Tender_1002403_All_Docum")</f>
        <v/>
      </c>
      <c r="M363" s="10">
        <f>HYPERLINK("http://localhost:5173/?state=Andhra%20Pradesh&amp;keyword=MIS&amp;tender=1002403", "🚀 Open in Portal")</f>
        <v/>
      </c>
    </row>
    <row r="364" ht="24" customHeight="1">
      <c r="A364" s="11" t="inlineStr">
        <is>
          <t>Andhra Pradesh</t>
        </is>
      </c>
      <c r="B364" s="12" t="inlineStr">
        <is>
          <t>MIS</t>
        </is>
      </c>
      <c r="C364" s="13" t="inlineStr">
        <is>
          <t>1002820</t>
        </is>
      </c>
      <c r="D364" s="14" t="inlineStr">
        <is>
          <t>Supply, Erection, testing &amp; Commissioning for (i) Upgradation of 132/33KV SS Rudravaram to 220/132/33KV SS (ii) Erection of 220KV DC line to proposed 220/132/33KV SS Rudravaram by making LILO of existing 220KV Srisailam -Mydukur SC Line on turnkey basis</t>
        </is>
      </c>
      <c r="E364" s="14" t="inlineStr">
        <is>
          <t>APTRANSCO WORKS-Chief Engineer Projects, Vijayawada</t>
        </is>
      </c>
      <c r="F364" s="13" t="inlineStr">
        <is>
          <t>08 Oct 2026</t>
        </is>
      </c>
      <c r="G364" s="12" t="inlineStr">
        <is>
          <t>14 Nov 2026</t>
        </is>
      </c>
      <c r="H364" s="17" t="inlineStr">
        <is>
          <t>🟢 LIVE ACTIVE</t>
        </is>
      </c>
      <c r="I364" s="11" t="inlineStr">
        <is>
          <t>Quality Assurance Plan.pdf</t>
        </is>
      </c>
      <c r="J364" s="13" t="inlineStr">
        <is>
          <t>📕 PDF Document</t>
        </is>
      </c>
      <c r="K364" s="15" t="n">
        <v>1303.3</v>
      </c>
      <c r="L364" s="16">
        <f>HYPERLINK("http://127.0.0.1:8000/api/documents/download?id=2621&amp;attachment=true", "⬇ Download Quality Assurance Plan.p")</f>
        <v/>
      </c>
      <c r="M364" s="16">
        <f>HYPERLINK("http://localhost:5173/?state=Andhra%20Pradesh&amp;keyword=MIS&amp;tender=1002820", "🚀 Open in Portal")</f>
        <v/>
      </c>
    </row>
    <row r="365" ht="24" customHeight="1">
      <c r="A365" s="4" t="inlineStr">
        <is>
          <t>Andhra Pradesh</t>
        </is>
      </c>
      <c r="B365" s="5" t="inlineStr">
        <is>
          <t>MIS</t>
        </is>
      </c>
      <c r="C365" s="6" t="inlineStr">
        <is>
          <t>1002820</t>
        </is>
      </c>
      <c r="D365" s="7" t="inlineStr">
        <is>
          <t>Supply, Erection, testing &amp; Commissioning for (i) Upgradation of 132/33KV SS Rudravaram to 220/132/33KV SS (ii) Erection of 220KV DC line to proposed 220/132/33KV SS Rudravaram by making LILO of existing 220KV Srisailam -Mydukur SC Line on turnkey basis</t>
        </is>
      </c>
      <c r="E365" s="7" t="inlineStr">
        <is>
          <t>APTRANSCO WORKS-Chief Engineer Projects, Vijayawada</t>
        </is>
      </c>
      <c r="F365" s="6" t="inlineStr">
        <is>
          <t>08 Oct 2026</t>
        </is>
      </c>
      <c r="G365" s="5" t="inlineStr">
        <is>
          <t>14 Nov 2026</t>
        </is>
      </c>
      <c r="H365" s="17" t="inlineStr">
        <is>
          <t>🟢 LIVE ACTIVE</t>
        </is>
      </c>
      <c r="I365" s="4" t="inlineStr">
        <is>
          <t>Index.doc</t>
        </is>
      </c>
      <c r="J365" s="6" t="inlineStr">
        <is>
          <t>📄 DOC</t>
        </is>
      </c>
      <c r="K365" s="9" t="n">
        <v>35</v>
      </c>
      <c r="L365" s="10">
        <f>HYPERLINK("http://127.0.0.1:8000/api/documents/download?id=2623&amp;attachment=true", "⬇ Download Index.doc")</f>
        <v/>
      </c>
      <c r="M365" s="10">
        <f>HYPERLINK("http://localhost:5173/?state=Andhra%20Pradesh&amp;keyword=MIS&amp;tender=1002820", "🚀 Open in Portal")</f>
        <v/>
      </c>
    </row>
    <row r="366" ht="24" customHeight="1">
      <c r="A366" s="11" t="inlineStr">
        <is>
          <t>Andhra Pradesh</t>
        </is>
      </c>
      <c r="B366" s="12" t="inlineStr">
        <is>
          <t>MIS</t>
        </is>
      </c>
      <c r="C366" s="13" t="inlineStr">
        <is>
          <t>1002820</t>
        </is>
      </c>
      <c r="D366" s="14" t="inlineStr">
        <is>
          <t>Supply, Erection, testing &amp; Commissioning for (i) Upgradation of 132/33KV SS Rudravaram to 220/132/33KV SS (ii) Erection of 220KV DC line to proposed 220/132/33KV SS Rudravaram by making LILO of existing 220KV Srisailam -Mydukur SC Line on turnkey basis</t>
        </is>
      </c>
      <c r="E366" s="14" t="inlineStr">
        <is>
          <t>APTRANSCO WORKS-Chief Engineer Projects, Vijayawada</t>
        </is>
      </c>
      <c r="F366" s="13" t="inlineStr">
        <is>
          <t>08 Oct 2026</t>
        </is>
      </c>
      <c r="G366" s="12" t="inlineStr">
        <is>
          <t>14 Nov 2026</t>
        </is>
      </c>
      <c r="H366" s="17" t="inlineStr">
        <is>
          <t>🟢 LIVE ACTIVE</t>
        </is>
      </c>
      <c r="I366" s="11" t="inlineStr">
        <is>
          <t>Section - 1 General.pdf</t>
        </is>
      </c>
      <c r="J366" s="13" t="inlineStr">
        <is>
          <t>📕 PDF Document</t>
        </is>
      </c>
      <c r="K366" s="15" t="n">
        <v>288.4</v>
      </c>
      <c r="L366" s="16">
        <f>HYPERLINK("http://127.0.0.1:8000/api/documents/download?id=2624&amp;attachment=true", "⬇ Download Section - 1 General.pdf")</f>
        <v/>
      </c>
      <c r="M366" s="16">
        <f>HYPERLINK("http://localhost:5173/?state=Andhra%20Pradesh&amp;keyword=MIS&amp;tender=1002820", "🚀 Open in Portal")</f>
        <v/>
      </c>
    </row>
    <row r="367" ht="24" customHeight="1">
      <c r="A367" s="4" t="inlineStr">
        <is>
          <t>Andhra Pradesh</t>
        </is>
      </c>
      <c r="B367" s="5" t="inlineStr">
        <is>
          <t>MIS</t>
        </is>
      </c>
      <c r="C367" s="6" t="inlineStr">
        <is>
          <t>1002820</t>
        </is>
      </c>
      <c r="D367" s="7" t="inlineStr">
        <is>
          <t>Supply, Erection, testing &amp; Commissioning for (i) Upgradation of 132/33KV SS Rudravaram to 220/132/33KV SS (ii) Erection of 220KV DC line to proposed 220/132/33KV SS Rudravaram by making LILO of existing 220KV Srisailam -Mydukur SC Line on turnkey basis</t>
        </is>
      </c>
      <c r="E367" s="7" t="inlineStr">
        <is>
          <t>APTRANSCO WORKS-Chief Engineer Projects, Vijayawada</t>
        </is>
      </c>
      <c r="F367" s="6" t="inlineStr">
        <is>
          <t>08 Oct 2026</t>
        </is>
      </c>
      <c r="G367" s="5" t="inlineStr">
        <is>
          <t>14 Nov 2026</t>
        </is>
      </c>
      <c r="H367" s="17" t="inlineStr">
        <is>
          <t>🟢 LIVE ACTIVE</t>
        </is>
      </c>
      <c r="I367" s="4" t="inlineStr">
        <is>
          <t>Section - 10 Tech  Spec for Control Relay panels.pdf</t>
        </is>
      </c>
      <c r="J367" s="6" t="inlineStr">
        <is>
          <t>📕 PDF Document</t>
        </is>
      </c>
      <c r="K367" s="9" t="n">
        <v>1467.2</v>
      </c>
      <c r="L367" s="10">
        <f>HYPERLINK("http://127.0.0.1:8000/api/documents/download?id=2625&amp;attachment=true", "⬇ Download Section - 10 Tech  Spec ")</f>
        <v/>
      </c>
      <c r="M367" s="10">
        <f>HYPERLINK("http://localhost:5173/?state=Andhra%20Pradesh&amp;keyword=MIS&amp;tender=1002820", "🚀 Open in Portal")</f>
        <v/>
      </c>
    </row>
    <row r="368" ht="24" customHeight="1">
      <c r="A368" s="11" t="inlineStr">
        <is>
          <t>Andhra Pradesh</t>
        </is>
      </c>
      <c r="B368" s="12" t="inlineStr">
        <is>
          <t>MIS</t>
        </is>
      </c>
      <c r="C368" s="13" t="inlineStr">
        <is>
          <t>1002820</t>
        </is>
      </c>
      <c r="D368" s="14" t="inlineStr">
        <is>
          <t>Supply, Erection, testing &amp; Commissioning for (i) Upgradation of 132/33KV SS Rudravaram to 220/132/33KV SS (ii) Erection of 220KV DC line to proposed 220/132/33KV SS Rudravaram by making LILO of existing 220KV Srisailam -Mydukur SC Line on turnkey basis</t>
        </is>
      </c>
      <c r="E368" s="14" t="inlineStr">
        <is>
          <t>APTRANSCO WORKS-Chief Engineer Projects, Vijayawada</t>
        </is>
      </c>
      <c r="F368" s="13" t="inlineStr">
        <is>
          <t>08 Oct 2026</t>
        </is>
      </c>
      <c r="G368" s="12" t="inlineStr">
        <is>
          <t>14 Nov 2026</t>
        </is>
      </c>
      <c r="H368" s="17" t="inlineStr">
        <is>
          <t>🟢 LIVE ACTIVE</t>
        </is>
      </c>
      <c r="I368" s="11" t="inlineStr">
        <is>
          <t>Section - 11 -Staton Transformer.pdf</t>
        </is>
      </c>
      <c r="J368" s="13" t="inlineStr">
        <is>
          <t>📕 PDF Document</t>
        </is>
      </c>
      <c r="K368" s="15" t="n">
        <v>274.7</v>
      </c>
      <c r="L368" s="16">
        <f>HYPERLINK("http://127.0.0.1:8000/api/documents/download?id=2626&amp;attachment=true", "⬇ Download Section - 11 -Staton Tra")</f>
        <v/>
      </c>
      <c r="M368" s="16">
        <f>HYPERLINK("http://localhost:5173/?state=Andhra%20Pradesh&amp;keyword=MIS&amp;tender=1002820", "🚀 Open in Portal")</f>
        <v/>
      </c>
    </row>
    <row r="369" ht="24" customHeight="1">
      <c r="A369" s="4" t="inlineStr">
        <is>
          <t>Andhra Pradesh</t>
        </is>
      </c>
      <c r="B369" s="5" t="inlineStr">
        <is>
          <t>MIS</t>
        </is>
      </c>
      <c r="C369" s="6" t="inlineStr">
        <is>
          <t>1002820</t>
        </is>
      </c>
      <c r="D369" s="7" t="inlineStr">
        <is>
          <t>Supply, Erection, testing &amp; Commissioning for (i) Upgradation of 132/33KV SS Rudravaram to 220/132/33KV SS (ii) Erection of 220KV DC line to proposed 220/132/33KV SS Rudravaram by making LILO of existing 220KV Srisailam -Mydukur SC Line on turnkey basis</t>
        </is>
      </c>
      <c r="E369" s="7" t="inlineStr">
        <is>
          <t>APTRANSCO WORKS-Chief Engineer Projects, Vijayawada</t>
        </is>
      </c>
      <c r="F369" s="6" t="inlineStr">
        <is>
          <t>08 Oct 2026</t>
        </is>
      </c>
      <c r="G369" s="5" t="inlineStr">
        <is>
          <t>14 Nov 2026</t>
        </is>
      </c>
      <c r="H369" s="17" t="inlineStr">
        <is>
          <t>🟢 LIVE ACTIVE</t>
        </is>
      </c>
      <c r="I369" s="4" t="inlineStr">
        <is>
          <t>Section - 12 ACSR Conductor.pdf</t>
        </is>
      </c>
      <c r="J369" s="6" t="inlineStr">
        <is>
          <t>📕 PDF Document</t>
        </is>
      </c>
      <c r="K369" s="9" t="n">
        <v>679.9</v>
      </c>
      <c r="L369" s="10">
        <f>HYPERLINK("http://127.0.0.1:8000/api/documents/download?id=2627&amp;attachment=true", "⬇ Download Section - 12 ACSR Conduc")</f>
        <v/>
      </c>
      <c r="M369" s="10">
        <f>HYPERLINK("http://localhost:5173/?state=Andhra%20Pradesh&amp;keyword=MIS&amp;tender=1002820", "🚀 Open in Portal")</f>
        <v/>
      </c>
    </row>
    <row r="370" ht="24" customHeight="1">
      <c r="A370" s="11" t="inlineStr">
        <is>
          <t>Andhra Pradesh</t>
        </is>
      </c>
      <c r="B370" s="12" t="inlineStr">
        <is>
          <t>MIS</t>
        </is>
      </c>
      <c r="C370" s="13" t="inlineStr">
        <is>
          <t>1002820</t>
        </is>
      </c>
      <c r="D370" s="14" t="inlineStr">
        <is>
          <t>Supply, Erection, testing &amp; Commissioning for (i) Upgradation of 132/33KV SS Rudravaram to 220/132/33KV SS (ii) Erection of 220KV DC line to proposed 220/132/33KV SS Rudravaram by making LILO of existing 220KV Srisailam -Mydukur SC Line on turnkey basis</t>
        </is>
      </c>
      <c r="E370" s="14" t="inlineStr">
        <is>
          <t>APTRANSCO WORKS-Chief Engineer Projects, Vijayawada</t>
        </is>
      </c>
      <c r="F370" s="13" t="inlineStr">
        <is>
          <t>08 Oct 2026</t>
        </is>
      </c>
      <c r="G370" s="12" t="inlineStr">
        <is>
          <t>14 Nov 2026</t>
        </is>
      </c>
      <c r="H370" s="17" t="inlineStr">
        <is>
          <t>🟢 LIVE ACTIVE</t>
        </is>
      </c>
      <c r="I370" s="11" t="inlineStr">
        <is>
          <t>Section - 13 Porcelain disc insulators.pdf</t>
        </is>
      </c>
      <c r="J370" s="13" t="inlineStr">
        <is>
          <t>📕 PDF Document</t>
        </is>
      </c>
      <c r="K370" s="15" t="n">
        <v>423.9</v>
      </c>
      <c r="L370" s="16">
        <f>HYPERLINK("http://127.0.0.1:8000/api/documents/download?id=2628&amp;attachment=true", "⬇ Download Section - 13 Porcelain d")</f>
        <v/>
      </c>
      <c r="M370" s="16">
        <f>HYPERLINK("http://localhost:5173/?state=Andhra%20Pradesh&amp;keyword=MIS&amp;tender=1002820", "🚀 Open in Portal")</f>
        <v/>
      </c>
    </row>
    <row r="371" ht="24" customHeight="1">
      <c r="A371" s="4" t="inlineStr">
        <is>
          <t>Andhra Pradesh</t>
        </is>
      </c>
      <c r="B371" s="5" t="inlineStr">
        <is>
          <t>MIS</t>
        </is>
      </c>
      <c r="C371" s="6" t="inlineStr">
        <is>
          <t>1002820</t>
        </is>
      </c>
      <c r="D371" s="7" t="inlineStr">
        <is>
          <t>Supply, Erection, testing &amp; Commissioning for (i) Upgradation of 132/33KV SS Rudravaram to 220/132/33KV SS (ii) Erection of 220KV DC line to proposed 220/132/33KV SS Rudravaram by making LILO of existing 220KV Srisailam -Mydukur SC Line on turnkey basis</t>
        </is>
      </c>
      <c r="E371" s="7" t="inlineStr">
        <is>
          <t>APTRANSCO WORKS-Chief Engineer Projects, Vijayawada</t>
        </is>
      </c>
      <c r="F371" s="6" t="inlineStr">
        <is>
          <t>08 Oct 2026</t>
        </is>
      </c>
      <c r="G371" s="5" t="inlineStr">
        <is>
          <t>14 Nov 2026</t>
        </is>
      </c>
      <c r="H371" s="17" t="inlineStr">
        <is>
          <t>🟢 LIVE ACTIVE</t>
        </is>
      </c>
      <c r="I371" s="4" t="inlineStr">
        <is>
          <t>Section - 14 Transmission line towers.pdf</t>
        </is>
      </c>
      <c r="J371" s="6" t="inlineStr">
        <is>
          <t>📕 PDF Document</t>
        </is>
      </c>
      <c r="K371" s="9" t="n">
        <v>452.1</v>
      </c>
      <c r="L371" s="10">
        <f>HYPERLINK("http://127.0.0.1:8000/api/documents/download?id=2629&amp;attachment=true", "⬇ Download Section - 14 Transmissio")</f>
        <v/>
      </c>
      <c r="M371" s="10">
        <f>HYPERLINK("http://localhost:5173/?state=Andhra%20Pradesh&amp;keyword=MIS&amp;tender=1002820", "🚀 Open in Portal")</f>
        <v/>
      </c>
    </row>
    <row r="372" ht="24" customHeight="1">
      <c r="A372" s="11" t="inlineStr">
        <is>
          <t>Andhra Pradesh</t>
        </is>
      </c>
      <c r="B372" s="12" t="inlineStr">
        <is>
          <t>MIS</t>
        </is>
      </c>
      <c r="C372" s="13" t="inlineStr">
        <is>
          <t>1002820</t>
        </is>
      </c>
      <c r="D372" s="14" t="inlineStr">
        <is>
          <t>Supply, Erection, testing &amp; Commissioning for (i) Upgradation of 132/33KV SS Rudravaram to 220/132/33KV SS (ii) Erection of 220KV DC line to proposed 220/132/33KV SS Rudravaram by making LILO of existing 220KV Srisailam -Mydukur SC Line on turnkey basis</t>
        </is>
      </c>
      <c r="E372" s="14" t="inlineStr">
        <is>
          <t>APTRANSCO WORKS-Chief Engineer Projects, Vijayawada</t>
        </is>
      </c>
      <c r="F372" s="13" t="inlineStr">
        <is>
          <t>08 Oct 2026</t>
        </is>
      </c>
      <c r="G372" s="12" t="inlineStr">
        <is>
          <t>14 Nov 2026</t>
        </is>
      </c>
      <c r="H372" s="17" t="inlineStr">
        <is>
          <t>🟢 LIVE ACTIVE</t>
        </is>
      </c>
      <c r="I372" s="11" t="inlineStr">
        <is>
          <t>section - 15 Earth wire.pdf</t>
        </is>
      </c>
      <c r="J372" s="13" t="inlineStr">
        <is>
          <t>📕 PDF Document</t>
        </is>
      </c>
      <c r="K372" s="15" t="n">
        <v>524</v>
      </c>
      <c r="L372" s="16">
        <f>HYPERLINK("http://127.0.0.1:8000/api/documents/download?id=2630&amp;attachment=true", "⬇ Download section - 15 Earth wire.")</f>
        <v/>
      </c>
      <c r="M372" s="16">
        <f>HYPERLINK("http://localhost:5173/?state=Andhra%20Pradesh&amp;keyword=MIS&amp;tender=1002820", "🚀 Open in Portal")</f>
        <v/>
      </c>
    </row>
    <row r="373" ht="24" customHeight="1">
      <c r="A373" s="4" t="inlineStr">
        <is>
          <t>Andhra Pradesh</t>
        </is>
      </c>
      <c r="B373" s="5" t="inlineStr">
        <is>
          <t>MIS</t>
        </is>
      </c>
      <c r="C373" s="6" t="inlineStr">
        <is>
          <t>1002820</t>
        </is>
      </c>
      <c r="D373" s="7" t="inlineStr">
        <is>
          <t>Supply, Erection, testing &amp; Commissioning for (i) Upgradation of 132/33KV SS Rudravaram to 220/132/33KV SS (ii) Erection of 220KV DC line to proposed 220/132/33KV SS Rudravaram by making LILO of existing 220KV Srisailam -Mydukur SC Line on turnkey basis</t>
        </is>
      </c>
      <c r="E373" s="7" t="inlineStr">
        <is>
          <t>APTRANSCO WORKS-Chief Engineer Projects, Vijayawada</t>
        </is>
      </c>
      <c r="F373" s="6" t="inlineStr">
        <is>
          <t>08 Oct 2026</t>
        </is>
      </c>
      <c r="G373" s="5" t="inlineStr">
        <is>
          <t>14 Nov 2026</t>
        </is>
      </c>
      <c r="H373" s="17" t="inlineStr">
        <is>
          <t>🟢 LIVE ACTIVE</t>
        </is>
      </c>
      <c r="I373" s="4" t="inlineStr">
        <is>
          <t>Section - 16 Hardware &amp; Accessories for conductor &amp; earth wire.pdf</t>
        </is>
      </c>
      <c r="J373" s="6" t="inlineStr">
        <is>
          <t>📕 PDF Document</t>
        </is>
      </c>
      <c r="K373" s="9" t="n">
        <v>649.1</v>
      </c>
      <c r="L373" s="10">
        <f>HYPERLINK("http://127.0.0.1:8000/api/documents/download?id=2631&amp;attachment=true", "⬇ Download Section - 16 Hardware &amp; ")</f>
        <v/>
      </c>
      <c r="M373" s="10">
        <f>HYPERLINK("http://localhost:5173/?state=Andhra%20Pradesh&amp;keyword=MIS&amp;tender=1002820", "🚀 Open in Portal")</f>
        <v/>
      </c>
    </row>
    <row r="374" ht="24" customHeight="1">
      <c r="A374" s="11" t="inlineStr">
        <is>
          <t>Andhra Pradesh</t>
        </is>
      </c>
      <c r="B374" s="12" t="inlineStr">
        <is>
          <t>MIS</t>
        </is>
      </c>
      <c r="C374" s="13" t="inlineStr">
        <is>
          <t>1002820</t>
        </is>
      </c>
      <c r="D374" s="14" t="inlineStr">
        <is>
          <t>Supply, Erection, testing &amp; Commissioning for (i) Upgradation of 132/33KV SS Rudravaram to 220/132/33KV SS (ii) Erection of 220KV DC line to proposed 220/132/33KV SS Rudravaram by making LILO of existing 220KV Srisailam -Mydukur SC Line on turnkey basis</t>
        </is>
      </c>
      <c r="E374" s="14" t="inlineStr">
        <is>
          <t>APTRANSCO WORKS-Chief Engineer Projects, Vijayawada</t>
        </is>
      </c>
      <c r="F374" s="13" t="inlineStr">
        <is>
          <t>08 Oct 2026</t>
        </is>
      </c>
      <c r="G374" s="12" t="inlineStr">
        <is>
          <t>14 Nov 2026</t>
        </is>
      </c>
      <c r="H374" s="17" t="inlineStr">
        <is>
          <t>🟢 LIVE ACTIVE</t>
        </is>
      </c>
      <c r="I374" s="11" t="inlineStr">
        <is>
          <t>section - 17 Bolts &amp; Nuts.pdf</t>
        </is>
      </c>
      <c r="J374" s="13" t="inlineStr">
        <is>
          <t>📕 PDF Document</t>
        </is>
      </c>
      <c r="K374" s="15" t="n">
        <v>472.7</v>
      </c>
      <c r="L374" s="16">
        <f>HYPERLINK("http://127.0.0.1:8000/api/documents/download?id=2632&amp;attachment=true", "⬇ Download section - 17 Bolts &amp; Nut")</f>
        <v/>
      </c>
      <c r="M374" s="16">
        <f>HYPERLINK("http://localhost:5173/?state=Andhra%20Pradesh&amp;keyword=MIS&amp;tender=1002820", "🚀 Open in Portal")</f>
        <v/>
      </c>
    </row>
    <row r="375" ht="24" customHeight="1">
      <c r="A375" s="4" t="inlineStr">
        <is>
          <t>Andhra Pradesh</t>
        </is>
      </c>
      <c r="B375" s="5" t="inlineStr">
        <is>
          <t>MIS</t>
        </is>
      </c>
      <c r="C375" s="6" t="inlineStr">
        <is>
          <t>1002820</t>
        </is>
      </c>
      <c r="D375" s="7" t="inlineStr">
        <is>
          <t>Supply, Erection, testing &amp; Commissioning for (i) Upgradation of 132/33KV SS Rudravaram to 220/132/33KV SS (ii) Erection of 220KV DC line to proposed 220/132/33KV SS Rudravaram by making LILO of existing 220KV Srisailam -Mydukur SC Line on turnkey basis</t>
        </is>
      </c>
      <c r="E375" s="7" t="inlineStr">
        <is>
          <t>APTRANSCO WORKS-Chief Engineer Projects, Vijayawada</t>
        </is>
      </c>
      <c r="F375" s="6" t="inlineStr">
        <is>
          <t>08 Oct 2026</t>
        </is>
      </c>
      <c r="G375" s="5" t="inlineStr">
        <is>
          <t>14 Nov 2026</t>
        </is>
      </c>
      <c r="H375" s="17" t="inlineStr">
        <is>
          <t>🟢 LIVE ACTIVE</t>
        </is>
      </c>
      <c r="I375" s="4" t="inlineStr">
        <is>
          <t>Section - 18  Tech Spec for Substation.pdf</t>
        </is>
      </c>
      <c r="J375" s="6" t="inlineStr">
        <is>
          <t>📕 PDF Document</t>
        </is>
      </c>
      <c r="K375" s="9" t="n">
        <v>853.1</v>
      </c>
      <c r="L375" s="10">
        <f>HYPERLINK("http://127.0.0.1:8000/api/documents/download?id=2633&amp;attachment=true", "⬇ Download Section - 18  Tech Spec ")</f>
        <v/>
      </c>
      <c r="M375" s="10">
        <f>HYPERLINK("http://localhost:5173/?state=Andhra%20Pradesh&amp;keyword=MIS&amp;tender=1002820", "🚀 Open in Portal")</f>
        <v/>
      </c>
    </row>
    <row r="376" ht="24" customHeight="1">
      <c r="A376" s="11" t="inlineStr">
        <is>
          <t>Andhra Pradesh</t>
        </is>
      </c>
      <c r="B376" s="12" t="inlineStr">
        <is>
          <t>MIS</t>
        </is>
      </c>
      <c r="C376" s="13" t="inlineStr">
        <is>
          <t>1002820</t>
        </is>
      </c>
      <c r="D376" s="14" t="inlineStr">
        <is>
          <t>Supply, Erection, testing &amp; Commissioning for (i) Upgradation of 132/33KV SS Rudravaram to 220/132/33KV SS (ii) Erection of 220KV DC line to proposed 220/132/33KV SS Rudravaram by making LILO of existing 220KV Srisailam -Mydukur SC Line on turnkey basis</t>
        </is>
      </c>
      <c r="E376" s="14" t="inlineStr">
        <is>
          <t>APTRANSCO WORKS-Chief Engineer Projects, Vijayawada</t>
        </is>
      </c>
      <c r="F376" s="13" t="inlineStr">
        <is>
          <t>08 Oct 2026</t>
        </is>
      </c>
      <c r="G376" s="12" t="inlineStr">
        <is>
          <t>14 Nov 2026</t>
        </is>
      </c>
      <c r="H376" s="17" t="inlineStr">
        <is>
          <t>🟢 LIVE ACTIVE</t>
        </is>
      </c>
      <c r="I376" s="11" t="inlineStr">
        <is>
          <t>Section - 19 Tech Spec for Tr Line works.pdf</t>
        </is>
      </c>
      <c r="J376" s="13" t="inlineStr">
        <is>
          <t>📕 PDF Document</t>
        </is>
      </c>
      <c r="K376" s="15" t="n">
        <v>524.5</v>
      </c>
      <c r="L376" s="16">
        <f>HYPERLINK("http://127.0.0.1:8000/api/documents/download?id=2634&amp;attachment=true", "⬇ Download Section - 19 Tech Spec f")</f>
        <v/>
      </c>
      <c r="M376" s="16">
        <f>HYPERLINK("http://localhost:5173/?state=Andhra%20Pradesh&amp;keyword=MIS&amp;tender=1002820", "🚀 Open in Portal")</f>
        <v/>
      </c>
    </row>
    <row r="377" ht="24" customHeight="1">
      <c r="A377" s="4" t="inlineStr">
        <is>
          <t>Andhra Pradesh</t>
        </is>
      </c>
      <c r="B377" s="5" t="inlineStr">
        <is>
          <t>MIS</t>
        </is>
      </c>
      <c r="C377" s="6" t="inlineStr">
        <is>
          <t>1002820</t>
        </is>
      </c>
      <c r="D377" s="7" t="inlineStr">
        <is>
          <t>Supply, Erection, testing &amp; Commissioning for (i) Upgradation of 132/33KV SS Rudravaram to 220/132/33KV SS (ii) Erection of 220KV DC line to proposed 220/132/33KV SS Rudravaram by making LILO of existing 220KV Srisailam -Mydukur SC Line on turnkey basis</t>
        </is>
      </c>
      <c r="E377" s="7" t="inlineStr">
        <is>
          <t>APTRANSCO WORKS-Chief Engineer Projects, Vijayawada</t>
        </is>
      </c>
      <c r="F377" s="6" t="inlineStr">
        <is>
          <t>08 Oct 2026</t>
        </is>
      </c>
      <c r="G377" s="5" t="inlineStr">
        <is>
          <t>14 Nov 2026</t>
        </is>
      </c>
      <c r="H377" s="17" t="inlineStr">
        <is>
          <t>🟢 LIVE ACTIVE</t>
        </is>
      </c>
      <c r="I377" s="4" t="inlineStr">
        <is>
          <t>Section - 2 CTs-PTs-CVTs.pdf</t>
        </is>
      </c>
      <c r="J377" s="6" t="inlineStr">
        <is>
          <t>📕 PDF Document</t>
        </is>
      </c>
      <c r="K377" s="9" t="n">
        <v>719.3</v>
      </c>
      <c r="L377" s="10">
        <f>HYPERLINK("http://127.0.0.1:8000/api/documents/download?id=2635&amp;attachment=true", "⬇ Download Section - 2 CTs-PTs-CVTs")</f>
        <v/>
      </c>
      <c r="M377" s="10">
        <f>HYPERLINK("http://localhost:5173/?state=Andhra%20Pradesh&amp;keyword=MIS&amp;tender=1002820", "🚀 Open in Portal")</f>
        <v/>
      </c>
    </row>
    <row r="378" ht="24" customHeight="1">
      <c r="A378" s="11" t="inlineStr">
        <is>
          <t>Andhra Pradesh</t>
        </is>
      </c>
      <c r="B378" s="12" t="inlineStr">
        <is>
          <t>MIS</t>
        </is>
      </c>
      <c r="C378" s="13" t="inlineStr">
        <is>
          <t>1002820</t>
        </is>
      </c>
      <c r="D378" s="14" t="inlineStr">
        <is>
          <t>Supply, Erection, testing &amp; Commissioning for (i) Upgradation of 132/33KV SS Rudravaram to 220/132/33KV SS (ii) Erection of 220KV DC line to proposed 220/132/33KV SS Rudravaram by making LILO of existing 220KV Srisailam -Mydukur SC Line on turnkey basis</t>
        </is>
      </c>
      <c r="E378" s="14" t="inlineStr">
        <is>
          <t>APTRANSCO WORKS-Chief Engineer Projects, Vijayawada</t>
        </is>
      </c>
      <c r="F378" s="13" t="inlineStr">
        <is>
          <t>08 Oct 2026</t>
        </is>
      </c>
      <c r="G378" s="12" t="inlineStr">
        <is>
          <t>14 Nov 2026</t>
        </is>
      </c>
      <c r="H378" s="17" t="inlineStr">
        <is>
          <t>🟢 LIVE ACTIVE</t>
        </is>
      </c>
      <c r="I378" s="11" t="inlineStr">
        <is>
          <t>Section - 20  Technical specification of OPGW, OFAC &amp; FODP.pdf</t>
        </is>
      </c>
      <c r="J378" s="13" t="inlineStr">
        <is>
          <t>📕 PDF Document</t>
        </is>
      </c>
      <c r="K378" s="15" t="n">
        <v>1363.8</v>
      </c>
      <c r="L378" s="16">
        <f>HYPERLINK("http://127.0.0.1:8000/api/documents/download?id=2636&amp;attachment=true", "⬇ Download Section - 20  Technical ")</f>
        <v/>
      </c>
      <c r="M378" s="16">
        <f>HYPERLINK("http://localhost:5173/?state=Andhra%20Pradesh&amp;keyword=MIS&amp;tender=1002820", "🚀 Open in Portal")</f>
        <v/>
      </c>
    </row>
    <row r="379" ht="24" customHeight="1">
      <c r="A379" s="4" t="inlineStr">
        <is>
          <t>Andhra Pradesh</t>
        </is>
      </c>
      <c r="B379" s="5" t="inlineStr">
        <is>
          <t>MIS</t>
        </is>
      </c>
      <c r="C379" s="6" t="inlineStr">
        <is>
          <t>1002820</t>
        </is>
      </c>
      <c r="D379" s="7" t="inlineStr">
        <is>
          <t>Supply, Erection, testing &amp; Commissioning for (i) Upgradation of 132/33KV SS Rudravaram to 220/132/33KV SS (ii) Erection of 220KV DC line to proposed 220/132/33KV SS Rudravaram by making LILO of existing 220KV Srisailam -Mydukur SC Line on turnkey basis</t>
        </is>
      </c>
      <c r="E379" s="7" t="inlineStr">
        <is>
          <t>APTRANSCO WORKS-Chief Engineer Projects, Vijayawada</t>
        </is>
      </c>
      <c r="F379" s="6" t="inlineStr">
        <is>
          <t>08 Oct 2026</t>
        </is>
      </c>
      <c r="G379" s="5" t="inlineStr">
        <is>
          <t>14 Nov 2026</t>
        </is>
      </c>
      <c r="H379" s="17" t="inlineStr">
        <is>
          <t>🟢 LIVE ACTIVE</t>
        </is>
      </c>
      <c r="I379" s="4" t="inlineStr">
        <is>
          <t>Section - 21  Technical spec for UG OFC, HDPE duct &amp; RCC chambers.pdf</t>
        </is>
      </c>
      <c r="J379" s="6" t="inlineStr">
        <is>
          <t>📕 PDF Document</t>
        </is>
      </c>
      <c r="K379" s="9" t="n">
        <v>480.3</v>
      </c>
      <c r="L379" s="10">
        <f>HYPERLINK("http://127.0.0.1:8000/api/documents/download?id=2637&amp;attachment=true", "⬇ Download Section - 21  Technical ")</f>
        <v/>
      </c>
      <c r="M379" s="10">
        <f>HYPERLINK("http://localhost:5173/?state=Andhra%20Pradesh&amp;keyword=MIS&amp;tender=1002820", "🚀 Open in Portal")</f>
        <v/>
      </c>
    </row>
    <row r="380" ht="24" customHeight="1">
      <c r="A380" s="11" t="inlineStr">
        <is>
          <t>Andhra Pradesh</t>
        </is>
      </c>
      <c r="B380" s="12" t="inlineStr">
        <is>
          <t>MIS</t>
        </is>
      </c>
      <c r="C380" s="13" t="inlineStr">
        <is>
          <t>1002820</t>
        </is>
      </c>
      <c r="D380" s="14" t="inlineStr">
        <is>
          <t>Supply, Erection, testing &amp; Commissioning for (i) Upgradation of 132/33KV SS Rudravaram to 220/132/33KV SS (ii) Erection of 220KV DC line to proposed 220/132/33KV SS Rudravaram by making LILO of existing 220KV Srisailam -Mydukur SC Line on turnkey basis</t>
        </is>
      </c>
      <c r="E380" s="14" t="inlineStr">
        <is>
          <t>APTRANSCO WORKS-Chief Engineer Projects, Vijayawada</t>
        </is>
      </c>
      <c r="F380" s="13" t="inlineStr">
        <is>
          <t>08 Oct 2026</t>
        </is>
      </c>
      <c r="G380" s="12" t="inlineStr">
        <is>
          <t>14 Nov 2026</t>
        </is>
      </c>
      <c r="H380" s="17" t="inlineStr">
        <is>
          <t>🟢 LIVE ACTIVE</t>
        </is>
      </c>
      <c r="I380" s="11" t="inlineStr">
        <is>
          <t>Section - 22 Technical specification of SDH (OLTE) equipment.pdf</t>
        </is>
      </c>
      <c r="J380" s="13" t="inlineStr">
        <is>
          <t>📕 PDF Document</t>
        </is>
      </c>
      <c r="K380" s="15" t="n">
        <v>635.3</v>
      </c>
      <c r="L380" s="16">
        <f>HYPERLINK("http://127.0.0.1:8000/api/documents/download?id=2638&amp;attachment=true", "⬇ Download Section - 22 Technical s")</f>
        <v/>
      </c>
      <c r="M380" s="16">
        <f>HYPERLINK("http://localhost:5173/?state=Andhra%20Pradesh&amp;keyword=MIS&amp;tender=1002820", "🚀 Open in Portal")</f>
        <v/>
      </c>
    </row>
    <row r="381" ht="24" customHeight="1">
      <c r="A381" s="4" t="inlineStr">
        <is>
          <t>Andhra Pradesh</t>
        </is>
      </c>
      <c r="B381" s="5" t="inlineStr">
        <is>
          <t>MIS</t>
        </is>
      </c>
      <c r="C381" s="6" t="inlineStr">
        <is>
          <t>1002820</t>
        </is>
      </c>
      <c r="D381" s="7" t="inlineStr">
        <is>
          <t>Supply, Erection, testing &amp; Commissioning for (i) Upgradation of 132/33KV SS Rudravaram to 220/132/33KV SS (ii) Erection of 220KV DC line to proposed 220/132/33KV SS Rudravaram by making LILO of existing 220KV Srisailam -Mydukur SC Line on turnkey basis</t>
        </is>
      </c>
      <c r="E381" s="7" t="inlineStr">
        <is>
          <t>APTRANSCO WORKS-Chief Engineer Projects, Vijayawada</t>
        </is>
      </c>
      <c r="F381" s="6" t="inlineStr">
        <is>
          <t>08 Oct 2026</t>
        </is>
      </c>
      <c r="G381" s="5" t="inlineStr">
        <is>
          <t>14 Nov 2026</t>
        </is>
      </c>
      <c r="H381" s="17" t="inlineStr">
        <is>
          <t>🟢 LIVE ACTIVE</t>
        </is>
      </c>
      <c r="I381" s="4" t="inlineStr">
        <is>
          <t>Section - 23 Technical specification of DTPC.pdf</t>
        </is>
      </c>
      <c r="J381" s="6" t="inlineStr">
        <is>
          <t>📕 PDF Document</t>
        </is>
      </c>
      <c r="K381" s="9" t="n">
        <v>198.2</v>
      </c>
      <c r="L381" s="10">
        <f>HYPERLINK("http://127.0.0.1:8000/api/documents/download?id=2639&amp;attachment=true", "⬇ Download Section - 23 Technical s")</f>
        <v/>
      </c>
      <c r="M381" s="10">
        <f>HYPERLINK("http://localhost:5173/?state=Andhra%20Pradesh&amp;keyword=MIS&amp;tender=1002820", "🚀 Open in Portal")</f>
        <v/>
      </c>
    </row>
    <row r="382" ht="24" customHeight="1">
      <c r="A382" s="11" t="inlineStr">
        <is>
          <t>Andhra Pradesh</t>
        </is>
      </c>
      <c r="B382" s="12" t="inlineStr">
        <is>
          <t>MIS</t>
        </is>
      </c>
      <c r="C382" s="13" t="inlineStr">
        <is>
          <t>1002820</t>
        </is>
      </c>
      <c r="D382" s="14" t="inlineStr">
        <is>
          <t>Supply, Erection, testing &amp; Commissioning for (i) Upgradation of 132/33KV SS Rudravaram to 220/132/33KV SS (ii) Erection of 220KV DC line to proposed 220/132/33KV SS Rudravaram by making LILO of existing 220KV Srisailam -Mydukur SC Line on turnkey basis</t>
        </is>
      </c>
      <c r="E382" s="14" t="inlineStr">
        <is>
          <t>APTRANSCO WORKS-Chief Engineer Projects, Vijayawada</t>
        </is>
      </c>
      <c r="F382" s="13" t="inlineStr">
        <is>
          <t>08 Oct 2026</t>
        </is>
      </c>
      <c r="G382" s="12" t="inlineStr">
        <is>
          <t>14 Nov 2026</t>
        </is>
      </c>
      <c r="H382" s="17" t="inlineStr">
        <is>
          <t>🟢 LIVE ACTIVE</t>
        </is>
      </c>
      <c r="I382" s="11" t="inlineStr">
        <is>
          <t>Section - 24 Technical specification of  VOIP Phone.pdf</t>
        </is>
      </c>
      <c r="J382" s="13" t="inlineStr">
        <is>
          <t>📕 PDF Document</t>
        </is>
      </c>
      <c r="K382" s="15" t="n">
        <v>259.9</v>
      </c>
      <c r="L382" s="16">
        <f>HYPERLINK("http://127.0.0.1:8000/api/documents/download?id=2640&amp;attachment=true", "⬇ Download Section - 24 Technical s")</f>
        <v/>
      </c>
      <c r="M382" s="16">
        <f>HYPERLINK("http://localhost:5173/?state=Andhra%20Pradesh&amp;keyword=MIS&amp;tender=1002820", "🚀 Open in Portal")</f>
        <v/>
      </c>
    </row>
    <row r="383" ht="24" customHeight="1">
      <c r="A383" s="4" t="inlineStr">
        <is>
          <t>Andhra Pradesh</t>
        </is>
      </c>
      <c r="B383" s="5" t="inlineStr">
        <is>
          <t>MIS</t>
        </is>
      </c>
      <c r="C383" s="6" t="inlineStr">
        <is>
          <t>1002820</t>
        </is>
      </c>
      <c r="D383" s="7" t="inlineStr">
        <is>
          <t>Supply, Erection, testing &amp; Commissioning for (i) Upgradation of 132/33KV SS Rudravaram to 220/132/33KV SS (ii) Erection of 220KV DC line to proposed 220/132/33KV SS Rudravaram by making LILO of existing 220KV Srisailam -Mydukur SC Line on turnkey basis</t>
        </is>
      </c>
      <c r="E383" s="7" t="inlineStr">
        <is>
          <t>APTRANSCO WORKS-Chief Engineer Projects, Vijayawada</t>
        </is>
      </c>
      <c r="F383" s="6" t="inlineStr">
        <is>
          <t>08 Oct 2026</t>
        </is>
      </c>
      <c r="G383" s="5" t="inlineStr">
        <is>
          <t>14 Nov 2026</t>
        </is>
      </c>
      <c r="H383" s="17" t="inlineStr">
        <is>
          <t>🟢 LIVE ACTIVE</t>
        </is>
      </c>
      <c r="I383" s="4" t="inlineStr">
        <is>
          <t>Section - 25 Technical specification of 48V Chargers.pdf</t>
        </is>
      </c>
      <c r="J383" s="6" t="inlineStr">
        <is>
          <t>📕 PDF Document</t>
        </is>
      </c>
      <c r="K383" s="9" t="n">
        <v>443.3</v>
      </c>
      <c r="L383" s="10">
        <f>HYPERLINK("http://127.0.0.1:8000/api/documents/download?id=2641&amp;attachment=true", "⬇ Download Section - 25 Technical s")</f>
        <v/>
      </c>
      <c r="M383" s="10">
        <f>HYPERLINK("http://localhost:5173/?state=Andhra%20Pradesh&amp;keyword=MIS&amp;tender=1002820", "🚀 Open in Portal")</f>
        <v/>
      </c>
    </row>
    <row r="384" ht="24" customHeight="1">
      <c r="A384" s="11" t="inlineStr">
        <is>
          <t>Andhra Pradesh</t>
        </is>
      </c>
      <c r="B384" s="12" t="inlineStr">
        <is>
          <t>MIS</t>
        </is>
      </c>
      <c r="C384" s="13" t="inlineStr">
        <is>
          <t>1002820</t>
        </is>
      </c>
      <c r="D384" s="14" t="inlineStr">
        <is>
          <t>Supply, Erection, testing &amp; Commissioning for (i) Upgradation of 132/33KV SS Rudravaram to 220/132/33KV SS (ii) Erection of 220KV DC line to proposed 220/132/33KV SS Rudravaram by making LILO of existing 220KV Srisailam -Mydukur SC Line on turnkey basis</t>
        </is>
      </c>
      <c r="E384" s="14" t="inlineStr">
        <is>
          <t>APTRANSCO WORKS-Chief Engineer Projects, Vijayawada</t>
        </is>
      </c>
      <c r="F384" s="13" t="inlineStr">
        <is>
          <t>08 Oct 2026</t>
        </is>
      </c>
      <c r="G384" s="12" t="inlineStr">
        <is>
          <t>14 Nov 2026</t>
        </is>
      </c>
      <c r="H384" s="17" t="inlineStr">
        <is>
          <t>🟢 LIVE ACTIVE</t>
        </is>
      </c>
      <c r="I384" s="11" t="inlineStr">
        <is>
          <t>Section - 26 Technical specification of 48V Battery sets.pdf</t>
        </is>
      </c>
      <c r="J384" s="13" t="inlineStr">
        <is>
          <t>📕 PDF Document</t>
        </is>
      </c>
      <c r="K384" s="15" t="n">
        <v>188.2</v>
      </c>
      <c r="L384" s="16">
        <f>HYPERLINK("http://127.0.0.1:8000/api/documents/download?id=2642&amp;attachment=true", "⬇ Download Section - 26 Technical s")</f>
        <v/>
      </c>
      <c r="M384" s="16">
        <f>HYPERLINK("http://localhost:5173/?state=Andhra%20Pradesh&amp;keyword=MIS&amp;tender=1002820", "🚀 Open in Portal")</f>
        <v/>
      </c>
    </row>
    <row r="385" ht="24" customHeight="1">
      <c r="A385" s="4" t="inlineStr">
        <is>
          <t>Andhra Pradesh</t>
        </is>
      </c>
      <c r="B385" s="5" t="inlineStr">
        <is>
          <t>MIS</t>
        </is>
      </c>
      <c r="C385" s="6" t="inlineStr">
        <is>
          <t>1002820</t>
        </is>
      </c>
      <c r="D385" s="7" t="inlineStr">
        <is>
          <t>Supply, Erection, testing &amp; Commissioning for (i) Upgradation of 132/33KV SS Rudravaram to 220/132/33KV SS (ii) Erection of 220KV DC line to proposed 220/132/33KV SS Rudravaram by making LILO of existing 220KV Srisailam -Mydukur SC Line on turnkey basis</t>
        </is>
      </c>
      <c r="E385" s="7" t="inlineStr">
        <is>
          <t>APTRANSCO WORKS-Chief Engineer Projects, Vijayawada</t>
        </is>
      </c>
      <c r="F385" s="6" t="inlineStr">
        <is>
          <t>08 Oct 2026</t>
        </is>
      </c>
      <c r="G385" s="5" t="inlineStr">
        <is>
          <t>14 Nov 2026</t>
        </is>
      </c>
      <c r="H385" s="17" t="inlineStr">
        <is>
          <t>🟢 LIVE ACTIVE</t>
        </is>
      </c>
      <c r="I385" s="4" t="inlineStr">
        <is>
          <t>Section - 27  Techincal specification of Testing Instruments..pdf</t>
        </is>
      </c>
      <c r="J385" s="6" t="inlineStr">
        <is>
          <t>📕 PDF Document</t>
        </is>
      </c>
      <c r="K385" s="9" t="n">
        <v>629.7</v>
      </c>
      <c r="L385" s="10">
        <f>HYPERLINK("http://127.0.0.1:8000/api/documents/download?id=2643&amp;attachment=true", "⬇ Download Section - 27  Techincal ")</f>
        <v/>
      </c>
      <c r="M385" s="10">
        <f>HYPERLINK("http://localhost:5173/?state=Andhra%20Pradesh&amp;keyword=MIS&amp;tender=1002820", "🚀 Open in Portal")</f>
        <v/>
      </c>
    </row>
    <row r="386" ht="24" customHeight="1">
      <c r="A386" s="11" t="inlineStr">
        <is>
          <t>Andhra Pradesh</t>
        </is>
      </c>
      <c r="B386" s="12" t="inlineStr">
        <is>
          <t>MIS</t>
        </is>
      </c>
      <c r="C386" s="13" t="inlineStr">
        <is>
          <t>1002820</t>
        </is>
      </c>
      <c r="D386" s="14" t="inlineStr">
        <is>
          <t>Supply, Erection, testing &amp; Commissioning for (i) Upgradation of 132/33KV SS Rudravaram to 220/132/33KV SS (ii) Erection of 220KV DC line to proposed 220/132/33KV SS Rudravaram by making LILO of existing 220KV Srisailam -Mydukur SC Line on turnkey basis</t>
        </is>
      </c>
      <c r="E386" s="14" t="inlineStr">
        <is>
          <t>APTRANSCO WORKS-Chief Engineer Projects, Vijayawada</t>
        </is>
      </c>
      <c r="F386" s="13" t="inlineStr">
        <is>
          <t>08 Oct 2026</t>
        </is>
      </c>
      <c r="G386" s="12" t="inlineStr">
        <is>
          <t>14 Nov 2026</t>
        </is>
      </c>
      <c r="H386" s="17" t="inlineStr">
        <is>
          <t>🟢 LIVE ACTIVE</t>
        </is>
      </c>
      <c r="I386" s="11" t="inlineStr">
        <is>
          <t>Section - 28 -Technical specifications of cables.pdf</t>
        </is>
      </c>
      <c r="J386" s="13" t="inlineStr">
        <is>
          <t>📕 PDF Document</t>
        </is>
      </c>
      <c r="K386" s="15" t="n">
        <v>617.5</v>
      </c>
      <c r="L386" s="16">
        <f>HYPERLINK("http://127.0.0.1:8000/api/documents/download?id=2644&amp;attachment=true", "⬇ Download Section - 28 -Technical ")</f>
        <v/>
      </c>
      <c r="M386" s="16">
        <f>HYPERLINK("http://localhost:5173/?state=Andhra%20Pradesh&amp;keyword=MIS&amp;tender=1002820", "🚀 Open in Portal")</f>
        <v/>
      </c>
    </row>
    <row r="387" ht="24" customHeight="1">
      <c r="A387" s="4" t="inlineStr">
        <is>
          <t>Andhra Pradesh</t>
        </is>
      </c>
      <c r="B387" s="5" t="inlineStr">
        <is>
          <t>MIS</t>
        </is>
      </c>
      <c r="C387" s="6" t="inlineStr">
        <is>
          <t>1002820</t>
        </is>
      </c>
      <c r="D387" s="7" t="inlineStr">
        <is>
          <t>Supply, Erection, testing &amp; Commissioning for (i) Upgradation of 132/33KV SS Rudravaram to 220/132/33KV SS (ii) Erection of 220KV DC line to proposed 220/132/33KV SS Rudravaram by making LILO of existing 220KV Srisailam -Mydukur SC Line on turnkey basis</t>
        </is>
      </c>
      <c r="E387" s="7" t="inlineStr">
        <is>
          <t>APTRANSCO WORKS-Chief Engineer Projects, Vijayawada</t>
        </is>
      </c>
      <c r="F387" s="6" t="inlineStr">
        <is>
          <t>08 Oct 2026</t>
        </is>
      </c>
      <c r="G387" s="5" t="inlineStr">
        <is>
          <t>14 Nov 2026</t>
        </is>
      </c>
      <c r="H387" s="17" t="inlineStr">
        <is>
          <t>🟢 LIVE ACTIVE</t>
        </is>
      </c>
      <c r="I387" s="4" t="inlineStr">
        <is>
          <t>Section - 29 Long rod insulators.pdf</t>
        </is>
      </c>
      <c r="J387" s="6" t="inlineStr">
        <is>
          <t>📕 PDF Document</t>
        </is>
      </c>
      <c r="K387" s="9" t="n">
        <v>433.9</v>
      </c>
      <c r="L387" s="10">
        <f>HYPERLINK("http://127.0.0.1:8000/api/documents/download?id=2645&amp;attachment=true", "⬇ Download Section - 29 Long rod in")</f>
        <v/>
      </c>
      <c r="M387" s="10">
        <f>HYPERLINK("http://localhost:5173/?state=Andhra%20Pradesh&amp;keyword=MIS&amp;tender=1002820", "🚀 Open in Portal")</f>
        <v/>
      </c>
    </row>
    <row r="388" ht="24" customHeight="1">
      <c r="A388" s="11" t="inlineStr">
        <is>
          <t>Andhra Pradesh</t>
        </is>
      </c>
      <c r="B388" s="12" t="inlineStr">
        <is>
          <t>MIS</t>
        </is>
      </c>
      <c r="C388" s="13" t="inlineStr">
        <is>
          <t>1002820</t>
        </is>
      </c>
      <c r="D388" s="14" t="inlineStr">
        <is>
          <t>Supply, Erection, testing &amp; Commissioning for (i) Upgradation of 132/33KV SS Rudravaram to 220/132/33KV SS (ii) Erection of 220KV DC line to proposed 220/132/33KV SS Rudravaram by making LILO of existing 220KV Srisailam -Mydukur SC Line on turnkey basis</t>
        </is>
      </c>
      <c r="E388" s="14" t="inlineStr">
        <is>
          <t>APTRANSCO WORKS-Chief Engineer Projects, Vijayawada</t>
        </is>
      </c>
      <c r="F388" s="13" t="inlineStr">
        <is>
          <t>08 Oct 2026</t>
        </is>
      </c>
      <c r="G388" s="12" t="inlineStr">
        <is>
          <t>14 Nov 2026</t>
        </is>
      </c>
      <c r="H388" s="17" t="inlineStr">
        <is>
          <t>🟢 LIVE ACTIVE</t>
        </is>
      </c>
      <c r="I388" s="11" t="inlineStr">
        <is>
          <t>Section - 3 Surge Arrestors.pdf</t>
        </is>
      </c>
      <c r="J388" s="13" t="inlineStr">
        <is>
          <t>📕 PDF Document</t>
        </is>
      </c>
      <c r="K388" s="15" t="n">
        <v>431</v>
      </c>
      <c r="L388" s="16">
        <f>HYPERLINK("http://127.0.0.1:8000/api/documents/download?id=2646&amp;attachment=true", "⬇ Download Section - 3 Surge Arrest")</f>
        <v/>
      </c>
      <c r="M388" s="16">
        <f>HYPERLINK("http://localhost:5173/?state=Andhra%20Pradesh&amp;keyword=MIS&amp;tender=1002820", "🚀 Open in Portal")</f>
        <v/>
      </c>
    </row>
    <row r="389" ht="24" customHeight="1">
      <c r="A389" s="4" t="inlineStr">
        <is>
          <t>Andhra Pradesh</t>
        </is>
      </c>
      <c r="B389" s="5" t="inlineStr">
        <is>
          <t>MIS</t>
        </is>
      </c>
      <c r="C389" s="6" t="inlineStr">
        <is>
          <t>1002820</t>
        </is>
      </c>
      <c r="D389" s="7" t="inlineStr">
        <is>
          <t>Supply, Erection, testing &amp; Commissioning for (i) Upgradation of 132/33KV SS Rudravaram to 220/132/33KV SS (ii) Erection of 220KV DC line to proposed 220/132/33KV SS Rudravaram by making LILO of existing 220KV Srisailam -Mydukur SC Line on turnkey basis</t>
        </is>
      </c>
      <c r="E389" s="7" t="inlineStr">
        <is>
          <t>APTRANSCO WORKS-Chief Engineer Projects, Vijayawada</t>
        </is>
      </c>
      <c r="F389" s="6" t="inlineStr">
        <is>
          <t>08 Oct 2026</t>
        </is>
      </c>
      <c r="G389" s="5" t="inlineStr">
        <is>
          <t>14 Nov 2026</t>
        </is>
      </c>
      <c r="H389" s="17" t="inlineStr">
        <is>
          <t>🟢 LIVE ACTIVE</t>
        </is>
      </c>
      <c r="I389" s="4" t="inlineStr">
        <is>
          <t>Section - 30 Technical specification of AC unit &amp; Stabilizer.pdf</t>
        </is>
      </c>
      <c r="J389" s="6" t="inlineStr">
        <is>
          <t>📕 PDF Document</t>
        </is>
      </c>
      <c r="K389" s="9" t="n">
        <v>156.4</v>
      </c>
      <c r="L389" s="10">
        <f>HYPERLINK("http://127.0.0.1:8000/api/documents/download?id=2647&amp;attachment=true", "⬇ Download Section - 30 Technical s")</f>
        <v/>
      </c>
      <c r="M389" s="10">
        <f>HYPERLINK("http://localhost:5173/?state=Andhra%20Pradesh&amp;keyword=MIS&amp;tender=1002820", "🚀 Open in Portal")</f>
        <v/>
      </c>
    </row>
    <row r="390" ht="24" customHeight="1">
      <c r="A390" s="11" t="inlineStr">
        <is>
          <t>Andhra Pradesh</t>
        </is>
      </c>
      <c r="B390" s="12" t="inlineStr">
        <is>
          <t>MIS</t>
        </is>
      </c>
      <c r="C390" s="13" t="inlineStr">
        <is>
          <t>1002820</t>
        </is>
      </c>
      <c r="D390" s="14" t="inlineStr">
        <is>
          <t>Supply, Erection, testing &amp; Commissioning for (i) Upgradation of 132/33KV SS Rudravaram to 220/132/33KV SS (ii) Erection of 220KV DC line to proposed 220/132/33KV SS Rudravaram by making LILO of existing 220KV Srisailam -Mydukur SC Line on turnkey basis</t>
        </is>
      </c>
      <c r="E390" s="14" t="inlineStr">
        <is>
          <t>APTRANSCO WORKS-Chief Engineer Projects, Vijayawada</t>
        </is>
      </c>
      <c r="F390" s="13" t="inlineStr">
        <is>
          <t>08 Oct 2026</t>
        </is>
      </c>
      <c r="G390" s="12" t="inlineStr">
        <is>
          <t>14 Nov 2026</t>
        </is>
      </c>
      <c r="H390" s="17" t="inlineStr">
        <is>
          <t>🟢 LIVE ACTIVE</t>
        </is>
      </c>
      <c r="I390" s="11" t="inlineStr">
        <is>
          <t>Section - 31 Technical specification of MPLS FOTE &amp; NMS.pdf</t>
        </is>
      </c>
      <c r="J390" s="13" t="inlineStr">
        <is>
          <t>📕 PDF Document</t>
        </is>
      </c>
      <c r="K390" s="15" t="n">
        <v>946.7</v>
      </c>
      <c r="L390" s="16">
        <f>HYPERLINK("http://127.0.0.1:8000/api/documents/download?id=2648&amp;attachment=true", "⬇ Download Section - 31 Technical s")</f>
        <v/>
      </c>
      <c r="M390" s="16">
        <f>HYPERLINK("http://localhost:5173/?state=Andhra%20Pradesh&amp;keyword=MIS&amp;tender=1002820", "🚀 Open in Portal")</f>
        <v/>
      </c>
    </row>
    <row r="391" ht="24" customHeight="1">
      <c r="A391" s="4" t="inlineStr">
        <is>
          <t>Andhra Pradesh</t>
        </is>
      </c>
      <c r="B391" s="5" t="inlineStr">
        <is>
          <t>MIS</t>
        </is>
      </c>
      <c r="C391" s="6" t="inlineStr">
        <is>
          <t>1002820</t>
        </is>
      </c>
      <c r="D391" s="7" t="inlineStr">
        <is>
          <t>Supply, Erection, testing &amp; Commissioning for (i) Upgradation of 132/33KV SS Rudravaram to 220/132/33KV SS (ii) Erection of 220KV DC line to proposed 220/132/33KV SS Rudravaram by making LILO of existing 220KV Srisailam -Mydukur SC Line on turnkey basis</t>
        </is>
      </c>
      <c r="E391" s="7" t="inlineStr">
        <is>
          <t>APTRANSCO WORKS-Chief Engineer Projects, Vijayawada</t>
        </is>
      </c>
      <c r="F391" s="6" t="inlineStr">
        <is>
          <t>08 Oct 2026</t>
        </is>
      </c>
      <c r="G391" s="5" t="inlineStr">
        <is>
          <t>14 Nov 2026</t>
        </is>
      </c>
      <c r="H391" s="17" t="inlineStr">
        <is>
          <t>🟢 LIVE ACTIVE</t>
        </is>
      </c>
      <c r="I391" s="4" t="inlineStr">
        <is>
          <t>Section - 32 Tech Spec- SRC Insulators.pdf</t>
        </is>
      </c>
      <c r="J391" s="6" t="inlineStr">
        <is>
          <t>📕 PDF Document</t>
        </is>
      </c>
      <c r="K391" s="9" t="n">
        <v>423.9</v>
      </c>
      <c r="L391" s="10">
        <f>HYPERLINK("http://127.0.0.1:8000/api/documents/download?id=2649&amp;attachment=true", "⬇ Download Section - 32 Tech Spec- ")</f>
        <v/>
      </c>
      <c r="M391" s="10">
        <f>HYPERLINK("http://localhost:5173/?state=Andhra%20Pradesh&amp;keyword=MIS&amp;tender=1002820", "🚀 Open in Portal")</f>
        <v/>
      </c>
    </row>
    <row r="392" ht="24" customHeight="1">
      <c r="A392" s="11" t="inlineStr">
        <is>
          <t>Andhra Pradesh</t>
        </is>
      </c>
      <c r="B392" s="12" t="inlineStr">
        <is>
          <t>MIS</t>
        </is>
      </c>
      <c r="C392" s="13" t="inlineStr">
        <is>
          <t>1002820</t>
        </is>
      </c>
      <c r="D392" s="14" t="inlineStr">
        <is>
          <t>Supply, Erection, testing &amp; Commissioning for (i) Upgradation of 132/33KV SS Rudravaram to 220/132/33KV SS (ii) Erection of 220KV DC line to proposed 220/132/33KV SS Rudravaram by making LILO of existing 220KV Srisailam -Mydukur SC Line on turnkey basis</t>
        </is>
      </c>
      <c r="E392" s="14" t="inlineStr">
        <is>
          <t>APTRANSCO WORKS-Chief Engineer Projects, Vijayawada</t>
        </is>
      </c>
      <c r="F392" s="13" t="inlineStr">
        <is>
          <t>08 Oct 2026</t>
        </is>
      </c>
      <c r="G392" s="12" t="inlineStr">
        <is>
          <t>14 Nov 2026</t>
        </is>
      </c>
      <c r="H392" s="17" t="inlineStr">
        <is>
          <t>🟢 LIVE ACTIVE</t>
        </is>
      </c>
      <c r="I392" s="11" t="inlineStr">
        <is>
          <t>Section - 33 LED Specification.pdf</t>
        </is>
      </c>
      <c r="J392" s="13" t="inlineStr">
        <is>
          <t>📕 PDF Document</t>
        </is>
      </c>
      <c r="K392" s="15" t="n">
        <v>563</v>
      </c>
      <c r="L392" s="16">
        <f>HYPERLINK("http://127.0.0.1:8000/api/documents/download?id=2650&amp;attachment=true", "⬇ Download Section - 33 LED Specifi")</f>
        <v/>
      </c>
      <c r="M392" s="16">
        <f>HYPERLINK("http://localhost:5173/?state=Andhra%20Pradesh&amp;keyword=MIS&amp;tender=1002820", "🚀 Open in Portal")</f>
        <v/>
      </c>
    </row>
    <row r="393" ht="24" customHeight="1">
      <c r="A393" s="4" t="inlineStr">
        <is>
          <t>Andhra Pradesh</t>
        </is>
      </c>
      <c r="B393" s="5" t="inlineStr">
        <is>
          <t>MIS</t>
        </is>
      </c>
      <c r="C393" s="6" t="inlineStr">
        <is>
          <t>1002820</t>
        </is>
      </c>
      <c r="D393" s="7" t="inlineStr">
        <is>
          <t>Supply, Erection, testing &amp; Commissioning for (i) Upgradation of 132/33KV SS Rudravaram to 220/132/33KV SS (ii) Erection of 220KV DC line to proposed 220/132/33KV SS Rudravaram by making LILO of existing 220KV Srisailam -Mydukur SC Line on turnkey basis</t>
        </is>
      </c>
      <c r="E393" s="7" t="inlineStr">
        <is>
          <t>APTRANSCO WORKS-Chief Engineer Projects, Vijayawada</t>
        </is>
      </c>
      <c r="F393" s="6" t="inlineStr">
        <is>
          <t>08 Oct 2026</t>
        </is>
      </c>
      <c r="G393" s="5" t="inlineStr">
        <is>
          <t>14 Nov 2026</t>
        </is>
      </c>
      <c r="H393" s="17" t="inlineStr">
        <is>
          <t>🟢 LIVE ACTIVE</t>
        </is>
      </c>
      <c r="I393" s="4" t="inlineStr">
        <is>
          <t>Section - 34 ACSS Cond eq Conductor SPEC_Final.pdf</t>
        </is>
      </c>
      <c r="J393" s="6" t="inlineStr">
        <is>
          <t>📕 PDF Document</t>
        </is>
      </c>
      <c r="K393" s="9" t="n">
        <v>1084</v>
      </c>
      <c r="L393" s="10">
        <f>HYPERLINK("http://127.0.0.1:8000/api/documents/download?id=2651&amp;attachment=true", "⬇ Download Section - 34 ACSS Cond e")</f>
        <v/>
      </c>
      <c r="M393" s="10">
        <f>HYPERLINK("http://localhost:5173/?state=Andhra%20Pradesh&amp;keyword=MIS&amp;tender=1002820", "🚀 Open in Portal")</f>
        <v/>
      </c>
    </row>
    <row r="394" ht="24" customHeight="1">
      <c r="A394" s="11" t="inlineStr">
        <is>
          <t>Andhra Pradesh</t>
        </is>
      </c>
      <c r="B394" s="12" t="inlineStr">
        <is>
          <t>MIS</t>
        </is>
      </c>
      <c r="C394" s="13" t="inlineStr">
        <is>
          <t>1002820</t>
        </is>
      </c>
      <c r="D394" s="14" t="inlineStr">
        <is>
          <t>Supply, Erection, testing &amp; Commissioning for (i) Upgradation of 132/33KV SS Rudravaram to 220/132/33KV SS (ii) Erection of 220KV DC line to proposed 220/132/33KV SS Rudravaram by making LILO of existing 220KV Srisailam -Mydukur SC Line on turnkey basis</t>
        </is>
      </c>
      <c r="E394" s="14" t="inlineStr">
        <is>
          <t>APTRANSCO WORKS-Chief Engineer Projects, Vijayawada</t>
        </is>
      </c>
      <c r="F394" s="13" t="inlineStr">
        <is>
          <t>08 Oct 2026</t>
        </is>
      </c>
      <c r="G394" s="12" t="inlineStr">
        <is>
          <t>14 Nov 2026</t>
        </is>
      </c>
      <c r="H394" s="17" t="inlineStr">
        <is>
          <t>🟢 LIVE ACTIVE</t>
        </is>
      </c>
      <c r="I394" s="11" t="inlineStr">
        <is>
          <t>Section - 4 Isolator Mettalics.pdf</t>
        </is>
      </c>
      <c r="J394" s="13" t="inlineStr">
        <is>
          <t>📕 PDF Document</t>
        </is>
      </c>
      <c r="K394" s="15" t="n">
        <v>514.5</v>
      </c>
      <c r="L394" s="16">
        <f>HYPERLINK("http://127.0.0.1:8000/api/documents/download?id=2652&amp;attachment=true", "⬇ Download Section - 4 Isolator Met")</f>
        <v/>
      </c>
      <c r="M394" s="16">
        <f>HYPERLINK("http://localhost:5173/?state=Andhra%20Pradesh&amp;keyword=MIS&amp;tender=1002820", "🚀 Open in Portal")</f>
        <v/>
      </c>
    </row>
    <row r="395" ht="24" customHeight="1">
      <c r="A395" s="4" t="inlineStr">
        <is>
          <t>Andhra Pradesh</t>
        </is>
      </c>
      <c r="B395" s="5" t="inlineStr">
        <is>
          <t>MIS</t>
        </is>
      </c>
      <c r="C395" s="6" t="inlineStr">
        <is>
          <t>1002820</t>
        </is>
      </c>
      <c r="D395" s="7" t="inlineStr">
        <is>
          <t>Supply, Erection, testing &amp; Commissioning for (i) Upgradation of 132/33KV SS Rudravaram to 220/132/33KV SS (ii) Erection of 220KV DC line to proposed 220/132/33KV SS Rudravaram by making LILO of existing 220KV Srisailam -Mydukur SC Line on turnkey basis</t>
        </is>
      </c>
      <c r="E395" s="7" t="inlineStr">
        <is>
          <t>APTRANSCO WORKS-Chief Engineer Projects, Vijayawada</t>
        </is>
      </c>
      <c r="F395" s="6" t="inlineStr">
        <is>
          <t>08 Oct 2026</t>
        </is>
      </c>
      <c r="G395" s="5" t="inlineStr">
        <is>
          <t>14 Nov 2026</t>
        </is>
      </c>
      <c r="H395" s="17" t="inlineStr">
        <is>
          <t>🟢 LIVE ACTIVE</t>
        </is>
      </c>
      <c r="I395" s="4" t="inlineStr">
        <is>
          <t>Section - 5 Solid core  insulators.pdf</t>
        </is>
      </c>
      <c r="J395" s="6" t="inlineStr">
        <is>
          <t>📕 PDF Document</t>
        </is>
      </c>
      <c r="K395" s="9" t="n">
        <v>289.7</v>
      </c>
      <c r="L395" s="10">
        <f>HYPERLINK("http://127.0.0.1:8000/api/documents/download?id=2653&amp;attachment=true", "⬇ Download Section - 5 Solid core  ")</f>
        <v/>
      </c>
      <c r="M395" s="10">
        <f>HYPERLINK("http://localhost:5173/?state=Andhra%20Pradesh&amp;keyword=MIS&amp;tender=1002820", "🚀 Open in Portal")</f>
        <v/>
      </c>
    </row>
    <row r="396" ht="24" customHeight="1">
      <c r="A396" s="11" t="inlineStr">
        <is>
          <t>Andhra Pradesh</t>
        </is>
      </c>
      <c r="B396" s="12" t="inlineStr">
        <is>
          <t>MIS</t>
        </is>
      </c>
      <c r="C396" s="13" t="inlineStr">
        <is>
          <t>1002820</t>
        </is>
      </c>
      <c r="D396" s="14" t="inlineStr">
        <is>
          <t>Supply, Erection, testing &amp; Commissioning for (i) Upgradation of 132/33KV SS Rudravaram to 220/132/33KV SS (ii) Erection of 220KV DC line to proposed 220/132/33KV SS Rudravaram by making LILO of existing 220KV Srisailam -Mydukur SC Line on turnkey basis</t>
        </is>
      </c>
      <c r="E396" s="14" t="inlineStr">
        <is>
          <t>APTRANSCO WORKS-Chief Engineer Projects, Vijayawada</t>
        </is>
      </c>
      <c r="F396" s="13" t="inlineStr">
        <is>
          <t>08 Oct 2026</t>
        </is>
      </c>
      <c r="G396" s="12" t="inlineStr">
        <is>
          <t>14 Nov 2026</t>
        </is>
      </c>
      <c r="H396" s="17" t="inlineStr">
        <is>
          <t>🟢 LIVE ACTIVE</t>
        </is>
      </c>
      <c r="I396" s="11" t="inlineStr">
        <is>
          <t>Section - 6 Control _ Power Cables.pdf</t>
        </is>
      </c>
      <c r="J396" s="13" t="inlineStr">
        <is>
          <t>📕 PDF Document</t>
        </is>
      </c>
      <c r="K396" s="15" t="n">
        <v>420.2</v>
      </c>
      <c r="L396" s="16">
        <f>HYPERLINK("http://127.0.0.1:8000/api/documents/download?id=2654&amp;attachment=true", "⬇ Download Section - 6 Control _ Po")</f>
        <v/>
      </c>
      <c r="M396" s="16">
        <f>HYPERLINK("http://localhost:5173/?state=Andhra%20Pradesh&amp;keyword=MIS&amp;tender=1002820", "🚀 Open in Portal")</f>
        <v/>
      </c>
    </row>
    <row r="397" ht="24" customHeight="1">
      <c r="A397" s="4" t="inlineStr">
        <is>
          <t>Andhra Pradesh</t>
        </is>
      </c>
      <c r="B397" s="5" t="inlineStr">
        <is>
          <t>MIS</t>
        </is>
      </c>
      <c r="C397" s="6" t="inlineStr">
        <is>
          <t>1002820</t>
        </is>
      </c>
      <c r="D397" s="7" t="inlineStr">
        <is>
          <t>Supply, Erection, testing &amp; Commissioning for (i) Upgradation of 132/33KV SS Rudravaram to 220/132/33KV SS (ii) Erection of 220KV DC line to proposed 220/132/33KV SS Rudravaram by making LILO of existing 220KV Srisailam -Mydukur SC Line on turnkey basis</t>
        </is>
      </c>
      <c r="E397" s="7" t="inlineStr">
        <is>
          <t>APTRANSCO WORKS-Chief Engineer Projects, Vijayawada</t>
        </is>
      </c>
      <c r="F397" s="6" t="inlineStr">
        <is>
          <t>08 Oct 2026</t>
        </is>
      </c>
      <c r="G397" s="5" t="inlineStr">
        <is>
          <t>14 Nov 2026</t>
        </is>
      </c>
      <c r="H397" s="17" t="inlineStr">
        <is>
          <t>🟢 LIVE ACTIVE</t>
        </is>
      </c>
      <c r="I397" s="4" t="inlineStr">
        <is>
          <t>Section - 7 Battery set &amp; battery charger.pdf</t>
        </is>
      </c>
      <c r="J397" s="6" t="inlineStr">
        <is>
          <t>📕 PDF Document</t>
        </is>
      </c>
      <c r="K397" s="9" t="n">
        <v>1452.5</v>
      </c>
      <c r="L397" s="10">
        <f>HYPERLINK("http://127.0.0.1:8000/api/documents/download?id=2655&amp;attachment=true", "⬇ Download Section - 7 Battery set ")</f>
        <v/>
      </c>
      <c r="M397" s="10">
        <f>HYPERLINK("http://localhost:5173/?state=Andhra%20Pradesh&amp;keyword=MIS&amp;tender=1002820", "🚀 Open in Portal")</f>
        <v/>
      </c>
    </row>
    <row r="398" ht="24" customHeight="1">
      <c r="A398" s="11" t="inlineStr">
        <is>
          <t>Andhra Pradesh</t>
        </is>
      </c>
      <c r="B398" s="12" t="inlineStr">
        <is>
          <t>MIS</t>
        </is>
      </c>
      <c r="C398" s="13" t="inlineStr">
        <is>
          <t>1002820</t>
        </is>
      </c>
      <c r="D398" s="14" t="inlineStr">
        <is>
          <t>Supply, Erection, testing &amp; Commissioning for (i) Upgradation of 132/33KV SS Rudravaram to 220/132/33KV SS (ii) Erection of 220KV DC line to proposed 220/132/33KV SS Rudravaram by making LILO of existing 220KV Srisailam -Mydukur SC Line on turnkey basis</t>
        </is>
      </c>
      <c r="E398" s="14" t="inlineStr">
        <is>
          <t>APTRANSCO WORKS-Chief Engineer Projects, Vijayawada</t>
        </is>
      </c>
      <c r="F398" s="13" t="inlineStr">
        <is>
          <t>08 Oct 2026</t>
        </is>
      </c>
      <c r="G398" s="12" t="inlineStr">
        <is>
          <t>14 Nov 2026</t>
        </is>
      </c>
      <c r="H398" s="17" t="inlineStr">
        <is>
          <t>🟢 LIVE ACTIVE</t>
        </is>
      </c>
      <c r="I398" s="11" t="inlineStr">
        <is>
          <t>Section - 8 Circuit Breakers.pdf</t>
        </is>
      </c>
      <c r="J398" s="13" t="inlineStr">
        <is>
          <t>📕 PDF Document</t>
        </is>
      </c>
      <c r="K398" s="15" t="n">
        <v>871.7</v>
      </c>
      <c r="L398" s="16">
        <f>HYPERLINK("http://127.0.0.1:8000/api/documents/download?id=2656&amp;attachment=true", "⬇ Download Section - 8 Circuit Brea")</f>
        <v/>
      </c>
      <c r="M398" s="16">
        <f>HYPERLINK("http://localhost:5173/?state=Andhra%20Pradesh&amp;keyword=MIS&amp;tender=1002820", "🚀 Open in Portal")</f>
        <v/>
      </c>
    </row>
    <row r="399" ht="24" customHeight="1">
      <c r="A399" s="4" t="inlineStr">
        <is>
          <t>Andhra Pradesh</t>
        </is>
      </c>
      <c r="B399" s="5" t="inlineStr">
        <is>
          <t>MIS</t>
        </is>
      </c>
      <c r="C399" s="6" t="inlineStr">
        <is>
          <t>1002820</t>
        </is>
      </c>
      <c r="D399" s="7" t="inlineStr">
        <is>
          <t>Supply, Erection, testing &amp; Commissioning for (i) Upgradation of 132/33KV SS Rudravaram to 220/132/33KV SS (ii) Erection of 220KV DC line to proposed 220/132/33KV SS Rudravaram by making LILO of existing 220KV Srisailam -Mydukur SC Line on turnkey basis</t>
        </is>
      </c>
      <c r="E399" s="7" t="inlineStr">
        <is>
          <t>APTRANSCO WORKS-Chief Engineer Projects, Vijayawada</t>
        </is>
      </c>
      <c r="F399" s="6" t="inlineStr">
        <is>
          <t>08 Oct 2026</t>
        </is>
      </c>
      <c r="G399" s="5" t="inlineStr">
        <is>
          <t>14 Nov 2026</t>
        </is>
      </c>
      <c r="H399" s="17" t="inlineStr">
        <is>
          <t>🟢 LIVE ACTIVE</t>
        </is>
      </c>
      <c r="I399" s="4" t="inlineStr">
        <is>
          <t>Section - 9  LTAC Panel.pdf</t>
        </is>
      </c>
      <c r="J399" s="6" t="inlineStr">
        <is>
          <t>📕 PDF Document</t>
        </is>
      </c>
      <c r="K399" s="9" t="n">
        <v>539</v>
      </c>
      <c r="L399" s="10">
        <f>HYPERLINK("http://127.0.0.1:8000/api/documents/download?id=2657&amp;attachment=true", "⬇ Download Section - 9  LTAC Panel.")</f>
        <v/>
      </c>
      <c r="M399" s="10">
        <f>HYPERLINK("http://localhost:5173/?state=Andhra%20Pradesh&amp;keyword=MIS&amp;tender=1002820", "🚀 Open in Portal")</f>
        <v/>
      </c>
    </row>
    <row r="400" ht="24" customHeight="1">
      <c r="A400" s="11" t="inlineStr">
        <is>
          <t>Andhra Pradesh</t>
        </is>
      </c>
      <c r="B400" s="12" t="inlineStr">
        <is>
          <t>MIS</t>
        </is>
      </c>
      <c r="C400" s="13" t="inlineStr">
        <is>
          <t>1002820</t>
        </is>
      </c>
      <c r="D400" s="14" t="inlineStr">
        <is>
          <t>Supply, Erection, testing &amp; Commissioning for (i) Upgradation of 132/33KV SS Rudravaram to 220/132/33KV SS (ii) Erection of 220KV DC line to proposed 220/132/33KV SS Rudravaram by making LILO of existing 220KV Srisailam -Mydukur SC Line on turnkey basis</t>
        </is>
      </c>
      <c r="E400" s="14" t="inlineStr">
        <is>
          <t>APTRANSCO WORKS-Chief Engineer Projects, Vijayawada</t>
        </is>
      </c>
      <c r="F400" s="13" t="inlineStr">
        <is>
          <t>08 Oct 2026</t>
        </is>
      </c>
      <c r="G400" s="12" t="inlineStr">
        <is>
          <t>14 Nov 2026</t>
        </is>
      </c>
      <c r="H400" s="17" t="inlineStr">
        <is>
          <t>🟢 LIVE ACTIVE</t>
        </is>
      </c>
      <c r="I400" s="11" t="inlineStr">
        <is>
          <t>Volume 2 Tech Spec.zip</t>
        </is>
      </c>
      <c r="J400" s="13" t="inlineStr">
        <is>
          <t>📦 ZIP Package</t>
        </is>
      </c>
      <c r="K400" s="15" t="n">
        <v>16488.7</v>
      </c>
      <c r="L400" s="16">
        <f>HYPERLINK("http://127.0.0.1:8000/api/documents/download?id=2658&amp;attachment=true", "⬇ Download Volume 2 Tech Spec.zip")</f>
        <v/>
      </c>
      <c r="M400" s="16">
        <f>HYPERLINK("http://localhost:5173/?state=Andhra%20Pradesh&amp;keyword=MIS&amp;tender=1002820", "🚀 Open in Portal")</f>
        <v/>
      </c>
    </row>
    <row r="401" ht="24" customHeight="1">
      <c r="A401" s="4" t="inlineStr">
        <is>
          <t>Andhra Pradesh</t>
        </is>
      </c>
      <c r="B401" s="5" t="inlineStr">
        <is>
          <t>MIS</t>
        </is>
      </c>
      <c r="C401" s="6" t="inlineStr">
        <is>
          <t>1002820</t>
        </is>
      </c>
      <c r="D401" s="7" t="inlineStr">
        <is>
          <t>Supply, Erection, testing &amp; Commissioning for (i) Upgradation of 132/33KV SS Rudravaram to 220/132/33KV SS (ii) Erection of 220KV DC line to proposed 220/132/33KV SS Rudravaram by making LILO of existing 220KV Srisailam -Mydukur SC Line on turnkey basis</t>
        </is>
      </c>
      <c r="E401" s="7" t="inlineStr">
        <is>
          <t>APTRANSCO WORKS-Chief Engineer Projects, Vijayawada</t>
        </is>
      </c>
      <c r="F401" s="6" t="inlineStr">
        <is>
          <t>08 Oct 2026</t>
        </is>
      </c>
      <c r="G401" s="5" t="inlineStr">
        <is>
          <t>14 Nov 2026</t>
        </is>
      </c>
      <c r="H401" s="17" t="inlineStr">
        <is>
          <t>🟢 LIVE ACTIVE</t>
        </is>
      </c>
      <c r="I401" s="4" t="inlineStr">
        <is>
          <t>Volume-I Tender Spec.zip</t>
        </is>
      </c>
      <c r="J401" s="6" t="inlineStr">
        <is>
          <t>📦 ZIP Package</t>
        </is>
      </c>
      <c r="K401" s="9" t="n">
        <v>2918.7</v>
      </c>
      <c r="L401" s="10">
        <f>HYPERLINK("http://127.0.0.1:8000/api/documents/download?id=2660&amp;attachment=true", "⬇ Download Volume-I Tender Spec.zip")</f>
        <v/>
      </c>
      <c r="M401" s="10">
        <f>HYPERLINK("http://localhost:5173/?state=Andhra%20Pradesh&amp;keyword=MIS&amp;tender=1002820", "🚀 Open in Portal")</f>
        <v/>
      </c>
    </row>
    <row r="402" ht="20" customHeight="1">
      <c r="A402" s="19" t="inlineStr">
        <is>
          <t>Andhra Pradesh</t>
        </is>
      </c>
      <c r="B402" s="19" t="inlineStr">
        <is>
          <t>MIS</t>
        </is>
      </c>
      <c r="C402" s="19" t="inlineStr">
        <is>
          <t>1002820 (pkg)</t>
        </is>
      </c>
      <c r="D402" s="19" t="inlineStr">
        <is>
          <t>↳ Part of: Volume-I Tender Spec.zip</t>
        </is>
      </c>
      <c r="E402" s="19" t="inlineStr">
        <is>
          <t>APTRANSCO WORKS-Chief Engineer Projects, Vijayawada</t>
        </is>
      </c>
      <c r="F402" s="19" t="inlineStr">
        <is>
          <t>08 Oct 2026</t>
        </is>
      </c>
      <c r="G402" s="19" t="inlineStr">
        <is>
          <t>14 Nov 2026</t>
        </is>
      </c>
      <c r="H402" s="19" t="inlineStr">
        <is>
          <t>📂 PACKAGE FILE</t>
        </is>
      </c>
      <c r="I402" s="20" t="inlineStr">
        <is>
          <t xml:space="preserve">  ↳ Volume-I Tender Spec.docx</t>
        </is>
      </c>
      <c r="J402" s="19" t="inlineStr">
        <is>
          <t>Section Doc</t>
        </is>
      </c>
      <c r="K402" s="19" t="n">
        <v>3061.5</v>
      </c>
      <c r="L402" s="21">
        <f>HYPERLINK("http://127.0.0.1:8000/api/documents/download?id=2659&amp;attachment=true", "⬇ Download Volume-I Tender Spec")</f>
        <v/>
      </c>
      <c r="M402" s="21">
        <f>HYPERLINK("http://localhost:5173/?state=Andhra%20Pradesh&amp;keyword=MIS&amp;tender=1002820", "🚀 Open")</f>
        <v/>
      </c>
    </row>
    <row r="403" ht="24" customHeight="1">
      <c r="A403" s="4" t="inlineStr">
        <is>
          <t>Andhra Pradesh</t>
        </is>
      </c>
      <c r="B403" s="5" t="inlineStr">
        <is>
          <t>MIS</t>
        </is>
      </c>
      <c r="C403" s="6" t="inlineStr">
        <is>
          <t>1002820</t>
        </is>
      </c>
      <c r="D403" s="7" t="inlineStr">
        <is>
          <t>Supply, Erection, testing &amp; Commissioning for (i) Upgradation of 132/33KV SS Rudravaram to 220/132/33KV SS (ii) Erection of 220KV DC line to proposed 220/132/33KV SS Rudravaram by making LILO of existing 220KV Srisailam -Mydukur SC Line on turnkey basis</t>
        </is>
      </c>
      <c r="E403" s="7" t="inlineStr">
        <is>
          <t>APTRANSCO WORKS-Chief Engineer Projects, Vijayawada</t>
        </is>
      </c>
      <c r="F403" s="6" t="inlineStr">
        <is>
          <t>08 Oct 2026</t>
        </is>
      </c>
      <c r="G403" s="5" t="inlineStr">
        <is>
          <t>14 Nov 2026</t>
        </is>
      </c>
      <c r="H403" s="17" t="inlineStr">
        <is>
          <t>🟢 LIVE ACTIVE</t>
        </is>
      </c>
      <c r="I403" s="4" t="inlineStr">
        <is>
          <t>Commercial schedules.zip</t>
        </is>
      </c>
      <c r="J403" s="6" t="inlineStr">
        <is>
          <t>📦 ZIP Package</t>
        </is>
      </c>
      <c r="K403" s="9" t="n">
        <v>204.7</v>
      </c>
      <c r="L403" s="10">
        <f>HYPERLINK("http://127.0.0.1:8000/api/documents/download?id=2662&amp;attachment=true", "⬇ Download Commercial schedules.zip")</f>
        <v/>
      </c>
      <c r="M403" s="10">
        <f>HYPERLINK("http://localhost:5173/?state=Andhra%20Pradesh&amp;keyword=MIS&amp;tender=1002820", "🚀 Open in Portal")</f>
        <v/>
      </c>
    </row>
    <row r="404" ht="20" customHeight="1">
      <c r="A404" s="19" t="inlineStr">
        <is>
          <t>Andhra Pradesh</t>
        </is>
      </c>
      <c r="B404" s="19" t="inlineStr">
        <is>
          <t>MIS</t>
        </is>
      </c>
      <c r="C404" s="19" t="inlineStr">
        <is>
          <t>1002820 (pkg)</t>
        </is>
      </c>
      <c r="D404" s="19" t="inlineStr">
        <is>
          <t>↳ Part of: Commercial schedules.zip</t>
        </is>
      </c>
      <c r="E404" s="19" t="inlineStr">
        <is>
          <t>APTRANSCO WORKS-Chief Engineer Projects, Vijayawada</t>
        </is>
      </c>
      <c r="F404" s="19" t="inlineStr">
        <is>
          <t>08 Oct 2026</t>
        </is>
      </c>
      <c r="G404" s="19" t="inlineStr">
        <is>
          <t>14 Nov 2026</t>
        </is>
      </c>
      <c r="H404" s="19" t="inlineStr">
        <is>
          <t>📂 PACKAGE FILE</t>
        </is>
      </c>
      <c r="I404" s="20" t="inlineStr">
        <is>
          <t xml:space="preserve">  ↳ Commercial schedules.xlsx</t>
        </is>
      </c>
      <c r="J404" s="19" t="inlineStr">
        <is>
          <t>Section Doc</t>
        </is>
      </c>
      <c r="K404" s="19" t="n">
        <v>249.6</v>
      </c>
      <c r="L404" s="21">
        <f>HYPERLINK("http://127.0.0.1:8000/api/documents/download?id=2661&amp;attachment=true", "⬇ Download Commercial schedules")</f>
        <v/>
      </c>
      <c r="M404" s="21">
        <f>HYPERLINK("http://localhost:5173/?state=Andhra%20Pradesh&amp;keyword=MIS&amp;tender=1002820", "🚀 Open")</f>
        <v/>
      </c>
    </row>
    <row r="405" ht="24" customHeight="1">
      <c r="A405" s="4" t="inlineStr">
        <is>
          <t>Andhra Pradesh</t>
        </is>
      </c>
      <c r="B405" s="5" t="inlineStr">
        <is>
          <t>MIS</t>
        </is>
      </c>
      <c r="C405" s="6" t="inlineStr">
        <is>
          <t>1002820</t>
        </is>
      </c>
      <c r="D405" s="7" t="inlineStr">
        <is>
          <t>Supply, Erection, testing &amp; Commissioning for (i) Upgradation of 132/33KV SS Rudravaram to 220/132/33KV SS (ii) Erection of 220KV DC line to proposed 220/132/33KV SS Rudravaram by making LILO of existing 220KV Srisailam -Mydukur SC Line on turnkey basis</t>
        </is>
      </c>
      <c r="E405" s="7" t="inlineStr">
        <is>
          <t>APTRANSCO WORKS-Chief Engineer Projects, Vijayawada</t>
        </is>
      </c>
      <c r="F405" s="6" t="inlineStr">
        <is>
          <t>08 Oct 2026</t>
        </is>
      </c>
      <c r="G405" s="5" t="inlineStr">
        <is>
          <t>14 Nov 2026</t>
        </is>
      </c>
      <c r="H405" s="17" t="inlineStr">
        <is>
          <t>🟢 LIVE ACTIVE</t>
        </is>
      </c>
      <c r="I405" s="4" t="inlineStr">
        <is>
          <t>Tender_1002820_All_Documents.zip</t>
        </is>
      </c>
      <c r="J405" s="6" t="inlineStr">
        <is>
          <t>📦 ZIP Package</t>
        </is>
      </c>
      <c r="K405" s="9" t="n">
        <v>3683.3</v>
      </c>
      <c r="L405" s="10">
        <f>HYPERLINK("http://127.0.0.1:8000/api/documents/download?id=2622&amp;attachment=true", "⬇ Download Tender_1002820_All_Docum")</f>
        <v/>
      </c>
      <c r="M405" s="10">
        <f>HYPERLINK("http://localhost:5173/?state=Andhra%20Pradesh&amp;keyword=MIS&amp;tender=1002820", "🚀 Open in Portal")</f>
        <v/>
      </c>
    </row>
    <row r="406" ht="24" customHeight="1">
      <c r="A406" s="11" t="inlineStr">
        <is>
          <t>Andhra Pradesh</t>
        </is>
      </c>
      <c r="B406" s="12" t="inlineStr">
        <is>
          <t>MIS</t>
        </is>
      </c>
      <c r="C406" s="13" t="inlineStr">
        <is>
          <t>972034</t>
        </is>
      </c>
      <c r="D406" s="14" t="inlineStr">
        <is>
          <t>Appointment of SCADA Implementation Agency (SIA) for Design, engineering, supply, integration, installation, testing &amp; commissioning of SCADA software applications, Dispatcher Training Simulator (DTS) , SCADA hardware and SCADA Enablers at Substations in cities of Visakhapatnam &amp; Rajamahendravaram in APEPDCL (Outdoor Breakers and RMUs will be supplied by APEPDCL)</t>
        </is>
      </c>
      <c r="E406" s="14" t="inlineStr">
        <is>
          <t>EASTERN POWER DISTRIBUTION COMPANY OF A.P LIMITED-PROJECTS</t>
        </is>
      </c>
      <c r="F406" s="13" t="inlineStr">
        <is>
          <t>10 Sep 2026</t>
        </is>
      </c>
      <c r="G406" s="12" t="inlineStr">
        <is>
          <t>09 Oct 2026</t>
        </is>
      </c>
      <c r="H406" s="8" t="inlineStr">
        <is>
          <t>⏳ UPCOMING</t>
        </is>
      </c>
      <c r="I406" s="11" t="inlineStr">
        <is>
          <t>BOQ for RFB No 01 2026 27 SCADA Upgradation.xlsx</t>
        </is>
      </c>
      <c r="J406" s="13" t="inlineStr">
        <is>
          <t>📊 Excel BOQ</t>
        </is>
      </c>
      <c r="K406" s="15" t="n">
        <v>357.5</v>
      </c>
      <c r="L406" s="16">
        <f>HYPERLINK("http://127.0.0.1:8000/api/documents/download?id=2614&amp;attachment=true", "⬇ Download BOQ for RFB No 01 2026 2")</f>
        <v/>
      </c>
      <c r="M406" s="16">
        <f>HYPERLINK("http://localhost:5173/?state=Andhra%20Pradesh&amp;keyword=MIS&amp;tender=972034", "🚀 Open in Portal")</f>
        <v/>
      </c>
    </row>
    <row r="407" ht="24" customHeight="1">
      <c r="A407" s="4" t="inlineStr">
        <is>
          <t>Andhra Pradesh</t>
        </is>
      </c>
      <c r="B407" s="5" t="inlineStr">
        <is>
          <t>MIS</t>
        </is>
      </c>
      <c r="C407" s="6" t="inlineStr">
        <is>
          <t>972034</t>
        </is>
      </c>
      <c r="D407" s="7" t="inlineStr">
        <is>
          <t>Appointment of SCADA Implementation Agency (SIA) for Design, engineering, supply, integration, installation, testing &amp; commissioning of SCADA software applications, Dispatcher Training Simulator (DTS) , SCADA hardware and SCADA Enablers at Substations in cities of Visakhapatnam &amp; Rajamahendravaram in APEPDCL (Outdoor Breakers and RMUs will be supplied by APEPDCL)</t>
        </is>
      </c>
      <c r="E407" s="7" t="inlineStr">
        <is>
          <t>EASTERN POWER DISTRIBUTION COMPANY OF A.P LIMITED-PROJECTS</t>
        </is>
      </c>
      <c r="F407" s="6" t="inlineStr">
        <is>
          <t>10 Sep 2026</t>
        </is>
      </c>
      <c r="G407" s="5" t="inlineStr">
        <is>
          <t>09 Oct 2026</t>
        </is>
      </c>
      <c r="H407" s="8" t="inlineStr">
        <is>
          <t>⏳ UPCOMING</t>
        </is>
      </c>
      <c r="I407" s="4" t="inlineStr">
        <is>
          <t>RFP for SCADA Upgradation V3.pdf</t>
        </is>
      </c>
      <c r="J407" s="6" t="inlineStr">
        <is>
          <t>📕 PDF Document</t>
        </is>
      </c>
      <c r="K407" s="9" t="n">
        <v>23671</v>
      </c>
      <c r="L407" s="10">
        <f>HYPERLINK("http://127.0.0.1:8000/api/documents/download?id=2615&amp;attachment=true", "⬇ Download RFP for SCADA Upgradatio")</f>
        <v/>
      </c>
      <c r="M407" s="10">
        <f>HYPERLINK("http://localhost:5173/?state=Andhra%20Pradesh&amp;keyword=MIS&amp;tender=972034", "🚀 Open in Portal")</f>
        <v/>
      </c>
    </row>
    <row r="408" ht="24" customHeight="1">
      <c r="A408" s="11" t="inlineStr">
        <is>
          <t>Andhra Pradesh</t>
        </is>
      </c>
      <c r="B408" s="12" t="inlineStr">
        <is>
          <t>MIS</t>
        </is>
      </c>
      <c r="C408" s="13" t="inlineStr">
        <is>
          <t>972034</t>
        </is>
      </c>
      <c r="D408" s="14" t="inlineStr">
        <is>
          <t>Appointment of SCADA Implementation Agency (SIA) for Design, engineering, supply, integration, installation, testing &amp; commissioning of SCADA software applications, Dispatcher Training Simulator (DTS) , SCADA hardware and SCADA Enablers at Substations in cities of Visakhapatnam &amp; Rajamahendravaram in APEPDCL (Outdoor Breakers and RMUs will be supplied by APEPDCL)</t>
        </is>
      </c>
      <c r="E408" s="14" t="inlineStr">
        <is>
          <t>EASTERN POWER DISTRIBUTION COMPANY OF A.P LIMITED-PROJECTS</t>
        </is>
      </c>
      <c r="F408" s="13" t="inlineStr">
        <is>
          <t>10 Sep 2026</t>
        </is>
      </c>
      <c r="G408" s="12" t="inlineStr">
        <is>
          <t>09 Oct 2026</t>
        </is>
      </c>
      <c r="H408" s="8" t="inlineStr">
        <is>
          <t>⏳ UPCOMING</t>
        </is>
      </c>
      <c r="I408" s="11" t="inlineStr">
        <is>
          <t>Tender_972034_All_Documents.zip</t>
        </is>
      </c>
      <c r="J408" s="13" t="inlineStr">
        <is>
          <t>📦 ZIP Package</t>
        </is>
      </c>
      <c r="K408" s="15" t="n">
        <v>11.7</v>
      </c>
      <c r="L408" s="16">
        <f>HYPERLINK("http://127.0.0.1:8000/api/documents/download?id=2616&amp;attachment=true", "⬇ Download Tender_972034_All_Docume")</f>
        <v/>
      </c>
      <c r="M408" s="16">
        <f>HYPERLINK("http://localhost:5173/?state=Andhra%20Pradesh&amp;keyword=MIS&amp;tender=972034", "🚀 Open in Portal")</f>
        <v/>
      </c>
    </row>
    <row r="409" ht="24" customHeight="1">
      <c r="A409" s="4" t="inlineStr">
        <is>
          <t>Andhra Pradesh</t>
        </is>
      </c>
      <c r="B409" s="5" t="inlineStr">
        <is>
          <t>MIS</t>
        </is>
      </c>
      <c r="C409" s="6" t="inlineStr">
        <is>
          <t>987910</t>
        </is>
      </c>
      <c r="D409" s="7" t="inlineStr">
        <is>
          <t>Supply, Erection, Testing and commissioning of 33kV features at 400/220/11kV Guddigudem SS with 2Nos. 220/33kV , 50MVA PTRs on LS basis.</t>
        </is>
      </c>
      <c r="E409" s="7" t="inlineStr">
        <is>
          <t>APTRANSCO WORKS-Chief Engineer Projects, Vijayawada</t>
        </is>
      </c>
      <c r="F409" s="6" t="inlineStr">
        <is>
          <t>22 Jul 2026</t>
        </is>
      </c>
      <c r="G409" s="5" t="inlineStr">
        <is>
          <t>15 Aug 2026</t>
        </is>
      </c>
      <c r="H409" s="8" t="inlineStr">
        <is>
          <t>⏳ UPCOMING</t>
        </is>
      </c>
      <c r="I409" s="4" t="inlineStr">
        <is>
          <t>VOL 1 0.0 Cover page Vol 1.doc</t>
        </is>
      </c>
      <c r="J409" s="6" t="inlineStr">
        <is>
          <t>📄 DOC</t>
        </is>
      </c>
      <c r="K409" s="9" t="n">
        <v>284</v>
      </c>
      <c r="L409" s="10">
        <f>HYPERLINK("http://127.0.0.1:8000/api/documents/download?id=2663&amp;attachment=true", "⬇ Download VOL 1 0.0 Cover page Vol")</f>
        <v/>
      </c>
      <c r="M409" s="10">
        <f>HYPERLINK("http://localhost:5173/?state=Andhra%20Pradesh&amp;keyword=MIS&amp;tender=987910", "🚀 Open in Portal")</f>
        <v/>
      </c>
    </row>
    <row r="410" ht="24" customHeight="1">
      <c r="A410" s="11" t="inlineStr">
        <is>
          <t>Andhra Pradesh</t>
        </is>
      </c>
      <c r="B410" s="12" t="inlineStr">
        <is>
          <t>MIS</t>
        </is>
      </c>
      <c r="C410" s="13" t="inlineStr">
        <is>
          <t>987910</t>
        </is>
      </c>
      <c r="D410" s="14" t="inlineStr">
        <is>
          <t>Supply, Erection, Testing and commissioning of 33kV features at 400/220/11kV Guddigudem SS with 2Nos. 220/33kV , 50MVA PTRs on LS basis.</t>
        </is>
      </c>
      <c r="E410" s="14" t="inlineStr">
        <is>
          <t>APTRANSCO WORKS-Chief Engineer Projects, Vijayawada</t>
        </is>
      </c>
      <c r="F410" s="13" t="inlineStr">
        <is>
          <t>22 Jul 2026</t>
        </is>
      </c>
      <c r="G410" s="12" t="inlineStr">
        <is>
          <t>15 Aug 2026</t>
        </is>
      </c>
      <c r="H410" s="8" t="inlineStr">
        <is>
          <t>⏳ UPCOMING</t>
        </is>
      </c>
      <c r="I410" s="11" t="inlineStr">
        <is>
          <t>VOL 1 1.0 NIT.doc</t>
        </is>
      </c>
      <c r="J410" s="13" t="inlineStr">
        <is>
          <t>📄 DOC</t>
        </is>
      </c>
      <c r="K410" s="15" t="n">
        <v>107</v>
      </c>
      <c r="L410" s="16">
        <f>HYPERLINK("http://127.0.0.1:8000/api/documents/download?id=2664&amp;attachment=true", "⬇ Download VOL 1 1.0 NIT.doc")</f>
        <v/>
      </c>
      <c r="M410" s="16">
        <f>HYPERLINK("http://localhost:5173/?state=Andhra%20Pradesh&amp;keyword=MIS&amp;tender=987910", "🚀 Open in Portal")</f>
        <v/>
      </c>
    </row>
    <row r="411" ht="24" customHeight="1">
      <c r="A411" s="4" t="inlineStr">
        <is>
          <t>Andhra Pradesh</t>
        </is>
      </c>
      <c r="B411" s="5" t="inlineStr">
        <is>
          <t>MIS</t>
        </is>
      </c>
      <c r="C411" s="6" t="inlineStr">
        <is>
          <t>987910</t>
        </is>
      </c>
      <c r="D411" s="7" t="inlineStr">
        <is>
          <t>Supply, Erection, Testing and commissioning of 33kV features at 400/220/11kV Guddigudem SS with 2Nos. 220/33kV , 50MVA PTRs on LS basis.</t>
        </is>
      </c>
      <c r="E411" s="7" t="inlineStr">
        <is>
          <t>APTRANSCO WORKS-Chief Engineer Projects, Vijayawada</t>
        </is>
      </c>
      <c r="F411" s="6" t="inlineStr">
        <is>
          <t>22 Jul 2026</t>
        </is>
      </c>
      <c r="G411" s="5" t="inlineStr">
        <is>
          <t>15 Aug 2026</t>
        </is>
      </c>
      <c r="H411" s="8" t="inlineStr">
        <is>
          <t>⏳ UPCOMING</t>
        </is>
      </c>
      <c r="I411" s="4" t="inlineStr">
        <is>
          <t>Front page.doc</t>
        </is>
      </c>
      <c r="J411" s="6" t="inlineStr">
        <is>
          <t>📄 DOC</t>
        </is>
      </c>
      <c r="K411" s="9" t="n">
        <v>29.5</v>
      </c>
      <c r="L411" s="10">
        <f>HYPERLINK("http://127.0.0.1:8000/api/documents/download?id=2665&amp;attachment=true", "⬇ Download Front page.doc")</f>
        <v/>
      </c>
      <c r="M411" s="10">
        <f>HYPERLINK("http://localhost:5173/?state=Andhra%20Pradesh&amp;keyword=MIS&amp;tender=987910", "🚀 Open in Portal")</f>
        <v/>
      </c>
    </row>
    <row r="412" ht="24" customHeight="1">
      <c r="A412" s="11" t="inlineStr">
        <is>
          <t>Andhra Pradesh</t>
        </is>
      </c>
      <c r="B412" s="12" t="inlineStr">
        <is>
          <t>MIS</t>
        </is>
      </c>
      <c r="C412" s="13" t="inlineStr">
        <is>
          <t>987910</t>
        </is>
      </c>
      <c r="D412" s="14" t="inlineStr">
        <is>
          <t>Supply, Erection, Testing and commissioning of 33kV features at 400/220/11kV Guddigudem SS with 2Nos. 220/33kV , 50MVA PTRs on LS basis.</t>
        </is>
      </c>
      <c r="E412" s="14" t="inlineStr">
        <is>
          <t>APTRANSCO WORKS-Chief Engineer Projects, Vijayawada</t>
        </is>
      </c>
      <c r="F412" s="13" t="inlineStr">
        <is>
          <t>22 Jul 2026</t>
        </is>
      </c>
      <c r="G412" s="12" t="inlineStr">
        <is>
          <t>15 Aug 2026</t>
        </is>
      </c>
      <c r="H412" s="8" t="inlineStr">
        <is>
          <t>⏳ UPCOMING</t>
        </is>
      </c>
      <c r="I412" s="11" t="inlineStr">
        <is>
          <t>Lines n SS.doc</t>
        </is>
      </c>
      <c r="J412" s="13" t="inlineStr">
        <is>
          <t>📄 DOC</t>
        </is>
      </c>
      <c r="K412" s="15" t="n">
        <v>33.5</v>
      </c>
      <c r="L412" s="16">
        <f>HYPERLINK("http://127.0.0.1:8000/api/documents/download?id=2666&amp;attachment=true", "⬇ Download Lines n SS.doc")</f>
        <v/>
      </c>
      <c r="M412" s="16">
        <f>HYPERLINK("http://localhost:5173/?state=Andhra%20Pradesh&amp;keyword=MIS&amp;tender=987910", "🚀 Open in Portal")</f>
        <v/>
      </c>
    </row>
    <row r="413" ht="24" customHeight="1">
      <c r="A413" s="4" t="inlineStr">
        <is>
          <t>Andhra Pradesh</t>
        </is>
      </c>
      <c r="B413" s="5" t="inlineStr">
        <is>
          <t>MIS</t>
        </is>
      </c>
      <c r="C413" s="6" t="inlineStr">
        <is>
          <t>987910</t>
        </is>
      </c>
      <c r="D413" s="7" t="inlineStr">
        <is>
          <t>Supply, Erection, Testing and commissioning of 33kV features at 400/220/11kV Guddigudem SS with 2Nos. 220/33kV , 50MVA PTRs on LS basis.</t>
        </is>
      </c>
      <c r="E413" s="7" t="inlineStr">
        <is>
          <t>APTRANSCO WORKS-Chief Engineer Projects, Vijayawada</t>
        </is>
      </c>
      <c r="F413" s="6" t="inlineStr">
        <is>
          <t>22 Jul 2026</t>
        </is>
      </c>
      <c r="G413" s="5" t="inlineStr">
        <is>
          <t>15 Aug 2026</t>
        </is>
      </c>
      <c r="H413" s="8" t="inlineStr">
        <is>
          <t>⏳ UPCOMING</t>
        </is>
      </c>
      <c r="I413" s="4" t="inlineStr">
        <is>
          <t>Bar chart for completion.xls</t>
        </is>
      </c>
      <c r="J413" s="6" t="inlineStr">
        <is>
          <t>📊 Excel BOQ</t>
        </is>
      </c>
      <c r="K413" s="9" t="n">
        <v>38.5</v>
      </c>
      <c r="L413" s="10">
        <f>HYPERLINK("http://127.0.0.1:8000/api/documents/download?id=2667&amp;attachment=true", "⬇ Download Bar chart for completion")</f>
        <v/>
      </c>
      <c r="M413" s="10">
        <f>HYPERLINK("http://localhost:5173/?state=Andhra%20Pradesh&amp;keyword=MIS&amp;tender=987910", "🚀 Open in Portal")</f>
        <v/>
      </c>
    </row>
    <row r="414" ht="24" customHeight="1">
      <c r="A414" s="11" t="inlineStr">
        <is>
          <t>Andhra Pradesh</t>
        </is>
      </c>
      <c r="B414" s="12" t="inlineStr">
        <is>
          <t>MIS</t>
        </is>
      </c>
      <c r="C414" s="13" t="inlineStr">
        <is>
          <t>987910</t>
        </is>
      </c>
      <c r="D414" s="14" t="inlineStr">
        <is>
          <t>Supply, Erection, Testing and commissioning of 33kV features at 400/220/11kV Guddigudem SS with 2Nos. 220/33kV , 50MVA PTRs on LS basis.</t>
        </is>
      </c>
      <c r="E414" s="14" t="inlineStr">
        <is>
          <t>APTRANSCO WORKS-Chief Engineer Projects, Vijayawada</t>
        </is>
      </c>
      <c r="F414" s="13" t="inlineStr">
        <is>
          <t>22 Jul 2026</t>
        </is>
      </c>
      <c r="G414" s="12" t="inlineStr">
        <is>
          <t>15 Aug 2026</t>
        </is>
      </c>
      <c r="H414" s="8" t="inlineStr">
        <is>
          <t>⏳ UPCOMING</t>
        </is>
      </c>
      <c r="I414" s="11" t="inlineStr">
        <is>
          <t>Front page - 33KV Features at Guddigudem.doc</t>
        </is>
      </c>
      <c r="J414" s="13" t="inlineStr">
        <is>
          <t>📄 DOC</t>
        </is>
      </c>
      <c r="K414" s="15" t="n">
        <v>25.5</v>
      </c>
      <c r="L414" s="16">
        <f>HYPERLINK("http://127.0.0.1:8000/api/documents/download?id=2668&amp;attachment=true", "⬇ Download Front page - 33KV Featur")</f>
        <v/>
      </c>
      <c r="M414" s="16">
        <f>HYPERLINK("http://localhost:5173/?state=Andhra%20Pradesh&amp;keyword=MIS&amp;tender=987910", "🚀 Open in Portal")</f>
        <v/>
      </c>
    </row>
    <row r="415" ht="24" customHeight="1">
      <c r="A415" s="4" t="inlineStr">
        <is>
          <t>Andhra Pradesh</t>
        </is>
      </c>
      <c r="B415" s="5" t="inlineStr">
        <is>
          <t>MIS</t>
        </is>
      </c>
      <c r="C415" s="6" t="inlineStr">
        <is>
          <t>987910</t>
        </is>
      </c>
      <c r="D415" s="7" t="inlineStr">
        <is>
          <t>Supply, Erection, Testing and commissioning of 33kV features at 400/220/11kV Guddigudem SS with 2Nos. 220/33kV , 50MVA PTRs on LS basis.</t>
        </is>
      </c>
      <c r="E415" s="7" t="inlineStr">
        <is>
          <t>APTRANSCO WORKS-Chief Engineer Projects, Vijayawada</t>
        </is>
      </c>
      <c r="F415" s="6" t="inlineStr">
        <is>
          <t>22 Jul 2026</t>
        </is>
      </c>
      <c r="G415" s="5" t="inlineStr">
        <is>
          <t>15 Aug 2026</t>
        </is>
      </c>
      <c r="H415" s="8" t="inlineStr">
        <is>
          <t>⏳ UPCOMING</t>
        </is>
      </c>
      <c r="I415" s="4" t="inlineStr">
        <is>
          <t>Annexures - 5B, 3B,27,28  -Bays.doc</t>
        </is>
      </c>
      <c r="J415" s="6" t="inlineStr">
        <is>
          <t>📄 DOC</t>
        </is>
      </c>
      <c r="K415" s="9" t="n">
        <v>108.5</v>
      </c>
      <c r="L415" s="10">
        <f>HYPERLINK("http://127.0.0.1:8000/api/documents/download?id=2669&amp;attachment=true", "⬇ Download Annexures - 5B, 3B,27,28")</f>
        <v/>
      </c>
      <c r="M415" s="10">
        <f>HYPERLINK("http://localhost:5173/?state=Andhra%20Pradesh&amp;keyword=MIS&amp;tender=987910", "🚀 Open in Portal")</f>
        <v/>
      </c>
    </row>
    <row r="416" ht="24" customHeight="1">
      <c r="A416" s="11" t="inlineStr">
        <is>
          <t>Andhra Pradesh</t>
        </is>
      </c>
      <c r="B416" s="12" t="inlineStr">
        <is>
          <t>MIS</t>
        </is>
      </c>
      <c r="C416" s="13" t="inlineStr">
        <is>
          <t>987910</t>
        </is>
      </c>
      <c r="D416" s="14" t="inlineStr">
        <is>
          <t>Supply, Erection, Testing and commissioning of 33kV features at 400/220/11kV Guddigudem SS with 2Nos. 220/33kV , 50MVA PTRs on LS basis.</t>
        </is>
      </c>
      <c r="E416" s="14" t="inlineStr">
        <is>
          <t>APTRANSCO WORKS-Chief Engineer Projects, Vijayawada</t>
        </is>
      </c>
      <c r="F416" s="13" t="inlineStr">
        <is>
          <t>22 Jul 2026</t>
        </is>
      </c>
      <c r="G416" s="12" t="inlineStr">
        <is>
          <t>15 Aug 2026</t>
        </is>
      </c>
      <c r="H416" s="8" t="inlineStr">
        <is>
          <t>⏳ UPCOMING</t>
        </is>
      </c>
      <c r="I416" s="11" t="inlineStr">
        <is>
          <t>Annexures-1 to 32 Bays.xls</t>
        </is>
      </c>
      <c r="J416" s="13" t="inlineStr">
        <is>
          <t>📊 Excel BOQ</t>
        </is>
      </c>
      <c r="K416" s="15" t="n">
        <v>251</v>
      </c>
      <c r="L416" s="16">
        <f>HYPERLINK("http://127.0.0.1:8000/api/documents/download?id=2670&amp;attachment=true", "⬇ Download Annexures-1 to 32 Bays.x")</f>
        <v/>
      </c>
      <c r="M416" s="16">
        <f>HYPERLINK("http://localhost:5173/?state=Andhra%20Pradesh&amp;keyword=MIS&amp;tender=987910", "🚀 Open in Portal")</f>
        <v/>
      </c>
    </row>
    <row r="417" ht="24" customHeight="1">
      <c r="A417" s="4" t="inlineStr">
        <is>
          <t>Andhra Pradesh</t>
        </is>
      </c>
      <c r="B417" s="5" t="inlineStr">
        <is>
          <t>MIS</t>
        </is>
      </c>
      <c r="C417" s="6" t="inlineStr">
        <is>
          <t>987910</t>
        </is>
      </c>
      <c r="D417" s="7" t="inlineStr">
        <is>
          <t>Supply, Erection, Testing and commissioning of 33kV features at 400/220/11kV Guddigudem SS with 2Nos. 220/33kV , 50MVA PTRs on LS basis.</t>
        </is>
      </c>
      <c r="E417" s="7" t="inlineStr">
        <is>
          <t>APTRANSCO WORKS-Chief Engineer Projects, Vijayawada</t>
        </is>
      </c>
      <c r="F417" s="6" t="inlineStr">
        <is>
          <t>22 Jul 2026</t>
        </is>
      </c>
      <c r="G417" s="5" t="inlineStr">
        <is>
          <t>15 Aug 2026</t>
        </is>
      </c>
      <c r="H417" s="8" t="inlineStr">
        <is>
          <t>⏳ UPCOMING</t>
        </is>
      </c>
      <c r="I417" s="4" t="inlineStr">
        <is>
          <t>Cover page - Bays.doc</t>
        </is>
      </c>
      <c r="J417" s="6" t="inlineStr">
        <is>
          <t>📄 DOC</t>
        </is>
      </c>
      <c r="K417" s="9" t="n">
        <v>36.5</v>
      </c>
      <c r="L417" s="10">
        <f>HYPERLINK("http://127.0.0.1:8000/api/documents/download?id=2671&amp;attachment=true", "⬇ Download Cover page - Bays.doc")</f>
        <v/>
      </c>
      <c r="M417" s="10">
        <f>HYPERLINK("http://localhost:5173/?state=Andhra%20Pradesh&amp;keyword=MIS&amp;tender=987910", "🚀 Open in Portal")</f>
        <v/>
      </c>
    </row>
    <row r="418" ht="24" customHeight="1">
      <c r="A418" s="11" t="inlineStr">
        <is>
          <t>Andhra Pradesh</t>
        </is>
      </c>
      <c r="B418" s="12" t="inlineStr">
        <is>
          <t>MIS</t>
        </is>
      </c>
      <c r="C418" s="13" t="inlineStr">
        <is>
          <t>987910</t>
        </is>
      </c>
      <c r="D418" s="14" t="inlineStr">
        <is>
          <t>Supply, Erection, Testing and commissioning of 33kV features at 400/220/11kV Guddigudem SS with 2Nos. 220/33kV , 50MVA PTRs on LS basis.</t>
        </is>
      </c>
      <c r="E418" s="14" t="inlineStr">
        <is>
          <t>APTRANSCO WORKS-Chief Engineer Projects, Vijayawada</t>
        </is>
      </c>
      <c r="F418" s="13" t="inlineStr">
        <is>
          <t>22 Jul 2026</t>
        </is>
      </c>
      <c r="G418" s="12" t="inlineStr">
        <is>
          <t>15 Aug 2026</t>
        </is>
      </c>
      <c r="H418" s="8" t="inlineStr">
        <is>
          <t>⏳ UPCOMING</t>
        </is>
      </c>
      <c r="I418" s="11" t="inlineStr">
        <is>
          <t>COMMERCIAL SCHEDULES.pdf</t>
        </is>
      </c>
      <c r="J418" s="13" t="inlineStr">
        <is>
          <t>📕 PDF Document</t>
        </is>
      </c>
      <c r="K418" s="15" t="n">
        <v>392.6</v>
      </c>
      <c r="L418" s="16">
        <f>HYPERLINK("http://127.0.0.1:8000/api/documents/download?id=2672&amp;attachment=true", "⬇ Download COMMERCIAL SCHEDULES.pdf")</f>
        <v/>
      </c>
      <c r="M418" s="16">
        <f>HYPERLINK("http://localhost:5173/?state=Andhra%20Pradesh&amp;keyword=MIS&amp;tender=987910", "🚀 Open in Portal")</f>
        <v/>
      </c>
    </row>
    <row r="419" ht="24" customHeight="1">
      <c r="A419" s="4" t="inlineStr">
        <is>
          <t>Andhra Pradesh</t>
        </is>
      </c>
      <c r="B419" s="5" t="inlineStr">
        <is>
          <t>MIS</t>
        </is>
      </c>
      <c r="C419" s="6" t="inlineStr">
        <is>
          <t>987910</t>
        </is>
      </c>
      <c r="D419" s="7" t="inlineStr">
        <is>
          <t>Supply, Erection, Testing and commissioning of 33kV features at 400/220/11kV Guddigudem SS with 2Nos. 220/33kV , 50MVA PTRs on LS basis.</t>
        </is>
      </c>
      <c r="E419" s="7" t="inlineStr">
        <is>
          <t>APTRANSCO WORKS-Chief Engineer Projects, Vijayawada</t>
        </is>
      </c>
      <c r="F419" s="6" t="inlineStr">
        <is>
          <t>22 Jul 2026</t>
        </is>
      </c>
      <c r="G419" s="5" t="inlineStr">
        <is>
          <t>15 Aug 2026</t>
        </is>
      </c>
      <c r="H419" s="8" t="inlineStr">
        <is>
          <t>⏳ UPCOMING</t>
        </is>
      </c>
      <c r="I419" s="4" t="inlineStr">
        <is>
          <t>Cover page - Bays at Guddigudem.doc</t>
        </is>
      </c>
      <c r="J419" s="6" t="inlineStr">
        <is>
          <t>📄 DOC</t>
        </is>
      </c>
      <c r="K419" s="9" t="n">
        <v>41.5</v>
      </c>
      <c r="L419" s="10">
        <f>HYPERLINK("http://127.0.0.1:8000/api/documents/download?id=2673&amp;attachment=true", "⬇ Download Cover page - Bays at Gud")</f>
        <v/>
      </c>
      <c r="M419" s="10">
        <f>HYPERLINK("http://localhost:5173/?state=Andhra%20Pradesh&amp;keyword=MIS&amp;tender=987910", "🚀 Open in Portal")</f>
        <v/>
      </c>
    </row>
    <row r="420" ht="24" customHeight="1">
      <c r="A420" s="11" t="inlineStr">
        <is>
          <t>Andhra Pradesh</t>
        </is>
      </c>
      <c r="B420" s="12" t="inlineStr">
        <is>
          <t>MIS</t>
        </is>
      </c>
      <c r="C420" s="13" t="inlineStr">
        <is>
          <t>987910</t>
        </is>
      </c>
      <c r="D420" s="14" t="inlineStr">
        <is>
          <t>Supply, Erection, Testing and commissioning of 33kV features at 400/220/11kV Guddigudem SS with 2Nos. 220/33kV , 50MVA PTRs on LS basis.</t>
        </is>
      </c>
      <c r="E420" s="14" t="inlineStr">
        <is>
          <t>APTRANSCO WORKS-Chief Engineer Projects, Vijayawada</t>
        </is>
      </c>
      <c r="F420" s="13" t="inlineStr">
        <is>
          <t>22 Jul 2026</t>
        </is>
      </c>
      <c r="G420" s="12" t="inlineStr">
        <is>
          <t>15 Aug 2026</t>
        </is>
      </c>
      <c r="H420" s="8" t="inlineStr">
        <is>
          <t>⏳ UPCOMING</t>
        </is>
      </c>
      <c r="I420" s="11" t="inlineStr">
        <is>
          <t>Schedule C-Bays Guddigudem.xls</t>
        </is>
      </c>
      <c r="J420" s="13" t="inlineStr">
        <is>
          <t>📊 Excel BOQ</t>
        </is>
      </c>
      <c r="K420" s="15" t="n">
        <v>30</v>
      </c>
      <c r="L420" s="16">
        <f>HYPERLINK("http://127.0.0.1:8000/api/documents/download?id=2674&amp;attachment=true", "⬇ Download Schedule C-Bays Guddigud")</f>
        <v/>
      </c>
      <c r="M420" s="16">
        <f>HYPERLINK("http://localhost:5173/?state=Andhra%20Pradesh&amp;keyword=MIS&amp;tender=987910", "🚀 Open in Portal")</f>
        <v/>
      </c>
    </row>
    <row r="421" ht="24" customHeight="1">
      <c r="A421" s="4" t="inlineStr">
        <is>
          <t>Andhra Pradesh</t>
        </is>
      </c>
      <c r="B421" s="5" t="inlineStr">
        <is>
          <t>MIS</t>
        </is>
      </c>
      <c r="C421" s="6" t="inlineStr">
        <is>
          <t>987910</t>
        </is>
      </c>
      <c r="D421" s="7" t="inlineStr">
        <is>
          <t>Supply, Erection, Testing and commissioning of 33kV features at 400/220/11kV Guddigudem SS with 2Nos. 220/33kV , 50MVA PTRs on LS basis.</t>
        </is>
      </c>
      <c r="E421" s="7" t="inlineStr">
        <is>
          <t>APTRANSCO WORKS-Chief Engineer Projects, Vijayawada</t>
        </is>
      </c>
      <c r="F421" s="6" t="inlineStr">
        <is>
          <t>22 Jul 2026</t>
        </is>
      </c>
      <c r="G421" s="5" t="inlineStr">
        <is>
          <t>15 Aug 2026</t>
        </is>
      </c>
      <c r="H421" s="8" t="inlineStr">
        <is>
          <t>⏳ UPCOMING</t>
        </is>
      </c>
      <c r="I421" s="4" t="inlineStr">
        <is>
          <t>Schedule D-Bays Guddigudem.xls</t>
        </is>
      </c>
      <c r="J421" s="6" t="inlineStr">
        <is>
          <t>📊 Excel BOQ</t>
        </is>
      </c>
      <c r="K421" s="9" t="n">
        <v>26</v>
      </c>
      <c r="L421" s="10">
        <f>HYPERLINK("http://127.0.0.1:8000/api/documents/download?id=2675&amp;attachment=true", "⬇ Download Schedule D-Bays Guddigud")</f>
        <v/>
      </c>
      <c r="M421" s="10">
        <f>HYPERLINK("http://localhost:5173/?state=Andhra%20Pradesh&amp;keyword=MIS&amp;tender=987910", "🚀 Open in Portal")</f>
        <v/>
      </c>
    </row>
    <row r="422" ht="24" customHeight="1">
      <c r="A422" s="11" t="inlineStr">
        <is>
          <t>Andhra Pradesh</t>
        </is>
      </c>
      <c r="B422" s="12" t="inlineStr">
        <is>
          <t>MIS</t>
        </is>
      </c>
      <c r="C422" s="13" t="inlineStr">
        <is>
          <t>987910</t>
        </is>
      </c>
      <c r="D422" s="14" t="inlineStr">
        <is>
          <t>Supply, Erection, Testing and commissioning of 33kV features at 400/220/11kV Guddigudem SS with 2Nos. 220/33kV , 50MVA PTRs on LS basis.</t>
        </is>
      </c>
      <c r="E422" s="14" t="inlineStr">
        <is>
          <t>APTRANSCO WORKS-Chief Engineer Projects, Vijayawada</t>
        </is>
      </c>
      <c r="F422" s="13" t="inlineStr">
        <is>
          <t>22 Jul 2026</t>
        </is>
      </c>
      <c r="G422" s="12" t="inlineStr">
        <is>
          <t>15 Aug 2026</t>
        </is>
      </c>
      <c r="H422" s="8" t="inlineStr">
        <is>
          <t>⏳ UPCOMING</t>
        </is>
      </c>
      <c r="I422" s="11" t="inlineStr">
        <is>
          <t>VOL 1 12.0  Cov page Annx n Schs.doc</t>
        </is>
      </c>
      <c r="J422" s="13" t="inlineStr">
        <is>
          <t>📄 DOC</t>
        </is>
      </c>
      <c r="K422" s="15" t="n">
        <v>24.5</v>
      </c>
      <c r="L422" s="16">
        <f>HYPERLINK("http://127.0.0.1:8000/api/documents/download?id=2676&amp;attachment=true", "⬇ Download VOL 1 12.0  Cov page Ann")</f>
        <v/>
      </c>
      <c r="M422" s="16">
        <f>HYPERLINK("http://localhost:5173/?state=Andhra%20Pradesh&amp;keyword=MIS&amp;tender=987910", "🚀 Open in Portal")</f>
        <v/>
      </c>
    </row>
    <row r="423" ht="24" customHeight="1">
      <c r="A423" s="4" t="inlineStr">
        <is>
          <t>Andhra Pradesh</t>
        </is>
      </c>
      <c r="B423" s="5" t="inlineStr">
        <is>
          <t>MIS</t>
        </is>
      </c>
      <c r="C423" s="6" t="inlineStr">
        <is>
          <t>987910</t>
        </is>
      </c>
      <c r="D423" s="7" t="inlineStr">
        <is>
          <t>Supply, Erection, Testing and commissioning of 33kV features at 400/220/11kV Guddigudem SS with 2Nos. 220/33kV , 50MVA PTRs on LS basis.</t>
        </is>
      </c>
      <c r="E423" s="7" t="inlineStr">
        <is>
          <t>APTRANSCO WORKS-Chief Engineer Projects, Vijayawada</t>
        </is>
      </c>
      <c r="F423" s="6" t="inlineStr">
        <is>
          <t>22 Jul 2026</t>
        </is>
      </c>
      <c r="G423" s="5" t="inlineStr">
        <is>
          <t>15 Aug 2026</t>
        </is>
      </c>
      <c r="H423" s="8" t="inlineStr">
        <is>
          <t>⏳ UPCOMING</t>
        </is>
      </c>
      <c r="I423" s="4" t="inlineStr">
        <is>
          <t>VOL 1 2.0 ITB.doc</t>
        </is>
      </c>
      <c r="J423" s="6" t="inlineStr">
        <is>
          <t>📄 DOC</t>
        </is>
      </c>
      <c r="K423" s="9" t="n">
        <v>524</v>
      </c>
      <c r="L423" s="10">
        <f>HYPERLINK("http://127.0.0.1:8000/api/documents/download?id=2677&amp;attachment=true", "⬇ Download VOL 1 2.0 ITB.doc")</f>
        <v/>
      </c>
      <c r="M423" s="10">
        <f>HYPERLINK("http://localhost:5173/?state=Andhra%20Pradesh&amp;keyword=MIS&amp;tender=987910", "🚀 Open in Portal")</f>
        <v/>
      </c>
    </row>
    <row r="424" ht="24" customHeight="1">
      <c r="A424" s="11" t="inlineStr">
        <is>
          <t>Andhra Pradesh</t>
        </is>
      </c>
      <c r="B424" s="12" t="inlineStr">
        <is>
          <t>MIS</t>
        </is>
      </c>
      <c r="C424" s="13" t="inlineStr">
        <is>
          <t>987910</t>
        </is>
      </c>
      <c r="D424" s="14" t="inlineStr">
        <is>
          <t>Supply, Erection, Testing and commissioning of 33kV features at 400/220/11kV Guddigudem SS with 2Nos. 220/33kV , 50MVA PTRs on LS basis.</t>
        </is>
      </c>
      <c r="E424" s="14" t="inlineStr">
        <is>
          <t>APTRANSCO WORKS-Chief Engineer Projects, Vijayawada</t>
        </is>
      </c>
      <c r="F424" s="13" t="inlineStr">
        <is>
          <t>22 Jul 2026</t>
        </is>
      </c>
      <c r="G424" s="12" t="inlineStr">
        <is>
          <t>15 Aug 2026</t>
        </is>
      </c>
      <c r="H424" s="8" t="inlineStr">
        <is>
          <t>⏳ UPCOMING</t>
        </is>
      </c>
      <c r="I424" s="11" t="inlineStr">
        <is>
          <t>VOL 1 3.0 GCC.doc</t>
        </is>
      </c>
      <c r="J424" s="13" t="inlineStr">
        <is>
          <t>📄 DOC</t>
        </is>
      </c>
      <c r="K424" s="15" t="n">
        <v>188.5</v>
      </c>
      <c r="L424" s="16">
        <f>HYPERLINK("http://127.0.0.1:8000/api/documents/download?id=2678&amp;attachment=true", "⬇ Download VOL 1 3.0 GCC.doc")</f>
        <v/>
      </c>
      <c r="M424" s="16">
        <f>HYPERLINK("http://localhost:5173/?state=Andhra%20Pradesh&amp;keyword=MIS&amp;tender=987910", "🚀 Open in Portal")</f>
        <v/>
      </c>
    </row>
    <row r="425" ht="24" customHeight="1">
      <c r="A425" s="4" t="inlineStr">
        <is>
          <t>Andhra Pradesh</t>
        </is>
      </c>
      <c r="B425" s="5" t="inlineStr">
        <is>
          <t>MIS</t>
        </is>
      </c>
      <c r="C425" s="6" t="inlineStr">
        <is>
          <t>987910</t>
        </is>
      </c>
      <c r="D425" s="7" t="inlineStr">
        <is>
          <t>Supply, Erection, Testing and commissioning of 33kV features at 400/220/11kV Guddigudem SS with 2Nos. 220/33kV , 50MVA PTRs on LS basis.</t>
        </is>
      </c>
      <c r="E425" s="7" t="inlineStr">
        <is>
          <t>APTRANSCO WORKS-Chief Engineer Projects, Vijayawada</t>
        </is>
      </c>
      <c r="F425" s="6" t="inlineStr">
        <is>
          <t>22 Jul 2026</t>
        </is>
      </c>
      <c r="G425" s="5" t="inlineStr">
        <is>
          <t>15 Aug 2026</t>
        </is>
      </c>
      <c r="H425" s="8" t="inlineStr">
        <is>
          <t>⏳ UPCOMING</t>
        </is>
      </c>
      <c r="I425" s="4" t="inlineStr">
        <is>
          <t>VOL 1 4.0 SCC.doc</t>
        </is>
      </c>
      <c r="J425" s="6" t="inlineStr">
        <is>
          <t>📄 DOC</t>
        </is>
      </c>
      <c r="K425" s="9" t="n">
        <v>44.5</v>
      </c>
      <c r="L425" s="10">
        <f>HYPERLINK("http://127.0.0.1:8000/api/documents/download?id=2679&amp;attachment=true", "⬇ Download VOL 1 4.0 SCC.doc")</f>
        <v/>
      </c>
      <c r="M425" s="10">
        <f>HYPERLINK("http://localhost:5173/?state=Andhra%20Pradesh&amp;keyword=MIS&amp;tender=987910", "🚀 Open in Portal")</f>
        <v/>
      </c>
    </row>
    <row r="426" ht="24" customHeight="1">
      <c r="A426" s="11" t="inlineStr">
        <is>
          <t>Andhra Pradesh</t>
        </is>
      </c>
      <c r="B426" s="12" t="inlineStr">
        <is>
          <t>MIS</t>
        </is>
      </c>
      <c r="C426" s="13" t="inlineStr">
        <is>
          <t>987910</t>
        </is>
      </c>
      <c r="D426" s="14" t="inlineStr">
        <is>
          <t>Supply, Erection, Testing and commissioning of 33kV features at 400/220/11kV Guddigudem SS with 2Nos. 220/33kV , 50MVA PTRs on LS basis.</t>
        </is>
      </c>
      <c r="E426" s="14" t="inlineStr">
        <is>
          <t>APTRANSCO WORKS-Chief Engineer Projects, Vijayawada</t>
        </is>
      </c>
      <c r="F426" s="13" t="inlineStr">
        <is>
          <t>22 Jul 2026</t>
        </is>
      </c>
      <c r="G426" s="12" t="inlineStr">
        <is>
          <t>15 Aug 2026</t>
        </is>
      </c>
      <c r="H426" s="8" t="inlineStr">
        <is>
          <t>⏳ UPCOMING</t>
        </is>
      </c>
      <c r="I426" s="11" t="inlineStr">
        <is>
          <t>VOL 1 5.0 GTC.doc</t>
        </is>
      </c>
      <c r="J426" s="13" t="inlineStr">
        <is>
          <t>📄 DOC</t>
        </is>
      </c>
      <c r="K426" s="15" t="n">
        <v>141.5</v>
      </c>
      <c r="L426" s="16">
        <f>HYPERLINK("http://127.0.0.1:8000/api/documents/download?id=2680&amp;attachment=true", "⬇ Download VOL 1 5.0 GTC.doc")</f>
        <v/>
      </c>
      <c r="M426" s="16">
        <f>HYPERLINK("http://localhost:5173/?state=Andhra%20Pradesh&amp;keyword=MIS&amp;tender=987910", "🚀 Open in Portal")</f>
        <v/>
      </c>
    </row>
    <row r="427" ht="24" customHeight="1">
      <c r="A427" s="4" t="inlineStr">
        <is>
          <t>Andhra Pradesh</t>
        </is>
      </c>
      <c r="B427" s="5" t="inlineStr">
        <is>
          <t>MIS</t>
        </is>
      </c>
      <c r="C427" s="6" t="inlineStr">
        <is>
          <t>987910</t>
        </is>
      </c>
      <c r="D427" s="7" t="inlineStr">
        <is>
          <t>Supply, Erection, Testing and commissioning of 33kV features at 400/220/11kV Guddigudem SS with 2Nos. 220/33kV , 50MVA PTRs on LS basis.</t>
        </is>
      </c>
      <c r="E427" s="7" t="inlineStr">
        <is>
          <t>APTRANSCO WORKS-Chief Engineer Projects, Vijayawada</t>
        </is>
      </c>
      <c r="F427" s="6" t="inlineStr">
        <is>
          <t>22 Jul 2026</t>
        </is>
      </c>
      <c r="G427" s="5" t="inlineStr">
        <is>
          <t>15 Aug 2026</t>
        </is>
      </c>
      <c r="H427" s="8" t="inlineStr">
        <is>
          <t>⏳ UPCOMING</t>
        </is>
      </c>
      <c r="I427" s="4" t="inlineStr">
        <is>
          <t>VOL 1 6.0 GCE.doc</t>
        </is>
      </c>
      <c r="J427" s="6" t="inlineStr">
        <is>
          <t>📄 DOC</t>
        </is>
      </c>
      <c r="K427" s="9" t="n">
        <v>234</v>
      </c>
      <c r="L427" s="10">
        <f>HYPERLINK("http://127.0.0.1:8000/api/documents/download?id=2681&amp;attachment=true", "⬇ Download VOL 1 6.0 GCE.doc")</f>
        <v/>
      </c>
      <c r="M427" s="10">
        <f>HYPERLINK("http://localhost:5173/?state=Andhra%20Pradesh&amp;keyword=MIS&amp;tender=987910", "🚀 Open in Portal")</f>
        <v/>
      </c>
    </row>
    <row r="428" ht="24" customHeight="1">
      <c r="A428" s="11" t="inlineStr">
        <is>
          <t>Andhra Pradesh</t>
        </is>
      </c>
      <c r="B428" s="12" t="inlineStr">
        <is>
          <t>MIS</t>
        </is>
      </c>
      <c r="C428" s="13" t="inlineStr">
        <is>
          <t>987910</t>
        </is>
      </c>
      <c r="D428" s="14" t="inlineStr">
        <is>
          <t>Supply, Erection, Testing and commissioning of 33kV features at 400/220/11kV Guddigudem SS with 2Nos. 220/33kV , 50MVA PTRs on LS basis.</t>
        </is>
      </c>
      <c r="E428" s="14" t="inlineStr">
        <is>
          <t>APTRANSCO WORKS-Chief Engineer Projects, Vijayawada</t>
        </is>
      </c>
      <c r="F428" s="13" t="inlineStr">
        <is>
          <t>22 Jul 2026</t>
        </is>
      </c>
      <c r="G428" s="12" t="inlineStr">
        <is>
          <t>15 Aug 2026</t>
        </is>
      </c>
      <c r="H428" s="8" t="inlineStr">
        <is>
          <t>⏳ UPCOMING</t>
        </is>
      </c>
      <c r="I428" s="11" t="inlineStr">
        <is>
          <t>VOL 1 7.0 GCES.doc</t>
        </is>
      </c>
      <c r="J428" s="13" t="inlineStr">
        <is>
          <t>📄 DOC</t>
        </is>
      </c>
      <c r="K428" s="15" t="n">
        <v>78</v>
      </c>
      <c r="L428" s="16">
        <f>HYPERLINK("http://127.0.0.1:8000/api/documents/download?id=2682&amp;attachment=true", "⬇ Download VOL 1 7.0 GCES.doc")</f>
        <v/>
      </c>
      <c r="M428" s="16">
        <f>HYPERLINK("http://localhost:5173/?state=Andhra%20Pradesh&amp;keyword=MIS&amp;tender=987910", "🚀 Open in Portal")</f>
        <v/>
      </c>
    </row>
    <row r="429" ht="24" customHeight="1">
      <c r="A429" s="4" t="inlineStr">
        <is>
          <t>Andhra Pradesh</t>
        </is>
      </c>
      <c r="B429" s="5" t="inlineStr">
        <is>
          <t>MIS</t>
        </is>
      </c>
      <c r="C429" s="6" t="inlineStr">
        <is>
          <t>987910</t>
        </is>
      </c>
      <c r="D429" s="7" t="inlineStr">
        <is>
          <t>Supply, Erection, Testing and commissioning of 33kV features at 400/220/11kV Guddigudem SS with 2Nos. 220/33kV , 50MVA PTRs on LS basis.</t>
        </is>
      </c>
      <c r="E429" s="7" t="inlineStr">
        <is>
          <t>APTRANSCO WORKS-Chief Engineer Projects, Vijayawada</t>
        </is>
      </c>
      <c r="F429" s="6" t="inlineStr">
        <is>
          <t>22 Jul 2026</t>
        </is>
      </c>
      <c r="G429" s="5" t="inlineStr">
        <is>
          <t>15 Aug 2026</t>
        </is>
      </c>
      <c r="H429" s="8" t="inlineStr">
        <is>
          <t>⏳ UPCOMING</t>
        </is>
      </c>
      <c r="I429" s="4" t="inlineStr">
        <is>
          <t>Guddigudem SLD-Tender scope.pdf</t>
        </is>
      </c>
      <c r="J429" s="6" t="inlineStr">
        <is>
          <t>📕 PDF Document</t>
        </is>
      </c>
      <c r="K429" s="9" t="n">
        <v>158.7</v>
      </c>
      <c r="L429" s="10">
        <f>HYPERLINK("http://127.0.0.1:8000/api/documents/download?id=2683&amp;attachment=true", "⬇ Download Guddigudem SLD-Tender sc")</f>
        <v/>
      </c>
      <c r="M429" s="10">
        <f>HYPERLINK("http://localhost:5173/?state=Andhra%20Pradesh&amp;keyword=MIS&amp;tender=987910", "🚀 Open in Portal")</f>
        <v/>
      </c>
    </row>
    <row r="430" ht="24" customHeight="1">
      <c r="A430" s="11" t="inlineStr">
        <is>
          <t>Andhra Pradesh</t>
        </is>
      </c>
      <c r="B430" s="12" t="inlineStr">
        <is>
          <t>MIS</t>
        </is>
      </c>
      <c r="C430" s="13" t="inlineStr">
        <is>
          <t>987910</t>
        </is>
      </c>
      <c r="D430" s="14" t="inlineStr">
        <is>
          <t>Supply, Erection, Testing and commissioning of 33kV features at 400/220/11kV Guddigudem SS with 2Nos. 220/33kV , 50MVA PTRs on LS basis.</t>
        </is>
      </c>
      <c r="E430" s="14" t="inlineStr">
        <is>
          <t>APTRANSCO WORKS-Chief Engineer Projects, Vijayawada</t>
        </is>
      </c>
      <c r="F430" s="13" t="inlineStr">
        <is>
          <t>22 Jul 2026</t>
        </is>
      </c>
      <c r="G430" s="12" t="inlineStr">
        <is>
          <t>15 Aug 2026</t>
        </is>
      </c>
      <c r="H430" s="8" t="inlineStr">
        <is>
          <t>⏳ UPCOMING</t>
        </is>
      </c>
      <c r="I430" s="11" t="inlineStr">
        <is>
          <t>VOL 1 9.0 Banks List.docx</t>
        </is>
      </c>
      <c r="J430" s="13" t="inlineStr">
        <is>
          <t>📄 DOCX</t>
        </is>
      </c>
      <c r="K430" s="15" t="n">
        <v>14.7</v>
      </c>
      <c r="L430" s="16">
        <f>HYPERLINK("http://127.0.0.1:8000/api/documents/download?id=2684&amp;attachment=true", "⬇ Download VOL 1 9.0 Banks List.doc")</f>
        <v/>
      </c>
      <c r="M430" s="16">
        <f>HYPERLINK("http://localhost:5173/?state=Andhra%20Pradesh&amp;keyword=MIS&amp;tender=987910", "🚀 Open in Portal")</f>
        <v/>
      </c>
    </row>
    <row r="431" ht="24" customHeight="1">
      <c r="A431" s="4" t="inlineStr">
        <is>
          <t>Andhra Pradesh</t>
        </is>
      </c>
      <c r="B431" s="5" t="inlineStr">
        <is>
          <t>MIS</t>
        </is>
      </c>
      <c r="C431" s="6" t="inlineStr">
        <is>
          <t>987910</t>
        </is>
      </c>
      <c r="D431" s="7" t="inlineStr">
        <is>
          <t>Supply, Erection, Testing and commissioning of 33kV features at 400/220/11kV Guddigudem SS with 2Nos. 220/33kV , 50MVA PTRs on LS basis.</t>
        </is>
      </c>
      <c r="E431" s="7" t="inlineStr">
        <is>
          <t>APTRANSCO WORKS-Chief Engineer Projects, Vijayawada</t>
        </is>
      </c>
      <c r="F431" s="6" t="inlineStr">
        <is>
          <t>22 Jul 2026</t>
        </is>
      </c>
      <c r="G431" s="5" t="inlineStr">
        <is>
          <t>15 Aug 2026</t>
        </is>
      </c>
      <c r="H431" s="8" t="inlineStr">
        <is>
          <t>⏳ UPCOMING</t>
        </is>
      </c>
      <c r="I431" s="4" t="inlineStr">
        <is>
          <t>Control Relay panels.pdf</t>
        </is>
      </c>
      <c r="J431" s="6" t="inlineStr">
        <is>
          <t>📕 PDF Document</t>
        </is>
      </c>
      <c r="K431" s="9" t="n">
        <v>1467.2</v>
      </c>
      <c r="L431" s="10">
        <f>HYPERLINK("http://127.0.0.1:8000/api/documents/download?id=2686&amp;attachment=true", "⬇ Download Control Relay panels.pdf")</f>
        <v/>
      </c>
      <c r="M431" s="10">
        <f>HYPERLINK("http://localhost:5173/?state=Andhra%20Pradesh&amp;keyword=MIS&amp;tender=987910", "🚀 Open in Portal")</f>
        <v/>
      </c>
    </row>
    <row r="432" ht="24" customHeight="1">
      <c r="A432" s="11" t="inlineStr">
        <is>
          <t>Andhra Pradesh</t>
        </is>
      </c>
      <c r="B432" s="12" t="inlineStr">
        <is>
          <t>MIS</t>
        </is>
      </c>
      <c r="C432" s="13" t="inlineStr">
        <is>
          <t>987910</t>
        </is>
      </c>
      <c r="D432" s="14" t="inlineStr">
        <is>
          <t>Supply, Erection, Testing and commissioning of 33kV features at 400/220/11kV Guddigudem SS with 2Nos. 220/33kV , 50MVA PTRs on LS basis.</t>
        </is>
      </c>
      <c r="E432" s="14" t="inlineStr">
        <is>
          <t>APTRANSCO WORKS-Chief Engineer Projects, Vijayawada</t>
        </is>
      </c>
      <c r="F432" s="13" t="inlineStr">
        <is>
          <t>22 Jul 2026</t>
        </is>
      </c>
      <c r="G432" s="12" t="inlineStr">
        <is>
          <t>15 Aug 2026</t>
        </is>
      </c>
      <c r="H432" s="8" t="inlineStr">
        <is>
          <t>⏳ UPCOMING</t>
        </is>
      </c>
      <c r="I432" s="11" t="inlineStr">
        <is>
          <t>Section -10  Bttery set &amp; battery charger- NA.pdf</t>
        </is>
      </c>
      <c r="J432" s="13" t="inlineStr">
        <is>
          <t>📕 PDF Document</t>
        </is>
      </c>
      <c r="K432" s="15" t="n">
        <v>1452.5</v>
      </c>
      <c r="L432" s="16">
        <f>HYPERLINK("http://127.0.0.1:8000/api/documents/download?id=2687&amp;attachment=true", "⬇ Download Section -10  Bttery set ")</f>
        <v/>
      </c>
      <c r="M432" s="16">
        <f>HYPERLINK("http://localhost:5173/?state=Andhra%20Pradesh&amp;keyword=MIS&amp;tender=987910", "🚀 Open in Portal")</f>
        <v/>
      </c>
    </row>
    <row r="433" ht="24" customHeight="1">
      <c r="A433" s="4" t="inlineStr">
        <is>
          <t>Andhra Pradesh</t>
        </is>
      </c>
      <c r="B433" s="5" t="inlineStr">
        <is>
          <t>MIS</t>
        </is>
      </c>
      <c r="C433" s="6" t="inlineStr">
        <is>
          <t>987910</t>
        </is>
      </c>
      <c r="D433" s="7" t="inlineStr">
        <is>
          <t>Supply, Erection, Testing and commissioning of 33kV features at 400/220/11kV Guddigudem SS with 2Nos. 220/33kV , 50MVA PTRs on LS basis.</t>
        </is>
      </c>
      <c r="E433" s="7" t="inlineStr">
        <is>
          <t>APTRANSCO WORKS-Chief Engineer Projects, Vijayawada</t>
        </is>
      </c>
      <c r="F433" s="6" t="inlineStr">
        <is>
          <t>22 Jul 2026</t>
        </is>
      </c>
      <c r="G433" s="5" t="inlineStr">
        <is>
          <t>15 Aug 2026</t>
        </is>
      </c>
      <c r="H433" s="8" t="inlineStr">
        <is>
          <t>⏳ UPCOMING</t>
        </is>
      </c>
      <c r="I433" s="4" t="inlineStr">
        <is>
          <t>Section-11-Staton Transformer-NA.pdf</t>
        </is>
      </c>
      <c r="J433" s="6" t="inlineStr">
        <is>
          <t>📕 PDF Document</t>
        </is>
      </c>
      <c r="K433" s="9" t="n">
        <v>274.7</v>
      </c>
      <c r="L433" s="10">
        <f>HYPERLINK("http://127.0.0.1:8000/api/documents/download?id=2688&amp;attachment=true", "⬇ Download Section-11-Staton Transf")</f>
        <v/>
      </c>
      <c r="M433" s="10">
        <f>HYPERLINK("http://localhost:5173/?state=Andhra%20Pradesh&amp;keyword=MIS&amp;tender=987910", "🚀 Open in Portal")</f>
        <v/>
      </c>
    </row>
    <row r="434" ht="24" customHeight="1">
      <c r="A434" s="11" t="inlineStr">
        <is>
          <t>Andhra Pradesh</t>
        </is>
      </c>
      <c r="B434" s="12" t="inlineStr">
        <is>
          <t>MIS</t>
        </is>
      </c>
      <c r="C434" s="13" t="inlineStr">
        <is>
          <t>987910</t>
        </is>
      </c>
      <c r="D434" s="14" t="inlineStr">
        <is>
          <t>Supply, Erection, Testing and commissioning of 33kV features at 400/220/11kV Guddigudem SS with 2Nos. 220/33kV , 50MVA PTRs on LS basis.</t>
        </is>
      </c>
      <c r="E434" s="14" t="inlineStr">
        <is>
          <t>APTRANSCO WORKS-Chief Engineer Projects, Vijayawada</t>
        </is>
      </c>
      <c r="F434" s="13" t="inlineStr">
        <is>
          <t>22 Jul 2026</t>
        </is>
      </c>
      <c r="G434" s="12" t="inlineStr">
        <is>
          <t>15 Aug 2026</t>
        </is>
      </c>
      <c r="H434" s="8" t="inlineStr">
        <is>
          <t>⏳ UPCOMING</t>
        </is>
      </c>
      <c r="I434" s="11" t="inlineStr">
        <is>
          <t>Section-2-CTs-PTs-CVTs_updated.pdf</t>
        </is>
      </c>
      <c r="J434" s="13" t="inlineStr">
        <is>
          <t>📕 PDF Document</t>
        </is>
      </c>
      <c r="K434" s="15" t="n">
        <v>719.3</v>
      </c>
      <c r="L434" s="16">
        <f>HYPERLINK("http://127.0.0.1:8000/api/documents/download?id=2689&amp;attachment=true", "⬇ Download Section-2-CTs-PTs-CVTs_u")</f>
        <v/>
      </c>
      <c r="M434" s="16">
        <f>HYPERLINK("http://localhost:5173/?state=Andhra%20Pradesh&amp;keyword=MIS&amp;tender=987910", "🚀 Open in Portal")</f>
        <v/>
      </c>
    </row>
    <row r="435" ht="24" customHeight="1">
      <c r="A435" s="4" t="inlineStr">
        <is>
          <t>Andhra Pradesh</t>
        </is>
      </c>
      <c r="B435" s="5" t="inlineStr">
        <is>
          <t>MIS</t>
        </is>
      </c>
      <c r="C435" s="6" t="inlineStr">
        <is>
          <t>987910</t>
        </is>
      </c>
      <c r="D435" s="7" t="inlineStr">
        <is>
          <t>Supply, Erection, Testing and commissioning of 33kV features at 400/220/11kV Guddigudem SS with 2Nos. 220/33kV , 50MVA PTRs on LS basis.</t>
        </is>
      </c>
      <c r="E435" s="7" t="inlineStr">
        <is>
          <t>APTRANSCO WORKS-Chief Engineer Projects, Vijayawada</t>
        </is>
      </c>
      <c r="F435" s="6" t="inlineStr">
        <is>
          <t>22 Jul 2026</t>
        </is>
      </c>
      <c r="G435" s="5" t="inlineStr">
        <is>
          <t>15 Aug 2026</t>
        </is>
      </c>
      <c r="H435" s="8" t="inlineStr">
        <is>
          <t>⏳ UPCOMING</t>
        </is>
      </c>
      <c r="I435" s="4" t="inlineStr">
        <is>
          <t>Section-3-Surge Arrestors_updated.pdf</t>
        </is>
      </c>
      <c r="J435" s="6" t="inlineStr">
        <is>
          <t>📕 PDF Document</t>
        </is>
      </c>
      <c r="K435" s="9" t="n">
        <v>431</v>
      </c>
      <c r="L435" s="10">
        <f>HYPERLINK("http://127.0.0.1:8000/api/documents/download?id=2690&amp;attachment=true", "⬇ Download Section-3-Surge Arrestor")</f>
        <v/>
      </c>
      <c r="M435" s="10">
        <f>HYPERLINK("http://localhost:5173/?state=Andhra%20Pradesh&amp;keyword=MIS&amp;tender=987910", "🚀 Open in Portal")</f>
        <v/>
      </c>
    </row>
    <row r="436" ht="24" customHeight="1">
      <c r="A436" s="11" t="inlineStr">
        <is>
          <t>Andhra Pradesh</t>
        </is>
      </c>
      <c r="B436" s="12" t="inlineStr">
        <is>
          <t>MIS</t>
        </is>
      </c>
      <c r="C436" s="13" t="inlineStr">
        <is>
          <t>987910</t>
        </is>
      </c>
      <c r="D436" s="14" t="inlineStr">
        <is>
          <t>Supply, Erection, Testing and commissioning of 33kV features at 400/220/11kV Guddigudem SS with 2Nos. 220/33kV , 50MVA PTRs on LS basis.</t>
        </is>
      </c>
      <c r="E436" s="14" t="inlineStr">
        <is>
          <t>APTRANSCO WORKS-Chief Engineer Projects, Vijayawada</t>
        </is>
      </c>
      <c r="F436" s="13" t="inlineStr">
        <is>
          <t>22 Jul 2026</t>
        </is>
      </c>
      <c r="G436" s="12" t="inlineStr">
        <is>
          <t>15 Aug 2026</t>
        </is>
      </c>
      <c r="H436" s="8" t="inlineStr">
        <is>
          <t>⏳ UPCOMING</t>
        </is>
      </c>
      <c r="I436" s="11" t="inlineStr">
        <is>
          <t>Section-4-Isolator Mettalics_updaed.pdf</t>
        </is>
      </c>
      <c r="J436" s="13" t="inlineStr">
        <is>
          <t>📕 PDF Document</t>
        </is>
      </c>
      <c r="K436" s="15" t="n">
        <v>514.5</v>
      </c>
      <c r="L436" s="16">
        <f>HYPERLINK("http://127.0.0.1:8000/api/documents/download?id=2691&amp;attachment=true", "⬇ Download Section-4-Isolator Metta")</f>
        <v/>
      </c>
      <c r="M436" s="16">
        <f>HYPERLINK("http://localhost:5173/?state=Andhra%20Pradesh&amp;keyword=MIS&amp;tender=987910", "🚀 Open in Portal")</f>
        <v/>
      </c>
    </row>
    <row r="437" ht="24" customHeight="1">
      <c r="A437" s="4" t="inlineStr">
        <is>
          <t>Andhra Pradesh</t>
        </is>
      </c>
      <c r="B437" s="5" t="inlineStr">
        <is>
          <t>MIS</t>
        </is>
      </c>
      <c r="C437" s="6" t="inlineStr">
        <is>
          <t>987910</t>
        </is>
      </c>
      <c r="D437" s="7" t="inlineStr">
        <is>
          <t>Supply, Erection, Testing and commissioning of 33kV features at 400/220/11kV Guddigudem SS with 2Nos. 220/33kV , 50MVA PTRs on LS basis.</t>
        </is>
      </c>
      <c r="E437" s="7" t="inlineStr">
        <is>
          <t>APTRANSCO WORKS-Chief Engineer Projects, Vijayawada</t>
        </is>
      </c>
      <c r="F437" s="6" t="inlineStr">
        <is>
          <t>22 Jul 2026</t>
        </is>
      </c>
      <c r="G437" s="5" t="inlineStr">
        <is>
          <t>15 Aug 2026</t>
        </is>
      </c>
      <c r="H437" s="8" t="inlineStr">
        <is>
          <t>⏳ UPCOMING</t>
        </is>
      </c>
      <c r="I437" s="4" t="inlineStr">
        <is>
          <t>Section-6-Control _ Power Cables_updaed.pdf</t>
        </is>
      </c>
      <c r="J437" s="6" t="inlineStr">
        <is>
          <t>📕 PDF Document</t>
        </is>
      </c>
      <c r="K437" s="9" t="n">
        <v>420.2</v>
      </c>
      <c r="L437" s="10">
        <f>HYPERLINK("http://127.0.0.1:8000/api/documents/download?id=2692&amp;attachment=true", "⬇ Download Section-6-Control _ Powe")</f>
        <v/>
      </c>
      <c r="M437" s="10">
        <f>HYPERLINK("http://localhost:5173/?state=Andhra%20Pradesh&amp;keyword=MIS&amp;tender=987910", "🚀 Open in Portal")</f>
        <v/>
      </c>
    </row>
    <row r="438" ht="24" customHeight="1">
      <c r="A438" s="11" t="inlineStr">
        <is>
          <t>Andhra Pradesh</t>
        </is>
      </c>
      <c r="B438" s="12" t="inlineStr">
        <is>
          <t>MIS</t>
        </is>
      </c>
      <c r="C438" s="13" t="inlineStr">
        <is>
          <t>987910</t>
        </is>
      </c>
      <c r="D438" s="14" t="inlineStr">
        <is>
          <t>Supply, Erection, Testing and commissioning of 33kV features at 400/220/11kV Guddigudem SS with 2Nos. 220/33kV , 50MVA PTRs on LS basis.</t>
        </is>
      </c>
      <c r="E438" s="14" t="inlineStr">
        <is>
          <t>APTRANSCO WORKS-Chief Engineer Projects, Vijayawada</t>
        </is>
      </c>
      <c r="F438" s="13" t="inlineStr">
        <is>
          <t>22 Jul 2026</t>
        </is>
      </c>
      <c r="G438" s="12" t="inlineStr">
        <is>
          <t>15 Aug 2026</t>
        </is>
      </c>
      <c r="H438" s="8" t="inlineStr">
        <is>
          <t>⏳ UPCOMING</t>
        </is>
      </c>
      <c r="I438" s="11" t="inlineStr">
        <is>
          <t>Section-8-Circuit Breakers-updated.pdf</t>
        </is>
      </c>
      <c r="J438" s="13" t="inlineStr">
        <is>
          <t>📕 PDF Document</t>
        </is>
      </c>
      <c r="K438" s="15" t="n">
        <v>871.7</v>
      </c>
      <c r="L438" s="16">
        <f>HYPERLINK("http://127.0.0.1:8000/api/documents/download?id=2693&amp;attachment=true", "⬇ Download Section-8-Circuit Breake")</f>
        <v/>
      </c>
      <c r="M438" s="16">
        <f>HYPERLINK("http://localhost:5173/?state=Andhra%20Pradesh&amp;keyword=MIS&amp;tender=987910", "🚀 Open in Portal")</f>
        <v/>
      </c>
    </row>
    <row r="439" ht="24" customHeight="1">
      <c r="A439" s="4" t="inlineStr">
        <is>
          <t>Andhra Pradesh</t>
        </is>
      </c>
      <c r="B439" s="5" t="inlineStr">
        <is>
          <t>MIS</t>
        </is>
      </c>
      <c r="C439" s="6" t="inlineStr">
        <is>
          <t>987910</t>
        </is>
      </c>
      <c r="D439" s="7" t="inlineStr">
        <is>
          <t>Supply, Erection, Testing and commissioning of 33kV features at 400/220/11kV Guddigudem SS with 2Nos. 220/33kV , 50MVA PTRs on LS basis.</t>
        </is>
      </c>
      <c r="E439" s="7" t="inlineStr">
        <is>
          <t>APTRANSCO WORKS-Chief Engineer Projects, Vijayawada</t>
        </is>
      </c>
      <c r="F439" s="6" t="inlineStr">
        <is>
          <t>22 Jul 2026</t>
        </is>
      </c>
      <c r="G439" s="5" t="inlineStr">
        <is>
          <t>15 Aug 2026</t>
        </is>
      </c>
      <c r="H439" s="8" t="inlineStr">
        <is>
          <t>⏳ UPCOMING</t>
        </is>
      </c>
      <c r="I439" s="4" t="inlineStr">
        <is>
          <t>Section-9- LTAC Panel.pdf</t>
        </is>
      </c>
      <c r="J439" s="6" t="inlineStr">
        <is>
          <t>📕 PDF Document</t>
        </is>
      </c>
      <c r="K439" s="9" t="n">
        <v>539</v>
      </c>
      <c r="L439" s="10">
        <f>HYPERLINK("http://127.0.0.1:8000/api/documents/download?id=2694&amp;attachment=true", "⬇ Download Section-9- LTAC Panel.pd")</f>
        <v/>
      </c>
      <c r="M439" s="10">
        <f>HYPERLINK("http://localhost:5173/?state=Andhra%20Pradesh&amp;keyword=MIS&amp;tender=987910", "🚀 Open in Portal")</f>
        <v/>
      </c>
    </row>
    <row r="440" ht="24" customHeight="1">
      <c r="A440" s="11" t="inlineStr">
        <is>
          <t>Andhra Pradesh</t>
        </is>
      </c>
      <c r="B440" s="12" t="inlineStr">
        <is>
          <t>MIS</t>
        </is>
      </c>
      <c r="C440" s="13" t="inlineStr">
        <is>
          <t>987910</t>
        </is>
      </c>
      <c r="D440" s="14" t="inlineStr">
        <is>
          <t>Supply, Erection, Testing and commissioning of 33kV features at 400/220/11kV Guddigudem SS with 2Nos. 220/33kV , 50MVA PTRs on LS basis.</t>
        </is>
      </c>
      <c r="E440" s="14" t="inlineStr">
        <is>
          <t>APTRANSCO WORKS-Chief Engineer Projects, Vijayawada</t>
        </is>
      </c>
      <c r="F440" s="13" t="inlineStr">
        <is>
          <t>22 Jul 2026</t>
        </is>
      </c>
      <c r="G440" s="12" t="inlineStr">
        <is>
          <t>15 Aug 2026</t>
        </is>
      </c>
      <c r="H440" s="8" t="inlineStr">
        <is>
          <t>⏳ UPCOMING</t>
        </is>
      </c>
      <c r="I440" s="11" t="inlineStr">
        <is>
          <t>VOL 2 2.0 Title page-CG.doc</t>
        </is>
      </c>
      <c r="J440" s="13" t="inlineStr">
        <is>
          <t>📄 DOC</t>
        </is>
      </c>
      <c r="K440" s="15" t="n">
        <v>79</v>
      </c>
      <c r="L440" s="16">
        <f>HYPERLINK("http://127.0.0.1:8000/api/documents/download?id=2695&amp;attachment=true", "⬇ Download VOL 2 2.0 Title page-CG.")</f>
        <v/>
      </c>
      <c r="M440" s="16">
        <f>HYPERLINK("http://localhost:5173/?state=Andhra%20Pradesh&amp;keyword=MIS&amp;tender=987910", "🚀 Open in Portal")</f>
        <v/>
      </c>
    </row>
    <row r="441" ht="24" customHeight="1">
      <c r="A441" s="4" t="inlineStr">
        <is>
          <t>Andhra Pradesh</t>
        </is>
      </c>
      <c r="B441" s="5" t="inlineStr">
        <is>
          <t>MIS</t>
        </is>
      </c>
      <c r="C441" s="6" t="inlineStr">
        <is>
          <t>987910</t>
        </is>
      </c>
      <c r="D441" s="7" t="inlineStr">
        <is>
          <t>Supply, Erection, Testing and commissioning of 33kV features at 400/220/11kV Guddigudem SS with 2Nos. 220/33kV , 50MVA PTRs on LS basis.</t>
        </is>
      </c>
      <c r="E441" s="7" t="inlineStr">
        <is>
          <t>APTRANSCO WORKS-Chief Engineer Projects, Vijayawada</t>
        </is>
      </c>
      <c r="F441" s="6" t="inlineStr">
        <is>
          <t>22 Jul 2026</t>
        </is>
      </c>
      <c r="G441" s="5" t="inlineStr">
        <is>
          <t>15 Aug 2026</t>
        </is>
      </c>
      <c r="H441" s="8" t="inlineStr">
        <is>
          <t>⏳ UPCOMING</t>
        </is>
      </c>
      <c r="I441" s="4" t="inlineStr">
        <is>
          <t>VOL 2A 2.2 Tech-1.1.pdf</t>
        </is>
      </c>
      <c r="J441" s="6" t="inlineStr">
        <is>
          <t>📕 PDF Document</t>
        </is>
      </c>
      <c r="K441" s="9" t="n">
        <v>1006.3</v>
      </c>
      <c r="L441" s="10">
        <f>HYPERLINK("http://127.0.0.1:8000/api/documents/download?id=2696&amp;attachment=true", "⬇ Download VOL 2A 2.2 Tech-1.1.pdf")</f>
        <v/>
      </c>
      <c r="M441" s="10">
        <f>HYPERLINK("http://localhost:5173/?state=Andhra%20Pradesh&amp;keyword=MIS&amp;tender=987910", "🚀 Open in Portal")</f>
        <v/>
      </c>
    </row>
    <row r="442" ht="24" customHeight="1">
      <c r="A442" s="11" t="inlineStr">
        <is>
          <t>Andhra Pradesh</t>
        </is>
      </c>
      <c r="B442" s="12" t="inlineStr">
        <is>
          <t>MIS</t>
        </is>
      </c>
      <c r="C442" s="13" t="inlineStr">
        <is>
          <t>987910</t>
        </is>
      </c>
      <c r="D442" s="14" t="inlineStr">
        <is>
          <t>Supply, Erection, Testing and commissioning of 33kV features at 400/220/11kV Guddigudem SS with 2Nos. 220/33kV , 50MVA PTRs on LS basis.</t>
        </is>
      </c>
      <c r="E442" s="14" t="inlineStr">
        <is>
          <t>APTRANSCO WORKS-Chief Engineer Projects, Vijayawada</t>
        </is>
      </c>
      <c r="F442" s="13" t="inlineStr">
        <is>
          <t>22 Jul 2026</t>
        </is>
      </c>
      <c r="G442" s="12" t="inlineStr">
        <is>
          <t>15 Aug 2026</t>
        </is>
      </c>
      <c r="H442" s="8" t="inlineStr">
        <is>
          <t>⏳ UPCOMING</t>
        </is>
      </c>
      <c r="I442" s="11" t="inlineStr">
        <is>
          <t>VOL 2A 2.2 Tech-1.1A - DR parameters.pdf</t>
        </is>
      </c>
      <c r="J442" s="13" t="inlineStr">
        <is>
          <t>📕 PDF Document</t>
        </is>
      </c>
      <c r="K442" s="15" t="n">
        <v>1480.4</v>
      </c>
      <c r="L442" s="16">
        <f>HYPERLINK("http://127.0.0.1:8000/api/documents/download?id=2697&amp;attachment=true", "⬇ Download VOL 2A 2.2 Tech-1.1A - D")</f>
        <v/>
      </c>
      <c r="M442" s="16">
        <f>HYPERLINK("http://localhost:5173/?state=Andhra%20Pradesh&amp;keyword=MIS&amp;tender=987910", "🚀 Open in Portal")</f>
        <v/>
      </c>
    </row>
    <row r="443" ht="24" customHeight="1">
      <c r="A443" s="4" t="inlineStr">
        <is>
          <t>Andhra Pradesh</t>
        </is>
      </c>
      <c r="B443" s="5" t="inlineStr">
        <is>
          <t>MIS</t>
        </is>
      </c>
      <c r="C443" s="6" t="inlineStr">
        <is>
          <t>987910</t>
        </is>
      </c>
      <c r="D443" s="7" t="inlineStr">
        <is>
          <t>Supply, Erection, Testing and commissioning of 33kV features at 400/220/11kV Guddigudem SS with 2Nos. 220/33kV , 50MVA PTRs on LS basis.</t>
        </is>
      </c>
      <c r="E443" s="7" t="inlineStr">
        <is>
          <t>APTRANSCO WORKS-Chief Engineer Projects, Vijayawada</t>
        </is>
      </c>
      <c r="F443" s="6" t="inlineStr">
        <is>
          <t>22 Jul 2026</t>
        </is>
      </c>
      <c r="G443" s="5" t="inlineStr">
        <is>
          <t>15 Aug 2026</t>
        </is>
      </c>
      <c r="H443" s="8" t="inlineStr">
        <is>
          <t>⏳ UPCOMING</t>
        </is>
      </c>
      <c r="I443" s="4" t="inlineStr">
        <is>
          <t>VOL 2A 2.3 Tech 1.2 SAS.pdf</t>
        </is>
      </c>
      <c r="J443" s="6" t="inlineStr">
        <is>
          <t>📕 PDF Document</t>
        </is>
      </c>
      <c r="K443" s="9" t="n">
        <v>995.4</v>
      </c>
      <c r="L443" s="10">
        <f>HYPERLINK("http://127.0.0.1:8000/api/documents/download?id=2698&amp;attachment=true", "⬇ Download VOL 2A 2.3 Tech 1.2 SAS.")</f>
        <v/>
      </c>
      <c r="M443" s="10">
        <f>HYPERLINK("http://localhost:5173/?state=Andhra%20Pradesh&amp;keyword=MIS&amp;tender=987910", "🚀 Open in Portal")</f>
        <v/>
      </c>
    </row>
    <row r="444" ht="24" customHeight="1">
      <c r="A444" s="11" t="inlineStr">
        <is>
          <t>Andhra Pradesh</t>
        </is>
      </c>
      <c r="B444" s="12" t="inlineStr">
        <is>
          <t>MIS</t>
        </is>
      </c>
      <c r="C444" s="13" t="inlineStr">
        <is>
          <t>987910</t>
        </is>
      </c>
      <c r="D444" s="14" t="inlineStr">
        <is>
          <t>Supply, Erection, Testing and commissioning of 33kV features at 400/220/11kV Guddigudem SS with 2Nos. 220/33kV , 50MVA PTRs on LS basis.</t>
        </is>
      </c>
      <c r="E444" s="14" t="inlineStr">
        <is>
          <t>APTRANSCO WORKS-Chief Engineer Projects, Vijayawada</t>
        </is>
      </c>
      <c r="F444" s="13" t="inlineStr">
        <is>
          <t>22 Jul 2026</t>
        </is>
      </c>
      <c r="G444" s="12" t="inlineStr">
        <is>
          <t>15 Aug 2026</t>
        </is>
      </c>
      <c r="H444" s="8" t="inlineStr">
        <is>
          <t>⏳ UPCOMING</t>
        </is>
      </c>
      <c r="I444" s="11" t="inlineStr">
        <is>
          <t>VOL 2A 2.4 Annex.pdf</t>
        </is>
      </c>
      <c r="J444" s="13" t="inlineStr">
        <is>
          <t>📕 PDF Document</t>
        </is>
      </c>
      <c r="K444" s="15" t="n">
        <v>1330.4</v>
      </c>
      <c r="L444" s="16">
        <f>HYPERLINK("http://127.0.0.1:8000/api/documents/download?id=2699&amp;attachment=true", "⬇ Download VOL 2A 2.4 Annex.pdf")</f>
        <v/>
      </c>
      <c r="M444" s="16">
        <f>HYPERLINK("http://localhost:5173/?state=Andhra%20Pradesh&amp;keyword=MIS&amp;tender=987910", "🚀 Open in Portal")</f>
        <v/>
      </c>
    </row>
    <row r="445" ht="24" customHeight="1">
      <c r="A445" s="4" t="inlineStr">
        <is>
          <t>Andhra Pradesh</t>
        </is>
      </c>
      <c r="B445" s="5" t="inlineStr">
        <is>
          <t>MIS</t>
        </is>
      </c>
      <c r="C445" s="6" t="inlineStr">
        <is>
          <t>987910</t>
        </is>
      </c>
      <c r="D445" s="7" t="inlineStr">
        <is>
          <t>Supply, Erection, Testing and commissioning of 33kV features at 400/220/11kV Guddigudem SS with 2Nos. 220/33kV , 50MVA PTRs on LS basis.</t>
        </is>
      </c>
      <c r="E445" s="7" t="inlineStr">
        <is>
          <t>APTRANSCO WORKS-Chief Engineer Projects, Vijayawada</t>
        </is>
      </c>
      <c r="F445" s="6" t="inlineStr">
        <is>
          <t>22 Jul 2026</t>
        </is>
      </c>
      <c r="G445" s="5" t="inlineStr">
        <is>
          <t>15 Aug 2026</t>
        </is>
      </c>
      <c r="H445" s="8" t="inlineStr">
        <is>
          <t>⏳ UPCOMING</t>
        </is>
      </c>
      <c r="I445" s="4" t="inlineStr">
        <is>
          <t>VOL 2A 3.2 Sec-II CB.pdf</t>
        </is>
      </c>
      <c r="J445" s="6" t="inlineStr">
        <is>
          <t>📕 PDF Document</t>
        </is>
      </c>
      <c r="K445" s="9" t="n">
        <v>480.1</v>
      </c>
      <c r="L445" s="10">
        <f>HYPERLINK("http://127.0.0.1:8000/api/documents/download?id=2700&amp;attachment=true", "⬇ Download VOL 2A 3.2 Sec-II CB.pdf")</f>
        <v/>
      </c>
      <c r="M445" s="10">
        <f>HYPERLINK("http://localhost:5173/?state=Andhra%20Pradesh&amp;keyword=MIS&amp;tender=987910", "🚀 Open in Portal")</f>
        <v/>
      </c>
    </row>
    <row r="446" ht="24" customHeight="1">
      <c r="A446" s="11" t="inlineStr">
        <is>
          <t>Andhra Pradesh</t>
        </is>
      </c>
      <c r="B446" s="12" t="inlineStr">
        <is>
          <t>MIS</t>
        </is>
      </c>
      <c r="C446" s="13" t="inlineStr">
        <is>
          <t>987910</t>
        </is>
      </c>
      <c r="D446" s="14" t="inlineStr">
        <is>
          <t>Supply, Erection, Testing and commissioning of 33kV features at 400/220/11kV Guddigudem SS with 2Nos. 220/33kV , 50MVA PTRs on LS basis.</t>
        </is>
      </c>
      <c r="E446" s="14" t="inlineStr">
        <is>
          <t>APTRANSCO WORKS-Chief Engineer Projects, Vijayawada</t>
        </is>
      </c>
      <c r="F446" s="13" t="inlineStr">
        <is>
          <t>22 Jul 2026</t>
        </is>
      </c>
      <c r="G446" s="12" t="inlineStr">
        <is>
          <t>15 Aug 2026</t>
        </is>
      </c>
      <c r="H446" s="8" t="inlineStr">
        <is>
          <t>⏳ UPCOMING</t>
        </is>
      </c>
      <c r="I446" s="11" t="inlineStr">
        <is>
          <t>VOL 2A 3.3 Sec-III inst. Tr..pdf</t>
        </is>
      </c>
      <c r="J446" s="13" t="inlineStr">
        <is>
          <t>📕 PDF Document</t>
        </is>
      </c>
      <c r="K446" s="15" t="n">
        <v>882.9</v>
      </c>
      <c r="L446" s="16">
        <f>HYPERLINK("http://127.0.0.1:8000/api/documents/download?id=2701&amp;attachment=true", "⬇ Download VOL 2A 3.3 Sec-III inst.")</f>
        <v/>
      </c>
      <c r="M446" s="16">
        <f>HYPERLINK("http://localhost:5173/?state=Andhra%20Pradesh&amp;keyword=MIS&amp;tender=987910", "🚀 Open in Portal")</f>
        <v/>
      </c>
    </row>
    <row r="447" ht="24" customHeight="1">
      <c r="A447" s="4" t="inlineStr">
        <is>
          <t>Andhra Pradesh</t>
        </is>
      </c>
      <c r="B447" s="5" t="inlineStr">
        <is>
          <t>MIS</t>
        </is>
      </c>
      <c r="C447" s="6" t="inlineStr">
        <is>
          <t>987910</t>
        </is>
      </c>
      <c r="D447" s="7" t="inlineStr">
        <is>
          <t>Supply, Erection, Testing and commissioning of 33kV features at 400/220/11kV Guddigudem SS with 2Nos. 220/33kV , 50MVA PTRs on LS basis.</t>
        </is>
      </c>
      <c r="E447" s="7" t="inlineStr">
        <is>
          <t>APTRANSCO WORKS-Chief Engineer Projects, Vijayawada</t>
        </is>
      </c>
      <c r="F447" s="6" t="inlineStr">
        <is>
          <t>22 Jul 2026</t>
        </is>
      </c>
      <c r="G447" s="5" t="inlineStr">
        <is>
          <t>15 Aug 2026</t>
        </is>
      </c>
      <c r="H447" s="8" t="inlineStr">
        <is>
          <t>⏳ UPCOMING</t>
        </is>
      </c>
      <c r="I447" s="4" t="inlineStr">
        <is>
          <t>VOL 2A 3.4 Sec IV Auxiliaries.pdf</t>
        </is>
      </c>
      <c r="J447" s="6" t="inlineStr">
        <is>
          <t>📕 PDF Document</t>
        </is>
      </c>
      <c r="K447" s="9" t="n">
        <v>273.1</v>
      </c>
      <c r="L447" s="10">
        <f>HYPERLINK("http://127.0.0.1:8000/api/documents/download?id=2702&amp;attachment=true", "⬇ Download VOL 2A 3.4 Sec IV Auxili")</f>
        <v/>
      </c>
      <c r="M447" s="10">
        <f>HYPERLINK("http://localhost:5173/?state=Andhra%20Pradesh&amp;keyword=MIS&amp;tender=987910", "🚀 Open in Portal")</f>
        <v/>
      </c>
    </row>
    <row r="448" ht="24" customHeight="1">
      <c r="A448" s="11" t="inlineStr">
        <is>
          <t>Andhra Pradesh</t>
        </is>
      </c>
      <c r="B448" s="12" t="inlineStr">
        <is>
          <t>MIS</t>
        </is>
      </c>
      <c r="C448" s="13" t="inlineStr">
        <is>
          <t>987910</t>
        </is>
      </c>
      <c r="D448" s="14" t="inlineStr">
        <is>
          <t>Supply, Erection, Testing and commissioning of 33kV features at 400/220/11kV Guddigudem SS with 2Nos. 220/33kV , 50MVA PTRs on LS basis.</t>
        </is>
      </c>
      <c r="E448" s="14" t="inlineStr">
        <is>
          <t>APTRANSCO WORKS-Chief Engineer Projects, Vijayawada</t>
        </is>
      </c>
      <c r="F448" s="13" t="inlineStr">
        <is>
          <t>22 Jul 2026</t>
        </is>
      </c>
      <c r="G448" s="12" t="inlineStr">
        <is>
          <t>15 Aug 2026</t>
        </is>
      </c>
      <c r="H448" s="8" t="inlineStr">
        <is>
          <t>⏳ UPCOMING</t>
        </is>
      </c>
      <c r="I448" s="11" t="inlineStr">
        <is>
          <t>VOL 2A 3.5 Sec-V Annexures.pdf</t>
        </is>
      </c>
      <c r="J448" s="13" t="inlineStr">
        <is>
          <t>📕 PDF Document</t>
        </is>
      </c>
      <c r="K448" s="15" t="n">
        <v>580.2</v>
      </c>
      <c r="L448" s="16">
        <f>HYPERLINK("http://127.0.0.1:8000/api/documents/download?id=2703&amp;attachment=true", "⬇ Download VOL 2A 3.5 Sec-V Annexur")</f>
        <v/>
      </c>
      <c r="M448" s="16">
        <f>HYPERLINK("http://localhost:5173/?state=Andhra%20Pradesh&amp;keyword=MIS&amp;tender=987910", "🚀 Open in Portal")</f>
        <v/>
      </c>
    </row>
    <row r="449" ht="24" customHeight="1">
      <c r="A449" s="4" t="inlineStr">
        <is>
          <t>Andhra Pradesh</t>
        </is>
      </c>
      <c r="B449" s="5" t="inlineStr">
        <is>
          <t>MIS</t>
        </is>
      </c>
      <c r="C449" s="6" t="inlineStr">
        <is>
          <t>987910</t>
        </is>
      </c>
      <c r="D449" s="7" t="inlineStr">
        <is>
          <t>Supply, Erection, Testing and commissioning of 33kV features at 400/220/11kV Guddigudem SS with 2Nos. 220/33kV , 50MVA PTRs on LS basis.</t>
        </is>
      </c>
      <c r="E449" s="7" t="inlineStr">
        <is>
          <t>APTRANSCO WORKS-Chief Engineer Projects, Vijayawada</t>
        </is>
      </c>
      <c r="F449" s="6" t="inlineStr">
        <is>
          <t>22 Jul 2026</t>
        </is>
      </c>
      <c r="G449" s="5" t="inlineStr">
        <is>
          <t>15 Aug 2026</t>
        </is>
      </c>
      <c r="H449" s="8" t="inlineStr">
        <is>
          <t>⏳ UPCOMING</t>
        </is>
      </c>
      <c r="I449" s="4" t="inlineStr">
        <is>
          <t>VOL 2A 3.7 Sec-VI-PMU.pdf</t>
        </is>
      </c>
      <c r="J449" s="6" t="inlineStr">
        <is>
          <t>📕 PDF Document</t>
        </is>
      </c>
      <c r="K449" s="9" t="n">
        <v>695.6</v>
      </c>
      <c r="L449" s="10">
        <f>HYPERLINK("http://127.0.0.1:8000/api/documents/download?id=2704&amp;attachment=true", "⬇ Download VOL 2A 3.7 Sec-VI-PMU.pd")</f>
        <v/>
      </c>
      <c r="M449" s="10">
        <f>HYPERLINK("http://localhost:5173/?state=Andhra%20Pradesh&amp;keyword=MIS&amp;tender=987910", "🚀 Open in Portal")</f>
        <v/>
      </c>
    </row>
    <row r="450" ht="24" customHeight="1">
      <c r="A450" s="11" t="inlineStr">
        <is>
          <t>Andhra Pradesh</t>
        </is>
      </c>
      <c r="B450" s="12" t="inlineStr">
        <is>
          <t>MIS</t>
        </is>
      </c>
      <c r="C450" s="13" t="inlineStr">
        <is>
          <t>987910</t>
        </is>
      </c>
      <c r="D450" s="14" t="inlineStr">
        <is>
          <t>Supply, Erection, Testing and commissioning of 33kV features at 400/220/11kV Guddigudem SS with 2Nos. 220/33kV , 50MVA PTRs on LS basis.</t>
        </is>
      </c>
      <c r="E450" s="14" t="inlineStr">
        <is>
          <t>APTRANSCO WORKS-Chief Engineer Projects, Vijayawada</t>
        </is>
      </c>
      <c r="F450" s="13" t="inlineStr">
        <is>
          <t>22 Jul 2026</t>
        </is>
      </c>
      <c r="G450" s="12" t="inlineStr">
        <is>
          <t>15 Aug 2026</t>
        </is>
      </c>
      <c r="H450" s="8" t="inlineStr">
        <is>
          <t>⏳ UPCOMING</t>
        </is>
      </c>
      <c r="I450" s="11" t="inlineStr">
        <is>
          <t>VOL 2A 4.1 ISO.pdf</t>
        </is>
      </c>
      <c r="J450" s="13" t="inlineStr">
        <is>
          <t>📕 PDF Document</t>
        </is>
      </c>
      <c r="K450" s="15" t="n">
        <v>570.5</v>
      </c>
      <c r="L450" s="16">
        <f>HYPERLINK("http://127.0.0.1:8000/api/documents/download?id=2705&amp;attachment=true", "⬇ Download VOL 2A 4.1 ISO.pdf")</f>
        <v/>
      </c>
      <c r="M450" s="16">
        <f>HYPERLINK("http://localhost:5173/?state=Andhra%20Pradesh&amp;keyword=MIS&amp;tender=987910", "🚀 Open in Portal")</f>
        <v/>
      </c>
    </row>
    <row r="451" ht="24" customHeight="1">
      <c r="A451" s="4" t="inlineStr">
        <is>
          <t>Andhra Pradesh</t>
        </is>
      </c>
      <c r="B451" s="5" t="inlineStr">
        <is>
          <t>MIS</t>
        </is>
      </c>
      <c r="C451" s="6" t="inlineStr">
        <is>
          <t>987910</t>
        </is>
      </c>
      <c r="D451" s="7" t="inlineStr">
        <is>
          <t>Supply, Erection, Testing and commissioning of 33kV features at 400/220/11kV Guddigudem SS with 2Nos. 220/33kV , 50MVA PTRs on LS basis.</t>
        </is>
      </c>
      <c r="E451" s="7" t="inlineStr">
        <is>
          <t>APTRANSCO WORKS-Chief Engineer Projects, Vijayawada</t>
        </is>
      </c>
      <c r="F451" s="6" t="inlineStr">
        <is>
          <t>22 Jul 2026</t>
        </is>
      </c>
      <c r="G451" s="5" t="inlineStr">
        <is>
          <t>15 Aug 2026</t>
        </is>
      </c>
      <c r="H451" s="8" t="inlineStr">
        <is>
          <t>⏳ UPCOMING</t>
        </is>
      </c>
      <c r="I451" s="4" t="inlineStr">
        <is>
          <t>VOL 2A 4.2 Sec-II LAs.pdf</t>
        </is>
      </c>
      <c r="J451" s="6" t="inlineStr">
        <is>
          <t>📕 PDF Document</t>
        </is>
      </c>
      <c r="K451" s="9" t="n">
        <v>395.6</v>
      </c>
      <c r="L451" s="10">
        <f>HYPERLINK("http://127.0.0.1:8000/api/documents/download?id=2706&amp;attachment=true", "⬇ Download VOL 2A 4.2 Sec-II LAs.pd")</f>
        <v/>
      </c>
      <c r="M451" s="10">
        <f>HYPERLINK("http://localhost:5173/?state=Andhra%20Pradesh&amp;keyword=MIS&amp;tender=987910", "🚀 Open in Portal")</f>
        <v/>
      </c>
    </row>
    <row r="452" ht="24" customHeight="1">
      <c r="A452" s="11" t="inlineStr">
        <is>
          <t>Andhra Pradesh</t>
        </is>
      </c>
      <c r="B452" s="12" t="inlineStr">
        <is>
          <t>MIS</t>
        </is>
      </c>
      <c r="C452" s="13" t="inlineStr">
        <is>
          <t>987910</t>
        </is>
      </c>
      <c r="D452" s="14" t="inlineStr">
        <is>
          <t>Supply, Erection, Testing and commissioning of 33kV features at 400/220/11kV Guddigudem SS with 2Nos. 220/33kV , 50MVA PTRs on LS basis.</t>
        </is>
      </c>
      <c r="E452" s="14" t="inlineStr">
        <is>
          <t>APTRANSCO WORKS-Chief Engineer Projects, Vijayawada</t>
        </is>
      </c>
      <c r="F452" s="13" t="inlineStr">
        <is>
          <t>22 Jul 2026</t>
        </is>
      </c>
      <c r="G452" s="12" t="inlineStr">
        <is>
          <t>15 Aug 2026</t>
        </is>
      </c>
      <c r="H452" s="8" t="inlineStr">
        <is>
          <t>⏳ UPCOMING</t>
        </is>
      </c>
      <c r="I452" s="11" t="inlineStr">
        <is>
          <t>VOL 2A 5.1 General.pdf</t>
        </is>
      </c>
      <c r="J452" s="13" t="inlineStr">
        <is>
          <t>📕 PDF Document</t>
        </is>
      </c>
      <c r="K452" s="15" t="n">
        <v>172.3</v>
      </c>
      <c r="L452" s="16">
        <f>HYPERLINK("http://127.0.0.1:8000/api/documents/download?id=2707&amp;attachment=true", "⬇ Download VOL 2A 5.1 General.pdf")</f>
        <v/>
      </c>
      <c r="M452" s="16">
        <f>HYPERLINK("http://localhost:5173/?state=Andhra%20Pradesh&amp;keyword=MIS&amp;tender=987910", "🚀 Open in Portal")</f>
        <v/>
      </c>
    </row>
    <row r="453" ht="24" customHeight="1">
      <c r="A453" s="4" t="inlineStr">
        <is>
          <t>Andhra Pradesh</t>
        </is>
      </c>
      <c r="B453" s="5" t="inlineStr">
        <is>
          <t>MIS</t>
        </is>
      </c>
      <c r="C453" s="6" t="inlineStr">
        <is>
          <t>987910</t>
        </is>
      </c>
      <c r="D453" s="7" t="inlineStr">
        <is>
          <t>Supply, Erection, Testing and commissioning of 33kV features at 400/220/11kV Guddigudem SS with 2Nos. 220/33kV , 50MVA PTRs on LS basis.</t>
        </is>
      </c>
      <c r="E453" s="7" t="inlineStr">
        <is>
          <t>APTRANSCO WORKS-Chief Engineer Projects, Vijayawada</t>
        </is>
      </c>
      <c r="F453" s="6" t="inlineStr">
        <is>
          <t>22 Jul 2026</t>
        </is>
      </c>
      <c r="G453" s="5" t="inlineStr">
        <is>
          <t>15 Aug 2026</t>
        </is>
      </c>
      <c r="H453" s="8" t="inlineStr">
        <is>
          <t>⏳ UPCOMING</t>
        </is>
      </c>
      <c r="I453" s="4" t="inlineStr">
        <is>
          <t>VOL 2A 5.2 Batery&amp;Charger.pdf</t>
        </is>
      </c>
      <c r="J453" s="6" t="inlineStr">
        <is>
          <t>📕 PDF Document</t>
        </is>
      </c>
      <c r="K453" s="9" t="n">
        <v>822.9</v>
      </c>
      <c r="L453" s="10">
        <f>HYPERLINK("http://127.0.0.1:8000/api/documents/download?id=2708&amp;attachment=true", "⬇ Download VOL 2A 5.2 Batery&amp;Charge")</f>
        <v/>
      </c>
      <c r="M453" s="10">
        <f>HYPERLINK("http://localhost:5173/?state=Andhra%20Pradesh&amp;keyword=MIS&amp;tender=987910", "🚀 Open in Portal")</f>
        <v/>
      </c>
    </row>
    <row r="454" ht="24" customHeight="1">
      <c r="A454" s="11" t="inlineStr">
        <is>
          <t>Andhra Pradesh</t>
        </is>
      </c>
      <c r="B454" s="12" t="inlineStr">
        <is>
          <t>MIS</t>
        </is>
      </c>
      <c r="C454" s="13" t="inlineStr">
        <is>
          <t>987910</t>
        </is>
      </c>
      <c r="D454" s="14" t="inlineStr">
        <is>
          <t>Supply, Erection, Testing and commissioning of 33kV features at 400/220/11kV Guddigudem SS with 2Nos. 220/33kV , 50MVA PTRs on LS basis.</t>
        </is>
      </c>
      <c r="E454" s="14" t="inlineStr">
        <is>
          <t>APTRANSCO WORKS-Chief Engineer Projects, Vijayawada</t>
        </is>
      </c>
      <c r="F454" s="13" t="inlineStr">
        <is>
          <t>22 Jul 2026</t>
        </is>
      </c>
      <c r="G454" s="12" t="inlineStr">
        <is>
          <t>15 Aug 2026</t>
        </is>
      </c>
      <c r="H454" s="8" t="inlineStr">
        <is>
          <t>⏳ UPCOMING</t>
        </is>
      </c>
      <c r="I454" s="11" t="inlineStr">
        <is>
          <t>VOL 2A 5.3 Sec-III ACDCDB.pdf</t>
        </is>
      </c>
      <c r="J454" s="13" t="inlineStr">
        <is>
          <t>📕 PDF Document</t>
        </is>
      </c>
      <c r="K454" s="15" t="n">
        <v>812.7</v>
      </c>
      <c r="L454" s="16">
        <f>HYPERLINK("http://127.0.0.1:8000/api/documents/download?id=2709&amp;attachment=true", "⬇ Download VOL 2A 5.3 Sec-III ACDCD")</f>
        <v/>
      </c>
      <c r="M454" s="16">
        <f>HYPERLINK("http://localhost:5173/?state=Andhra%20Pradesh&amp;keyword=MIS&amp;tender=987910", "🚀 Open in Portal")</f>
        <v/>
      </c>
    </row>
    <row r="455" ht="24" customHeight="1">
      <c r="A455" s="4" t="inlineStr">
        <is>
          <t>Andhra Pradesh</t>
        </is>
      </c>
      <c r="B455" s="5" t="inlineStr">
        <is>
          <t>MIS</t>
        </is>
      </c>
      <c r="C455" s="6" t="inlineStr">
        <is>
          <t>987910</t>
        </is>
      </c>
      <c r="D455" s="7" t="inlineStr">
        <is>
          <t>Supply, Erection, Testing and commissioning of 33kV features at 400/220/11kV Guddigudem SS with 2Nos. 220/33kV , 50MVA PTRs on LS basis.</t>
        </is>
      </c>
      <c r="E455" s="7" t="inlineStr">
        <is>
          <t>APTRANSCO WORKS-Chief Engineer Projects, Vijayawada</t>
        </is>
      </c>
      <c r="F455" s="6" t="inlineStr">
        <is>
          <t>22 Jul 2026</t>
        </is>
      </c>
      <c r="G455" s="5" t="inlineStr">
        <is>
          <t>15 Aug 2026</t>
        </is>
      </c>
      <c r="H455" s="8" t="inlineStr">
        <is>
          <t>⏳ UPCOMING</t>
        </is>
      </c>
      <c r="I455" s="4" t="inlineStr">
        <is>
          <t>VOL 2A 5.4 Sec-IV BBC drg.pdf</t>
        </is>
      </c>
      <c r="J455" s="6" t="inlineStr">
        <is>
          <t>📕 PDF Document</t>
        </is>
      </c>
      <c r="K455" s="9" t="n">
        <v>96.5</v>
      </c>
      <c r="L455" s="10">
        <f>HYPERLINK("http://127.0.0.1:8000/api/documents/download?id=2710&amp;attachment=true", "⬇ Download VOL 2A 5.4 Sec-IV BBC dr")</f>
        <v/>
      </c>
      <c r="M455" s="10">
        <f>HYPERLINK("http://localhost:5173/?state=Andhra%20Pradesh&amp;keyword=MIS&amp;tender=987910", "🚀 Open in Portal")</f>
        <v/>
      </c>
    </row>
    <row r="456" ht="24" customHeight="1">
      <c r="A456" s="11" t="inlineStr">
        <is>
          <t>Andhra Pradesh</t>
        </is>
      </c>
      <c r="B456" s="12" t="inlineStr">
        <is>
          <t>MIS</t>
        </is>
      </c>
      <c r="C456" s="13" t="inlineStr">
        <is>
          <t>987910</t>
        </is>
      </c>
      <c r="D456" s="14" t="inlineStr">
        <is>
          <t>Supply, Erection, Testing and commissioning of 33kV features at 400/220/11kV Guddigudem SS with 2Nos. 220/33kV , 50MVA PTRs on LS basis.</t>
        </is>
      </c>
      <c r="E456" s="14" t="inlineStr">
        <is>
          <t>APTRANSCO WORKS-Chief Engineer Projects, Vijayawada</t>
        </is>
      </c>
      <c r="F456" s="13" t="inlineStr">
        <is>
          <t>22 Jul 2026</t>
        </is>
      </c>
      <c r="G456" s="12" t="inlineStr">
        <is>
          <t>15 Aug 2026</t>
        </is>
      </c>
      <c r="H456" s="8" t="inlineStr">
        <is>
          <t>⏳ UPCOMING</t>
        </is>
      </c>
      <c r="I456" s="11" t="inlineStr">
        <is>
          <t>VOL 2A 5.5 Sp. technical particulars.pdf</t>
        </is>
      </c>
      <c r="J456" s="13" t="inlineStr">
        <is>
          <t>📕 PDF Document</t>
        </is>
      </c>
      <c r="K456" s="15" t="n">
        <v>135.2</v>
      </c>
      <c r="L456" s="16">
        <f>HYPERLINK("http://127.0.0.1:8000/api/documents/download?id=2711&amp;attachment=true", "⬇ Download VOL 2A 5.5 Sp. technical")</f>
        <v/>
      </c>
      <c r="M456" s="16">
        <f>HYPERLINK("http://localhost:5173/?state=Andhra%20Pradesh&amp;keyword=MIS&amp;tender=987910", "🚀 Open in Portal")</f>
        <v/>
      </c>
    </row>
    <row r="457" ht="24" customHeight="1">
      <c r="A457" s="4" t="inlineStr">
        <is>
          <t>Andhra Pradesh</t>
        </is>
      </c>
      <c r="B457" s="5" t="inlineStr">
        <is>
          <t>MIS</t>
        </is>
      </c>
      <c r="C457" s="6" t="inlineStr">
        <is>
          <t>987910</t>
        </is>
      </c>
      <c r="D457" s="7" t="inlineStr">
        <is>
          <t>Supply, Erection, Testing and commissioning of 33kV features at 400/220/11kV Guddigudem SS with 2Nos. 220/33kV , 50MVA PTRs on LS basis.</t>
        </is>
      </c>
      <c r="E457" s="7" t="inlineStr">
        <is>
          <t>APTRANSCO WORKS-Chief Engineer Projects, Vijayawada</t>
        </is>
      </c>
      <c r="F457" s="6" t="inlineStr">
        <is>
          <t>22 Jul 2026</t>
        </is>
      </c>
      <c r="G457" s="5" t="inlineStr">
        <is>
          <t>15 Aug 2026</t>
        </is>
      </c>
      <c r="H457" s="8" t="inlineStr">
        <is>
          <t>⏳ UPCOMING</t>
        </is>
      </c>
      <c r="I457" s="4" t="inlineStr">
        <is>
          <t>VOL 2A 7.6 Sec-VI  Inst Cables.pdf</t>
        </is>
      </c>
      <c r="J457" s="6" t="inlineStr">
        <is>
          <t>📕 PDF Document</t>
        </is>
      </c>
      <c r="K457" s="9" t="n">
        <v>496.5</v>
      </c>
      <c r="L457" s="10">
        <f>HYPERLINK("http://127.0.0.1:8000/api/documents/download?id=2712&amp;attachment=true", "⬇ Download VOL 2A 7.6 Sec-VI  Inst ")</f>
        <v/>
      </c>
      <c r="M457" s="10">
        <f>HYPERLINK("http://localhost:5173/?state=Andhra%20Pradesh&amp;keyword=MIS&amp;tender=987910", "🚀 Open in Portal")</f>
        <v/>
      </c>
    </row>
    <row r="458" ht="24" customHeight="1">
      <c r="A458" s="11" t="inlineStr">
        <is>
          <t>Andhra Pradesh</t>
        </is>
      </c>
      <c r="B458" s="12" t="inlineStr">
        <is>
          <t>MIS</t>
        </is>
      </c>
      <c r="C458" s="13" t="inlineStr">
        <is>
          <t>987910</t>
        </is>
      </c>
      <c r="D458" s="14" t="inlineStr">
        <is>
          <t>Supply, Erection, Testing and commissioning of 33kV features at 400/220/11kV Guddigudem SS with 2Nos. 220/33kV , 50MVA PTRs on LS basis.</t>
        </is>
      </c>
      <c r="E458" s="14" t="inlineStr">
        <is>
          <t>APTRANSCO WORKS-Chief Engineer Projects, Vijayawada</t>
        </is>
      </c>
      <c r="F458" s="13" t="inlineStr">
        <is>
          <t>22 Jul 2026</t>
        </is>
      </c>
      <c r="G458" s="12" t="inlineStr">
        <is>
          <t>15 Aug 2026</t>
        </is>
      </c>
      <c r="H458" s="8" t="inlineStr">
        <is>
          <t>⏳ UPCOMING</t>
        </is>
      </c>
      <c r="I458" s="11" t="inlineStr">
        <is>
          <t>VOL 2A 8.1 Sec-I Illum.pdf</t>
        </is>
      </c>
      <c r="J458" s="13" t="inlineStr">
        <is>
          <t>📕 PDF Document</t>
        </is>
      </c>
      <c r="K458" s="15" t="n">
        <v>633.4</v>
      </c>
      <c r="L458" s="16">
        <f>HYPERLINK("http://127.0.0.1:8000/api/documents/download?id=2713&amp;attachment=true", "⬇ Download VOL 2A 8.1 Sec-I Illum.p")</f>
        <v/>
      </c>
      <c r="M458" s="16">
        <f>HYPERLINK("http://localhost:5173/?state=Andhra%20Pradesh&amp;keyword=MIS&amp;tender=987910", "🚀 Open in Portal")</f>
        <v/>
      </c>
    </row>
    <row r="459" ht="24" customHeight="1">
      <c r="A459" s="4" t="inlineStr">
        <is>
          <t>Andhra Pradesh</t>
        </is>
      </c>
      <c r="B459" s="5" t="inlineStr">
        <is>
          <t>MIS</t>
        </is>
      </c>
      <c r="C459" s="6" t="inlineStr">
        <is>
          <t>987910</t>
        </is>
      </c>
      <c r="D459" s="7" t="inlineStr">
        <is>
          <t>Supply, Erection, Testing and commissioning of 33kV features at 400/220/11kV Guddigudem SS with 2Nos. 220/33kV , 50MVA PTRs on LS basis.</t>
        </is>
      </c>
      <c r="E459" s="7" t="inlineStr">
        <is>
          <t>APTRANSCO WORKS-Chief Engineer Projects, Vijayawada</t>
        </is>
      </c>
      <c r="F459" s="6" t="inlineStr">
        <is>
          <t>22 Jul 2026</t>
        </is>
      </c>
      <c r="G459" s="5" t="inlineStr">
        <is>
          <t>15 Aug 2026</t>
        </is>
      </c>
      <c r="H459" s="8" t="inlineStr">
        <is>
          <t>⏳ UPCOMING</t>
        </is>
      </c>
      <c r="I459" s="4" t="inlineStr">
        <is>
          <t>VOL 2A 8.2.2 Sec-II FF System 1.pdf</t>
        </is>
      </c>
      <c r="J459" s="6" t="inlineStr">
        <is>
          <t>📕 PDF Document</t>
        </is>
      </c>
      <c r="K459" s="9" t="n">
        <v>2115.7</v>
      </c>
      <c r="L459" s="10">
        <f>HYPERLINK("http://127.0.0.1:8000/api/documents/download?id=2714&amp;attachment=true", "⬇ Download VOL 2A 8.2.2 Sec-II FF S")</f>
        <v/>
      </c>
      <c r="M459" s="10">
        <f>HYPERLINK("http://localhost:5173/?state=Andhra%20Pradesh&amp;keyword=MIS&amp;tender=987910", "🚀 Open in Portal")</f>
        <v/>
      </c>
    </row>
    <row r="460" ht="24" customHeight="1">
      <c r="A460" s="11" t="inlineStr">
        <is>
          <t>Andhra Pradesh</t>
        </is>
      </c>
      <c r="B460" s="12" t="inlineStr">
        <is>
          <t>MIS</t>
        </is>
      </c>
      <c r="C460" s="13" t="inlineStr">
        <is>
          <t>987910</t>
        </is>
      </c>
      <c r="D460" s="14" t="inlineStr">
        <is>
          <t>Supply, Erection, Testing and commissioning of 33kV features at 400/220/11kV Guddigudem SS with 2Nos. 220/33kV , 50MVA PTRs on LS basis.</t>
        </is>
      </c>
      <c r="E460" s="14" t="inlineStr">
        <is>
          <t>APTRANSCO WORKS-Chief Engineer Projects, Vijayawada</t>
        </is>
      </c>
      <c r="F460" s="13" t="inlineStr">
        <is>
          <t>22 Jul 2026</t>
        </is>
      </c>
      <c r="G460" s="12" t="inlineStr">
        <is>
          <t>15 Aug 2026</t>
        </is>
      </c>
      <c r="H460" s="8" t="inlineStr">
        <is>
          <t>⏳ UPCOMING</t>
        </is>
      </c>
      <c r="I460" s="11" t="inlineStr">
        <is>
          <t>VOL 2A 8.4 D.G.System.pdf</t>
        </is>
      </c>
      <c r="J460" s="13" t="inlineStr">
        <is>
          <t>📕 PDF Document</t>
        </is>
      </c>
      <c r="K460" s="15" t="n">
        <v>418</v>
      </c>
      <c r="L460" s="16">
        <f>HYPERLINK("http://127.0.0.1:8000/api/documents/download?id=2715&amp;attachment=true", "⬇ Download VOL 2A 8.4 D.G.System.pd")</f>
        <v/>
      </c>
      <c r="M460" s="16">
        <f>HYPERLINK("http://localhost:5173/?state=Andhra%20Pradesh&amp;keyword=MIS&amp;tender=987910", "🚀 Open in Portal")</f>
        <v/>
      </c>
    </row>
    <row r="461" ht="24" customHeight="1">
      <c r="A461" s="4" t="inlineStr">
        <is>
          <t>Andhra Pradesh</t>
        </is>
      </c>
      <c r="B461" s="5" t="inlineStr">
        <is>
          <t>MIS</t>
        </is>
      </c>
      <c r="C461" s="6" t="inlineStr">
        <is>
          <t>987910</t>
        </is>
      </c>
      <c r="D461" s="7" t="inlineStr">
        <is>
          <t>Supply, Erection, Testing and commissioning of 33kV features at 400/220/11kV Guddigudem SS with 2Nos. 220/33kV , 50MVA PTRs on LS basis.</t>
        </is>
      </c>
      <c r="E461" s="7" t="inlineStr">
        <is>
          <t>APTRANSCO WORKS-Chief Engineer Projects, Vijayawada</t>
        </is>
      </c>
      <c r="F461" s="6" t="inlineStr">
        <is>
          <t>22 Jul 2026</t>
        </is>
      </c>
      <c r="G461" s="5" t="inlineStr">
        <is>
          <t>15 Aug 2026</t>
        </is>
      </c>
      <c r="H461" s="8" t="inlineStr">
        <is>
          <t>⏳ UPCOMING</t>
        </is>
      </c>
      <c r="I461" s="4" t="inlineStr">
        <is>
          <t>VOL 2A 8.5 SS supply System.pdf</t>
        </is>
      </c>
      <c r="J461" s="6" t="inlineStr">
        <is>
          <t>📕 PDF Document</t>
        </is>
      </c>
      <c r="K461" s="9" t="n">
        <v>1188.6</v>
      </c>
      <c r="L461" s="10">
        <f>HYPERLINK("http://127.0.0.1:8000/api/documents/download?id=2716&amp;attachment=true", "⬇ Download VOL 2A 8.5 SS supply Sys")</f>
        <v/>
      </c>
      <c r="M461" s="10">
        <f>HYPERLINK("http://localhost:5173/?state=Andhra%20Pradesh&amp;keyword=MIS&amp;tender=987910", "🚀 Open in Portal")</f>
        <v/>
      </c>
    </row>
    <row r="462" ht="24" customHeight="1">
      <c r="A462" s="11" t="inlineStr">
        <is>
          <t>Andhra Pradesh</t>
        </is>
      </c>
      <c r="B462" s="12" t="inlineStr">
        <is>
          <t>MIS</t>
        </is>
      </c>
      <c r="C462" s="13" t="inlineStr">
        <is>
          <t>987910</t>
        </is>
      </c>
      <c r="D462" s="14" t="inlineStr">
        <is>
          <t>Supply, Erection, Testing and commissioning of 33kV features at 400/220/11kV Guddigudem SS with 2Nos. 220/33kV , 50MVA PTRs on LS basis.</t>
        </is>
      </c>
      <c r="E462" s="14" t="inlineStr">
        <is>
          <t>APTRANSCO WORKS-Chief Engineer Projects, Vijayawada</t>
        </is>
      </c>
      <c r="F462" s="13" t="inlineStr">
        <is>
          <t>22 Jul 2026</t>
        </is>
      </c>
      <c r="G462" s="12" t="inlineStr">
        <is>
          <t>15 Aug 2026</t>
        </is>
      </c>
      <c r="H462" s="8" t="inlineStr">
        <is>
          <t>⏳ UPCOMING</t>
        </is>
      </c>
      <c r="I462" s="11" t="inlineStr">
        <is>
          <t>VOL 2A.0.0 Cover Page.doc</t>
        </is>
      </c>
      <c r="J462" s="13" t="inlineStr">
        <is>
          <t>📄 DOC</t>
        </is>
      </c>
      <c r="K462" s="15" t="n">
        <v>42.5</v>
      </c>
      <c r="L462" s="16">
        <f>HYPERLINK("http://127.0.0.1:8000/api/documents/download?id=2717&amp;attachment=true", "⬇ Download VOL 2A.0.0 Cover Page.do")</f>
        <v/>
      </c>
      <c r="M462" s="16">
        <f>HYPERLINK("http://localhost:5173/?state=Andhra%20Pradesh&amp;keyword=MIS&amp;tender=987910", "🚀 Open in Portal")</f>
        <v/>
      </c>
    </row>
    <row r="463" ht="24" customHeight="1">
      <c r="A463" s="4" t="inlineStr">
        <is>
          <t>Andhra Pradesh</t>
        </is>
      </c>
      <c r="B463" s="5" t="inlineStr">
        <is>
          <t>MIS</t>
        </is>
      </c>
      <c r="C463" s="6" t="inlineStr">
        <is>
          <t>987910</t>
        </is>
      </c>
      <c r="D463" s="7" t="inlineStr">
        <is>
          <t>Supply, Erection, Testing and commissioning of 33kV features at 400/220/11kV Guddigudem SS with 2Nos. 220/33kV , 50MVA PTRs on LS basis.</t>
        </is>
      </c>
      <c r="E463" s="7" t="inlineStr">
        <is>
          <t>APTRANSCO WORKS-Chief Engineer Projects, Vijayawada</t>
        </is>
      </c>
      <c r="F463" s="6" t="inlineStr">
        <is>
          <t>22 Jul 2026</t>
        </is>
      </c>
      <c r="G463" s="5" t="inlineStr">
        <is>
          <t>15 Aug 2026</t>
        </is>
      </c>
      <c r="H463" s="8" t="inlineStr">
        <is>
          <t>⏳ UPCOMING</t>
        </is>
      </c>
      <c r="I463" s="4" t="inlineStr">
        <is>
          <t>VOL 2A.1.0 Civil Spec.doc</t>
        </is>
      </c>
      <c r="J463" s="6" t="inlineStr">
        <is>
          <t>📄 DOC</t>
        </is>
      </c>
      <c r="K463" s="9" t="n">
        <v>723.5</v>
      </c>
      <c r="L463" s="10">
        <f>HYPERLINK("http://127.0.0.1:8000/api/documents/download?id=2718&amp;attachment=true", "⬇ Download VOL 2A.1.0 Civil Spec.do")</f>
        <v/>
      </c>
      <c r="M463" s="10">
        <f>HYPERLINK("http://localhost:5173/?state=Andhra%20Pradesh&amp;keyword=MIS&amp;tender=987910", "🚀 Open in Portal")</f>
        <v/>
      </c>
    </row>
    <row r="464" ht="24" customHeight="1">
      <c r="A464" s="11" t="inlineStr">
        <is>
          <t>Andhra Pradesh</t>
        </is>
      </c>
      <c r="B464" s="12" t="inlineStr">
        <is>
          <t>MIS</t>
        </is>
      </c>
      <c r="C464" s="13" t="inlineStr">
        <is>
          <t>987910</t>
        </is>
      </c>
      <c r="D464" s="14" t="inlineStr">
        <is>
          <t>Supply, Erection, Testing and commissioning of 33kV features at 400/220/11kV Guddigudem SS with 2Nos. 220/33kV , 50MVA PTRs on LS basis.</t>
        </is>
      </c>
      <c r="E464" s="14" t="inlineStr">
        <is>
          <t>APTRANSCO WORKS-Chief Engineer Projects, Vijayawada</t>
        </is>
      </c>
      <c r="F464" s="13" t="inlineStr">
        <is>
          <t>22 Jul 2026</t>
        </is>
      </c>
      <c r="G464" s="12" t="inlineStr">
        <is>
          <t>15 Aug 2026</t>
        </is>
      </c>
      <c r="H464" s="8" t="inlineStr">
        <is>
          <t>⏳ UPCOMING</t>
        </is>
      </c>
      <c r="I464" s="11" t="inlineStr">
        <is>
          <t>VOL 2A.2.1 General.doc</t>
        </is>
      </c>
      <c r="J464" s="13" t="inlineStr">
        <is>
          <t>📄 DOC</t>
        </is>
      </c>
      <c r="K464" s="15" t="n">
        <v>132.5</v>
      </c>
      <c r="L464" s="16">
        <f>HYPERLINK("http://127.0.0.1:8000/api/documents/download?id=2719&amp;attachment=true", "⬇ Download VOL 2A.2.1 General.doc")</f>
        <v/>
      </c>
      <c r="M464" s="16">
        <f>HYPERLINK("http://localhost:5173/?state=Andhra%20Pradesh&amp;keyword=MIS&amp;tender=987910", "🚀 Open in Portal")</f>
        <v/>
      </c>
    </row>
    <row r="465" ht="24" customHeight="1">
      <c r="A465" s="4" t="inlineStr">
        <is>
          <t>Andhra Pradesh</t>
        </is>
      </c>
      <c r="B465" s="5" t="inlineStr">
        <is>
          <t>MIS</t>
        </is>
      </c>
      <c r="C465" s="6" t="inlineStr">
        <is>
          <t>987910</t>
        </is>
      </c>
      <c r="D465" s="7" t="inlineStr">
        <is>
          <t>Supply, Erection, Testing and commissioning of 33kV features at 400/220/11kV Guddigudem SS with 2Nos. 220/33kV , 50MVA PTRs on LS basis.</t>
        </is>
      </c>
      <c r="E465" s="7" t="inlineStr">
        <is>
          <t>APTRANSCO WORKS-Chief Engineer Projects, Vijayawada</t>
        </is>
      </c>
      <c r="F465" s="6" t="inlineStr">
        <is>
          <t>22 Jul 2026</t>
        </is>
      </c>
      <c r="G465" s="5" t="inlineStr">
        <is>
          <t>15 Aug 2026</t>
        </is>
      </c>
      <c r="H465" s="8" t="inlineStr">
        <is>
          <t>⏳ UPCOMING</t>
        </is>
      </c>
      <c r="I465" s="4" t="inlineStr">
        <is>
          <t>VOL 2A.3.1 Sec-I General.doc</t>
        </is>
      </c>
      <c r="J465" s="6" t="inlineStr">
        <is>
          <t>📄 DOC</t>
        </is>
      </c>
      <c r="K465" s="9" t="n">
        <v>445.5</v>
      </c>
      <c r="L465" s="10">
        <f>HYPERLINK("http://127.0.0.1:8000/api/documents/download?id=2720&amp;attachment=true", "⬇ Download VOL 2A.3.1 Sec-I General")</f>
        <v/>
      </c>
      <c r="M465" s="10">
        <f>HYPERLINK("http://localhost:5173/?state=Andhra%20Pradesh&amp;keyword=MIS&amp;tender=987910", "🚀 Open in Portal")</f>
        <v/>
      </c>
    </row>
    <row r="466" ht="24" customHeight="1">
      <c r="A466" s="11" t="inlineStr">
        <is>
          <t>Andhra Pradesh</t>
        </is>
      </c>
      <c r="B466" s="12" t="inlineStr">
        <is>
          <t>MIS</t>
        </is>
      </c>
      <c r="C466" s="13" t="inlineStr">
        <is>
          <t>987910</t>
        </is>
      </c>
      <c r="D466" s="14" t="inlineStr">
        <is>
          <t>Supply, Erection, Testing and commissioning of 33kV features at 400/220/11kV Guddigudem SS with 2Nos. 220/33kV , 50MVA PTRs on LS basis.</t>
        </is>
      </c>
      <c r="E466" s="14" t="inlineStr">
        <is>
          <t>APTRANSCO WORKS-Chief Engineer Projects, Vijayawada</t>
        </is>
      </c>
      <c r="F466" s="13" t="inlineStr">
        <is>
          <t>22 Jul 2026</t>
        </is>
      </c>
      <c r="G466" s="12" t="inlineStr">
        <is>
          <t>15 Aug 2026</t>
        </is>
      </c>
      <c r="H466" s="8" t="inlineStr">
        <is>
          <t>⏳ UPCOMING</t>
        </is>
      </c>
      <c r="I466" s="11" t="inlineStr">
        <is>
          <t>VOL 2A.3.2 Sec-II CB.doc</t>
        </is>
      </c>
      <c r="J466" s="13" t="inlineStr">
        <is>
          <t>📄 DOC</t>
        </is>
      </c>
      <c r="K466" s="15" t="n">
        <v>187.5</v>
      </c>
      <c r="L466" s="16">
        <f>HYPERLINK("http://127.0.0.1:8000/api/documents/download?id=2721&amp;attachment=true", "⬇ Download VOL 2A.3.2 Sec-II CB.doc")</f>
        <v/>
      </c>
      <c r="M466" s="16">
        <f>HYPERLINK("http://localhost:5173/?state=Andhra%20Pradesh&amp;keyword=MIS&amp;tender=987910", "🚀 Open in Portal")</f>
        <v/>
      </c>
    </row>
    <row r="467" ht="24" customHeight="1">
      <c r="A467" s="4" t="inlineStr">
        <is>
          <t>Andhra Pradesh</t>
        </is>
      </c>
      <c r="B467" s="5" t="inlineStr">
        <is>
          <t>MIS</t>
        </is>
      </c>
      <c r="C467" s="6" t="inlineStr">
        <is>
          <t>987910</t>
        </is>
      </c>
      <c r="D467" s="7" t="inlineStr">
        <is>
          <t>Supply, Erection, Testing and commissioning of 33kV features at 400/220/11kV Guddigudem SS with 2Nos. 220/33kV , 50MVA PTRs on LS basis.</t>
        </is>
      </c>
      <c r="E467" s="7" t="inlineStr">
        <is>
          <t>APTRANSCO WORKS-Chief Engineer Projects, Vijayawada</t>
        </is>
      </c>
      <c r="F467" s="6" t="inlineStr">
        <is>
          <t>22 Jul 2026</t>
        </is>
      </c>
      <c r="G467" s="5" t="inlineStr">
        <is>
          <t>15 Aug 2026</t>
        </is>
      </c>
      <c r="H467" s="8" t="inlineStr">
        <is>
          <t>⏳ UPCOMING</t>
        </is>
      </c>
      <c r="I467" s="4" t="inlineStr">
        <is>
          <t>VOL 2A.3.4 Sec IV Auxiliaries.doc</t>
        </is>
      </c>
      <c r="J467" s="6" t="inlineStr">
        <is>
          <t>📄 DOC</t>
        </is>
      </c>
      <c r="K467" s="9" t="n">
        <v>105</v>
      </c>
      <c r="L467" s="10">
        <f>HYPERLINK("http://127.0.0.1:8000/api/documents/download?id=2722&amp;attachment=true", "⬇ Download VOL 2A.3.4 Sec IV Auxili")</f>
        <v/>
      </c>
      <c r="M467" s="10">
        <f>HYPERLINK("http://localhost:5173/?state=Andhra%20Pradesh&amp;keyword=MIS&amp;tender=987910", "🚀 Open in Portal")</f>
        <v/>
      </c>
    </row>
    <row r="468" ht="24" customHeight="1">
      <c r="A468" s="11" t="inlineStr">
        <is>
          <t>Andhra Pradesh</t>
        </is>
      </c>
      <c r="B468" s="12" t="inlineStr">
        <is>
          <t>MIS</t>
        </is>
      </c>
      <c r="C468" s="13" t="inlineStr">
        <is>
          <t>987910</t>
        </is>
      </c>
      <c r="D468" s="14" t="inlineStr">
        <is>
          <t>Supply, Erection, Testing and commissioning of 33kV features at 400/220/11kV Guddigudem SS with 2Nos. 220/33kV , 50MVA PTRs on LS basis.</t>
        </is>
      </c>
      <c r="E468" s="14" t="inlineStr">
        <is>
          <t>APTRANSCO WORKS-Chief Engineer Projects, Vijayawada</t>
        </is>
      </c>
      <c r="F468" s="13" t="inlineStr">
        <is>
          <t>22 Jul 2026</t>
        </is>
      </c>
      <c r="G468" s="12" t="inlineStr">
        <is>
          <t>15 Aug 2026</t>
        </is>
      </c>
      <c r="H468" s="8" t="inlineStr">
        <is>
          <t>⏳ UPCOMING</t>
        </is>
      </c>
      <c r="I468" s="11" t="inlineStr">
        <is>
          <t>VOL 2A.3.5 Sec-V Annexures.doc</t>
        </is>
      </c>
      <c r="J468" s="13" t="inlineStr">
        <is>
          <t>📄 DOC</t>
        </is>
      </c>
      <c r="K468" s="15" t="n">
        <v>353</v>
      </c>
      <c r="L468" s="16">
        <f>HYPERLINK("http://127.0.0.1:8000/api/documents/download?id=2723&amp;attachment=true", "⬇ Download VOL 2A.3.5 Sec-V Annexur")</f>
        <v/>
      </c>
      <c r="M468" s="16">
        <f>HYPERLINK("http://localhost:5173/?state=Andhra%20Pradesh&amp;keyword=MIS&amp;tender=987910", "🚀 Open in Portal")</f>
        <v/>
      </c>
    </row>
    <row r="469" ht="24" customHeight="1">
      <c r="A469" s="4" t="inlineStr">
        <is>
          <t>Andhra Pradesh</t>
        </is>
      </c>
      <c r="B469" s="5" t="inlineStr">
        <is>
          <t>MIS</t>
        </is>
      </c>
      <c r="C469" s="6" t="inlineStr">
        <is>
          <t>987910</t>
        </is>
      </c>
      <c r="D469" s="7" t="inlineStr">
        <is>
          <t>Supply, Erection, Testing and commissioning of 33kV features at 400/220/11kV Guddigudem SS with 2Nos. 220/33kV , 50MVA PTRs on LS basis.</t>
        </is>
      </c>
      <c r="E469" s="7" t="inlineStr">
        <is>
          <t>APTRANSCO WORKS-Chief Engineer Projects, Vijayawada</t>
        </is>
      </c>
      <c r="F469" s="6" t="inlineStr">
        <is>
          <t>22 Jul 2026</t>
        </is>
      </c>
      <c r="G469" s="5" t="inlineStr">
        <is>
          <t>15 Aug 2026</t>
        </is>
      </c>
      <c r="H469" s="8" t="inlineStr">
        <is>
          <t>⏳ UPCOMING</t>
        </is>
      </c>
      <c r="I469" s="4" t="inlineStr">
        <is>
          <t>VOL 2A.3.6 Sec II (I) - MME.doc</t>
        </is>
      </c>
      <c r="J469" s="6" t="inlineStr">
        <is>
          <t>📄 DOC</t>
        </is>
      </c>
      <c r="K469" s="9" t="n">
        <v>63</v>
      </c>
      <c r="L469" s="10">
        <f>HYPERLINK("http://127.0.0.1:8000/api/documents/download?id=2724&amp;attachment=true", "⬇ Download VOL 2A.3.6 Sec II (I) - ")</f>
        <v/>
      </c>
      <c r="M469" s="10">
        <f>HYPERLINK("http://localhost:5173/?state=Andhra%20Pradesh&amp;keyword=MIS&amp;tender=987910", "🚀 Open in Portal")</f>
        <v/>
      </c>
    </row>
    <row r="470" ht="24" customHeight="1">
      <c r="A470" s="11" t="inlineStr">
        <is>
          <t>Andhra Pradesh</t>
        </is>
      </c>
      <c r="B470" s="12" t="inlineStr">
        <is>
          <t>MIS</t>
        </is>
      </c>
      <c r="C470" s="13" t="inlineStr">
        <is>
          <t>987910</t>
        </is>
      </c>
      <c r="D470" s="14" t="inlineStr">
        <is>
          <t>Supply, Erection, Testing and commissioning of 33kV features at 400/220/11kV Guddigudem SS with 2Nos. 220/33kV , 50MVA PTRs on LS basis.</t>
        </is>
      </c>
      <c r="E470" s="14" t="inlineStr">
        <is>
          <t>APTRANSCO WORKS-Chief Engineer Projects, Vijayawada</t>
        </is>
      </c>
      <c r="F470" s="13" t="inlineStr">
        <is>
          <t>22 Jul 2026</t>
        </is>
      </c>
      <c r="G470" s="12" t="inlineStr">
        <is>
          <t>15 Aug 2026</t>
        </is>
      </c>
      <c r="H470" s="8" t="inlineStr">
        <is>
          <t>⏳ UPCOMING</t>
        </is>
      </c>
      <c r="I470" s="11" t="inlineStr">
        <is>
          <t>VOL 2A.4.2 Sec-II LAs.doc</t>
        </is>
      </c>
      <c r="J470" s="13" t="inlineStr">
        <is>
          <t>📄 DOC</t>
        </is>
      </c>
      <c r="K470" s="15" t="n">
        <v>163.5</v>
      </c>
      <c r="L470" s="16">
        <f>HYPERLINK("http://127.0.0.1:8000/api/documents/download?id=2725&amp;attachment=true", "⬇ Download VOL 2A.4.2 Sec-II LAs.do")</f>
        <v/>
      </c>
      <c r="M470" s="16">
        <f>HYPERLINK("http://localhost:5173/?state=Andhra%20Pradesh&amp;keyword=MIS&amp;tender=987910", "🚀 Open in Portal")</f>
        <v/>
      </c>
    </row>
    <row r="471" ht="24" customHeight="1">
      <c r="A471" s="4" t="inlineStr">
        <is>
          <t>Andhra Pradesh</t>
        </is>
      </c>
      <c r="B471" s="5" t="inlineStr">
        <is>
          <t>MIS</t>
        </is>
      </c>
      <c r="C471" s="6" t="inlineStr">
        <is>
          <t>987910</t>
        </is>
      </c>
      <c r="D471" s="7" t="inlineStr">
        <is>
          <t>Supply, Erection, Testing and commissioning of 33kV features at 400/220/11kV Guddigudem SS with 2Nos. 220/33kV , 50MVA PTRs on LS basis.</t>
        </is>
      </c>
      <c r="E471" s="7" t="inlineStr">
        <is>
          <t>APTRANSCO WORKS-Chief Engineer Projects, Vijayawada</t>
        </is>
      </c>
      <c r="F471" s="6" t="inlineStr">
        <is>
          <t>22 Jul 2026</t>
        </is>
      </c>
      <c r="G471" s="5" t="inlineStr">
        <is>
          <t>15 Aug 2026</t>
        </is>
      </c>
      <c r="H471" s="8" t="inlineStr">
        <is>
          <t>⏳ UPCOMING</t>
        </is>
      </c>
      <c r="I471" s="4" t="inlineStr">
        <is>
          <t>VOL 2A.4.4 Sec-IV Moose_updated.doc</t>
        </is>
      </c>
      <c r="J471" s="6" t="inlineStr">
        <is>
          <t>📄 DOC</t>
        </is>
      </c>
      <c r="K471" s="9" t="n">
        <v>985.5</v>
      </c>
      <c r="L471" s="10">
        <f>HYPERLINK("http://127.0.0.1:8000/api/documents/download?id=2726&amp;attachment=true", "⬇ Download VOL 2A.4.4 Sec-IV Moose_")</f>
        <v/>
      </c>
      <c r="M471" s="10">
        <f>HYPERLINK("http://localhost:5173/?state=Andhra%20Pradesh&amp;keyword=MIS&amp;tender=987910", "🚀 Open in Portal")</f>
        <v/>
      </c>
    </row>
    <row r="472" ht="24" customHeight="1">
      <c r="A472" s="11" t="inlineStr">
        <is>
          <t>Andhra Pradesh</t>
        </is>
      </c>
      <c r="B472" s="12" t="inlineStr">
        <is>
          <t>MIS</t>
        </is>
      </c>
      <c r="C472" s="13" t="inlineStr">
        <is>
          <t>987910</t>
        </is>
      </c>
      <c r="D472" s="14" t="inlineStr">
        <is>
          <t>Supply, Erection, Testing and commissioning of 33kV features at 400/220/11kV Guddigudem SS with 2Nos. 220/33kV , 50MVA PTRs on LS basis.</t>
        </is>
      </c>
      <c r="E472" s="14" t="inlineStr">
        <is>
          <t>APTRANSCO WORKS-Chief Engineer Projects, Vijayawada</t>
        </is>
      </c>
      <c r="F472" s="13" t="inlineStr">
        <is>
          <t>22 Jul 2026</t>
        </is>
      </c>
      <c r="G472" s="12" t="inlineStr">
        <is>
          <t>15 Aug 2026</t>
        </is>
      </c>
      <c r="H472" s="8" t="inlineStr">
        <is>
          <t>⏳ UPCOMING</t>
        </is>
      </c>
      <c r="I472" s="11" t="inlineStr">
        <is>
          <t>VOL 2A.4.5 Sec-V Swgr Aux.doc</t>
        </is>
      </c>
      <c r="J472" s="13" t="inlineStr">
        <is>
          <t>📄 DOC</t>
        </is>
      </c>
      <c r="K472" s="15" t="n">
        <v>118.5</v>
      </c>
      <c r="L472" s="16">
        <f>HYPERLINK("http://127.0.0.1:8000/api/documents/download?id=2727&amp;attachment=true", "⬇ Download VOL 2A.4.5 Sec-V Swgr Au")</f>
        <v/>
      </c>
      <c r="M472" s="16">
        <f>HYPERLINK("http://localhost:5173/?state=Andhra%20Pradesh&amp;keyword=MIS&amp;tender=987910", "🚀 Open in Portal")</f>
        <v/>
      </c>
    </row>
    <row r="473" ht="24" customHeight="1">
      <c r="A473" s="4" t="inlineStr">
        <is>
          <t>Andhra Pradesh</t>
        </is>
      </c>
      <c r="B473" s="5" t="inlineStr">
        <is>
          <t>MIS</t>
        </is>
      </c>
      <c r="C473" s="6" t="inlineStr">
        <is>
          <t>987910</t>
        </is>
      </c>
      <c r="D473" s="7" t="inlineStr">
        <is>
          <t>Supply, Erection, Testing and commissioning of 33kV features at 400/220/11kV Guddigudem SS with 2Nos. 220/33kV , 50MVA PTRs on LS basis.</t>
        </is>
      </c>
      <c r="E473" s="7" t="inlineStr">
        <is>
          <t>APTRANSCO WORKS-Chief Engineer Projects, Vijayawada</t>
        </is>
      </c>
      <c r="F473" s="6" t="inlineStr">
        <is>
          <t>22 Jul 2026</t>
        </is>
      </c>
      <c r="G473" s="5" t="inlineStr">
        <is>
          <t>15 Aug 2026</t>
        </is>
      </c>
      <c r="H473" s="8" t="inlineStr">
        <is>
          <t>⏳ UPCOMING</t>
        </is>
      </c>
      <c r="I473" s="4" t="inlineStr">
        <is>
          <t>VOL 2A.4.6 Sec-VI Earthwire_updated.doc</t>
        </is>
      </c>
      <c r="J473" s="6" t="inlineStr">
        <is>
          <t>📄 DOC</t>
        </is>
      </c>
      <c r="K473" s="9" t="n">
        <v>645.5</v>
      </c>
      <c r="L473" s="10">
        <f>HYPERLINK("http://127.0.0.1:8000/api/documents/download?id=2728&amp;attachment=true", "⬇ Download VOL 2A.4.6 Sec-VI Earthw")</f>
        <v/>
      </c>
      <c r="M473" s="10">
        <f>HYPERLINK("http://localhost:5173/?state=Andhra%20Pradesh&amp;keyword=MIS&amp;tender=987910", "🚀 Open in Portal")</f>
        <v/>
      </c>
    </row>
    <row r="474" ht="24" customHeight="1">
      <c r="A474" s="11" t="inlineStr">
        <is>
          <t>Andhra Pradesh</t>
        </is>
      </c>
      <c r="B474" s="12" t="inlineStr">
        <is>
          <t>MIS</t>
        </is>
      </c>
      <c r="C474" s="13" t="inlineStr">
        <is>
          <t>987910</t>
        </is>
      </c>
      <c r="D474" s="14" t="inlineStr">
        <is>
          <t>Supply, Erection, Testing and commissioning of 33kV features at 400/220/11kV Guddigudem SS with 2Nos. 220/33kV , 50MVA PTRs on LS basis.</t>
        </is>
      </c>
      <c r="E474" s="14" t="inlineStr">
        <is>
          <t>APTRANSCO WORKS-Chief Engineer Projects, Vijayawada</t>
        </is>
      </c>
      <c r="F474" s="13" t="inlineStr">
        <is>
          <t>22 Jul 2026</t>
        </is>
      </c>
      <c r="G474" s="12" t="inlineStr">
        <is>
          <t>15 Aug 2026</t>
        </is>
      </c>
      <c r="H474" s="8" t="inlineStr">
        <is>
          <t>⏳ UPCOMING</t>
        </is>
      </c>
      <c r="I474" s="11" t="inlineStr">
        <is>
          <t>VOL 2A.6 Sec-I.doc</t>
        </is>
      </c>
      <c r="J474" s="13" t="inlineStr">
        <is>
          <t>📄 DOC</t>
        </is>
      </c>
      <c r="K474" s="15" t="n">
        <v>164.5</v>
      </c>
      <c r="L474" s="16">
        <f>HYPERLINK("http://127.0.0.1:8000/api/documents/download?id=2729&amp;attachment=true", "⬇ Download VOL 2A.6 Sec-I.doc")</f>
        <v/>
      </c>
      <c r="M474" s="16">
        <f>HYPERLINK("http://localhost:5173/?state=Andhra%20Pradesh&amp;keyword=MIS&amp;tender=987910", "🚀 Open in Portal")</f>
        <v/>
      </c>
    </row>
    <row r="475" ht="24" customHeight="1">
      <c r="A475" s="4" t="inlineStr">
        <is>
          <t>Andhra Pradesh</t>
        </is>
      </c>
      <c r="B475" s="5" t="inlineStr">
        <is>
          <t>MIS</t>
        </is>
      </c>
      <c r="C475" s="6" t="inlineStr">
        <is>
          <t>987910</t>
        </is>
      </c>
      <c r="D475" s="7" t="inlineStr">
        <is>
          <t>Supply, Erection, Testing and commissioning of 33kV features at 400/220/11kV Guddigudem SS with 2Nos. 220/33kV , 50MVA PTRs on LS basis.</t>
        </is>
      </c>
      <c r="E475" s="7" t="inlineStr">
        <is>
          <t>APTRANSCO WORKS-Chief Engineer Projects, Vijayawada</t>
        </is>
      </c>
      <c r="F475" s="6" t="inlineStr">
        <is>
          <t>22 Jul 2026</t>
        </is>
      </c>
      <c r="G475" s="5" t="inlineStr">
        <is>
          <t>15 Aug 2026</t>
        </is>
      </c>
      <c r="H475" s="8" t="inlineStr">
        <is>
          <t>⏳ UPCOMING</t>
        </is>
      </c>
      <c r="I475" s="4" t="inlineStr">
        <is>
          <t>VOL 2A.6 Sec-II SDH.doc</t>
        </is>
      </c>
      <c r="J475" s="6" t="inlineStr">
        <is>
          <t>📄 DOC</t>
        </is>
      </c>
      <c r="K475" s="9" t="n">
        <v>43.5</v>
      </c>
      <c r="L475" s="10">
        <f>HYPERLINK("http://127.0.0.1:8000/api/documents/download?id=2730&amp;attachment=true", "⬇ Download VOL 2A.6 Sec-II SDH.doc")</f>
        <v/>
      </c>
      <c r="M475" s="10">
        <f>HYPERLINK("http://localhost:5173/?state=Andhra%20Pradesh&amp;keyword=MIS&amp;tender=987910", "🚀 Open in Portal")</f>
        <v/>
      </c>
    </row>
    <row r="476" ht="24" customHeight="1">
      <c r="A476" s="11" t="inlineStr">
        <is>
          <t>Andhra Pradesh</t>
        </is>
      </c>
      <c r="B476" s="12" t="inlineStr">
        <is>
          <t>MIS</t>
        </is>
      </c>
      <c r="C476" s="13" t="inlineStr">
        <is>
          <t>987910</t>
        </is>
      </c>
      <c r="D476" s="14" t="inlineStr">
        <is>
          <t>Supply, Erection, Testing and commissioning of 33kV features at 400/220/11kV Guddigudem SS with 2Nos. 220/33kV , 50MVA PTRs on LS basis.</t>
        </is>
      </c>
      <c r="E476" s="14" t="inlineStr">
        <is>
          <t>APTRANSCO WORKS-Chief Engineer Projects, Vijayawada</t>
        </is>
      </c>
      <c r="F476" s="13" t="inlineStr">
        <is>
          <t>22 Jul 2026</t>
        </is>
      </c>
      <c r="G476" s="12" t="inlineStr">
        <is>
          <t>15 Aug 2026</t>
        </is>
      </c>
      <c r="H476" s="8" t="inlineStr">
        <is>
          <t>⏳ UPCOMING</t>
        </is>
      </c>
      <c r="I476" s="11" t="inlineStr">
        <is>
          <t>VOL 2A.6 Sec-III OLTEMUXNMS.doc</t>
        </is>
      </c>
      <c r="J476" s="13" t="inlineStr">
        <is>
          <t>📄 DOC</t>
        </is>
      </c>
      <c r="K476" s="15" t="n">
        <v>423</v>
      </c>
      <c r="L476" s="16">
        <f>HYPERLINK("http://127.0.0.1:8000/api/documents/download?id=2731&amp;attachment=true", "⬇ Download VOL 2A.6 Sec-III OLTEMUX")</f>
        <v/>
      </c>
      <c r="M476" s="16">
        <f>HYPERLINK("http://localhost:5173/?state=Andhra%20Pradesh&amp;keyword=MIS&amp;tender=987910", "🚀 Open in Portal")</f>
        <v/>
      </c>
    </row>
    <row r="477" ht="24" customHeight="1">
      <c r="A477" s="4" t="inlineStr">
        <is>
          <t>Andhra Pradesh</t>
        </is>
      </c>
      <c r="B477" s="5" t="inlineStr">
        <is>
          <t>MIS</t>
        </is>
      </c>
      <c r="C477" s="6" t="inlineStr">
        <is>
          <t>987910</t>
        </is>
      </c>
      <c r="D477" s="7" t="inlineStr">
        <is>
          <t>Supply, Erection, Testing and commissioning of 33kV features at 400/220/11kV Guddigudem SS with 2Nos. 220/33kV , 50MVA PTRs on LS basis.</t>
        </is>
      </c>
      <c r="E477" s="7" t="inlineStr">
        <is>
          <t>APTRANSCO WORKS-Chief Engineer Projects, Vijayawada</t>
        </is>
      </c>
      <c r="F477" s="6" t="inlineStr">
        <is>
          <t>22 Jul 2026</t>
        </is>
      </c>
      <c r="G477" s="5" t="inlineStr">
        <is>
          <t>15 Aug 2026</t>
        </is>
      </c>
      <c r="H477" s="8" t="inlineStr">
        <is>
          <t>⏳ UPCOMING</t>
        </is>
      </c>
      <c r="I477" s="4" t="inlineStr">
        <is>
          <t>VOL 2A.6 Sec-IV Batteries.doc</t>
        </is>
      </c>
      <c r="J477" s="6" t="inlineStr">
        <is>
          <t>📄 DOC</t>
        </is>
      </c>
      <c r="K477" s="9" t="n">
        <v>156</v>
      </c>
      <c r="L477" s="10">
        <f>HYPERLINK("http://127.0.0.1:8000/api/documents/download?id=2732&amp;attachment=true", "⬇ Download VOL 2A.6 Sec-IV Batterie")</f>
        <v/>
      </c>
      <c r="M477" s="10">
        <f>HYPERLINK("http://localhost:5173/?state=Andhra%20Pradesh&amp;keyword=MIS&amp;tender=987910", "🚀 Open in Portal")</f>
        <v/>
      </c>
    </row>
    <row r="478" ht="24" customHeight="1">
      <c r="A478" s="11" t="inlineStr">
        <is>
          <t>Andhra Pradesh</t>
        </is>
      </c>
      <c r="B478" s="12" t="inlineStr">
        <is>
          <t>MIS</t>
        </is>
      </c>
      <c r="C478" s="13" t="inlineStr">
        <is>
          <t>987910</t>
        </is>
      </c>
      <c r="D478" s="14" t="inlineStr">
        <is>
          <t>Supply, Erection, Testing and commissioning of 33kV features at 400/220/11kV Guddigudem SS with 2Nos. 220/33kV , 50MVA PTRs on LS basis.</t>
        </is>
      </c>
      <c r="E478" s="14" t="inlineStr">
        <is>
          <t>APTRANSCO WORKS-Chief Engineer Projects, Vijayawada</t>
        </is>
      </c>
      <c r="F478" s="13" t="inlineStr">
        <is>
          <t>22 Jul 2026</t>
        </is>
      </c>
      <c r="G478" s="12" t="inlineStr">
        <is>
          <t>15 Aug 2026</t>
        </is>
      </c>
      <c r="H478" s="8" t="inlineStr">
        <is>
          <t>⏳ UPCOMING</t>
        </is>
      </c>
      <c r="I478" s="11" t="inlineStr">
        <is>
          <t>VOL 2A.6 Sec-V Epax.doc</t>
        </is>
      </c>
      <c r="J478" s="13" t="inlineStr">
        <is>
          <t>📄 DOC</t>
        </is>
      </c>
      <c r="K478" s="15" t="n">
        <v>193.5</v>
      </c>
      <c r="L478" s="16">
        <f>HYPERLINK("http://127.0.0.1:8000/api/documents/download?id=2733&amp;attachment=true", "⬇ Download VOL 2A.6 Sec-V Epax.doc")</f>
        <v/>
      </c>
      <c r="M478" s="16">
        <f>HYPERLINK("http://localhost:5173/?state=Andhra%20Pradesh&amp;keyword=MIS&amp;tender=987910", "🚀 Open in Portal")</f>
        <v/>
      </c>
    </row>
    <row r="479" ht="24" customHeight="1">
      <c r="A479" s="4" t="inlineStr">
        <is>
          <t>Andhra Pradesh</t>
        </is>
      </c>
      <c r="B479" s="5" t="inlineStr">
        <is>
          <t>MIS</t>
        </is>
      </c>
      <c r="C479" s="6" t="inlineStr">
        <is>
          <t>987910</t>
        </is>
      </c>
      <c r="D479" s="7" t="inlineStr">
        <is>
          <t>Supply, Erection, Testing and commissioning of 33kV features at 400/220/11kV Guddigudem SS with 2Nos. 220/33kV , 50MVA PTRs on LS basis.</t>
        </is>
      </c>
      <c r="E479" s="7" t="inlineStr">
        <is>
          <t>APTRANSCO WORKS-Chief Engineer Projects, Vijayawada</t>
        </is>
      </c>
      <c r="F479" s="6" t="inlineStr">
        <is>
          <t>22 Jul 2026</t>
        </is>
      </c>
      <c r="G479" s="5" t="inlineStr">
        <is>
          <t>15 Aug 2026</t>
        </is>
      </c>
      <c r="H479" s="8" t="inlineStr">
        <is>
          <t>⏳ UPCOMING</t>
        </is>
      </c>
      <c r="I479" s="4" t="inlineStr">
        <is>
          <t>VOL 2A.6 Sec-VI OPGW.doc</t>
        </is>
      </c>
      <c r="J479" s="6" t="inlineStr">
        <is>
          <t>📄 DOC</t>
        </is>
      </c>
      <c r="K479" s="9" t="n">
        <v>451</v>
      </c>
      <c r="L479" s="10">
        <f>HYPERLINK("http://127.0.0.1:8000/api/documents/download?id=2734&amp;attachment=true", "⬇ Download VOL 2A.6 Sec-VI OPGW.doc")</f>
        <v/>
      </c>
      <c r="M479" s="10">
        <f>HYPERLINK("http://localhost:5173/?state=Andhra%20Pradesh&amp;keyword=MIS&amp;tender=987910", "🚀 Open in Portal")</f>
        <v/>
      </c>
    </row>
    <row r="480" ht="24" customHeight="1">
      <c r="A480" s="11" t="inlineStr">
        <is>
          <t>Andhra Pradesh</t>
        </is>
      </c>
      <c r="B480" s="12" t="inlineStr">
        <is>
          <t>MIS</t>
        </is>
      </c>
      <c r="C480" s="13" t="inlineStr">
        <is>
          <t>987910</t>
        </is>
      </c>
      <c r="D480" s="14" t="inlineStr">
        <is>
          <t>Supply, Erection, Testing and commissioning of 33kV features at 400/220/11kV Guddigudem SS with 2Nos. 220/33kV , 50MVA PTRs on LS basis.</t>
        </is>
      </c>
      <c r="E480" s="14" t="inlineStr">
        <is>
          <t>APTRANSCO WORKS-Chief Engineer Projects, Vijayawada</t>
        </is>
      </c>
      <c r="F480" s="13" t="inlineStr">
        <is>
          <t>22 Jul 2026</t>
        </is>
      </c>
      <c r="G480" s="12" t="inlineStr">
        <is>
          <t>15 Aug 2026</t>
        </is>
      </c>
      <c r="H480" s="8" t="inlineStr">
        <is>
          <t>⏳ UPCOMING</t>
        </is>
      </c>
      <c r="I480" s="11" t="inlineStr">
        <is>
          <t>VOL 2A.7.1 Sec General_updated.doc</t>
        </is>
      </c>
      <c r="J480" s="13" t="inlineStr">
        <is>
          <t>📄 DOC</t>
        </is>
      </c>
      <c r="K480" s="15" t="n">
        <v>52</v>
      </c>
      <c r="L480" s="16">
        <f>HYPERLINK("http://127.0.0.1:8000/api/documents/download?id=2735&amp;attachment=true", "⬇ Download VOL 2A.7.1 Sec General_u")</f>
        <v/>
      </c>
      <c r="M480" s="16">
        <f>HYPERLINK("http://localhost:5173/?state=Andhra%20Pradesh&amp;keyword=MIS&amp;tender=987910", "🚀 Open in Portal")</f>
        <v/>
      </c>
    </row>
    <row r="481" ht="24" customHeight="1">
      <c r="A481" s="4" t="inlineStr">
        <is>
          <t>Andhra Pradesh</t>
        </is>
      </c>
      <c r="B481" s="5" t="inlineStr">
        <is>
          <t>MIS</t>
        </is>
      </c>
      <c r="C481" s="6" t="inlineStr">
        <is>
          <t>987910</t>
        </is>
      </c>
      <c r="D481" s="7" t="inlineStr">
        <is>
          <t>Supply, Erection, Testing and commissioning of 33kV features at 400/220/11kV Guddigudem SS with 2Nos. 220/33kV , 50MVA PTRs on LS basis.</t>
        </is>
      </c>
      <c r="E481" s="7" t="inlineStr">
        <is>
          <t>APTRANSCO WORKS-Chief Engineer Projects, Vijayawada</t>
        </is>
      </c>
      <c r="F481" s="6" t="inlineStr">
        <is>
          <t>22 Jul 2026</t>
        </is>
      </c>
      <c r="G481" s="5" t="inlineStr">
        <is>
          <t>15 Aug 2026</t>
        </is>
      </c>
      <c r="H481" s="8" t="inlineStr">
        <is>
          <t>⏳ UPCOMING</t>
        </is>
      </c>
      <c r="I481" s="4" t="inlineStr">
        <is>
          <t>VOL 2A.7.2 Sec-II Anc Items.doc</t>
        </is>
      </c>
      <c r="J481" s="6" t="inlineStr">
        <is>
          <t>📄 DOC</t>
        </is>
      </c>
      <c r="K481" s="9" t="n">
        <v>156.5</v>
      </c>
      <c r="L481" s="10">
        <f>HYPERLINK("http://127.0.0.1:8000/api/documents/download?id=2736&amp;attachment=true", "⬇ Download VOL 2A.7.2 Sec-II Anc It")</f>
        <v/>
      </c>
      <c r="M481" s="10">
        <f>HYPERLINK("http://localhost:5173/?state=Andhra%20Pradesh&amp;keyword=MIS&amp;tender=987910", "🚀 Open in Portal")</f>
        <v/>
      </c>
    </row>
    <row r="482" ht="24" customHeight="1">
      <c r="A482" s="11" t="inlineStr">
        <is>
          <t>Andhra Pradesh</t>
        </is>
      </c>
      <c r="B482" s="12" t="inlineStr">
        <is>
          <t>MIS</t>
        </is>
      </c>
      <c r="C482" s="13" t="inlineStr">
        <is>
          <t>987910</t>
        </is>
      </c>
      <c r="D482" s="14" t="inlineStr">
        <is>
          <t>Supply, Erection, Testing and commissioning of 33kV features at 400/220/11kV Guddigudem SS with 2Nos. 220/33kV , 50MVA PTRs on LS basis.</t>
        </is>
      </c>
      <c r="E482" s="14" t="inlineStr">
        <is>
          <t>APTRANSCO WORKS-Chief Engineer Projects, Vijayawada</t>
        </is>
      </c>
      <c r="F482" s="13" t="inlineStr">
        <is>
          <t>22 Jul 2026</t>
        </is>
      </c>
      <c r="G482" s="12" t="inlineStr">
        <is>
          <t>15 Aug 2026</t>
        </is>
      </c>
      <c r="H482" s="8" t="inlineStr">
        <is>
          <t>⏳ UPCOMING</t>
        </is>
      </c>
      <c r="I482" s="11" t="inlineStr">
        <is>
          <t>VOL 2A.7.3 Sec-III Inst Genl.doc</t>
        </is>
      </c>
      <c r="J482" s="13" t="inlineStr">
        <is>
          <t>📄 DOC</t>
        </is>
      </c>
      <c r="K482" s="15" t="n">
        <v>120.5</v>
      </c>
      <c r="L482" s="16">
        <f>HYPERLINK("http://127.0.0.1:8000/api/documents/download?id=2737&amp;attachment=true", "⬇ Download VOL 2A.7.3 Sec-III Inst ")</f>
        <v/>
      </c>
      <c r="M482" s="16">
        <f>HYPERLINK("http://localhost:5173/?state=Andhra%20Pradesh&amp;keyword=MIS&amp;tender=987910", "🚀 Open in Portal")</f>
        <v/>
      </c>
    </row>
    <row r="483" ht="24" customHeight="1">
      <c r="A483" s="4" t="inlineStr">
        <is>
          <t>Andhra Pradesh</t>
        </is>
      </c>
      <c r="B483" s="5" t="inlineStr">
        <is>
          <t>MIS</t>
        </is>
      </c>
      <c r="C483" s="6" t="inlineStr">
        <is>
          <t>987910</t>
        </is>
      </c>
      <c r="D483" s="7" t="inlineStr">
        <is>
          <t>Supply, Erection, Testing and commissioning of 33kV features at 400/220/11kV Guddigudem SS with 2Nos. 220/33kV , 50MVA PTRs on LS basis.</t>
        </is>
      </c>
      <c r="E483" s="7" t="inlineStr">
        <is>
          <t>APTRANSCO WORKS-Chief Engineer Projects, Vijayawada</t>
        </is>
      </c>
      <c r="F483" s="6" t="inlineStr">
        <is>
          <t>22 Jul 2026</t>
        </is>
      </c>
      <c r="G483" s="5" t="inlineStr">
        <is>
          <t>15 Aug 2026</t>
        </is>
      </c>
      <c r="H483" s="8" t="inlineStr">
        <is>
          <t>⏳ UPCOMING</t>
        </is>
      </c>
      <c r="I483" s="4" t="inlineStr">
        <is>
          <t>VOL 2A.7.4 Sec-IV Inst earthmat_updated.doc</t>
        </is>
      </c>
      <c r="J483" s="6" t="inlineStr">
        <is>
          <t>📄 DOC</t>
        </is>
      </c>
      <c r="K483" s="9" t="n">
        <v>82</v>
      </c>
      <c r="L483" s="10">
        <f>HYPERLINK("http://127.0.0.1:8000/api/documents/download?id=2738&amp;attachment=true", "⬇ Download VOL 2A.7.4 Sec-IV Inst e")</f>
        <v/>
      </c>
      <c r="M483" s="10">
        <f>HYPERLINK("http://localhost:5173/?state=Andhra%20Pradesh&amp;keyword=MIS&amp;tender=987910", "🚀 Open in Portal")</f>
        <v/>
      </c>
    </row>
    <row r="484" ht="24" customHeight="1">
      <c r="A484" s="11" t="inlineStr">
        <is>
          <t>Andhra Pradesh</t>
        </is>
      </c>
      <c r="B484" s="12" t="inlineStr">
        <is>
          <t>MIS</t>
        </is>
      </c>
      <c r="C484" s="13" t="inlineStr">
        <is>
          <t>987910</t>
        </is>
      </c>
      <c r="D484" s="14" t="inlineStr">
        <is>
          <t>Supply, Erection, Testing and commissioning of 33kV features at 400/220/11kV Guddigudem SS with 2Nos. 220/33kV , 50MVA PTRs on LS basis.</t>
        </is>
      </c>
      <c r="E484" s="14" t="inlineStr">
        <is>
          <t>APTRANSCO WORKS-Chief Engineer Projects, Vijayawada</t>
        </is>
      </c>
      <c r="F484" s="13" t="inlineStr">
        <is>
          <t>22 Jul 2026</t>
        </is>
      </c>
      <c r="G484" s="12" t="inlineStr">
        <is>
          <t>15 Aug 2026</t>
        </is>
      </c>
      <c r="H484" s="8" t="inlineStr">
        <is>
          <t>⏳ UPCOMING</t>
        </is>
      </c>
      <c r="I484" s="11" t="inlineStr">
        <is>
          <t>VOL 2A.7.5 Sec-V Inst Bus bar.doc</t>
        </is>
      </c>
      <c r="J484" s="13" t="inlineStr">
        <is>
          <t>📄 DOC</t>
        </is>
      </c>
      <c r="K484" s="15" t="n">
        <v>64.5</v>
      </c>
      <c r="L484" s="16">
        <f>HYPERLINK("http://127.0.0.1:8000/api/documents/download?id=2739&amp;attachment=true", "⬇ Download VOL 2A.7.5 Sec-V Inst Bu")</f>
        <v/>
      </c>
      <c r="M484" s="16">
        <f>HYPERLINK("http://localhost:5173/?state=Andhra%20Pradesh&amp;keyword=MIS&amp;tender=987910", "🚀 Open in Portal")</f>
        <v/>
      </c>
    </row>
    <row r="485" ht="24" customHeight="1">
      <c r="A485" s="4" t="inlineStr">
        <is>
          <t>Andhra Pradesh</t>
        </is>
      </c>
      <c r="B485" s="5" t="inlineStr">
        <is>
          <t>MIS</t>
        </is>
      </c>
      <c r="C485" s="6" t="inlineStr">
        <is>
          <t>987910</t>
        </is>
      </c>
      <c r="D485" s="7" t="inlineStr">
        <is>
          <t>Supply, Erection, Testing and commissioning of 33kV features at 400/220/11kV Guddigudem SS with 2Nos. 220/33kV , 50MVA PTRs on LS basis.</t>
        </is>
      </c>
      <c r="E485" s="7" t="inlineStr">
        <is>
          <t>APTRANSCO WORKS-Chief Engineer Projects, Vijayawada</t>
        </is>
      </c>
      <c r="F485" s="6" t="inlineStr">
        <is>
          <t>22 Jul 2026</t>
        </is>
      </c>
      <c r="G485" s="5" t="inlineStr">
        <is>
          <t>15 Aug 2026</t>
        </is>
      </c>
      <c r="H485" s="8" t="inlineStr">
        <is>
          <t>⏳ UPCOMING</t>
        </is>
      </c>
      <c r="I485" s="4" t="inlineStr">
        <is>
          <t>VOL 2A.7.7 Sec-VII Erec, test, comm.doc</t>
        </is>
      </c>
      <c r="J485" s="6" t="inlineStr">
        <is>
          <t>📄 DOC</t>
        </is>
      </c>
      <c r="K485" s="9" t="n">
        <v>50</v>
      </c>
      <c r="L485" s="10">
        <f>HYPERLINK("http://127.0.0.1:8000/api/documents/download?id=2740&amp;attachment=true", "⬇ Download VOL 2A.7.7 Sec-VII Erec,")</f>
        <v/>
      </c>
      <c r="M485" s="10">
        <f>HYPERLINK("http://localhost:5173/?state=Andhra%20Pradesh&amp;keyword=MIS&amp;tender=987910", "🚀 Open in Portal")</f>
        <v/>
      </c>
    </row>
    <row r="486" ht="24" customHeight="1">
      <c r="A486" s="11" t="inlineStr">
        <is>
          <t>Andhra Pradesh</t>
        </is>
      </c>
      <c r="B486" s="12" t="inlineStr">
        <is>
          <t>MIS</t>
        </is>
      </c>
      <c r="C486" s="13" t="inlineStr">
        <is>
          <t>987910</t>
        </is>
      </c>
      <c r="D486" s="14" t="inlineStr">
        <is>
          <t>Supply, Erection, Testing and commissioning of 33kV features at 400/220/11kV Guddigudem SS with 2Nos. 220/33kV , 50MVA PTRs on LS basis.</t>
        </is>
      </c>
      <c r="E486" s="14" t="inlineStr">
        <is>
          <t>APTRANSCO WORKS-Chief Engineer Projects, Vijayawada</t>
        </is>
      </c>
      <c r="F486" s="13" t="inlineStr">
        <is>
          <t>22 Jul 2026</t>
        </is>
      </c>
      <c r="G486" s="12" t="inlineStr">
        <is>
          <t>15 Aug 2026</t>
        </is>
      </c>
      <c r="H486" s="8" t="inlineStr">
        <is>
          <t>⏳ UPCOMING</t>
        </is>
      </c>
      <c r="I486" s="11" t="inlineStr">
        <is>
          <t>VOL 2A.7.8 Sec-VIII Structures_updated.doc</t>
        </is>
      </c>
      <c r="J486" s="13" t="inlineStr">
        <is>
          <t>📄 DOC</t>
        </is>
      </c>
      <c r="K486" s="15" t="n">
        <v>249</v>
      </c>
      <c r="L486" s="16">
        <f>HYPERLINK("http://127.0.0.1:8000/api/documents/download?id=2741&amp;attachment=true", "⬇ Download VOL 2A.7.8 Sec-VIII Stru")</f>
        <v/>
      </c>
      <c r="M486" s="16">
        <f>HYPERLINK("http://localhost:5173/?state=Andhra%20Pradesh&amp;keyword=MIS&amp;tender=987910", "🚀 Open in Portal")</f>
        <v/>
      </c>
    </row>
    <row r="487" ht="24" customHeight="1">
      <c r="A487" s="4" t="inlineStr">
        <is>
          <t>Andhra Pradesh</t>
        </is>
      </c>
      <c r="B487" s="5" t="inlineStr">
        <is>
          <t>MIS</t>
        </is>
      </c>
      <c r="C487" s="6" t="inlineStr">
        <is>
          <t>987910</t>
        </is>
      </c>
      <c r="D487" s="7" t="inlineStr">
        <is>
          <t>Supply, Erection, Testing and commissioning of 33kV features at 400/220/11kV Guddigudem SS with 2Nos. 220/33kV , 50MVA PTRs on LS basis.</t>
        </is>
      </c>
      <c r="E487" s="7" t="inlineStr">
        <is>
          <t>APTRANSCO WORKS-Chief Engineer Projects, Vijayawada</t>
        </is>
      </c>
      <c r="F487" s="6" t="inlineStr">
        <is>
          <t>22 Jul 2026</t>
        </is>
      </c>
      <c r="G487" s="5" t="inlineStr">
        <is>
          <t>15 Aug 2026</t>
        </is>
      </c>
      <c r="H487" s="8" t="inlineStr">
        <is>
          <t>⏳ UPCOMING</t>
        </is>
      </c>
      <c r="I487" s="4" t="inlineStr">
        <is>
          <t>VOL 2A.8.2 Sec-II FF System 1.rtf</t>
        </is>
      </c>
      <c r="J487" s="6" t="inlineStr">
        <is>
          <t>📄 RTF</t>
        </is>
      </c>
      <c r="K487" s="9" t="n">
        <v>776.6</v>
      </c>
      <c r="L487" s="10">
        <f>HYPERLINK("http://127.0.0.1:8000/api/documents/download?id=2742&amp;attachment=true", "⬇ Download VOL 2A.8.2 Sec-II FF Sys")</f>
        <v/>
      </c>
      <c r="M487" s="10">
        <f>HYPERLINK("http://localhost:5173/?state=Andhra%20Pradesh&amp;keyword=MIS&amp;tender=987910", "🚀 Open in Portal")</f>
        <v/>
      </c>
    </row>
    <row r="488" ht="24" customHeight="1">
      <c r="A488" s="11" t="inlineStr">
        <is>
          <t>Andhra Pradesh</t>
        </is>
      </c>
      <c r="B488" s="12" t="inlineStr">
        <is>
          <t>MIS</t>
        </is>
      </c>
      <c r="C488" s="13" t="inlineStr">
        <is>
          <t>987910</t>
        </is>
      </c>
      <c r="D488" s="14" t="inlineStr">
        <is>
          <t>Supply, Erection, Testing and commissioning of 33kV features at 400/220/11kV Guddigudem SS with 2Nos. 220/33kV , 50MVA PTRs on LS basis.</t>
        </is>
      </c>
      <c r="E488" s="14" t="inlineStr">
        <is>
          <t>APTRANSCO WORKS-Chief Engineer Projects, Vijayawada</t>
        </is>
      </c>
      <c r="F488" s="13" t="inlineStr">
        <is>
          <t>22 Jul 2026</t>
        </is>
      </c>
      <c r="G488" s="12" t="inlineStr">
        <is>
          <t>15 Aug 2026</t>
        </is>
      </c>
      <c r="H488" s="8" t="inlineStr">
        <is>
          <t>⏳ UPCOMING</t>
        </is>
      </c>
      <c r="I488" s="11" t="inlineStr">
        <is>
          <t>VOL 2A.8.3 Sec-III FF System 2.doc</t>
        </is>
      </c>
      <c r="J488" s="13" t="inlineStr">
        <is>
          <t>📄 DOC</t>
        </is>
      </c>
      <c r="K488" s="15" t="n">
        <v>5967</v>
      </c>
      <c r="L488" s="16">
        <f>HYPERLINK("http://127.0.0.1:8000/api/documents/download?id=2743&amp;attachment=true", "⬇ Download VOL 2A.8.3 Sec-III FF Sy")</f>
        <v/>
      </c>
      <c r="M488" s="16">
        <f>HYPERLINK("http://localhost:5173/?state=Andhra%20Pradesh&amp;keyword=MIS&amp;tender=987910", "🚀 Open in Portal")</f>
        <v/>
      </c>
    </row>
    <row r="489" ht="24" customHeight="1">
      <c r="A489" s="4" t="inlineStr">
        <is>
          <t>Andhra Pradesh</t>
        </is>
      </c>
      <c r="B489" s="5" t="inlineStr">
        <is>
          <t>MIS</t>
        </is>
      </c>
      <c r="C489" s="6" t="inlineStr">
        <is>
          <t>987910</t>
        </is>
      </c>
      <c r="D489" s="7" t="inlineStr">
        <is>
          <t>Supply, Erection, Testing and commissioning of 33kV features at 400/220/11kV Guddigudem SS with 2Nos. 220/33kV , 50MVA PTRs on LS basis.</t>
        </is>
      </c>
      <c r="E489" s="7" t="inlineStr">
        <is>
          <t>APTRANSCO WORKS-Chief Engineer Projects, Vijayawada</t>
        </is>
      </c>
      <c r="F489" s="6" t="inlineStr">
        <is>
          <t>22 Jul 2026</t>
        </is>
      </c>
      <c r="G489" s="5" t="inlineStr">
        <is>
          <t>15 Aug 2026</t>
        </is>
      </c>
      <c r="H489" s="8" t="inlineStr">
        <is>
          <t>⏳ UPCOMING</t>
        </is>
      </c>
      <c r="I489" s="4" t="inlineStr">
        <is>
          <t>VOL 2A.8.4 Sec-IV AC.doc</t>
        </is>
      </c>
      <c r="J489" s="6" t="inlineStr">
        <is>
          <t>📄 DOC</t>
        </is>
      </c>
      <c r="K489" s="9" t="n">
        <v>44</v>
      </c>
      <c r="L489" s="10">
        <f>HYPERLINK("http://127.0.0.1:8000/api/documents/download?id=2744&amp;attachment=true", "⬇ Download VOL 2A.8.4 Sec-IV AC.doc")</f>
        <v/>
      </c>
      <c r="M489" s="10">
        <f>HYPERLINK("http://localhost:5173/?state=Andhra%20Pradesh&amp;keyword=MIS&amp;tender=987910", "🚀 Open in Portal")</f>
        <v/>
      </c>
    </row>
    <row r="490" ht="24" customHeight="1">
      <c r="A490" s="11" t="inlineStr">
        <is>
          <t>Andhra Pradesh</t>
        </is>
      </c>
      <c r="B490" s="12" t="inlineStr">
        <is>
          <t>MIS</t>
        </is>
      </c>
      <c r="C490" s="13" t="inlineStr">
        <is>
          <t>987910</t>
        </is>
      </c>
      <c r="D490" s="14" t="inlineStr">
        <is>
          <t>Supply, Erection, Testing and commissioning of 33kV features at 400/220/11kV Guddigudem SS with 2Nos. 220/33kV , 50MVA PTRs on LS basis.</t>
        </is>
      </c>
      <c r="E490" s="14" t="inlineStr">
        <is>
          <t>APTRANSCO WORKS-Chief Engineer Projects, Vijayawada</t>
        </is>
      </c>
      <c r="F490" s="13" t="inlineStr">
        <is>
          <t>22 Jul 2026</t>
        </is>
      </c>
      <c r="G490" s="12" t="inlineStr">
        <is>
          <t>15 Aug 2026</t>
        </is>
      </c>
      <c r="H490" s="8" t="inlineStr">
        <is>
          <t>⏳ UPCOMING</t>
        </is>
      </c>
      <c r="I490" s="11" t="inlineStr">
        <is>
          <t>VOL 2A.9 Sec-I C1-C6, C9.xls</t>
        </is>
      </c>
      <c r="J490" s="13" t="inlineStr">
        <is>
          <t>📊 Excel BOQ</t>
        </is>
      </c>
      <c r="K490" s="15" t="n">
        <v>383.5</v>
      </c>
      <c r="L490" s="16">
        <f>HYPERLINK("http://127.0.0.1:8000/api/documents/download?id=2745&amp;attachment=true", "⬇ Download VOL 2A.9 Sec-I C1-C6, C9")</f>
        <v/>
      </c>
      <c r="M490" s="16">
        <f>HYPERLINK("http://localhost:5173/?state=Andhra%20Pradesh&amp;keyword=MIS&amp;tender=987910", "🚀 Open in Portal")</f>
        <v/>
      </c>
    </row>
    <row r="491" ht="24" customHeight="1">
      <c r="A491" s="4" t="inlineStr">
        <is>
          <t>Andhra Pradesh</t>
        </is>
      </c>
      <c r="B491" s="5" t="inlineStr">
        <is>
          <t>MIS</t>
        </is>
      </c>
      <c r="C491" s="6" t="inlineStr">
        <is>
          <t>987910</t>
        </is>
      </c>
      <c r="D491" s="7" t="inlineStr">
        <is>
          <t>Supply, Erection, Testing and commissioning of 33kV features at 400/220/11kV Guddigudem SS with 2Nos. 220/33kV , 50MVA PTRs on LS basis.</t>
        </is>
      </c>
      <c r="E491" s="7" t="inlineStr">
        <is>
          <t>APTRANSCO WORKS-Chief Engineer Projects, Vijayawada</t>
        </is>
      </c>
      <c r="F491" s="6" t="inlineStr">
        <is>
          <t>22 Jul 2026</t>
        </is>
      </c>
      <c r="G491" s="5" t="inlineStr">
        <is>
          <t>15 Aug 2026</t>
        </is>
      </c>
      <c r="H491" s="8" t="inlineStr">
        <is>
          <t>⏳ UPCOMING</t>
        </is>
      </c>
      <c r="I491" s="4" t="inlineStr">
        <is>
          <t>VOL 2A.9 Sec-II C7,8.doc</t>
        </is>
      </c>
      <c r="J491" s="6" t="inlineStr">
        <is>
          <t>📄 DOC</t>
        </is>
      </c>
      <c r="K491" s="9" t="n">
        <v>59</v>
      </c>
      <c r="L491" s="10">
        <f>HYPERLINK("http://127.0.0.1:8000/api/documents/download?id=2746&amp;attachment=true", "⬇ Download VOL 2A.9 Sec-II C7,8.doc")</f>
        <v/>
      </c>
      <c r="M491" s="10">
        <f>HYPERLINK("http://localhost:5173/?state=Andhra%20Pradesh&amp;keyword=MIS&amp;tender=987910", "🚀 Open in Portal")</f>
        <v/>
      </c>
    </row>
    <row r="492" ht="24" customHeight="1">
      <c r="A492" s="11" t="inlineStr">
        <is>
          <t>Andhra Pradesh</t>
        </is>
      </c>
      <c r="B492" s="12" t="inlineStr">
        <is>
          <t>MIS</t>
        </is>
      </c>
      <c r="C492" s="13" t="inlineStr">
        <is>
          <t>987910</t>
        </is>
      </c>
      <c r="D492" s="14" t="inlineStr">
        <is>
          <t>Supply, Erection, Testing and commissioning of 33kV features at 400/220/11kV Guddigudem SS with 2Nos. 220/33kV , 50MVA PTRs on LS basis.</t>
        </is>
      </c>
      <c r="E492" s="14" t="inlineStr">
        <is>
          <t>APTRANSCO WORKS-Chief Engineer Projects, Vijayawada</t>
        </is>
      </c>
      <c r="F492" s="13" t="inlineStr">
        <is>
          <t>22 Jul 2026</t>
        </is>
      </c>
      <c r="G492" s="12" t="inlineStr">
        <is>
          <t>15 Aug 2026</t>
        </is>
      </c>
      <c r="H492" s="8" t="inlineStr">
        <is>
          <t>⏳ UPCOMING</t>
        </is>
      </c>
      <c r="I492" s="11" t="inlineStr">
        <is>
          <t>VOL 2A.9 Sec-III LAs.doc</t>
        </is>
      </c>
      <c r="J492" s="13" t="inlineStr">
        <is>
          <t>📄 DOC</t>
        </is>
      </c>
      <c r="K492" s="15" t="n">
        <v>175.5</v>
      </c>
      <c r="L492" s="16">
        <f>HYPERLINK("http://127.0.0.1:8000/api/documents/download?id=2747&amp;attachment=true", "⬇ Download VOL 2A.9 Sec-III LAs.doc")</f>
        <v/>
      </c>
      <c r="M492" s="16">
        <f>HYPERLINK("http://localhost:5173/?state=Andhra%20Pradesh&amp;keyword=MIS&amp;tender=987910", "🚀 Open in Portal")</f>
        <v/>
      </c>
    </row>
    <row r="493" ht="24" customHeight="1">
      <c r="A493" s="4" t="inlineStr">
        <is>
          <t>Andhra Pradesh</t>
        </is>
      </c>
      <c r="B493" s="5" t="inlineStr">
        <is>
          <t>MIS</t>
        </is>
      </c>
      <c r="C493" s="6" t="inlineStr">
        <is>
          <t>987910</t>
        </is>
      </c>
      <c r="D493" s="7" t="inlineStr">
        <is>
          <t>Supply, Erection, Testing and commissioning of 33kV features at 400/220/11kV Guddigudem SS with 2Nos. 220/33kV , 50MVA PTRs on LS basis.</t>
        </is>
      </c>
      <c r="E493" s="7" t="inlineStr">
        <is>
          <t>APTRANSCO WORKS-Chief Engineer Projects, Vijayawada</t>
        </is>
      </c>
      <c r="F493" s="6" t="inlineStr">
        <is>
          <t>22 Jul 2026</t>
        </is>
      </c>
      <c r="G493" s="5" t="inlineStr">
        <is>
          <t>15 Aug 2026</t>
        </is>
      </c>
      <c r="H493" s="8" t="inlineStr">
        <is>
          <t>⏳ UPCOMING</t>
        </is>
      </c>
      <c r="I493" s="4" t="inlineStr">
        <is>
          <t>VOL 2A.9 Sec-IV ITs.xls</t>
        </is>
      </c>
      <c r="J493" s="6" t="inlineStr">
        <is>
          <t>📊 Excel BOQ</t>
        </is>
      </c>
      <c r="K493" s="9" t="n">
        <v>40.5</v>
      </c>
      <c r="L493" s="10">
        <f>HYPERLINK("http://127.0.0.1:8000/api/documents/download?id=2748&amp;attachment=true", "⬇ Download VOL 2A.9 Sec-IV ITs.xls")</f>
        <v/>
      </c>
      <c r="M493" s="10">
        <f>HYPERLINK("http://localhost:5173/?state=Andhra%20Pradesh&amp;keyword=MIS&amp;tender=987910", "🚀 Open in Portal")</f>
        <v/>
      </c>
    </row>
    <row r="494" ht="24" customHeight="1">
      <c r="A494" s="11" t="inlineStr">
        <is>
          <t>Andhra Pradesh</t>
        </is>
      </c>
      <c r="B494" s="12" t="inlineStr">
        <is>
          <t>MIS</t>
        </is>
      </c>
      <c r="C494" s="13" t="inlineStr">
        <is>
          <t>987910</t>
        </is>
      </c>
      <c r="D494" s="14" t="inlineStr">
        <is>
          <t>Supply, Erection, Testing and commissioning of 33kV features at 400/220/11kV Guddigudem SS with 2Nos. 220/33kV , 50MVA PTRs on LS basis.</t>
        </is>
      </c>
      <c r="E494" s="14" t="inlineStr">
        <is>
          <t>APTRANSCO WORKS-Chief Engineer Projects, Vijayawada</t>
        </is>
      </c>
      <c r="F494" s="13" t="inlineStr">
        <is>
          <t>22 Jul 2026</t>
        </is>
      </c>
      <c r="G494" s="12" t="inlineStr">
        <is>
          <t>15 Aug 2026</t>
        </is>
      </c>
      <c r="H494" s="8" t="inlineStr">
        <is>
          <t>⏳ UPCOMING</t>
        </is>
      </c>
      <c r="I494" s="11" t="inlineStr">
        <is>
          <t>VOL 2A.9 Sec-IX BBC.doc</t>
        </is>
      </c>
      <c r="J494" s="13" t="inlineStr">
        <is>
          <t>📄 DOC</t>
        </is>
      </c>
      <c r="K494" s="15" t="n">
        <v>59.5</v>
      </c>
      <c r="L494" s="16">
        <f>HYPERLINK("http://127.0.0.1:8000/api/documents/download?id=2749&amp;attachment=true", "⬇ Download VOL 2A.9 Sec-IX BBC.doc")</f>
        <v/>
      </c>
      <c r="M494" s="16">
        <f>HYPERLINK("http://localhost:5173/?state=Andhra%20Pradesh&amp;keyword=MIS&amp;tender=987910", "🚀 Open in Portal")</f>
        <v/>
      </c>
    </row>
    <row r="495" ht="24" customHeight="1">
      <c r="A495" s="4" t="inlineStr">
        <is>
          <t>Andhra Pradesh</t>
        </is>
      </c>
      <c r="B495" s="5" t="inlineStr">
        <is>
          <t>MIS</t>
        </is>
      </c>
      <c r="C495" s="6" t="inlineStr">
        <is>
          <t>987910</t>
        </is>
      </c>
      <c r="D495" s="7" t="inlineStr">
        <is>
          <t>Supply, Erection, Testing and commissioning of 33kV features at 400/220/11kV Guddigudem SS with 2Nos. 220/33kV , 50MVA PTRs on LS basis.</t>
        </is>
      </c>
      <c r="E495" s="7" t="inlineStr">
        <is>
          <t>APTRANSCO WORKS-Chief Engineer Projects, Vijayawada</t>
        </is>
      </c>
      <c r="F495" s="6" t="inlineStr">
        <is>
          <t>22 Jul 2026</t>
        </is>
      </c>
      <c r="G495" s="5" t="inlineStr">
        <is>
          <t>15 Aug 2026</t>
        </is>
      </c>
      <c r="H495" s="8" t="inlineStr">
        <is>
          <t>⏳ UPCOMING</t>
        </is>
      </c>
      <c r="I495" s="4" t="inlineStr">
        <is>
          <t>VOL 2A.9 Sec-V ISO.doc</t>
        </is>
      </c>
      <c r="J495" s="6" t="inlineStr">
        <is>
          <t>📄 DOC</t>
        </is>
      </c>
      <c r="K495" s="9" t="n">
        <v>67.5</v>
      </c>
      <c r="L495" s="10">
        <f>HYPERLINK("http://127.0.0.1:8000/api/documents/download?id=2750&amp;attachment=true", "⬇ Download VOL 2A.9 Sec-V ISO.doc")</f>
        <v/>
      </c>
      <c r="M495" s="10">
        <f>HYPERLINK("http://localhost:5173/?state=Andhra%20Pradesh&amp;keyword=MIS&amp;tender=987910", "🚀 Open in Portal")</f>
        <v/>
      </c>
    </row>
    <row r="496" ht="24" customHeight="1">
      <c r="A496" s="11" t="inlineStr">
        <is>
          <t>Andhra Pradesh</t>
        </is>
      </c>
      <c r="B496" s="12" t="inlineStr">
        <is>
          <t>MIS</t>
        </is>
      </c>
      <c r="C496" s="13" t="inlineStr">
        <is>
          <t>987910</t>
        </is>
      </c>
      <c r="D496" s="14" t="inlineStr">
        <is>
          <t>Supply, Erection, Testing and commissioning of 33kV features at 400/220/11kV Guddigudem SS with 2Nos. 220/33kV , 50MVA PTRs on LS basis.</t>
        </is>
      </c>
      <c r="E496" s="14" t="inlineStr">
        <is>
          <t>APTRANSCO WORKS-Chief Engineer Projects, Vijayawada</t>
        </is>
      </c>
      <c r="F496" s="13" t="inlineStr">
        <is>
          <t>22 Jul 2026</t>
        </is>
      </c>
      <c r="G496" s="12" t="inlineStr">
        <is>
          <t>15 Aug 2026</t>
        </is>
      </c>
      <c r="H496" s="8" t="inlineStr">
        <is>
          <t>⏳ UPCOMING</t>
        </is>
      </c>
      <c r="I496" s="11" t="inlineStr">
        <is>
          <t>VOL 2A.9 Sec-VI DISCS EW.doc</t>
        </is>
      </c>
      <c r="J496" s="13" t="inlineStr">
        <is>
          <t>📄 DOC</t>
        </is>
      </c>
      <c r="K496" s="15" t="n">
        <v>98.5</v>
      </c>
      <c r="L496" s="16">
        <f>HYPERLINK("http://127.0.0.1:8000/api/documents/download?id=2751&amp;attachment=true", "⬇ Download VOL 2A.9 Sec-VI DISCS EW")</f>
        <v/>
      </c>
      <c r="M496" s="16">
        <f>HYPERLINK("http://localhost:5173/?state=Andhra%20Pradesh&amp;keyword=MIS&amp;tender=987910", "🚀 Open in Portal")</f>
        <v/>
      </c>
    </row>
    <row r="497" ht="24" customHeight="1">
      <c r="A497" s="4" t="inlineStr">
        <is>
          <t>Andhra Pradesh</t>
        </is>
      </c>
      <c r="B497" s="5" t="inlineStr">
        <is>
          <t>MIS</t>
        </is>
      </c>
      <c r="C497" s="6" t="inlineStr">
        <is>
          <t>987910</t>
        </is>
      </c>
      <c r="D497" s="7" t="inlineStr">
        <is>
          <t>Supply, Erection, Testing and commissioning of 33kV features at 400/220/11kV Guddigudem SS with 2Nos. 220/33kV , 50MVA PTRs on LS basis.</t>
        </is>
      </c>
      <c r="E497" s="7" t="inlineStr">
        <is>
          <t>APTRANSCO WORKS-Chief Engineer Projects, Vijayawada</t>
        </is>
      </c>
      <c r="F497" s="6" t="inlineStr">
        <is>
          <t>22 Jul 2026</t>
        </is>
      </c>
      <c r="G497" s="5" t="inlineStr">
        <is>
          <t>15 Aug 2026</t>
        </is>
      </c>
      <c r="H497" s="8" t="inlineStr">
        <is>
          <t>⏳ UPCOMING</t>
        </is>
      </c>
      <c r="I497" s="4" t="inlineStr">
        <is>
          <t>VOL 2A.9 Sec-VII CBs.xls</t>
        </is>
      </c>
      <c r="J497" s="6" t="inlineStr">
        <is>
          <t>📊 Excel BOQ</t>
        </is>
      </c>
      <c r="K497" s="9" t="n">
        <v>47.5</v>
      </c>
      <c r="L497" s="10">
        <f>HYPERLINK("http://127.0.0.1:8000/api/documents/download?id=2752&amp;attachment=true", "⬇ Download VOL 2A.9 Sec-VII CBs.xls")</f>
        <v/>
      </c>
      <c r="M497" s="10">
        <f>HYPERLINK("http://localhost:5173/?state=Andhra%20Pradesh&amp;keyword=MIS&amp;tender=987910", "🚀 Open in Portal")</f>
        <v/>
      </c>
    </row>
    <row r="498" ht="24" customHeight="1">
      <c r="A498" s="11" t="inlineStr">
        <is>
          <t>Andhra Pradesh</t>
        </is>
      </c>
      <c r="B498" s="12" t="inlineStr">
        <is>
          <t>MIS</t>
        </is>
      </c>
      <c r="C498" s="13" t="inlineStr">
        <is>
          <t>987910</t>
        </is>
      </c>
      <c r="D498" s="14" t="inlineStr">
        <is>
          <t>Supply, Erection, Testing and commissioning of 33kV features at 400/220/11kV Guddigudem SS with 2Nos. 220/33kV , 50MVA PTRs on LS basis.</t>
        </is>
      </c>
      <c r="E498" s="14" t="inlineStr">
        <is>
          <t>APTRANSCO WORKS-Chief Engineer Projects, Vijayawada</t>
        </is>
      </c>
      <c r="F498" s="13" t="inlineStr">
        <is>
          <t>22 Jul 2026</t>
        </is>
      </c>
      <c r="G498" s="12" t="inlineStr">
        <is>
          <t>15 Aug 2026</t>
        </is>
      </c>
      <c r="H498" s="8" t="inlineStr">
        <is>
          <t>⏳ UPCOMING</t>
        </is>
      </c>
      <c r="I498" s="11" t="inlineStr">
        <is>
          <t>VOL 2A.9 Sec-VIII C &amp; R .doc</t>
        </is>
      </c>
      <c r="J498" s="13" t="inlineStr">
        <is>
          <t>📄 DOC</t>
        </is>
      </c>
      <c r="K498" s="15" t="n">
        <v>132.5</v>
      </c>
      <c r="L498" s="16">
        <f>HYPERLINK("http://127.0.0.1:8000/api/documents/download?id=2753&amp;attachment=true", "⬇ Download VOL 2A.9 Sec-VIII C &amp; R ")</f>
        <v/>
      </c>
      <c r="M498" s="16">
        <f>HYPERLINK("http://localhost:5173/?state=Andhra%20Pradesh&amp;keyword=MIS&amp;tender=987910", "🚀 Open in Portal")</f>
        <v/>
      </c>
    </row>
    <row r="499" ht="24" customHeight="1">
      <c r="A499" s="4" t="inlineStr">
        <is>
          <t>Andhra Pradesh</t>
        </is>
      </c>
      <c r="B499" s="5" t="inlineStr">
        <is>
          <t>MIS</t>
        </is>
      </c>
      <c r="C499" s="6" t="inlineStr">
        <is>
          <t>987910</t>
        </is>
      </c>
      <c r="D499" s="7" t="inlineStr">
        <is>
          <t>Supply, Erection, Testing and commissioning of 33kV features at 400/220/11kV Guddigudem SS with 2Nos. 220/33kV , 50MVA PTRs on LS basis.</t>
        </is>
      </c>
      <c r="E499" s="7" t="inlineStr">
        <is>
          <t>APTRANSCO WORKS-Chief Engineer Projects, Vijayawada</t>
        </is>
      </c>
      <c r="F499" s="6" t="inlineStr">
        <is>
          <t>22 Jul 2026</t>
        </is>
      </c>
      <c r="G499" s="5" t="inlineStr">
        <is>
          <t>15 Aug 2026</t>
        </is>
      </c>
      <c r="H499" s="8" t="inlineStr">
        <is>
          <t>⏳ UPCOMING</t>
        </is>
      </c>
      <c r="I499" s="4" t="inlineStr">
        <is>
          <t>VOL 2A.9 Sec-X MOOSE.doc</t>
        </is>
      </c>
      <c r="J499" s="6" t="inlineStr">
        <is>
          <t>📄 DOC</t>
        </is>
      </c>
      <c r="K499" s="9" t="n">
        <v>54</v>
      </c>
      <c r="L499" s="10">
        <f>HYPERLINK("http://127.0.0.1:8000/api/documents/download?id=2754&amp;attachment=true", "⬇ Download VOL 2A.9 Sec-X MOOSE.doc")</f>
        <v/>
      </c>
      <c r="M499" s="10">
        <f>HYPERLINK("http://localhost:5173/?state=Andhra%20Pradesh&amp;keyword=MIS&amp;tender=987910", "🚀 Open in Portal")</f>
        <v/>
      </c>
    </row>
    <row r="500" ht="24" customHeight="1">
      <c r="A500" s="11" t="inlineStr">
        <is>
          <t>Andhra Pradesh</t>
        </is>
      </c>
      <c r="B500" s="12" t="inlineStr">
        <is>
          <t>MIS</t>
        </is>
      </c>
      <c r="C500" s="13" t="inlineStr">
        <is>
          <t>987910</t>
        </is>
      </c>
      <c r="D500" s="14" t="inlineStr">
        <is>
          <t>Supply, Erection, Testing and commissioning of 33kV features at 400/220/11kV Guddigudem SS with 2Nos. 220/33kV , 50MVA PTRs on LS basis.</t>
        </is>
      </c>
      <c r="E500" s="14" t="inlineStr">
        <is>
          <t>APTRANSCO WORKS-Chief Engineer Projects, Vijayawada</t>
        </is>
      </c>
      <c r="F500" s="13" t="inlineStr">
        <is>
          <t>22 Jul 2026</t>
        </is>
      </c>
      <c r="G500" s="12" t="inlineStr">
        <is>
          <t>15 Aug 2026</t>
        </is>
      </c>
      <c r="H500" s="8" t="inlineStr">
        <is>
          <t>⏳ UPCOMING</t>
        </is>
      </c>
      <c r="I500" s="11" t="inlineStr">
        <is>
          <t>VOL 2A.9 Sec-XI ACDCDB.doc</t>
        </is>
      </c>
      <c r="J500" s="13" t="inlineStr">
        <is>
          <t>📄 DOC</t>
        </is>
      </c>
      <c r="K500" s="15" t="n">
        <v>242.5</v>
      </c>
      <c r="L500" s="16">
        <f>HYPERLINK("http://127.0.0.1:8000/api/documents/download?id=2755&amp;attachment=true", "⬇ Download VOL 2A.9 Sec-XI ACDCDB.d")</f>
        <v/>
      </c>
      <c r="M500" s="16">
        <f>HYPERLINK("http://localhost:5173/?state=Andhra%20Pradesh&amp;keyword=MIS&amp;tender=987910", "🚀 Open in Portal")</f>
        <v/>
      </c>
    </row>
    <row r="501" ht="24" customHeight="1">
      <c r="A501" s="4" t="inlineStr">
        <is>
          <t>Andhra Pradesh</t>
        </is>
      </c>
      <c r="B501" s="5" t="inlineStr">
        <is>
          <t>MIS</t>
        </is>
      </c>
      <c r="C501" s="6" t="inlineStr">
        <is>
          <t>987910</t>
        </is>
      </c>
      <c r="D501" s="7" t="inlineStr">
        <is>
          <t>Supply, Erection, Testing and commissioning of 33kV features at 400/220/11kV Guddigudem SS with 2Nos. 220/33kV , 50MVA PTRs on LS basis.</t>
        </is>
      </c>
      <c r="E501" s="7" t="inlineStr">
        <is>
          <t>APTRANSCO WORKS-Chief Engineer Projects, Vijayawada</t>
        </is>
      </c>
      <c r="F501" s="6" t="inlineStr">
        <is>
          <t>22 Jul 2026</t>
        </is>
      </c>
      <c r="G501" s="5" t="inlineStr">
        <is>
          <t>15 Aug 2026</t>
        </is>
      </c>
      <c r="H501" s="8" t="inlineStr">
        <is>
          <t>⏳ UPCOMING</t>
        </is>
      </c>
      <c r="I501" s="4" t="inlineStr">
        <is>
          <t>VOL 2A.9 Title Page.doc</t>
        </is>
      </c>
      <c r="J501" s="6" t="inlineStr">
        <is>
          <t>📄 DOC</t>
        </is>
      </c>
      <c r="K501" s="9" t="n">
        <v>48</v>
      </c>
      <c r="L501" s="10">
        <f>HYPERLINK("http://127.0.0.1:8000/api/documents/download?id=2756&amp;attachment=true", "⬇ Download VOL 2A.9 Title Page.doc")</f>
        <v/>
      </c>
      <c r="M501" s="10">
        <f>HYPERLINK("http://localhost:5173/?state=Andhra%20Pradesh&amp;keyword=MIS&amp;tender=987910", "🚀 Open in Portal")</f>
        <v/>
      </c>
    </row>
    <row r="502" ht="24" customHeight="1">
      <c r="A502" s="11" t="inlineStr">
        <is>
          <t>Andhra Pradesh</t>
        </is>
      </c>
      <c r="B502" s="12" t="inlineStr">
        <is>
          <t>MIS</t>
        </is>
      </c>
      <c r="C502" s="13" t="inlineStr">
        <is>
          <t>987910</t>
        </is>
      </c>
      <c r="D502" s="14" t="inlineStr">
        <is>
          <t>Supply, Erection, Testing and commissioning of 33kV features at 400/220/11kV Guddigudem SS with 2Nos. 220/33kV , 50MVA PTRs on LS basis.</t>
        </is>
      </c>
      <c r="E502" s="14" t="inlineStr">
        <is>
          <t>APTRANSCO WORKS-Chief Engineer Projects, Vijayawada</t>
        </is>
      </c>
      <c r="F502" s="13" t="inlineStr">
        <is>
          <t>22 Jul 2026</t>
        </is>
      </c>
      <c r="G502" s="12" t="inlineStr">
        <is>
          <t>15 Aug 2026</t>
        </is>
      </c>
      <c r="H502" s="8" t="inlineStr">
        <is>
          <t>⏳ UPCOMING</t>
        </is>
      </c>
      <c r="I502" s="11" t="inlineStr">
        <is>
          <t>1. Technical specification of OPGW, OFAC &amp; FODP.pdf</t>
        </is>
      </c>
      <c r="J502" s="13" t="inlineStr">
        <is>
          <t>📕 PDF Document</t>
        </is>
      </c>
      <c r="K502" s="15" t="n">
        <v>1363.8</v>
      </c>
      <c r="L502" s="16">
        <f>HYPERLINK("http://127.0.0.1:8000/api/documents/download?id=2758&amp;attachment=true", "⬇ Download 1. Technical specificati")</f>
        <v/>
      </c>
      <c r="M502" s="16">
        <f>HYPERLINK("http://localhost:5173/?state=Andhra%20Pradesh&amp;keyword=MIS&amp;tender=987910", "🚀 Open in Portal")</f>
        <v/>
      </c>
    </row>
    <row r="503" ht="24" customHeight="1">
      <c r="A503" s="4" t="inlineStr">
        <is>
          <t>Andhra Pradesh</t>
        </is>
      </c>
      <c r="B503" s="5" t="inlineStr">
        <is>
          <t>MIS</t>
        </is>
      </c>
      <c r="C503" s="6" t="inlineStr">
        <is>
          <t>987910</t>
        </is>
      </c>
      <c r="D503" s="7" t="inlineStr">
        <is>
          <t>Supply, Erection, Testing and commissioning of 33kV features at 400/220/11kV Guddigudem SS with 2Nos. 220/33kV , 50MVA PTRs on LS basis.</t>
        </is>
      </c>
      <c r="E503" s="7" t="inlineStr">
        <is>
          <t>APTRANSCO WORKS-Chief Engineer Projects, Vijayawada</t>
        </is>
      </c>
      <c r="F503" s="6" t="inlineStr">
        <is>
          <t>22 Jul 2026</t>
        </is>
      </c>
      <c r="G503" s="5" t="inlineStr">
        <is>
          <t>15 Aug 2026</t>
        </is>
      </c>
      <c r="H503" s="8" t="inlineStr">
        <is>
          <t>⏳ UPCOMING</t>
        </is>
      </c>
      <c r="I503" s="4" t="inlineStr">
        <is>
          <t>10. Technical specification of AC unit &amp; Stabilizer.pdf</t>
        </is>
      </c>
      <c r="J503" s="6" t="inlineStr">
        <is>
          <t>📕 PDF Document</t>
        </is>
      </c>
      <c r="K503" s="9" t="n">
        <v>156.4</v>
      </c>
      <c r="L503" s="10">
        <f>HYPERLINK("http://127.0.0.1:8000/api/documents/download?id=2759&amp;attachment=true", "⬇ Download 10. Technical specificat")</f>
        <v/>
      </c>
      <c r="M503" s="10">
        <f>HYPERLINK("http://localhost:5173/?state=Andhra%20Pradesh&amp;keyword=MIS&amp;tender=987910", "🚀 Open in Portal")</f>
        <v/>
      </c>
    </row>
    <row r="504" ht="24" customHeight="1">
      <c r="A504" s="11" t="inlineStr">
        <is>
          <t>Andhra Pradesh</t>
        </is>
      </c>
      <c r="B504" s="12" t="inlineStr">
        <is>
          <t>MIS</t>
        </is>
      </c>
      <c r="C504" s="13" t="inlineStr">
        <is>
          <t>987910</t>
        </is>
      </c>
      <c r="D504" s="14" t="inlineStr">
        <is>
          <t>Supply, Erection, Testing and commissioning of 33kV features at 400/220/11kV Guddigudem SS with 2Nos. 220/33kV , 50MVA PTRs on LS basis.</t>
        </is>
      </c>
      <c r="E504" s="14" t="inlineStr">
        <is>
          <t>APTRANSCO WORKS-Chief Engineer Projects, Vijayawada</t>
        </is>
      </c>
      <c r="F504" s="13" t="inlineStr">
        <is>
          <t>22 Jul 2026</t>
        </is>
      </c>
      <c r="G504" s="12" t="inlineStr">
        <is>
          <t>15 Aug 2026</t>
        </is>
      </c>
      <c r="H504" s="8" t="inlineStr">
        <is>
          <t>⏳ UPCOMING</t>
        </is>
      </c>
      <c r="I504" s="11" t="inlineStr">
        <is>
          <t>11. Technical specification of MPLS FOTE &amp; NMS.pdf</t>
        </is>
      </c>
      <c r="J504" s="13" t="inlineStr">
        <is>
          <t>📕 PDF Document</t>
        </is>
      </c>
      <c r="K504" s="15" t="n">
        <v>946.7</v>
      </c>
      <c r="L504" s="16">
        <f>HYPERLINK("http://127.0.0.1:8000/api/documents/download?id=2760&amp;attachment=true", "⬇ Download 11. Technical specificat")</f>
        <v/>
      </c>
      <c r="M504" s="16">
        <f>HYPERLINK("http://localhost:5173/?state=Andhra%20Pradesh&amp;keyword=MIS&amp;tender=987910", "🚀 Open in Portal")</f>
        <v/>
      </c>
    </row>
    <row r="505" ht="24" customHeight="1">
      <c r="A505" s="4" t="inlineStr">
        <is>
          <t>Andhra Pradesh</t>
        </is>
      </c>
      <c r="B505" s="5" t="inlineStr">
        <is>
          <t>MIS</t>
        </is>
      </c>
      <c r="C505" s="6" t="inlineStr">
        <is>
          <t>987910</t>
        </is>
      </c>
      <c r="D505" s="7" t="inlineStr">
        <is>
          <t>Supply, Erection, Testing and commissioning of 33kV features at 400/220/11kV Guddigudem SS with 2Nos. 220/33kV , 50MVA PTRs on LS basis.</t>
        </is>
      </c>
      <c r="E505" s="7" t="inlineStr">
        <is>
          <t>APTRANSCO WORKS-Chief Engineer Projects, Vijayawada</t>
        </is>
      </c>
      <c r="F505" s="6" t="inlineStr">
        <is>
          <t>22 Jul 2026</t>
        </is>
      </c>
      <c r="G505" s="5" t="inlineStr">
        <is>
          <t>15 Aug 2026</t>
        </is>
      </c>
      <c r="H505" s="8" t="inlineStr">
        <is>
          <t>⏳ UPCOMING</t>
        </is>
      </c>
      <c r="I505" s="4" t="inlineStr">
        <is>
          <t>2. Technical spec for UG OFC, HDPE duct &amp; RCC chambers.pdf</t>
        </is>
      </c>
      <c r="J505" s="6" t="inlineStr">
        <is>
          <t>📕 PDF Document</t>
        </is>
      </c>
      <c r="K505" s="9" t="n">
        <v>480.3</v>
      </c>
      <c r="L505" s="10">
        <f>HYPERLINK("http://127.0.0.1:8000/api/documents/download?id=2761&amp;attachment=true", "⬇ Download 2. Technical spec for UG")</f>
        <v/>
      </c>
      <c r="M505" s="10">
        <f>HYPERLINK("http://localhost:5173/?state=Andhra%20Pradesh&amp;keyword=MIS&amp;tender=987910", "🚀 Open in Portal")</f>
        <v/>
      </c>
    </row>
    <row r="506" ht="24" customHeight="1">
      <c r="A506" s="11" t="inlineStr">
        <is>
          <t>Andhra Pradesh</t>
        </is>
      </c>
      <c r="B506" s="12" t="inlineStr">
        <is>
          <t>MIS</t>
        </is>
      </c>
      <c r="C506" s="13" t="inlineStr">
        <is>
          <t>987910</t>
        </is>
      </c>
      <c r="D506" s="14" t="inlineStr">
        <is>
          <t>Supply, Erection, Testing and commissioning of 33kV features at 400/220/11kV Guddigudem SS with 2Nos. 220/33kV , 50MVA PTRs on LS basis.</t>
        </is>
      </c>
      <c r="E506" s="14" t="inlineStr">
        <is>
          <t>APTRANSCO WORKS-Chief Engineer Projects, Vijayawada</t>
        </is>
      </c>
      <c r="F506" s="13" t="inlineStr">
        <is>
          <t>22 Jul 2026</t>
        </is>
      </c>
      <c r="G506" s="12" t="inlineStr">
        <is>
          <t>15 Aug 2026</t>
        </is>
      </c>
      <c r="H506" s="8" t="inlineStr">
        <is>
          <t>⏳ UPCOMING</t>
        </is>
      </c>
      <c r="I506" s="11" t="inlineStr">
        <is>
          <t>3. Not applicable-Technical specification of SDH (OLTE) equipment.pdf</t>
        </is>
      </c>
      <c r="J506" s="13" t="inlineStr">
        <is>
          <t>📕 PDF Document</t>
        </is>
      </c>
      <c r="K506" s="15" t="n">
        <v>635.3</v>
      </c>
      <c r="L506" s="16">
        <f>HYPERLINK("http://127.0.0.1:8000/api/documents/download?id=2762&amp;attachment=true", "⬇ Download 3. Not applicable-Techni")</f>
        <v/>
      </c>
      <c r="M506" s="16">
        <f>HYPERLINK("http://localhost:5173/?state=Andhra%20Pradesh&amp;keyword=MIS&amp;tender=987910", "🚀 Open in Portal")</f>
        <v/>
      </c>
    </row>
    <row r="507" ht="24" customHeight="1">
      <c r="A507" s="4" t="inlineStr">
        <is>
          <t>Andhra Pradesh</t>
        </is>
      </c>
      <c r="B507" s="5" t="inlineStr">
        <is>
          <t>MIS</t>
        </is>
      </c>
      <c r="C507" s="6" t="inlineStr">
        <is>
          <t>987910</t>
        </is>
      </c>
      <c r="D507" s="7" t="inlineStr">
        <is>
          <t>Supply, Erection, Testing and commissioning of 33kV features at 400/220/11kV Guddigudem SS with 2Nos. 220/33kV , 50MVA PTRs on LS basis.</t>
        </is>
      </c>
      <c r="E507" s="7" t="inlineStr">
        <is>
          <t>APTRANSCO WORKS-Chief Engineer Projects, Vijayawada</t>
        </is>
      </c>
      <c r="F507" s="6" t="inlineStr">
        <is>
          <t>22 Jul 2026</t>
        </is>
      </c>
      <c r="G507" s="5" t="inlineStr">
        <is>
          <t>15 Aug 2026</t>
        </is>
      </c>
      <c r="H507" s="8" t="inlineStr">
        <is>
          <t>⏳ UPCOMING</t>
        </is>
      </c>
      <c r="I507" s="4" t="inlineStr">
        <is>
          <t>4. Technical specification of DTPC.pdf</t>
        </is>
      </c>
      <c r="J507" s="6" t="inlineStr">
        <is>
          <t>📕 PDF Document</t>
        </is>
      </c>
      <c r="K507" s="9" t="n">
        <v>198.2</v>
      </c>
      <c r="L507" s="10">
        <f>HYPERLINK("http://127.0.0.1:8000/api/documents/download?id=2763&amp;attachment=true", "⬇ Download 4. Technical specificati")</f>
        <v/>
      </c>
      <c r="M507" s="10">
        <f>HYPERLINK("http://localhost:5173/?state=Andhra%20Pradesh&amp;keyword=MIS&amp;tender=987910", "🚀 Open in Portal")</f>
        <v/>
      </c>
    </row>
    <row r="508" ht="24" customHeight="1">
      <c r="A508" s="11" t="inlineStr">
        <is>
          <t>Andhra Pradesh</t>
        </is>
      </c>
      <c r="B508" s="12" t="inlineStr">
        <is>
          <t>MIS</t>
        </is>
      </c>
      <c r="C508" s="13" t="inlineStr">
        <is>
          <t>987910</t>
        </is>
      </c>
      <c r="D508" s="14" t="inlineStr">
        <is>
          <t>Supply, Erection, Testing and commissioning of 33kV features at 400/220/11kV Guddigudem SS with 2Nos. 220/33kV , 50MVA PTRs on LS basis.</t>
        </is>
      </c>
      <c r="E508" s="14" t="inlineStr">
        <is>
          <t>APTRANSCO WORKS-Chief Engineer Projects, Vijayawada</t>
        </is>
      </c>
      <c r="F508" s="13" t="inlineStr">
        <is>
          <t>22 Jul 2026</t>
        </is>
      </c>
      <c r="G508" s="12" t="inlineStr">
        <is>
          <t>15 Aug 2026</t>
        </is>
      </c>
      <c r="H508" s="8" t="inlineStr">
        <is>
          <t>⏳ UPCOMING</t>
        </is>
      </c>
      <c r="I508" s="11" t="inlineStr">
        <is>
          <t>5. Technical specification of  VOIP Phone.pdf</t>
        </is>
      </c>
      <c r="J508" s="13" t="inlineStr">
        <is>
          <t>📕 PDF Document</t>
        </is>
      </c>
      <c r="K508" s="15" t="n">
        <v>259.9</v>
      </c>
      <c r="L508" s="16">
        <f>HYPERLINK("http://127.0.0.1:8000/api/documents/download?id=2764&amp;attachment=true", "⬇ Download 5. Technical specificati")</f>
        <v/>
      </c>
      <c r="M508" s="16">
        <f>HYPERLINK("http://localhost:5173/?state=Andhra%20Pradesh&amp;keyword=MIS&amp;tender=987910", "🚀 Open in Portal")</f>
        <v/>
      </c>
    </row>
    <row r="509" ht="24" customHeight="1">
      <c r="A509" s="4" t="inlineStr">
        <is>
          <t>Andhra Pradesh</t>
        </is>
      </c>
      <c r="B509" s="5" t="inlineStr">
        <is>
          <t>MIS</t>
        </is>
      </c>
      <c r="C509" s="6" t="inlineStr">
        <is>
          <t>987910</t>
        </is>
      </c>
      <c r="D509" s="7" t="inlineStr">
        <is>
          <t>Supply, Erection, Testing and commissioning of 33kV features at 400/220/11kV Guddigudem SS with 2Nos. 220/33kV , 50MVA PTRs on LS basis.</t>
        </is>
      </c>
      <c r="E509" s="7" t="inlineStr">
        <is>
          <t>APTRANSCO WORKS-Chief Engineer Projects, Vijayawada</t>
        </is>
      </c>
      <c r="F509" s="6" t="inlineStr">
        <is>
          <t>22 Jul 2026</t>
        </is>
      </c>
      <c r="G509" s="5" t="inlineStr">
        <is>
          <t>15 Aug 2026</t>
        </is>
      </c>
      <c r="H509" s="8" t="inlineStr">
        <is>
          <t>⏳ UPCOMING</t>
        </is>
      </c>
      <c r="I509" s="4" t="inlineStr">
        <is>
          <t>6. Technical specification of 48V Chargers.pdf</t>
        </is>
      </c>
      <c r="J509" s="6" t="inlineStr">
        <is>
          <t>📕 PDF Document</t>
        </is>
      </c>
      <c r="K509" s="9" t="n">
        <v>443.3</v>
      </c>
      <c r="L509" s="10">
        <f>HYPERLINK("http://127.0.0.1:8000/api/documents/download?id=2765&amp;attachment=true", "⬇ Download 6. Technical specificati")</f>
        <v/>
      </c>
      <c r="M509" s="10">
        <f>HYPERLINK("http://localhost:5173/?state=Andhra%20Pradesh&amp;keyword=MIS&amp;tender=987910", "🚀 Open in Portal")</f>
        <v/>
      </c>
    </row>
    <row r="510" ht="24" customHeight="1">
      <c r="A510" s="11" t="inlineStr">
        <is>
          <t>Andhra Pradesh</t>
        </is>
      </c>
      <c r="B510" s="12" t="inlineStr">
        <is>
          <t>MIS</t>
        </is>
      </c>
      <c r="C510" s="13" t="inlineStr">
        <is>
          <t>987910</t>
        </is>
      </c>
      <c r="D510" s="14" t="inlineStr">
        <is>
          <t>Supply, Erection, Testing and commissioning of 33kV features at 400/220/11kV Guddigudem SS with 2Nos. 220/33kV , 50MVA PTRs on LS basis.</t>
        </is>
      </c>
      <c r="E510" s="14" t="inlineStr">
        <is>
          <t>APTRANSCO WORKS-Chief Engineer Projects, Vijayawada</t>
        </is>
      </c>
      <c r="F510" s="13" t="inlineStr">
        <is>
          <t>22 Jul 2026</t>
        </is>
      </c>
      <c r="G510" s="12" t="inlineStr">
        <is>
          <t>15 Aug 2026</t>
        </is>
      </c>
      <c r="H510" s="8" t="inlineStr">
        <is>
          <t>⏳ UPCOMING</t>
        </is>
      </c>
      <c r="I510" s="11" t="inlineStr">
        <is>
          <t>7. Technical specification of 48V Battery sets.pdf</t>
        </is>
      </c>
      <c r="J510" s="13" t="inlineStr">
        <is>
          <t>📕 PDF Document</t>
        </is>
      </c>
      <c r="K510" s="15" t="n">
        <v>188.2</v>
      </c>
      <c r="L510" s="16">
        <f>HYPERLINK("http://127.0.0.1:8000/api/documents/download?id=2766&amp;attachment=true", "⬇ Download 7. Technical specificati")</f>
        <v/>
      </c>
      <c r="M510" s="16">
        <f>HYPERLINK("http://localhost:5173/?state=Andhra%20Pradesh&amp;keyword=MIS&amp;tender=987910", "🚀 Open in Portal")</f>
        <v/>
      </c>
    </row>
    <row r="511" ht="24" customHeight="1">
      <c r="A511" s="4" t="inlineStr">
        <is>
          <t>Andhra Pradesh</t>
        </is>
      </c>
      <c r="B511" s="5" t="inlineStr">
        <is>
          <t>MIS</t>
        </is>
      </c>
      <c r="C511" s="6" t="inlineStr">
        <is>
          <t>987910</t>
        </is>
      </c>
      <c r="D511" s="7" t="inlineStr">
        <is>
          <t>Supply, Erection, Testing and commissioning of 33kV features at 400/220/11kV Guddigudem SS with 2Nos. 220/33kV , 50MVA PTRs on LS basis.</t>
        </is>
      </c>
      <c r="E511" s="7" t="inlineStr">
        <is>
          <t>APTRANSCO WORKS-Chief Engineer Projects, Vijayawada</t>
        </is>
      </c>
      <c r="F511" s="6" t="inlineStr">
        <is>
          <t>22 Jul 2026</t>
        </is>
      </c>
      <c r="G511" s="5" t="inlineStr">
        <is>
          <t>15 Aug 2026</t>
        </is>
      </c>
      <c r="H511" s="8" t="inlineStr">
        <is>
          <t>⏳ UPCOMING</t>
        </is>
      </c>
      <c r="I511" s="4" t="inlineStr">
        <is>
          <t>8. Techincal specification of Testing Instruments..pdf</t>
        </is>
      </c>
      <c r="J511" s="6" t="inlineStr">
        <is>
          <t>📕 PDF Document</t>
        </is>
      </c>
      <c r="K511" s="9" t="n">
        <v>629.7</v>
      </c>
      <c r="L511" s="10">
        <f>HYPERLINK("http://127.0.0.1:8000/api/documents/download?id=2767&amp;attachment=true", "⬇ Download 8. Techincal specificati")</f>
        <v/>
      </c>
      <c r="M511" s="10">
        <f>HYPERLINK("http://localhost:5173/?state=Andhra%20Pradesh&amp;keyword=MIS&amp;tender=987910", "🚀 Open in Portal")</f>
        <v/>
      </c>
    </row>
    <row r="512" ht="24" customHeight="1">
      <c r="A512" s="11" t="inlineStr">
        <is>
          <t>Andhra Pradesh</t>
        </is>
      </c>
      <c r="B512" s="12" t="inlineStr">
        <is>
          <t>MIS</t>
        </is>
      </c>
      <c r="C512" s="13" t="inlineStr">
        <is>
          <t>987910</t>
        </is>
      </c>
      <c r="D512" s="14" t="inlineStr">
        <is>
          <t>Supply, Erection, Testing and commissioning of 33kV features at 400/220/11kV Guddigudem SS with 2Nos. 220/33kV , 50MVA PTRs on LS basis.</t>
        </is>
      </c>
      <c r="E512" s="14" t="inlineStr">
        <is>
          <t>APTRANSCO WORKS-Chief Engineer Projects, Vijayawada</t>
        </is>
      </c>
      <c r="F512" s="13" t="inlineStr">
        <is>
          <t>22 Jul 2026</t>
        </is>
      </c>
      <c r="G512" s="12" t="inlineStr">
        <is>
          <t>15 Aug 2026</t>
        </is>
      </c>
      <c r="H512" s="8" t="inlineStr">
        <is>
          <t>⏳ UPCOMING</t>
        </is>
      </c>
      <c r="I512" s="11" t="inlineStr">
        <is>
          <t>9. Technical specifications of cables.pdf</t>
        </is>
      </c>
      <c r="J512" s="13" t="inlineStr">
        <is>
          <t>📕 PDF Document</t>
        </is>
      </c>
      <c r="K512" s="15" t="n">
        <v>617.5</v>
      </c>
      <c r="L512" s="16">
        <f>HYPERLINK("http://127.0.0.1:8000/api/documents/download?id=2768&amp;attachment=true", "⬇ Download 9. Technical specificati")</f>
        <v/>
      </c>
      <c r="M512" s="16">
        <f>HYPERLINK("http://localhost:5173/?state=Andhra%20Pradesh&amp;keyword=MIS&amp;tender=987910", "🚀 Open in Portal")</f>
        <v/>
      </c>
    </row>
    <row r="513" ht="24" customHeight="1">
      <c r="A513" s="4" t="inlineStr">
        <is>
          <t>Andhra Pradesh</t>
        </is>
      </c>
      <c r="B513" s="5" t="inlineStr">
        <is>
          <t>MIS</t>
        </is>
      </c>
      <c r="C513" s="6" t="inlineStr">
        <is>
          <t>987910</t>
        </is>
      </c>
      <c r="D513" s="7" t="inlineStr">
        <is>
          <t>Supply, Erection, Testing and commissioning of 33kV features at 400/220/11kV Guddigudem SS with 2Nos. 220/33kV , 50MVA PTRs on LS basis.</t>
        </is>
      </c>
      <c r="E513" s="7" t="inlineStr">
        <is>
          <t>APTRANSCO WORKS-Chief Engineer Projects, Vijayawada</t>
        </is>
      </c>
      <c r="F513" s="6" t="inlineStr">
        <is>
          <t>22 Jul 2026</t>
        </is>
      </c>
      <c r="G513" s="5" t="inlineStr">
        <is>
          <t>15 Aug 2026</t>
        </is>
      </c>
      <c r="H513" s="8" t="inlineStr">
        <is>
          <t>⏳ UPCOMING</t>
        </is>
      </c>
      <c r="I513" s="4" t="inlineStr">
        <is>
          <t>VOL 2A.4.3 Sec-III SRC.doc</t>
        </is>
      </c>
      <c r="J513" s="6" t="inlineStr">
        <is>
          <t>📄 DOC</t>
        </is>
      </c>
      <c r="K513" s="9" t="n">
        <v>32502</v>
      </c>
      <c r="L513" s="10">
        <f>HYPERLINK("http://127.0.0.1:8000/api/documents/download?id=2769&amp;attachment=true", "⬇ Download VOL 2A.4.3 Sec-III SRC.d")</f>
        <v/>
      </c>
      <c r="M513" s="10">
        <f>HYPERLINK("http://localhost:5173/?state=Andhra%20Pradesh&amp;keyword=MIS&amp;tender=987910", "🚀 Open in Portal")</f>
        <v/>
      </c>
    </row>
    <row r="514" ht="24" customHeight="1">
      <c r="A514" s="11" t="inlineStr">
        <is>
          <t>Andhra Pradesh</t>
        </is>
      </c>
      <c r="B514" s="12" t="inlineStr">
        <is>
          <t>MIS</t>
        </is>
      </c>
      <c r="C514" s="13" t="inlineStr">
        <is>
          <t>987910</t>
        </is>
      </c>
      <c r="D514" s="14" t="inlineStr">
        <is>
          <t>Supply, Erection, Testing and commissioning of 33kV features at 400/220/11kV Guddigudem SS with 2Nos. 220/33kV , 50MVA PTRs on LS basis.</t>
        </is>
      </c>
      <c r="E514" s="14" t="inlineStr">
        <is>
          <t>APTRANSCO WORKS-Chief Engineer Projects, Vijayawada</t>
        </is>
      </c>
      <c r="F514" s="13" t="inlineStr">
        <is>
          <t>22 Jul 2026</t>
        </is>
      </c>
      <c r="G514" s="12" t="inlineStr">
        <is>
          <t>15 Aug 2026</t>
        </is>
      </c>
      <c r="H514" s="8" t="inlineStr">
        <is>
          <t>⏳ UPCOMING</t>
        </is>
      </c>
      <c r="I514" s="11" t="inlineStr">
        <is>
          <t>2A of VOL II-400kV SS-Part1-33KV features in 400kV GGDM.zip</t>
        </is>
      </c>
      <c r="J514" s="13" t="inlineStr">
        <is>
          <t>📦 ZIP Package</t>
        </is>
      </c>
      <c r="K514" s="15" t="n">
        <v>26957.7</v>
      </c>
      <c r="L514" s="16">
        <f>HYPERLINK("http://127.0.0.1:8000/api/documents/download?id=2757&amp;attachment=true", "⬇ Download 2A of VOL II-400kV SS-Pa")</f>
        <v/>
      </c>
      <c r="M514" s="16">
        <f>HYPERLINK("http://localhost:5173/?state=Andhra%20Pradesh&amp;keyword=MIS&amp;tender=987910", "🚀 Open in Portal")</f>
        <v/>
      </c>
    </row>
    <row r="515" ht="24" customHeight="1">
      <c r="A515" s="4" t="inlineStr">
        <is>
          <t>Andhra Pradesh</t>
        </is>
      </c>
      <c r="B515" s="5" t="inlineStr">
        <is>
          <t>MIS</t>
        </is>
      </c>
      <c r="C515" s="6" t="inlineStr">
        <is>
          <t>987910</t>
        </is>
      </c>
      <c r="D515" s="7" t="inlineStr">
        <is>
          <t>Supply, Erection, Testing and commissioning of 33kV features at 400/220/11kV Guddigudem SS with 2Nos. 220/33kV , 50MVA PTRs on LS basis.</t>
        </is>
      </c>
      <c r="E515" s="7" t="inlineStr">
        <is>
          <t>APTRANSCO WORKS-Chief Engineer Projects, Vijayawada</t>
        </is>
      </c>
      <c r="F515" s="6" t="inlineStr">
        <is>
          <t>22 Jul 2026</t>
        </is>
      </c>
      <c r="G515" s="5" t="inlineStr">
        <is>
          <t>15 Aug 2026</t>
        </is>
      </c>
      <c r="H515" s="8" t="inlineStr">
        <is>
          <t>⏳ UPCOMING</t>
        </is>
      </c>
      <c r="I515" s="4" t="inlineStr">
        <is>
          <t>2A of VOL II-400kV SS-Part2-33KV features in 400kV GGDM.zip</t>
        </is>
      </c>
      <c r="J515" s="6" t="inlineStr">
        <is>
          <t>📦 ZIP Package</t>
        </is>
      </c>
      <c r="K515" s="9" t="n">
        <v>36117.9</v>
      </c>
      <c r="L515" s="10">
        <f>HYPERLINK("http://127.0.0.1:8000/api/documents/download?id=2770&amp;attachment=true", "⬇ Download 2A of VOL II-400kV SS-Pa")</f>
        <v/>
      </c>
      <c r="M515" s="10">
        <f>HYPERLINK("http://localhost:5173/?state=Andhra%20Pradesh&amp;keyword=MIS&amp;tender=987910", "🚀 Open in Portal")</f>
        <v/>
      </c>
    </row>
    <row r="516" ht="24" customHeight="1">
      <c r="A516" s="11" t="inlineStr">
        <is>
          <t>Andhra Pradesh</t>
        </is>
      </c>
      <c r="B516" s="12" t="inlineStr">
        <is>
          <t>MIS</t>
        </is>
      </c>
      <c r="C516" s="13" t="inlineStr">
        <is>
          <t>987910</t>
        </is>
      </c>
      <c r="D516" s="14" t="inlineStr">
        <is>
          <t>Supply, Erection, Testing and commissioning of 33kV features at 400/220/11kV Guddigudem SS with 2Nos. 220/33kV , 50MVA PTRs on LS basis.</t>
        </is>
      </c>
      <c r="E516" s="14" t="inlineStr">
        <is>
          <t>APTRANSCO WORKS-Chief Engineer Projects, Vijayawada</t>
        </is>
      </c>
      <c r="F516" s="13" t="inlineStr">
        <is>
          <t>22 Jul 2026</t>
        </is>
      </c>
      <c r="G516" s="12" t="inlineStr">
        <is>
          <t>15 Aug 2026</t>
        </is>
      </c>
      <c r="H516" s="8" t="inlineStr">
        <is>
          <t>⏳ UPCOMING</t>
        </is>
      </c>
      <c r="I516" s="11" t="inlineStr">
        <is>
          <t>Tender_987910_All_Documents.zip</t>
        </is>
      </c>
      <c r="J516" s="13" t="inlineStr">
        <is>
          <t>📦 ZIP Package</t>
        </is>
      </c>
      <c r="K516" s="15" t="n">
        <v>11.4</v>
      </c>
      <c r="L516" s="16">
        <f>HYPERLINK("http://127.0.0.1:8000/api/documents/download?id=2685&amp;attachment=true", "⬇ Download Tender_987910_All_Docume")</f>
        <v/>
      </c>
      <c r="M516" s="16">
        <f>HYPERLINK("http://localhost:5173/?state=Andhra%20Pradesh&amp;keyword=MIS&amp;tender=987910", "🚀 Open in Portal")</f>
        <v/>
      </c>
    </row>
    <row r="517" ht="24" customHeight="1">
      <c r="A517" s="4" t="inlineStr">
        <is>
          <t>Andhra Pradesh</t>
        </is>
      </c>
      <c r="B517" s="5" t="inlineStr">
        <is>
          <t>MIS</t>
        </is>
      </c>
      <c r="C517" s="6" t="inlineStr">
        <is>
          <t>988312</t>
        </is>
      </c>
      <c r="D517"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17" s="7" t="inlineStr">
        <is>
          <t>APTRANSCO WORKS-Chief Engineer Projects, Vijayawada</t>
        </is>
      </c>
      <c r="F517" s="6" t="inlineStr">
        <is>
          <t>28 Sep 2026</t>
        </is>
      </c>
      <c r="G517" s="5" t="inlineStr">
        <is>
          <t>04 Nov 2026</t>
        </is>
      </c>
      <c r="H517" s="17" t="inlineStr">
        <is>
          <t>🟢 LIVE ACTIVE</t>
        </is>
      </c>
      <c r="I517" s="4" t="inlineStr">
        <is>
          <t>Volume-I-Tallapally.docx</t>
        </is>
      </c>
      <c r="J517" s="6" t="inlineStr">
        <is>
          <t>📄 DOCX</t>
        </is>
      </c>
      <c r="K517" s="9" t="n">
        <v>3152.6</v>
      </c>
      <c r="L517" s="10">
        <f>HYPERLINK("http://127.0.0.1:8000/api/documents/download?id=2483&amp;attachment=true", "⬇ Download Volume-I-Tallapally.docx")</f>
        <v/>
      </c>
      <c r="M517" s="10">
        <f>HYPERLINK("http://localhost:5173/?state=Andhra%20Pradesh&amp;keyword=MIS&amp;tender=988312", "🚀 Open in Portal")</f>
        <v/>
      </c>
    </row>
    <row r="518" ht="24" customHeight="1">
      <c r="A518" s="11" t="inlineStr">
        <is>
          <t>Andhra Pradesh</t>
        </is>
      </c>
      <c r="B518" s="12" t="inlineStr">
        <is>
          <t>MIS</t>
        </is>
      </c>
      <c r="C518" s="13" t="inlineStr">
        <is>
          <t>988312</t>
        </is>
      </c>
      <c r="D518"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18" s="14" t="inlineStr">
        <is>
          <t>APTRANSCO WORKS-Chief Engineer Projects, Vijayawada</t>
        </is>
      </c>
      <c r="F518" s="13" t="inlineStr">
        <is>
          <t>28 Sep 2026</t>
        </is>
      </c>
      <c r="G518" s="12" t="inlineStr">
        <is>
          <t>04 Nov 2026</t>
        </is>
      </c>
      <c r="H518" s="17" t="inlineStr">
        <is>
          <t>🟢 LIVE ACTIVE</t>
        </is>
      </c>
      <c r="I518" s="11" t="inlineStr">
        <is>
          <t>Index.doc</t>
        </is>
      </c>
      <c r="J518" s="13" t="inlineStr">
        <is>
          <t>📄 DOC</t>
        </is>
      </c>
      <c r="K518" s="15" t="n">
        <v>40</v>
      </c>
      <c r="L518" s="16">
        <f>HYPERLINK("http://127.0.0.1:8000/api/documents/download?id=2484&amp;attachment=true", "⬇ Download Index.doc")</f>
        <v/>
      </c>
      <c r="M518" s="16">
        <f>HYPERLINK("http://localhost:5173/?state=Andhra%20Pradesh&amp;keyword=MIS&amp;tender=988312", "🚀 Open in Portal")</f>
        <v/>
      </c>
    </row>
    <row r="519" ht="24" customHeight="1">
      <c r="A519" s="4" t="inlineStr">
        <is>
          <t>Andhra Pradesh</t>
        </is>
      </c>
      <c r="B519" s="5" t="inlineStr">
        <is>
          <t>MIS</t>
        </is>
      </c>
      <c r="C519" s="6" t="inlineStr">
        <is>
          <t>988312</t>
        </is>
      </c>
      <c r="D519"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19" s="7" t="inlineStr">
        <is>
          <t>APTRANSCO WORKS-Chief Engineer Projects, Vijayawada</t>
        </is>
      </c>
      <c r="F519" s="6" t="inlineStr">
        <is>
          <t>28 Sep 2026</t>
        </is>
      </c>
      <c r="G519" s="5" t="inlineStr">
        <is>
          <t>04 Nov 2026</t>
        </is>
      </c>
      <c r="H519" s="17" t="inlineStr">
        <is>
          <t>🟢 LIVE ACTIVE</t>
        </is>
      </c>
      <c r="I519" s="4" t="inlineStr">
        <is>
          <t>Section - 1 General.pdf</t>
        </is>
      </c>
      <c r="J519" s="6" t="inlineStr">
        <is>
          <t>📕 PDF Document</t>
        </is>
      </c>
      <c r="K519" s="9" t="n">
        <v>288.4</v>
      </c>
      <c r="L519" s="10">
        <f>HYPERLINK("http://127.0.0.1:8000/api/documents/download?id=2485&amp;attachment=true", "⬇ Download Section - 1 General.pdf")</f>
        <v/>
      </c>
      <c r="M519" s="10">
        <f>HYPERLINK("http://localhost:5173/?state=Andhra%20Pradesh&amp;keyword=MIS&amp;tender=988312", "🚀 Open in Portal")</f>
        <v/>
      </c>
    </row>
    <row r="520" ht="24" customHeight="1">
      <c r="A520" s="11" t="inlineStr">
        <is>
          <t>Andhra Pradesh</t>
        </is>
      </c>
      <c r="B520" s="12" t="inlineStr">
        <is>
          <t>MIS</t>
        </is>
      </c>
      <c r="C520" s="13" t="inlineStr">
        <is>
          <t>988312</t>
        </is>
      </c>
      <c r="D520"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20" s="14" t="inlineStr">
        <is>
          <t>APTRANSCO WORKS-Chief Engineer Projects, Vijayawada</t>
        </is>
      </c>
      <c r="F520" s="13" t="inlineStr">
        <is>
          <t>28 Sep 2026</t>
        </is>
      </c>
      <c r="G520" s="12" t="inlineStr">
        <is>
          <t>04 Nov 2026</t>
        </is>
      </c>
      <c r="H520" s="17" t="inlineStr">
        <is>
          <t>🟢 LIVE ACTIVE</t>
        </is>
      </c>
      <c r="I520" s="11" t="inlineStr">
        <is>
          <t>Section - 10 Tech  Spec for Control Relay panels.pdf</t>
        </is>
      </c>
      <c r="J520" s="13" t="inlineStr">
        <is>
          <t>📕 PDF Document</t>
        </is>
      </c>
      <c r="K520" s="15" t="n">
        <v>1467.2</v>
      </c>
      <c r="L520" s="16">
        <f>HYPERLINK("http://127.0.0.1:8000/api/documents/download?id=2486&amp;attachment=true", "⬇ Download Section - 10 Tech  Spec ")</f>
        <v/>
      </c>
      <c r="M520" s="16">
        <f>HYPERLINK("http://localhost:5173/?state=Andhra%20Pradesh&amp;keyword=MIS&amp;tender=988312", "🚀 Open in Portal")</f>
        <v/>
      </c>
    </row>
    <row r="521" ht="24" customHeight="1">
      <c r="A521" s="4" t="inlineStr">
        <is>
          <t>Andhra Pradesh</t>
        </is>
      </c>
      <c r="B521" s="5" t="inlineStr">
        <is>
          <t>MIS</t>
        </is>
      </c>
      <c r="C521" s="6" t="inlineStr">
        <is>
          <t>988312</t>
        </is>
      </c>
      <c r="D521"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21" s="7" t="inlineStr">
        <is>
          <t>APTRANSCO WORKS-Chief Engineer Projects, Vijayawada</t>
        </is>
      </c>
      <c r="F521" s="6" t="inlineStr">
        <is>
          <t>28 Sep 2026</t>
        </is>
      </c>
      <c r="G521" s="5" t="inlineStr">
        <is>
          <t>04 Nov 2026</t>
        </is>
      </c>
      <c r="H521" s="17" t="inlineStr">
        <is>
          <t>🟢 LIVE ACTIVE</t>
        </is>
      </c>
      <c r="I521" s="4" t="inlineStr">
        <is>
          <t>Section - 11 -Staton Transformer.pdf</t>
        </is>
      </c>
      <c r="J521" s="6" t="inlineStr">
        <is>
          <t>📕 PDF Document</t>
        </is>
      </c>
      <c r="K521" s="9" t="n">
        <v>274.7</v>
      </c>
      <c r="L521" s="10">
        <f>HYPERLINK("http://127.0.0.1:8000/api/documents/download?id=2487&amp;attachment=true", "⬇ Download Section - 11 -Staton Tra")</f>
        <v/>
      </c>
      <c r="M521" s="10">
        <f>HYPERLINK("http://localhost:5173/?state=Andhra%20Pradesh&amp;keyword=MIS&amp;tender=988312", "🚀 Open in Portal")</f>
        <v/>
      </c>
    </row>
    <row r="522" ht="24" customHeight="1">
      <c r="A522" s="11" t="inlineStr">
        <is>
          <t>Andhra Pradesh</t>
        </is>
      </c>
      <c r="B522" s="12" t="inlineStr">
        <is>
          <t>MIS</t>
        </is>
      </c>
      <c r="C522" s="13" t="inlineStr">
        <is>
          <t>988312</t>
        </is>
      </c>
      <c r="D522"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22" s="14" t="inlineStr">
        <is>
          <t>APTRANSCO WORKS-Chief Engineer Projects, Vijayawada</t>
        </is>
      </c>
      <c r="F522" s="13" t="inlineStr">
        <is>
          <t>28 Sep 2026</t>
        </is>
      </c>
      <c r="G522" s="12" t="inlineStr">
        <is>
          <t>04 Nov 2026</t>
        </is>
      </c>
      <c r="H522" s="17" t="inlineStr">
        <is>
          <t>🟢 LIVE ACTIVE</t>
        </is>
      </c>
      <c r="I522" s="11" t="inlineStr">
        <is>
          <t>Section - 12 ACSR Conductor.pdf</t>
        </is>
      </c>
      <c r="J522" s="13" t="inlineStr">
        <is>
          <t>📕 PDF Document</t>
        </is>
      </c>
      <c r="K522" s="15" t="n">
        <v>679.9</v>
      </c>
      <c r="L522" s="16">
        <f>HYPERLINK("http://127.0.0.1:8000/api/documents/download?id=2488&amp;attachment=true", "⬇ Download Section - 12 ACSR Conduc")</f>
        <v/>
      </c>
      <c r="M522" s="16">
        <f>HYPERLINK("http://localhost:5173/?state=Andhra%20Pradesh&amp;keyword=MIS&amp;tender=988312", "🚀 Open in Portal")</f>
        <v/>
      </c>
    </row>
    <row r="523" ht="24" customHeight="1">
      <c r="A523" s="4" t="inlineStr">
        <is>
          <t>Andhra Pradesh</t>
        </is>
      </c>
      <c r="B523" s="5" t="inlineStr">
        <is>
          <t>MIS</t>
        </is>
      </c>
      <c r="C523" s="6" t="inlineStr">
        <is>
          <t>988312</t>
        </is>
      </c>
      <c r="D523"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23" s="7" t="inlineStr">
        <is>
          <t>APTRANSCO WORKS-Chief Engineer Projects, Vijayawada</t>
        </is>
      </c>
      <c r="F523" s="6" t="inlineStr">
        <is>
          <t>28 Sep 2026</t>
        </is>
      </c>
      <c r="G523" s="5" t="inlineStr">
        <is>
          <t>04 Nov 2026</t>
        </is>
      </c>
      <c r="H523" s="17" t="inlineStr">
        <is>
          <t>🟢 LIVE ACTIVE</t>
        </is>
      </c>
      <c r="I523" s="4" t="inlineStr">
        <is>
          <t>Section - 13 Porcelain disc insulators.pdf</t>
        </is>
      </c>
      <c r="J523" s="6" t="inlineStr">
        <is>
          <t>📕 PDF Document</t>
        </is>
      </c>
      <c r="K523" s="9" t="n">
        <v>423.9</v>
      </c>
      <c r="L523" s="10">
        <f>HYPERLINK("http://127.0.0.1:8000/api/documents/download?id=2489&amp;attachment=true", "⬇ Download Section - 13 Porcelain d")</f>
        <v/>
      </c>
      <c r="M523" s="10">
        <f>HYPERLINK("http://localhost:5173/?state=Andhra%20Pradesh&amp;keyword=MIS&amp;tender=988312", "🚀 Open in Portal")</f>
        <v/>
      </c>
    </row>
    <row r="524" ht="24" customHeight="1">
      <c r="A524" s="11" t="inlineStr">
        <is>
          <t>Andhra Pradesh</t>
        </is>
      </c>
      <c r="B524" s="12" t="inlineStr">
        <is>
          <t>MIS</t>
        </is>
      </c>
      <c r="C524" s="13" t="inlineStr">
        <is>
          <t>988312</t>
        </is>
      </c>
      <c r="D524"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24" s="14" t="inlineStr">
        <is>
          <t>APTRANSCO WORKS-Chief Engineer Projects, Vijayawada</t>
        </is>
      </c>
      <c r="F524" s="13" t="inlineStr">
        <is>
          <t>28 Sep 2026</t>
        </is>
      </c>
      <c r="G524" s="12" t="inlineStr">
        <is>
          <t>04 Nov 2026</t>
        </is>
      </c>
      <c r="H524" s="17" t="inlineStr">
        <is>
          <t>🟢 LIVE ACTIVE</t>
        </is>
      </c>
      <c r="I524" s="11" t="inlineStr">
        <is>
          <t>Section - 14 Transmission line towers.pdf</t>
        </is>
      </c>
      <c r="J524" s="13" t="inlineStr">
        <is>
          <t>📕 PDF Document</t>
        </is>
      </c>
      <c r="K524" s="15" t="n">
        <v>452.1</v>
      </c>
      <c r="L524" s="16">
        <f>HYPERLINK("http://127.0.0.1:8000/api/documents/download?id=2490&amp;attachment=true", "⬇ Download Section - 14 Transmissio")</f>
        <v/>
      </c>
      <c r="M524" s="16">
        <f>HYPERLINK("http://localhost:5173/?state=Andhra%20Pradesh&amp;keyword=MIS&amp;tender=988312", "🚀 Open in Portal")</f>
        <v/>
      </c>
    </row>
    <row r="525" ht="24" customHeight="1">
      <c r="A525" s="4" t="inlineStr">
        <is>
          <t>Andhra Pradesh</t>
        </is>
      </c>
      <c r="B525" s="5" t="inlineStr">
        <is>
          <t>MIS</t>
        </is>
      </c>
      <c r="C525" s="6" t="inlineStr">
        <is>
          <t>988312</t>
        </is>
      </c>
      <c r="D525"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25" s="7" t="inlineStr">
        <is>
          <t>APTRANSCO WORKS-Chief Engineer Projects, Vijayawada</t>
        </is>
      </c>
      <c r="F525" s="6" t="inlineStr">
        <is>
          <t>28 Sep 2026</t>
        </is>
      </c>
      <c r="G525" s="5" t="inlineStr">
        <is>
          <t>04 Nov 2026</t>
        </is>
      </c>
      <c r="H525" s="17" t="inlineStr">
        <is>
          <t>🟢 LIVE ACTIVE</t>
        </is>
      </c>
      <c r="I525" s="4" t="inlineStr">
        <is>
          <t>section - 15 Earth wire.pdf</t>
        </is>
      </c>
      <c r="J525" s="6" t="inlineStr">
        <is>
          <t>📕 PDF Document</t>
        </is>
      </c>
      <c r="K525" s="9" t="n">
        <v>524</v>
      </c>
      <c r="L525" s="10">
        <f>HYPERLINK("http://127.0.0.1:8000/api/documents/download?id=2491&amp;attachment=true", "⬇ Download section - 15 Earth wire.")</f>
        <v/>
      </c>
      <c r="M525" s="10">
        <f>HYPERLINK("http://localhost:5173/?state=Andhra%20Pradesh&amp;keyword=MIS&amp;tender=988312", "🚀 Open in Portal")</f>
        <v/>
      </c>
    </row>
    <row r="526" ht="24" customHeight="1">
      <c r="A526" s="11" t="inlineStr">
        <is>
          <t>Andhra Pradesh</t>
        </is>
      </c>
      <c r="B526" s="12" t="inlineStr">
        <is>
          <t>MIS</t>
        </is>
      </c>
      <c r="C526" s="13" t="inlineStr">
        <is>
          <t>988312</t>
        </is>
      </c>
      <c r="D526"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26" s="14" t="inlineStr">
        <is>
          <t>APTRANSCO WORKS-Chief Engineer Projects, Vijayawada</t>
        </is>
      </c>
      <c r="F526" s="13" t="inlineStr">
        <is>
          <t>28 Sep 2026</t>
        </is>
      </c>
      <c r="G526" s="12" t="inlineStr">
        <is>
          <t>04 Nov 2026</t>
        </is>
      </c>
      <c r="H526" s="17" t="inlineStr">
        <is>
          <t>🟢 LIVE ACTIVE</t>
        </is>
      </c>
      <c r="I526" s="11" t="inlineStr">
        <is>
          <t>Section - 16 Hardware &amp; Accessories for conductor &amp; earth wire.pdf</t>
        </is>
      </c>
      <c r="J526" s="13" t="inlineStr">
        <is>
          <t>📕 PDF Document</t>
        </is>
      </c>
      <c r="K526" s="15" t="n">
        <v>649.1</v>
      </c>
      <c r="L526" s="16">
        <f>HYPERLINK("http://127.0.0.1:8000/api/documents/download?id=2492&amp;attachment=true", "⬇ Download Section - 16 Hardware &amp; ")</f>
        <v/>
      </c>
      <c r="M526" s="16">
        <f>HYPERLINK("http://localhost:5173/?state=Andhra%20Pradesh&amp;keyword=MIS&amp;tender=988312", "🚀 Open in Portal")</f>
        <v/>
      </c>
    </row>
    <row r="527" ht="24" customHeight="1">
      <c r="A527" s="4" t="inlineStr">
        <is>
          <t>Andhra Pradesh</t>
        </is>
      </c>
      <c r="B527" s="5" t="inlineStr">
        <is>
          <t>MIS</t>
        </is>
      </c>
      <c r="C527" s="6" t="inlineStr">
        <is>
          <t>988312</t>
        </is>
      </c>
      <c r="D527"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27" s="7" t="inlineStr">
        <is>
          <t>APTRANSCO WORKS-Chief Engineer Projects, Vijayawada</t>
        </is>
      </c>
      <c r="F527" s="6" t="inlineStr">
        <is>
          <t>28 Sep 2026</t>
        </is>
      </c>
      <c r="G527" s="5" t="inlineStr">
        <is>
          <t>04 Nov 2026</t>
        </is>
      </c>
      <c r="H527" s="17" t="inlineStr">
        <is>
          <t>🟢 LIVE ACTIVE</t>
        </is>
      </c>
      <c r="I527" s="4" t="inlineStr">
        <is>
          <t>section - 17 Bolts &amp; Nuts.pdf</t>
        </is>
      </c>
      <c r="J527" s="6" t="inlineStr">
        <is>
          <t>📕 PDF Document</t>
        </is>
      </c>
      <c r="K527" s="9" t="n">
        <v>472.7</v>
      </c>
      <c r="L527" s="10">
        <f>HYPERLINK("http://127.0.0.1:8000/api/documents/download?id=2493&amp;attachment=true", "⬇ Download section - 17 Bolts &amp; Nut")</f>
        <v/>
      </c>
      <c r="M527" s="10">
        <f>HYPERLINK("http://localhost:5173/?state=Andhra%20Pradesh&amp;keyword=MIS&amp;tender=988312", "🚀 Open in Portal")</f>
        <v/>
      </c>
    </row>
    <row r="528" ht="24" customHeight="1">
      <c r="A528" s="11" t="inlineStr">
        <is>
          <t>Andhra Pradesh</t>
        </is>
      </c>
      <c r="B528" s="12" t="inlineStr">
        <is>
          <t>MIS</t>
        </is>
      </c>
      <c r="C528" s="13" t="inlineStr">
        <is>
          <t>988312</t>
        </is>
      </c>
      <c r="D528"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28" s="14" t="inlineStr">
        <is>
          <t>APTRANSCO WORKS-Chief Engineer Projects, Vijayawada</t>
        </is>
      </c>
      <c r="F528" s="13" t="inlineStr">
        <is>
          <t>28 Sep 2026</t>
        </is>
      </c>
      <c r="G528" s="12" t="inlineStr">
        <is>
          <t>04 Nov 2026</t>
        </is>
      </c>
      <c r="H528" s="17" t="inlineStr">
        <is>
          <t>🟢 LIVE ACTIVE</t>
        </is>
      </c>
      <c r="I528" s="11" t="inlineStr">
        <is>
          <t>Section - 18  Tech Spec for Substation.pdf</t>
        </is>
      </c>
      <c r="J528" s="13" t="inlineStr">
        <is>
          <t>📕 PDF Document</t>
        </is>
      </c>
      <c r="K528" s="15" t="n">
        <v>853.1</v>
      </c>
      <c r="L528" s="16">
        <f>HYPERLINK("http://127.0.0.1:8000/api/documents/download?id=2494&amp;attachment=true", "⬇ Download Section - 18  Tech Spec ")</f>
        <v/>
      </c>
      <c r="M528" s="16">
        <f>HYPERLINK("http://localhost:5173/?state=Andhra%20Pradesh&amp;keyword=MIS&amp;tender=988312", "🚀 Open in Portal")</f>
        <v/>
      </c>
    </row>
    <row r="529" ht="24" customHeight="1">
      <c r="A529" s="4" t="inlineStr">
        <is>
          <t>Andhra Pradesh</t>
        </is>
      </c>
      <c r="B529" s="5" t="inlineStr">
        <is>
          <t>MIS</t>
        </is>
      </c>
      <c r="C529" s="6" t="inlineStr">
        <is>
          <t>988312</t>
        </is>
      </c>
      <c r="D529"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29" s="7" t="inlineStr">
        <is>
          <t>APTRANSCO WORKS-Chief Engineer Projects, Vijayawada</t>
        </is>
      </c>
      <c r="F529" s="6" t="inlineStr">
        <is>
          <t>28 Sep 2026</t>
        </is>
      </c>
      <c r="G529" s="5" t="inlineStr">
        <is>
          <t>04 Nov 2026</t>
        </is>
      </c>
      <c r="H529" s="17" t="inlineStr">
        <is>
          <t>🟢 LIVE ACTIVE</t>
        </is>
      </c>
      <c r="I529" s="4" t="inlineStr">
        <is>
          <t>Section - 19 Tech Spec for Tr Line works.pdf</t>
        </is>
      </c>
      <c r="J529" s="6" t="inlineStr">
        <is>
          <t>📕 PDF Document</t>
        </is>
      </c>
      <c r="K529" s="9" t="n">
        <v>524.5</v>
      </c>
      <c r="L529" s="10">
        <f>HYPERLINK("http://127.0.0.1:8000/api/documents/download?id=2495&amp;attachment=true", "⬇ Download Section - 19 Tech Spec f")</f>
        <v/>
      </c>
      <c r="M529" s="10">
        <f>HYPERLINK("http://localhost:5173/?state=Andhra%20Pradesh&amp;keyword=MIS&amp;tender=988312", "🚀 Open in Portal")</f>
        <v/>
      </c>
    </row>
    <row r="530" ht="24" customHeight="1">
      <c r="A530" s="11" t="inlineStr">
        <is>
          <t>Andhra Pradesh</t>
        </is>
      </c>
      <c r="B530" s="12" t="inlineStr">
        <is>
          <t>MIS</t>
        </is>
      </c>
      <c r="C530" s="13" t="inlineStr">
        <is>
          <t>988312</t>
        </is>
      </c>
      <c r="D530"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30" s="14" t="inlineStr">
        <is>
          <t>APTRANSCO WORKS-Chief Engineer Projects, Vijayawada</t>
        </is>
      </c>
      <c r="F530" s="13" t="inlineStr">
        <is>
          <t>28 Sep 2026</t>
        </is>
      </c>
      <c r="G530" s="12" t="inlineStr">
        <is>
          <t>04 Nov 2026</t>
        </is>
      </c>
      <c r="H530" s="17" t="inlineStr">
        <is>
          <t>🟢 LIVE ACTIVE</t>
        </is>
      </c>
      <c r="I530" s="11" t="inlineStr">
        <is>
          <t>Section - 2 CTs-PTs-CVTs.pdf</t>
        </is>
      </c>
      <c r="J530" s="13" t="inlineStr">
        <is>
          <t>📕 PDF Document</t>
        </is>
      </c>
      <c r="K530" s="15" t="n">
        <v>719.3</v>
      </c>
      <c r="L530" s="16">
        <f>HYPERLINK("http://127.0.0.1:8000/api/documents/download?id=2496&amp;attachment=true", "⬇ Download Section - 2 CTs-PTs-CVTs")</f>
        <v/>
      </c>
      <c r="M530" s="16">
        <f>HYPERLINK("http://localhost:5173/?state=Andhra%20Pradesh&amp;keyword=MIS&amp;tender=988312", "🚀 Open in Portal")</f>
        <v/>
      </c>
    </row>
    <row r="531" ht="24" customHeight="1">
      <c r="A531" s="4" t="inlineStr">
        <is>
          <t>Andhra Pradesh</t>
        </is>
      </c>
      <c r="B531" s="5" t="inlineStr">
        <is>
          <t>MIS</t>
        </is>
      </c>
      <c r="C531" s="6" t="inlineStr">
        <is>
          <t>988312</t>
        </is>
      </c>
      <c r="D531"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31" s="7" t="inlineStr">
        <is>
          <t>APTRANSCO WORKS-Chief Engineer Projects, Vijayawada</t>
        </is>
      </c>
      <c r="F531" s="6" t="inlineStr">
        <is>
          <t>28 Sep 2026</t>
        </is>
      </c>
      <c r="G531" s="5" t="inlineStr">
        <is>
          <t>04 Nov 2026</t>
        </is>
      </c>
      <c r="H531" s="17" t="inlineStr">
        <is>
          <t>🟢 LIVE ACTIVE</t>
        </is>
      </c>
      <c r="I531" s="4" t="inlineStr">
        <is>
          <t>Section - 20  Technical specification of OPGW, OFAC &amp; FODP.pdf</t>
        </is>
      </c>
      <c r="J531" s="6" t="inlineStr">
        <is>
          <t>📕 PDF Document</t>
        </is>
      </c>
      <c r="K531" s="9" t="n">
        <v>1363.8</v>
      </c>
      <c r="L531" s="10">
        <f>HYPERLINK("http://127.0.0.1:8000/api/documents/download?id=2497&amp;attachment=true", "⬇ Download Section - 20  Technical ")</f>
        <v/>
      </c>
      <c r="M531" s="10">
        <f>HYPERLINK("http://localhost:5173/?state=Andhra%20Pradesh&amp;keyword=MIS&amp;tender=988312", "🚀 Open in Portal")</f>
        <v/>
      </c>
    </row>
    <row r="532" ht="24" customHeight="1">
      <c r="A532" s="11" t="inlineStr">
        <is>
          <t>Andhra Pradesh</t>
        </is>
      </c>
      <c r="B532" s="12" t="inlineStr">
        <is>
          <t>MIS</t>
        </is>
      </c>
      <c r="C532" s="13" t="inlineStr">
        <is>
          <t>988312</t>
        </is>
      </c>
      <c r="D532"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32" s="14" t="inlineStr">
        <is>
          <t>APTRANSCO WORKS-Chief Engineer Projects, Vijayawada</t>
        </is>
      </c>
      <c r="F532" s="13" t="inlineStr">
        <is>
          <t>28 Sep 2026</t>
        </is>
      </c>
      <c r="G532" s="12" t="inlineStr">
        <is>
          <t>04 Nov 2026</t>
        </is>
      </c>
      <c r="H532" s="17" t="inlineStr">
        <is>
          <t>🟢 LIVE ACTIVE</t>
        </is>
      </c>
      <c r="I532" s="11" t="inlineStr">
        <is>
          <t>Section - 21  Technical spec for UG OFC, HDPE duct &amp; RCC chambers.pdf</t>
        </is>
      </c>
      <c r="J532" s="13" t="inlineStr">
        <is>
          <t>📕 PDF Document</t>
        </is>
      </c>
      <c r="K532" s="15" t="n">
        <v>480.3</v>
      </c>
      <c r="L532" s="16">
        <f>HYPERLINK("http://127.0.0.1:8000/api/documents/download?id=2498&amp;attachment=true", "⬇ Download Section - 21  Technical ")</f>
        <v/>
      </c>
      <c r="M532" s="16">
        <f>HYPERLINK("http://localhost:5173/?state=Andhra%20Pradesh&amp;keyword=MIS&amp;tender=988312", "🚀 Open in Portal")</f>
        <v/>
      </c>
    </row>
    <row r="533" ht="24" customHeight="1">
      <c r="A533" s="4" t="inlineStr">
        <is>
          <t>Andhra Pradesh</t>
        </is>
      </c>
      <c r="B533" s="5" t="inlineStr">
        <is>
          <t>MIS</t>
        </is>
      </c>
      <c r="C533" s="6" t="inlineStr">
        <is>
          <t>988312</t>
        </is>
      </c>
      <c r="D533"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33" s="7" t="inlineStr">
        <is>
          <t>APTRANSCO WORKS-Chief Engineer Projects, Vijayawada</t>
        </is>
      </c>
      <c r="F533" s="6" t="inlineStr">
        <is>
          <t>28 Sep 2026</t>
        </is>
      </c>
      <c r="G533" s="5" t="inlineStr">
        <is>
          <t>04 Nov 2026</t>
        </is>
      </c>
      <c r="H533" s="17" t="inlineStr">
        <is>
          <t>🟢 LIVE ACTIVE</t>
        </is>
      </c>
      <c r="I533" s="4" t="inlineStr">
        <is>
          <t>Section - 22 Technical specification of SDH (OLTE) equipment.pdf</t>
        </is>
      </c>
      <c r="J533" s="6" t="inlineStr">
        <is>
          <t>📕 PDF Document</t>
        </is>
      </c>
      <c r="K533" s="9" t="n">
        <v>635.3</v>
      </c>
      <c r="L533" s="10">
        <f>HYPERLINK("http://127.0.0.1:8000/api/documents/download?id=2499&amp;attachment=true", "⬇ Download Section - 22 Technical s")</f>
        <v/>
      </c>
      <c r="M533" s="10">
        <f>HYPERLINK("http://localhost:5173/?state=Andhra%20Pradesh&amp;keyword=MIS&amp;tender=988312", "🚀 Open in Portal")</f>
        <v/>
      </c>
    </row>
    <row r="534" ht="24" customHeight="1">
      <c r="A534" s="11" t="inlineStr">
        <is>
          <t>Andhra Pradesh</t>
        </is>
      </c>
      <c r="B534" s="12" t="inlineStr">
        <is>
          <t>MIS</t>
        </is>
      </c>
      <c r="C534" s="13" t="inlineStr">
        <is>
          <t>988312</t>
        </is>
      </c>
      <c r="D534"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34" s="14" t="inlineStr">
        <is>
          <t>APTRANSCO WORKS-Chief Engineer Projects, Vijayawada</t>
        </is>
      </c>
      <c r="F534" s="13" t="inlineStr">
        <is>
          <t>28 Sep 2026</t>
        </is>
      </c>
      <c r="G534" s="12" t="inlineStr">
        <is>
          <t>04 Nov 2026</t>
        </is>
      </c>
      <c r="H534" s="17" t="inlineStr">
        <is>
          <t>🟢 LIVE ACTIVE</t>
        </is>
      </c>
      <c r="I534" s="11" t="inlineStr">
        <is>
          <t>Section - 23 Technical specification of DTPC.pdf</t>
        </is>
      </c>
      <c r="J534" s="13" t="inlineStr">
        <is>
          <t>📕 PDF Document</t>
        </is>
      </c>
      <c r="K534" s="15" t="n">
        <v>198.2</v>
      </c>
      <c r="L534" s="16">
        <f>HYPERLINK("http://127.0.0.1:8000/api/documents/download?id=2500&amp;attachment=true", "⬇ Download Section - 23 Technical s")</f>
        <v/>
      </c>
      <c r="M534" s="16">
        <f>HYPERLINK("http://localhost:5173/?state=Andhra%20Pradesh&amp;keyword=MIS&amp;tender=988312", "🚀 Open in Portal")</f>
        <v/>
      </c>
    </row>
    <row r="535" ht="24" customHeight="1">
      <c r="A535" s="4" t="inlineStr">
        <is>
          <t>Andhra Pradesh</t>
        </is>
      </c>
      <c r="B535" s="5" t="inlineStr">
        <is>
          <t>MIS</t>
        </is>
      </c>
      <c r="C535" s="6" t="inlineStr">
        <is>
          <t>988312</t>
        </is>
      </c>
      <c r="D535"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35" s="7" t="inlineStr">
        <is>
          <t>APTRANSCO WORKS-Chief Engineer Projects, Vijayawada</t>
        </is>
      </c>
      <c r="F535" s="6" t="inlineStr">
        <is>
          <t>28 Sep 2026</t>
        </is>
      </c>
      <c r="G535" s="5" t="inlineStr">
        <is>
          <t>04 Nov 2026</t>
        </is>
      </c>
      <c r="H535" s="17" t="inlineStr">
        <is>
          <t>🟢 LIVE ACTIVE</t>
        </is>
      </c>
      <c r="I535" s="4" t="inlineStr">
        <is>
          <t>Section - 24 Technical specification of  VOIP Phone.pdf</t>
        </is>
      </c>
      <c r="J535" s="6" t="inlineStr">
        <is>
          <t>📕 PDF Document</t>
        </is>
      </c>
      <c r="K535" s="9" t="n">
        <v>259.9</v>
      </c>
      <c r="L535" s="10">
        <f>HYPERLINK("http://127.0.0.1:8000/api/documents/download?id=2501&amp;attachment=true", "⬇ Download Section - 24 Technical s")</f>
        <v/>
      </c>
      <c r="M535" s="10">
        <f>HYPERLINK("http://localhost:5173/?state=Andhra%20Pradesh&amp;keyword=MIS&amp;tender=988312", "🚀 Open in Portal")</f>
        <v/>
      </c>
    </row>
    <row r="536" ht="24" customHeight="1">
      <c r="A536" s="11" t="inlineStr">
        <is>
          <t>Andhra Pradesh</t>
        </is>
      </c>
      <c r="B536" s="12" t="inlineStr">
        <is>
          <t>MIS</t>
        </is>
      </c>
      <c r="C536" s="13" t="inlineStr">
        <is>
          <t>988312</t>
        </is>
      </c>
      <c r="D536"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36" s="14" t="inlineStr">
        <is>
          <t>APTRANSCO WORKS-Chief Engineer Projects, Vijayawada</t>
        </is>
      </c>
      <c r="F536" s="13" t="inlineStr">
        <is>
          <t>28 Sep 2026</t>
        </is>
      </c>
      <c r="G536" s="12" t="inlineStr">
        <is>
          <t>04 Nov 2026</t>
        </is>
      </c>
      <c r="H536" s="17" t="inlineStr">
        <is>
          <t>🟢 LIVE ACTIVE</t>
        </is>
      </c>
      <c r="I536" s="11" t="inlineStr">
        <is>
          <t>Section - 25 Technical specification of 48V Chargers.pdf</t>
        </is>
      </c>
      <c r="J536" s="13" t="inlineStr">
        <is>
          <t>📕 PDF Document</t>
        </is>
      </c>
      <c r="K536" s="15" t="n">
        <v>443.3</v>
      </c>
      <c r="L536" s="16">
        <f>HYPERLINK("http://127.0.0.1:8000/api/documents/download?id=2502&amp;attachment=true", "⬇ Download Section - 25 Technical s")</f>
        <v/>
      </c>
      <c r="M536" s="16">
        <f>HYPERLINK("http://localhost:5173/?state=Andhra%20Pradesh&amp;keyword=MIS&amp;tender=988312", "🚀 Open in Portal")</f>
        <v/>
      </c>
    </row>
    <row r="537" ht="24" customHeight="1">
      <c r="A537" s="4" t="inlineStr">
        <is>
          <t>Andhra Pradesh</t>
        </is>
      </c>
      <c r="B537" s="5" t="inlineStr">
        <is>
          <t>MIS</t>
        </is>
      </c>
      <c r="C537" s="6" t="inlineStr">
        <is>
          <t>988312</t>
        </is>
      </c>
      <c r="D537"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37" s="7" t="inlineStr">
        <is>
          <t>APTRANSCO WORKS-Chief Engineer Projects, Vijayawada</t>
        </is>
      </c>
      <c r="F537" s="6" t="inlineStr">
        <is>
          <t>28 Sep 2026</t>
        </is>
      </c>
      <c r="G537" s="5" t="inlineStr">
        <is>
          <t>04 Nov 2026</t>
        </is>
      </c>
      <c r="H537" s="17" t="inlineStr">
        <is>
          <t>🟢 LIVE ACTIVE</t>
        </is>
      </c>
      <c r="I537" s="4" t="inlineStr">
        <is>
          <t>Section - 26 Technical specification of 48V Battery sets.pdf</t>
        </is>
      </c>
      <c r="J537" s="6" t="inlineStr">
        <is>
          <t>📕 PDF Document</t>
        </is>
      </c>
      <c r="K537" s="9" t="n">
        <v>188.2</v>
      </c>
      <c r="L537" s="10">
        <f>HYPERLINK("http://127.0.0.1:8000/api/documents/download?id=2503&amp;attachment=true", "⬇ Download Section - 26 Technical s")</f>
        <v/>
      </c>
      <c r="M537" s="10">
        <f>HYPERLINK("http://localhost:5173/?state=Andhra%20Pradesh&amp;keyword=MIS&amp;tender=988312", "🚀 Open in Portal")</f>
        <v/>
      </c>
    </row>
    <row r="538" ht="24" customHeight="1">
      <c r="A538" s="11" t="inlineStr">
        <is>
          <t>Andhra Pradesh</t>
        </is>
      </c>
      <c r="B538" s="12" t="inlineStr">
        <is>
          <t>MIS</t>
        </is>
      </c>
      <c r="C538" s="13" t="inlineStr">
        <is>
          <t>988312</t>
        </is>
      </c>
      <c r="D538"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38" s="14" t="inlineStr">
        <is>
          <t>APTRANSCO WORKS-Chief Engineer Projects, Vijayawada</t>
        </is>
      </c>
      <c r="F538" s="13" t="inlineStr">
        <is>
          <t>28 Sep 2026</t>
        </is>
      </c>
      <c r="G538" s="12" t="inlineStr">
        <is>
          <t>04 Nov 2026</t>
        </is>
      </c>
      <c r="H538" s="17" t="inlineStr">
        <is>
          <t>🟢 LIVE ACTIVE</t>
        </is>
      </c>
      <c r="I538" s="11" t="inlineStr">
        <is>
          <t>Section - 27  Techincal specification of Testing Instruments..pdf</t>
        </is>
      </c>
      <c r="J538" s="13" t="inlineStr">
        <is>
          <t>📕 PDF Document</t>
        </is>
      </c>
      <c r="K538" s="15" t="n">
        <v>629.7</v>
      </c>
      <c r="L538" s="16">
        <f>HYPERLINK("http://127.0.0.1:8000/api/documents/download?id=2504&amp;attachment=true", "⬇ Download Section - 27  Techincal ")</f>
        <v/>
      </c>
      <c r="M538" s="16">
        <f>HYPERLINK("http://localhost:5173/?state=Andhra%20Pradesh&amp;keyword=MIS&amp;tender=988312", "🚀 Open in Portal")</f>
        <v/>
      </c>
    </row>
    <row r="539" ht="24" customHeight="1">
      <c r="A539" s="4" t="inlineStr">
        <is>
          <t>Andhra Pradesh</t>
        </is>
      </c>
      <c r="B539" s="5" t="inlineStr">
        <is>
          <t>MIS</t>
        </is>
      </c>
      <c r="C539" s="6" t="inlineStr">
        <is>
          <t>988312</t>
        </is>
      </c>
      <c r="D539"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39" s="7" t="inlineStr">
        <is>
          <t>APTRANSCO WORKS-Chief Engineer Projects, Vijayawada</t>
        </is>
      </c>
      <c r="F539" s="6" t="inlineStr">
        <is>
          <t>28 Sep 2026</t>
        </is>
      </c>
      <c r="G539" s="5" t="inlineStr">
        <is>
          <t>04 Nov 2026</t>
        </is>
      </c>
      <c r="H539" s="17" t="inlineStr">
        <is>
          <t>🟢 LIVE ACTIVE</t>
        </is>
      </c>
      <c r="I539" s="4" t="inlineStr">
        <is>
          <t>Section - 28 -Technical specifications of cables.pdf</t>
        </is>
      </c>
      <c r="J539" s="6" t="inlineStr">
        <is>
          <t>📕 PDF Document</t>
        </is>
      </c>
      <c r="K539" s="9" t="n">
        <v>617.5</v>
      </c>
      <c r="L539" s="10">
        <f>HYPERLINK("http://127.0.0.1:8000/api/documents/download?id=2505&amp;attachment=true", "⬇ Download Section - 28 -Technical ")</f>
        <v/>
      </c>
      <c r="M539" s="10">
        <f>HYPERLINK("http://localhost:5173/?state=Andhra%20Pradesh&amp;keyword=MIS&amp;tender=988312", "🚀 Open in Portal")</f>
        <v/>
      </c>
    </row>
    <row r="540" ht="24" customHeight="1">
      <c r="A540" s="11" t="inlineStr">
        <is>
          <t>Andhra Pradesh</t>
        </is>
      </c>
      <c r="B540" s="12" t="inlineStr">
        <is>
          <t>MIS</t>
        </is>
      </c>
      <c r="C540" s="13" t="inlineStr">
        <is>
          <t>988312</t>
        </is>
      </c>
      <c r="D540"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40" s="14" t="inlineStr">
        <is>
          <t>APTRANSCO WORKS-Chief Engineer Projects, Vijayawada</t>
        </is>
      </c>
      <c r="F540" s="13" t="inlineStr">
        <is>
          <t>28 Sep 2026</t>
        </is>
      </c>
      <c r="G540" s="12" t="inlineStr">
        <is>
          <t>04 Nov 2026</t>
        </is>
      </c>
      <c r="H540" s="17" t="inlineStr">
        <is>
          <t>🟢 LIVE ACTIVE</t>
        </is>
      </c>
      <c r="I540" s="11" t="inlineStr">
        <is>
          <t>Section - 29 Long rod insulators.pdf</t>
        </is>
      </c>
      <c r="J540" s="13" t="inlineStr">
        <is>
          <t>📕 PDF Document</t>
        </is>
      </c>
      <c r="K540" s="15" t="n">
        <v>433.9</v>
      </c>
      <c r="L540" s="16">
        <f>HYPERLINK("http://127.0.0.1:8000/api/documents/download?id=2506&amp;attachment=true", "⬇ Download Section - 29 Long rod in")</f>
        <v/>
      </c>
      <c r="M540" s="16">
        <f>HYPERLINK("http://localhost:5173/?state=Andhra%20Pradesh&amp;keyword=MIS&amp;tender=988312", "🚀 Open in Portal")</f>
        <v/>
      </c>
    </row>
    <row r="541" ht="24" customHeight="1">
      <c r="A541" s="4" t="inlineStr">
        <is>
          <t>Andhra Pradesh</t>
        </is>
      </c>
      <c r="B541" s="5" t="inlineStr">
        <is>
          <t>MIS</t>
        </is>
      </c>
      <c r="C541" s="6" t="inlineStr">
        <is>
          <t>988312</t>
        </is>
      </c>
      <c r="D541"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41" s="7" t="inlineStr">
        <is>
          <t>APTRANSCO WORKS-Chief Engineer Projects, Vijayawada</t>
        </is>
      </c>
      <c r="F541" s="6" t="inlineStr">
        <is>
          <t>28 Sep 2026</t>
        </is>
      </c>
      <c r="G541" s="5" t="inlineStr">
        <is>
          <t>04 Nov 2026</t>
        </is>
      </c>
      <c r="H541" s="17" t="inlineStr">
        <is>
          <t>🟢 LIVE ACTIVE</t>
        </is>
      </c>
      <c r="I541" s="4" t="inlineStr">
        <is>
          <t>Section - 3 Surge Arrestors.pdf</t>
        </is>
      </c>
      <c r="J541" s="6" t="inlineStr">
        <is>
          <t>📕 PDF Document</t>
        </is>
      </c>
      <c r="K541" s="9" t="n">
        <v>431</v>
      </c>
      <c r="L541" s="10">
        <f>HYPERLINK("http://127.0.0.1:8000/api/documents/download?id=2507&amp;attachment=true", "⬇ Download Section - 3 Surge Arrest")</f>
        <v/>
      </c>
      <c r="M541" s="10">
        <f>HYPERLINK("http://localhost:5173/?state=Andhra%20Pradesh&amp;keyword=MIS&amp;tender=988312", "🚀 Open in Portal")</f>
        <v/>
      </c>
    </row>
    <row r="542" ht="24" customHeight="1">
      <c r="A542" s="11" t="inlineStr">
        <is>
          <t>Andhra Pradesh</t>
        </is>
      </c>
      <c r="B542" s="12" t="inlineStr">
        <is>
          <t>MIS</t>
        </is>
      </c>
      <c r="C542" s="13" t="inlineStr">
        <is>
          <t>988312</t>
        </is>
      </c>
      <c r="D542"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42" s="14" t="inlineStr">
        <is>
          <t>APTRANSCO WORKS-Chief Engineer Projects, Vijayawada</t>
        </is>
      </c>
      <c r="F542" s="13" t="inlineStr">
        <is>
          <t>28 Sep 2026</t>
        </is>
      </c>
      <c r="G542" s="12" t="inlineStr">
        <is>
          <t>04 Nov 2026</t>
        </is>
      </c>
      <c r="H542" s="17" t="inlineStr">
        <is>
          <t>🟢 LIVE ACTIVE</t>
        </is>
      </c>
      <c r="I542" s="11" t="inlineStr">
        <is>
          <t>Section - 30 Technical specification of AC unit &amp; Stabilizer.pdf</t>
        </is>
      </c>
      <c r="J542" s="13" t="inlineStr">
        <is>
          <t>📕 PDF Document</t>
        </is>
      </c>
      <c r="K542" s="15" t="n">
        <v>156.4</v>
      </c>
      <c r="L542" s="16">
        <f>HYPERLINK("http://127.0.0.1:8000/api/documents/download?id=2508&amp;attachment=true", "⬇ Download Section - 30 Technical s")</f>
        <v/>
      </c>
      <c r="M542" s="16">
        <f>HYPERLINK("http://localhost:5173/?state=Andhra%20Pradesh&amp;keyword=MIS&amp;tender=988312", "🚀 Open in Portal")</f>
        <v/>
      </c>
    </row>
    <row r="543" ht="24" customHeight="1">
      <c r="A543" s="4" t="inlineStr">
        <is>
          <t>Andhra Pradesh</t>
        </is>
      </c>
      <c r="B543" s="5" t="inlineStr">
        <is>
          <t>MIS</t>
        </is>
      </c>
      <c r="C543" s="6" t="inlineStr">
        <is>
          <t>988312</t>
        </is>
      </c>
      <c r="D543"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43" s="7" t="inlineStr">
        <is>
          <t>APTRANSCO WORKS-Chief Engineer Projects, Vijayawada</t>
        </is>
      </c>
      <c r="F543" s="6" t="inlineStr">
        <is>
          <t>28 Sep 2026</t>
        </is>
      </c>
      <c r="G543" s="5" t="inlineStr">
        <is>
          <t>04 Nov 2026</t>
        </is>
      </c>
      <c r="H543" s="17" t="inlineStr">
        <is>
          <t>🟢 LIVE ACTIVE</t>
        </is>
      </c>
      <c r="I543" s="4" t="inlineStr">
        <is>
          <t>Section - 31 Technical specification of MPLS FOTE &amp; NMS.pdf</t>
        </is>
      </c>
      <c r="J543" s="6" t="inlineStr">
        <is>
          <t>📕 PDF Document</t>
        </is>
      </c>
      <c r="K543" s="9" t="n">
        <v>946.7</v>
      </c>
      <c r="L543" s="10">
        <f>HYPERLINK("http://127.0.0.1:8000/api/documents/download?id=2509&amp;attachment=true", "⬇ Download Section - 31 Technical s")</f>
        <v/>
      </c>
      <c r="M543" s="10">
        <f>HYPERLINK("http://localhost:5173/?state=Andhra%20Pradesh&amp;keyword=MIS&amp;tender=988312", "🚀 Open in Portal")</f>
        <v/>
      </c>
    </row>
    <row r="544" ht="24" customHeight="1">
      <c r="A544" s="11" t="inlineStr">
        <is>
          <t>Andhra Pradesh</t>
        </is>
      </c>
      <c r="B544" s="12" t="inlineStr">
        <is>
          <t>MIS</t>
        </is>
      </c>
      <c r="C544" s="13" t="inlineStr">
        <is>
          <t>988312</t>
        </is>
      </c>
      <c r="D544"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44" s="14" t="inlineStr">
        <is>
          <t>APTRANSCO WORKS-Chief Engineer Projects, Vijayawada</t>
        </is>
      </c>
      <c r="F544" s="13" t="inlineStr">
        <is>
          <t>28 Sep 2026</t>
        </is>
      </c>
      <c r="G544" s="12" t="inlineStr">
        <is>
          <t>04 Nov 2026</t>
        </is>
      </c>
      <c r="H544" s="17" t="inlineStr">
        <is>
          <t>🟢 LIVE ACTIVE</t>
        </is>
      </c>
      <c r="I544" s="11" t="inlineStr">
        <is>
          <t>Section - 32 Tech Spec- SRC Insulators.pdf</t>
        </is>
      </c>
      <c r="J544" s="13" t="inlineStr">
        <is>
          <t>📕 PDF Document</t>
        </is>
      </c>
      <c r="K544" s="15" t="n">
        <v>423.9</v>
      </c>
      <c r="L544" s="16">
        <f>HYPERLINK("http://127.0.0.1:8000/api/documents/download?id=2510&amp;attachment=true", "⬇ Download Section - 32 Tech Spec- ")</f>
        <v/>
      </c>
      <c r="M544" s="16">
        <f>HYPERLINK("http://localhost:5173/?state=Andhra%20Pradesh&amp;keyword=MIS&amp;tender=988312", "🚀 Open in Portal")</f>
        <v/>
      </c>
    </row>
    <row r="545" ht="24" customHeight="1">
      <c r="A545" s="4" t="inlineStr">
        <is>
          <t>Andhra Pradesh</t>
        </is>
      </c>
      <c r="B545" s="5" t="inlineStr">
        <is>
          <t>MIS</t>
        </is>
      </c>
      <c r="C545" s="6" t="inlineStr">
        <is>
          <t>988312</t>
        </is>
      </c>
      <c r="D545"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45" s="7" t="inlineStr">
        <is>
          <t>APTRANSCO WORKS-Chief Engineer Projects, Vijayawada</t>
        </is>
      </c>
      <c r="F545" s="6" t="inlineStr">
        <is>
          <t>28 Sep 2026</t>
        </is>
      </c>
      <c r="G545" s="5" t="inlineStr">
        <is>
          <t>04 Nov 2026</t>
        </is>
      </c>
      <c r="H545" s="17" t="inlineStr">
        <is>
          <t>🟢 LIVE ACTIVE</t>
        </is>
      </c>
      <c r="I545" s="4" t="inlineStr">
        <is>
          <t>Section - 33 LED Specification.pdf</t>
        </is>
      </c>
      <c r="J545" s="6" t="inlineStr">
        <is>
          <t>📕 PDF Document</t>
        </is>
      </c>
      <c r="K545" s="9" t="n">
        <v>563</v>
      </c>
      <c r="L545" s="10">
        <f>HYPERLINK("http://127.0.0.1:8000/api/documents/download?id=2511&amp;attachment=true", "⬇ Download Section - 33 LED Specifi")</f>
        <v/>
      </c>
      <c r="M545" s="10">
        <f>HYPERLINK("http://localhost:5173/?state=Andhra%20Pradesh&amp;keyword=MIS&amp;tender=988312", "🚀 Open in Portal")</f>
        <v/>
      </c>
    </row>
    <row r="546" ht="24" customHeight="1">
      <c r="A546" s="11" t="inlineStr">
        <is>
          <t>Andhra Pradesh</t>
        </is>
      </c>
      <c r="B546" s="12" t="inlineStr">
        <is>
          <t>MIS</t>
        </is>
      </c>
      <c r="C546" s="13" t="inlineStr">
        <is>
          <t>988312</t>
        </is>
      </c>
      <c r="D546"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46" s="14" t="inlineStr">
        <is>
          <t>APTRANSCO WORKS-Chief Engineer Projects, Vijayawada</t>
        </is>
      </c>
      <c r="F546" s="13" t="inlineStr">
        <is>
          <t>28 Sep 2026</t>
        </is>
      </c>
      <c r="G546" s="12" t="inlineStr">
        <is>
          <t>04 Nov 2026</t>
        </is>
      </c>
      <c r="H546" s="17" t="inlineStr">
        <is>
          <t>🟢 LIVE ACTIVE</t>
        </is>
      </c>
      <c r="I546" s="11" t="inlineStr">
        <is>
          <t>Section - 34 ACSS Cond eq Conductor SPEC_Final.pdf</t>
        </is>
      </c>
      <c r="J546" s="13" t="inlineStr">
        <is>
          <t>📕 PDF Document</t>
        </is>
      </c>
      <c r="K546" s="15" t="n">
        <v>1084</v>
      </c>
      <c r="L546" s="16">
        <f>HYPERLINK("http://127.0.0.1:8000/api/documents/download?id=2512&amp;attachment=true", "⬇ Download Section - 34 ACSS Cond e")</f>
        <v/>
      </c>
      <c r="M546" s="16">
        <f>HYPERLINK("http://localhost:5173/?state=Andhra%20Pradesh&amp;keyword=MIS&amp;tender=988312", "🚀 Open in Portal")</f>
        <v/>
      </c>
    </row>
    <row r="547" ht="24" customHeight="1">
      <c r="A547" s="4" t="inlineStr">
        <is>
          <t>Andhra Pradesh</t>
        </is>
      </c>
      <c r="B547" s="5" t="inlineStr">
        <is>
          <t>MIS</t>
        </is>
      </c>
      <c r="C547" s="6" t="inlineStr">
        <is>
          <t>988312</t>
        </is>
      </c>
      <c r="D547"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47" s="7" t="inlineStr">
        <is>
          <t>APTRANSCO WORKS-Chief Engineer Projects, Vijayawada</t>
        </is>
      </c>
      <c r="F547" s="6" t="inlineStr">
        <is>
          <t>28 Sep 2026</t>
        </is>
      </c>
      <c r="G547" s="5" t="inlineStr">
        <is>
          <t>04 Nov 2026</t>
        </is>
      </c>
      <c r="H547" s="17" t="inlineStr">
        <is>
          <t>🟢 LIVE ACTIVE</t>
        </is>
      </c>
      <c r="I547" s="4" t="inlineStr">
        <is>
          <t>Section - 4 Isolator Mettalics.pdf</t>
        </is>
      </c>
      <c r="J547" s="6" t="inlineStr">
        <is>
          <t>📕 PDF Document</t>
        </is>
      </c>
      <c r="K547" s="9" t="n">
        <v>514.5</v>
      </c>
      <c r="L547" s="10">
        <f>HYPERLINK("http://127.0.0.1:8000/api/documents/download?id=2513&amp;attachment=true", "⬇ Download Section - 4 Isolator Met")</f>
        <v/>
      </c>
      <c r="M547" s="10">
        <f>HYPERLINK("http://localhost:5173/?state=Andhra%20Pradesh&amp;keyword=MIS&amp;tender=988312", "🚀 Open in Portal")</f>
        <v/>
      </c>
    </row>
    <row r="548" ht="24" customHeight="1">
      <c r="A548" s="11" t="inlineStr">
        <is>
          <t>Andhra Pradesh</t>
        </is>
      </c>
      <c r="B548" s="12" t="inlineStr">
        <is>
          <t>MIS</t>
        </is>
      </c>
      <c r="C548" s="13" t="inlineStr">
        <is>
          <t>988312</t>
        </is>
      </c>
      <c r="D548"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48" s="14" t="inlineStr">
        <is>
          <t>APTRANSCO WORKS-Chief Engineer Projects, Vijayawada</t>
        </is>
      </c>
      <c r="F548" s="13" t="inlineStr">
        <is>
          <t>28 Sep 2026</t>
        </is>
      </c>
      <c r="G548" s="12" t="inlineStr">
        <is>
          <t>04 Nov 2026</t>
        </is>
      </c>
      <c r="H548" s="17" t="inlineStr">
        <is>
          <t>🟢 LIVE ACTIVE</t>
        </is>
      </c>
      <c r="I548" s="11" t="inlineStr">
        <is>
          <t>Section - 5 Solid core  insulators.pdf</t>
        </is>
      </c>
      <c r="J548" s="13" t="inlineStr">
        <is>
          <t>📕 PDF Document</t>
        </is>
      </c>
      <c r="K548" s="15" t="n">
        <v>289.7</v>
      </c>
      <c r="L548" s="16">
        <f>HYPERLINK("http://127.0.0.1:8000/api/documents/download?id=2514&amp;attachment=true", "⬇ Download Section - 5 Solid core  ")</f>
        <v/>
      </c>
      <c r="M548" s="16">
        <f>HYPERLINK("http://localhost:5173/?state=Andhra%20Pradesh&amp;keyword=MIS&amp;tender=988312", "🚀 Open in Portal")</f>
        <v/>
      </c>
    </row>
    <row r="549" ht="24" customHeight="1">
      <c r="A549" s="4" t="inlineStr">
        <is>
          <t>Andhra Pradesh</t>
        </is>
      </c>
      <c r="B549" s="5" t="inlineStr">
        <is>
          <t>MIS</t>
        </is>
      </c>
      <c r="C549" s="6" t="inlineStr">
        <is>
          <t>988312</t>
        </is>
      </c>
      <c r="D549"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49" s="7" t="inlineStr">
        <is>
          <t>APTRANSCO WORKS-Chief Engineer Projects, Vijayawada</t>
        </is>
      </c>
      <c r="F549" s="6" t="inlineStr">
        <is>
          <t>28 Sep 2026</t>
        </is>
      </c>
      <c r="G549" s="5" t="inlineStr">
        <is>
          <t>04 Nov 2026</t>
        </is>
      </c>
      <c r="H549" s="17" t="inlineStr">
        <is>
          <t>🟢 LIVE ACTIVE</t>
        </is>
      </c>
      <c r="I549" s="4" t="inlineStr">
        <is>
          <t>Section - 6 Control _ Power Cables.pdf</t>
        </is>
      </c>
      <c r="J549" s="6" t="inlineStr">
        <is>
          <t>📕 PDF Document</t>
        </is>
      </c>
      <c r="K549" s="9" t="n">
        <v>420.2</v>
      </c>
      <c r="L549" s="10">
        <f>HYPERLINK("http://127.0.0.1:8000/api/documents/download?id=2515&amp;attachment=true", "⬇ Download Section - 6 Control _ Po")</f>
        <v/>
      </c>
      <c r="M549" s="10">
        <f>HYPERLINK("http://localhost:5173/?state=Andhra%20Pradesh&amp;keyword=MIS&amp;tender=988312", "🚀 Open in Portal")</f>
        <v/>
      </c>
    </row>
    <row r="550" ht="24" customHeight="1">
      <c r="A550" s="11" t="inlineStr">
        <is>
          <t>Andhra Pradesh</t>
        </is>
      </c>
      <c r="B550" s="12" t="inlineStr">
        <is>
          <t>MIS</t>
        </is>
      </c>
      <c r="C550" s="13" t="inlineStr">
        <is>
          <t>988312</t>
        </is>
      </c>
      <c r="D550"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50" s="14" t="inlineStr">
        <is>
          <t>APTRANSCO WORKS-Chief Engineer Projects, Vijayawada</t>
        </is>
      </c>
      <c r="F550" s="13" t="inlineStr">
        <is>
          <t>28 Sep 2026</t>
        </is>
      </c>
      <c r="G550" s="12" t="inlineStr">
        <is>
          <t>04 Nov 2026</t>
        </is>
      </c>
      <c r="H550" s="17" t="inlineStr">
        <is>
          <t>🟢 LIVE ACTIVE</t>
        </is>
      </c>
      <c r="I550" s="11" t="inlineStr">
        <is>
          <t>Section - 7 Battery set &amp; battery charger.pdf</t>
        </is>
      </c>
      <c r="J550" s="13" t="inlineStr">
        <is>
          <t>📕 PDF Document</t>
        </is>
      </c>
      <c r="K550" s="15" t="n">
        <v>1452.5</v>
      </c>
      <c r="L550" s="16">
        <f>HYPERLINK("http://127.0.0.1:8000/api/documents/download?id=2516&amp;attachment=true", "⬇ Download Section - 7 Battery set ")</f>
        <v/>
      </c>
      <c r="M550" s="16">
        <f>HYPERLINK("http://localhost:5173/?state=Andhra%20Pradesh&amp;keyword=MIS&amp;tender=988312", "🚀 Open in Portal")</f>
        <v/>
      </c>
    </row>
    <row r="551" ht="24" customHeight="1">
      <c r="A551" s="4" t="inlineStr">
        <is>
          <t>Andhra Pradesh</t>
        </is>
      </c>
      <c r="B551" s="5" t="inlineStr">
        <is>
          <t>MIS</t>
        </is>
      </c>
      <c r="C551" s="6" t="inlineStr">
        <is>
          <t>988312</t>
        </is>
      </c>
      <c r="D551"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51" s="7" t="inlineStr">
        <is>
          <t>APTRANSCO WORKS-Chief Engineer Projects, Vijayawada</t>
        </is>
      </c>
      <c r="F551" s="6" t="inlineStr">
        <is>
          <t>28 Sep 2026</t>
        </is>
      </c>
      <c r="G551" s="5" t="inlineStr">
        <is>
          <t>04 Nov 2026</t>
        </is>
      </c>
      <c r="H551" s="17" t="inlineStr">
        <is>
          <t>🟢 LIVE ACTIVE</t>
        </is>
      </c>
      <c r="I551" s="4" t="inlineStr">
        <is>
          <t>Section - 8 Circuit Breakers.pdf</t>
        </is>
      </c>
      <c r="J551" s="6" t="inlineStr">
        <is>
          <t>📕 PDF Document</t>
        </is>
      </c>
      <c r="K551" s="9" t="n">
        <v>871.7</v>
      </c>
      <c r="L551" s="10">
        <f>HYPERLINK("http://127.0.0.1:8000/api/documents/download?id=2517&amp;attachment=true", "⬇ Download Section - 8 Circuit Brea")</f>
        <v/>
      </c>
      <c r="M551" s="10">
        <f>HYPERLINK("http://localhost:5173/?state=Andhra%20Pradesh&amp;keyword=MIS&amp;tender=988312", "🚀 Open in Portal")</f>
        <v/>
      </c>
    </row>
    <row r="552" ht="24" customHeight="1">
      <c r="A552" s="11" t="inlineStr">
        <is>
          <t>Andhra Pradesh</t>
        </is>
      </c>
      <c r="B552" s="12" t="inlineStr">
        <is>
          <t>MIS</t>
        </is>
      </c>
      <c r="C552" s="13" t="inlineStr">
        <is>
          <t>988312</t>
        </is>
      </c>
      <c r="D552"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52" s="14" t="inlineStr">
        <is>
          <t>APTRANSCO WORKS-Chief Engineer Projects, Vijayawada</t>
        </is>
      </c>
      <c r="F552" s="13" t="inlineStr">
        <is>
          <t>28 Sep 2026</t>
        </is>
      </c>
      <c r="G552" s="12" t="inlineStr">
        <is>
          <t>04 Nov 2026</t>
        </is>
      </c>
      <c r="H552" s="17" t="inlineStr">
        <is>
          <t>🟢 LIVE ACTIVE</t>
        </is>
      </c>
      <c r="I552" s="11" t="inlineStr">
        <is>
          <t>Section - 9  LTAC Panel.pdf</t>
        </is>
      </c>
      <c r="J552" s="13" t="inlineStr">
        <is>
          <t>📕 PDF Document</t>
        </is>
      </c>
      <c r="K552" s="15" t="n">
        <v>539</v>
      </c>
      <c r="L552" s="16">
        <f>HYPERLINK("http://127.0.0.1:8000/api/documents/download?id=2518&amp;attachment=true", "⬇ Download Section - 9  LTAC Panel.")</f>
        <v/>
      </c>
      <c r="M552" s="16">
        <f>HYPERLINK("http://localhost:5173/?state=Andhra%20Pradesh&amp;keyword=MIS&amp;tender=988312", "🚀 Open in Portal")</f>
        <v/>
      </c>
    </row>
    <row r="553" ht="24" customHeight="1">
      <c r="A553" s="4" t="inlineStr">
        <is>
          <t>Andhra Pradesh</t>
        </is>
      </c>
      <c r="B553" s="5" t="inlineStr">
        <is>
          <t>MIS</t>
        </is>
      </c>
      <c r="C553" s="6" t="inlineStr">
        <is>
          <t>988312</t>
        </is>
      </c>
      <c r="D553"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53" s="7" t="inlineStr">
        <is>
          <t>APTRANSCO WORKS-Chief Engineer Projects, Vijayawada</t>
        </is>
      </c>
      <c r="F553" s="6" t="inlineStr">
        <is>
          <t>28 Sep 2026</t>
        </is>
      </c>
      <c r="G553" s="5" t="inlineStr">
        <is>
          <t>04 Nov 2026</t>
        </is>
      </c>
      <c r="H553" s="17" t="inlineStr">
        <is>
          <t>🟢 LIVE ACTIVE</t>
        </is>
      </c>
      <c r="I553" s="4" t="inlineStr">
        <is>
          <t>Section-35-Technical Specification for 132kV XLPE UG Cable.pdf</t>
        </is>
      </c>
      <c r="J553" s="6" t="inlineStr">
        <is>
          <t>📕 PDF Document</t>
        </is>
      </c>
      <c r="K553" s="9" t="n">
        <v>808.1</v>
      </c>
      <c r="L553" s="10">
        <f>HYPERLINK("http://127.0.0.1:8000/api/documents/download?id=2519&amp;attachment=true", "⬇ Download Section-35-Technical Spe")</f>
        <v/>
      </c>
      <c r="M553" s="10">
        <f>HYPERLINK("http://localhost:5173/?state=Andhra%20Pradesh&amp;keyword=MIS&amp;tender=988312", "🚀 Open in Portal")</f>
        <v/>
      </c>
    </row>
    <row r="554" ht="24" customHeight="1">
      <c r="A554" s="11" t="inlineStr">
        <is>
          <t>Andhra Pradesh</t>
        </is>
      </c>
      <c r="B554" s="12" t="inlineStr">
        <is>
          <t>MIS</t>
        </is>
      </c>
      <c r="C554" s="13" t="inlineStr">
        <is>
          <t>988312</t>
        </is>
      </c>
      <c r="D554"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54" s="14" t="inlineStr">
        <is>
          <t>APTRANSCO WORKS-Chief Engineer Projects, Vijayawada</t>
        </is>
      </c>
      <c r="F554" s="13" t="inlineStr">
        <is>
          <t>28 Sep 2026</t>
        </is>
      </c>
      <c r="G554" s="12" t="inlineStr">
        <is>
          <t>04 Nov 2026</t>
        </is>
      </c>
      <c r="H554" s="17" t="inlineStr">
        <is>
          <t>🟢 LIVE ACTIVE</t>
        </is>
      </c>
      <c r="I554" s="11" t="inlineStr">
        <is>
          <t>Commercial schedules.xlsx</t>
        </is>
      </c>
      <c r="J554" s="13" t="inlineStr">
        <is>
          <t>📊 Excel BOQ</t>
        </is>
      </c>
      <c r="K554" s="15" t="n">
        <v>702.1</v>
      </c>
      <c r="L554" s="16">
        <f>HYPERLINK("http://127.0.0.1:8000/api/documents/download?id=2520&amp;attachment=true", "⬇ Download Commercial schedules.xls")</f>
        <v/>
      </c>
      <c r="M554" s="16">
        <f>HYPERLINK("http://localhost:5173/?state=Andhra%20Pradesh&amp;keyword=MIS&amp;tender=988312", "🚀 Open in Portal")</f>
        <v/>
      </c>
    </row>
    <row r="555" ht="24" customHeight="1">
      <c r="A555" s="4" t="inlineStr">
        <is>
          <t>Andhra Pradesh</t>
        </is>
      </c>
      <c r="B555" s="5" t="inlineStr">
        <is>
          <t>MIS</t>
        </is>
      </c>
      <c r="C555" s="6" t="inlineStr">
        <is>
          <t>988312</t>
        </is>
      </c>
      <c r="D555" s="7"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55" s="7" t="inlineStr">
        <is>
          <t>APTRANSCO WORKS-Chief Engineer Projects, Vijayawada</t>
        </is>
      </c>
      <c r="F555" s="6" t="inlineStr">
        <is>
          <t>28 Sep 2026</t>
        </is>
      </c>
      <c r="G555" s="5" t="inlineStr">
        <is>
          <t>04 Nov 2026</t>
        </is>
      </c>
      <c r="H555" s="17" t="inlineStr">
        <is>
          <t>🟢 LIVE ACTIVE</t>
        </is>
      </c>
      <c r="I555" s="4" t="inlineStr">
        <is>
          <t>Quality Assurance Plan.pdf</t>
        </is>
      </c>
      <c r="J555" s="6" t="inlineStr">
        <is>
          <t>📕 PDF Document</t>
        </is>
      </c>
      <c r="K555" s="9" t="n">
        <v>1303.3</v>
      </c>
      <c r="L555" s="10">
        <f>HYPERLINK("http://127.0.0.1:8000/api/documents/download?id=2521&amp;attachment=true", "⬇ Download Quality Assurance Plan.p")</f>
        <v/>
      </c>
      <c r="M555" s="10">
        <f>HYPERLINK("http://localhost:5173/?state=Andhra%20Pradesh&amp;keyword=MIS&amp;tender=988312", "🚀 Open in Portal")</f>
        <v/>
      </c>
    </row>
    <row r="556" ht="24" customHeight="1">
      <c r="A556" s="11" t="inlineStr">
        <is>
          <t>Andhra Pradesh</t>
        </is>
      </c>
      <c r="B556" s="12" t="inlineStr">
        <is>
          <t>MIS</t>
        </is>
      </c>
      <c r="C556" s="13" t="inlineStr">
        <is>
          <t>988312</t>
        </is>
      </c>
      <c r="D556" s="14" t="inlineStr">
        <is>
          <t>Supply, erection, testing and commissioning of i) 132kV &amp; 33kV Features at 220kV Switching station Tallapalli, ii) erection of 132kV DC line by making LILO of 132kV Macherla - NSRCPH to proposed 132kV features at 220kV SWS Tallapalli, iii) Laying of 132kV UG cable to 220/132kV SS Tallapalli by making LILO of 132kV RCPH-Macherla line, iv) Formation/making of 132kV Tallapalli - Veldurthy feeder by stringing 2nd circuit on the existing 132kV Macherla - Veldurthy DC/SC line from 132kV SS Veldurthy to the proposed LILO point/ existing 132kV lines crossing points and utilizing part of existing 132kV NSRCPH - Macherla line from Tallapalli SWS, v) Shifting/ Relocation of towers of loc no. 412 and loc no 413 of 220kV Inuparajupally - Tallapally (DC) line for proposed features in 220kV SS Tallapally and vi) Erection of 132kV Bay at 132kV SS Veldurty in Palnadu district</t>
        </is>
      </c>
      <c r="E556" s="14" t="inlineStr">
        <is>
          <t>APTRANSCO WORKS-Chief Engineer Projects, Vijayawada</t>
        </is>
      </c>
      <c r="F556" s="13" t="inlineStr">
        <is>
          <t>28 Sep 2026</t>
        </is>
      </c>
      <c r="G556" s="12" t="inlineStr">
        <is>
          <t>04 Nov 2026</t>
        </is>
      </c>
      <c r="H556" s="17" t="inlineStr">
        <is>
          <t>🟢 LIVE ACTIVE</t>
        </is>
      </c>
      <c r="I556" s="11" t="inlineStr">
        <is>
          <t>Tender_988312_All_Documents.zip</t>
        </is>
      </c>
      <c r="J556" s="13" t="inlineStr">
        <is>
          <t>📦 ZIP Package</t>
        </is>
      </c>
      <c r="K556" s="15" t="n">
        <v>3851.3</v>
      </c>
      <c r="L556" s="16">
        <f>HYPERLINK("http://127.0.0.1:8000/api/documents/download?id=2522&amp;attachment=true", "⬇ Download Tender_988312_All_Docume")</f>
        <v/>
      </c>
      <c r="M556" s="16">
        <f>HYPERLINK("http://localhost:5173/?state=Andhra%20Pradesh&amp;keyword=MIS&amp;tender=988312", "🚀 Open in Portal")</f>
        <v/>
      </c>
    </row>
    <row r="557" ht="24" customHeight="1">
      <c r="A557" s="4" t="inlineStr">
        <is>
          <t>Andhra Pradesh</t>
        </is>
      </c>
      <c r="B557" s="5" t="inlineStr">
        <is>
          <t>MIS</t>
        </is>
      </c>
      <c r="C557" s="6" t="inlineStr">
        <is>
          <t>988338</t>
        </is>
      </c>
      <c r="D557" s="7" t="inlineStr">
        <is>
          <t>Supply, Erection, Testing and Commissioning of i) 132/33kV Sub Station at Vuyyuru (ii)02 Nos 132KV Bays (Telecom Portion Only) (iii) 132KV DC line from 400KV Gudivada Sub Station to the proposed 132/33kV SS Vuyyuru in Krishna District on turnkey basis</t>
        </is>
      </c>
      <c r="E557" s="7" t="inlineStr">
        <is>
          <t>APTRANSCO WORKS-Chief Engineer Projects, Vijayawada</t>
        </is>
      </c>
      <c r="F557" s="6" t="inlineStr">
        <is>
          <t>08 Sep 2026</t>
        </is>
      </c>
      <c r="G557" s="5" t="inlineStr">
        <is>
          <t>05 Oct 2026</t>
        </is>
      </c>
      <c r="H557" s="8" t="inlineStr">
        <is>
          <t>⏳ UPCOMING</t>
        </is>
      </c>
      <c r="I557" s="4" t="inlineStr">
        <is>
          <t>Commercial Schedules-Vuyyuru.xls</t>
        </is>
      </c>
      <c r="J557" s="6" t="inlineStr">
        <is>
          <t>📊 Excel BOQ</t>
        </is>
      </c>
      <c r="K557" s="9" t="n">
        <v>329</v>
      </c>
      <c r="L557" s="10">
        <f>HYPERLINK("http://127.0.0.1:8000/api/documents/download?id=2570&amp;attachment=true", "⬇ Download Commercial Schedules-Vuy")</f>
        <v/>
      </c>
      <c r="M557" s="10">
        <f>HYPERLINK("http://localhost:5173/?state=Andhra%20Pradesh&amp;keyword=MIS&amp;tender=988338", "🚀 Open in Portal")</f>
        <v/>
      </c>
    </row>
    <row r="558" ht="24" customHeight="1">
      <c r="A558" s="11" t="inlineStr">
        <is>
          <t>Andhra Pradesh</t>
        </is>
      </c>
      <c r="B558" s="12" t="inlineStr">
        <is>
          <t>MIS</t>
        </is>
      </c>
      <c r="C558" s="13" t="inlineStr">
        <is>
          <t>988338</t>
        </is>
      </c>
      <c r="D558" s="14" t="inlineStr">
        <is>
          <t>Supply, Erection, Testing and Commissioning of i) 132/33kV Sub Station at Vuyyuru (ii)02 Nos 132KV Bays (Telecom Portion Only) (iii) 132KV DC line from 400KV Gudivada Sub Station to the proposed 132/33kV SS Vuyyuru in Krishna District on turnkey basis</t>
        </is>
      </c>
      <c r="E558" s="14" t="inlineStr">
        <is>
          <t>APTRANSCO WORKS-Chief Engineer Projects, Vijayawada</t>
        </is>
      </c>
      <c r="F558" s="13" t="inlineStr">
        <is>
          <t>08 Sep 2026</t>
        </is>
      </c>
      <c r="G558" s="12" t="inlineStr">
        <is>
          <t>05 Oct 2026</t>
        </is>
      </c>
      <c r="H558" s="8" t="inlineStr">
        <is>
          <t>⏳ UPCOMING</t>
        </is>
      </c>
      <c r="I558" s="11" t="inlineStr">
        <is>
          <t>Modified Volume-I Tender Spec-11.09.2026.docx</t>
        </is>
      </c>
      <c r="J558" s="13" t="inlineStr">
        <is>
          <t>📄 DOCX</t>
        </is>
      </c>
      <c r="K558" s="15" t="n">
        <v>3061.4</v>
      </c>
      <c r="L558" s="16">
        <f>HYPERLINK("http://127.0.0.1:8000/api/documents/download?id=2571&amp;attachment=true", "⬇ Download Modified Volume-I Tender")</f>
        <v/>
      </c>
      <c r="M558" s="16">
        <f>HYPERLINK("http://localhost:5173/?state=Andhra%20Pradesh&amp;keyword=MIS&amp;tender=988338", "🚀 Open in Portal")</f>
        <v/>
      </c>
    </row>
    <row r="559" ht="24" customHeight="1">
      <c r="A559" s="4" t="inlineStr">
        <is>
          <t>Andhra Pradesh</t>
        </is>
      </c>
      <c r="B559" s="5" t="inlineStr">
        <is>
          <t>MIS</t>
        </is>
      </c>
      <c r="C559" s="6" t="inlineStr">
        <is>
          <t>988338</t>
        </is>
      </c>
      <c r="D559" s="7" t="inlineStr">
        <is>
          <t>Supply, Erection, Testing and Commissioning of i) 132/33kV Sub Station at Vuyyuru (ii)02 Nos 132KV Bays (Telecom Portion Only) (iii) 132KV DC line from 400KV Gudivada Sub Station to the proposed 132/33kV SS Vuyyuru in Krishna District on turnkey basis</t>
        </is>
      </c>
      <c r="E559" s="7" t="inlineStr">
        <is>
          <t>APTRANSCO WORKS-Chief Engineer Projects, Vijayawada</t>
        </is>
      </c>
      <c r="F559" s="6" t="inlineStr">
        <is>
          <t>08 Sep 2026</t>
        </is>
      </c>
      <c r="G559" s="5" t="inlineStr">
        <is>
          <t>05 Oct 2026</t>
        </is>
      </c>
      <c r="H559" s="8" t="inlineStr">
        <is>
          <t>⏳ UPCOMING</t>
        </is>
      </c>
      <c r="I559" s="4" t="inlineStr">
        <is>
          <t>Quality Assurance Plan.pdf</t>
        </is>
      </c>
      <c r="J559" s="6" t="inlineStr">
        <is>
          <t>📕 PDF Document</t>
        </is>
      </c>
      <c r="K559" s="9" t="n">
        <v>1303.3</v>
      </c>
      <c r="L559" s="10">
        <f>HYPERLINK("http://127.0.0.1:8000/api/documents/download?id=2572&amp;attachment=true", "⬇ Download Quality Assurance Plan.p")</f>
        <v/>
      </c>
      <c r="M559" s="10">
        <f>HYPERLINK("http://localhost:5173/?state=Andhra%20Pradesh&amp;keyword=MIS&amp;tender=988338", "🚀 Open in Portal")</f>
        <v/>
      </c>
    </row>
    <row r="560" ht="24" customHeight="1">
      <c r="A560" s="11" t="inlineStr">
        <is>
          <t>Andhra Pradesh</t>
        </is>
      </c>
      <c r="B560" s="12" t="inlineStr">
        <is>
          <t>MIS</t>
        </is>
      </c>
      <c r="C560" s="13" t="inlineStr">
        <is>
          <t>988338</t>
        </is>
      </c>
      <c r="D560" s="14" t="inlineStr">
        <is>
          <t>Supply, Erection, Testing and Commissioning of i) 132/33kV Sub Station at Vuyyuru (ii)02 Nos 132KV Bays (Telecom Portion Only) (iii) 132KV DC line from 400KV Gudivada Sub Station to the proposed 132/33kV SS Vuyyuru in Krishna District on turnkey basis</t>
        </is>
      </c>
      <c r="E560" s="14" t="inlineStr">
        <is>
          <t>APTRANSCO WORKS-Chief Engineer Projects, Vijayawada</t>
        </is>
      </c>
      <c r="F560" s="13" t="inlineStr">
        <is>
          <t>08 Sep 2026</t>
        </is>
      </c>
      <c r="G560" s="12" t="inlineStr">
        <is>
          <t>05 Oct 2026</t>
        </is>
      </c>
      <c r="H560" s="8" t="inlineStr">
        <is>
          <t>⏳ UPCOMING</t>
        </is>
      </c>
      <c r="I560" s="11" t="inlineStr">
        <is>
          <t>Index.doc</t>
        </is>
      </c>
      <c r="J560" s="13" t="inlineStr">
        <is>
          <t>📄 DOC</t>
        </is>
      </c>
      <c r="K560" s="15" t="n">
        <v>35</v>
      </c>
      <c r="L560" s="16">
        <f>HYPERLINK("http://127.0.0.1:8000/api/documents/download?id=2573&amp;attachment=true", "⬇ Download Index.doc")</f>
        <v/>
      </c>
      <c r="M560" s="16">
        <f>HYPERLINK("http://localhost:5173/?state=Andhra%20Pradesh&amp;keyword=MIS&amp;tender=988338", "🚀 Open in Portal")</f>
        <v/>
      </c>
    </row>
    <row r="561" ht="24" customHeight="1">
      <c r="A561" s="4" t="inlineStr">
        <is>
          <t>Andhra Pradesh</t>
        </is>
      </c>
      <c r="B561" s="5" t="inlineStr">
        <is>
          <t>MIS</t>
        </is>
      </c>
      <c r="C561" s="6" t="inlineStr">
        <is>
          <t>988338</t>
        </is>
      </c>
      <c r="D561" s="7" t="inlineStr">
        <is>
          <t>Supply, Erection, Testing and Commissioning of i) 132/33kV Sub Station at Vuyyuru (ii)02 Nos 132KV Bays (Telecom Portion Only) (iii) 132KV DC line from 400KV Gudivada Sub Station to the proposed 132/33kV SS Vuyyuru in Krishna District on turnkey basis</t>
        </is>
      </c>
      <c r="E561" s="7" t="inlineStr">
        <is>
          <t>APTRANSCO WORKS-Chief Engineer Projects, Vijayawada</t>
        </is>
      </c>
      <c r="F561" s="6" t="inlineStr">
        <is>
          <t>08 Sep 2026</t>
        </is>
      </c>
      <c r="G561" s="5" t="inlineStr">
        <is>
          <t>05 Oct 2026</t>
        </is>
      </c>
      <c r="H561" s="8" t="inlineStr">
        <is>
          <t>⏳ UPCOMING</t>
        </is>
      </c>
      <c r="I561" s="4" t="inlineStr">
        <is>
          <t>Section - 1 General.pdf</t>
        </is>
      </c>
      <c r="J561" s="6" t="inlineStr">
        <is>
          <t>📕 PDF Document</t>
        </is>
      </c>
      <c r="K561" s="9" t="n">
        <v>288.4</v>
      </c>
      <c r="L561" s="10">
        <f>HYPERLINK("http://127.0.0.1:8000/api/documents/download?id=2574&amp;attachment=true", "⬇ Download Section - 1 General.pdf")</f>
        <v/>
      </c>
      <c r="M561" s="10">
        <f>HYPERLINK("http://localhost:5173/?state=Andhra%20Pradesh&amp;keyword=MIS&amp;tender=988338", "🚀 Open in Portal")</f>
        <v/>
      </c>
    </row>
    <row r="562" ht="24" customHeight="1">
      <c r="A562" s="11" t="inlineStr">
        <is>
          <t>Andhra Pradesh</t>
        </is>
      </c>
      <c r="B562" s="12" t="inlineStr">
        <is>
          <t>MIS</t>
        </is>
      </c>
      <c r="C562" s="13" t="inlineStr">
        <is>
          <t>988338</t>
        </is>
      </c>
      <c r="D562" s="14" t="inlineStr">
        <is>
          <t>Supply, Erection, Testing and Commissioning of i) 132/33kV Sub Station at Vuyyuru (ii)02 Nos 132KV Bays (Telecom Portion Only) (iii) 132KV DC line from 400KV Gudivada Sub Station to the proposed 132/33kV SS Vuyyuru in Krishna District on turnkey basis</t>
        </is>
      </c>
      <c r="E562" s="14" t="inlineStr">
        <is>
          <t>APTRANSCO WORKS-Chief Engineer Projects, Vijayawada</t>
        </is>
      </c>
      <c r="F562" s="13" t="inlineStr">
        <is>
          <t>08 Sep 2026</t>
        </is>
      </c>
      <c r="G562" s="12" t="inlineStr">
        <is>
          <t>05 Oct 2026</t>
        </is>
      </c>
      <c r="H562" s="8" t="inlineStr">
        <is>
          <t>⏳ UPCOMING</t>
        </is>
      </c>
      <c r="I562" s="11" t="inlineStr">
        <is>
          <t>Section - 10 Tech  Spec for Control Relay panels.pdf</t>
        </is>
      </c>
      <c r="J562" s="13" t="inlineStr">
        <is>
          <t>📕 PDF Document</t>
        </is>
      </c>
      <c r="K562" s="15" t="n">
        <v>1467.2</v>
      </c>
      <c r="L562" s="16">
        <f>HYPERLINK("http://127.0.0.1:8000/api/documents/download?id=2575&amp;attachment=true", "⬇ Download Section - 10 Tech  Spec ")</f>
        <v/>
      </c>
      <c r="M562" s="16">
        <f>HYPERLINK("http://localhost:5173/?state=Andhra%20Pradesh&amp;keyword=MIS&amp;tender=988338", "🚀 Open in Portal")</f>
        <v/>
      </c>
    </row>
    <row r="563" ht="24" customHeight="1">
      <c r="A563" s="4" t="inlineStr">
        <is>
          <t>Andhra Pradesh</t>
        </is>
      </c>
      <c r="B563" s="5" t="inlineStr">
        <is>
          <t>MIS</t>
        </is>
      </c>
      <c r="C563" s="6" t="inlineStr">
        <is>
          <t>988338</t>
        </is>
      </c>
      <c r="D563" s="7" t="inlineStr">
        <is>
          <t>Supply, Erection, Testing and Commissioning of i) 132/33kV Sub Station at Vuyyuru (ii)02 Nos 132KV Bays (Telecom Portion Only) (iii) 132KV DC line from 400KV Gudivada Sub Station to the proposed 132/33kV SS Vuyyuru in Krishna District on turnkey basis</t>
        </is>
      </c>
      <c r="E563" s="7" t="inlineStr">
        <is>
          <t>APTRANSCO WORKS-Chief Engineer Projects, Vijayawada</t>
        </is>
      </c>
      <c r="F563" s="6" t="inlineStr">
        <is>
          <t>08 Sep 2026</t>
        </is>
      </c>
      <c r="G563" s="5" t="inlineStr">
        <is>
          <t>05 Oct 2026</t>
        </is>
      </c>
      <c r="H563" s="8" t="inlineStr">
        <is>
          <t>⏳ UPCOMING</t>
        </is>
      </c>
      <c r="I563" s="4" t="inlineStr">
        <is>
          <t>Section - 11 -Staton Transformer.pdf</t>
        </is>
      </c>
      <c r="J563" s="6" t="inlineStr">
        <is>
          <t>📕 PDF Document</t>
        </is>
      </c>
      <c r="K563" s="9" t="n">
        <v>274.7</v>
      </c>
      <c r="L563" s="10">
        <f>HYPERLINK("http://127.0.0.1:8000/api/documents/download?id=2576&amp;attachment=true", "⬇ Download Section - 11 -Staton Tra")</f>
        <v/>
      </c>
      <c r="M563" s="10">
        <f>HYPERLINK("http://localhost:5173/?state=Andhra%20Pradesh&amp;keyword=MIS&amp;tender=988338", "🚀 Open in Portal")</f>
        <v/>
      </c>
    </row>
    <row r="564" ht="24" customHeight="1">
      <c r="A564" s="11" t="inlineStr">
        <is>
          <t>Andhra Pradesh</t>
        </is>
      </c>
      <c r="B564" s="12" t="inlineStr">
        <is>
          <t>MIS</t>
        </is>
      </c>
      <c r="C564" s="13" t="inlineStr">
        <is>
          <t>988338</t>
        </is>
      </c>
      <c r="D564" s="14" t="inlineStr">
        <is>
          <t>Supply, Erection, Testing and Commissioning of i) 132/33kV Sub Station at Vuyyuru (ii)02 Nos 132KV Bays (Telecom Portion Only) (iii) 132KV DC line from 400KV Gudivada Sub Station to the proposed 132/33kV SS Vuyyuru in Krishna District on turnkey basis</t>
        </is>
      </c>
      <c r="E564" s="14" t="inlineStr">
        <is>
          <t>APTRANSCO WORKS-Chief Engineer Projects, Vijayawada</t>
        </is>
      </c>
      <c r="F564" s="13" t="inlineStr">
        <is>
          <t>08 Sep 2026</t>
        </is>
      </c>
      <c r="G564" s="12" t="inlineStr">
        <is>
          <t>05 Oct 2026</t>
        </is>
      </c>
      <c r="H564" s="8" t="inlineStr">
        <is>
          <t>⏳ UPCOMING</t>
        </is>
      </c>
      <c r="I564" s="11" t="inlineStr">
        <is>
          <t>Section - 12 ACSR Conductor.pdf</t>
        </is>
      </c>
      <c r="J564" s="13" t="inlineStr">
        <is>
          <t>📕 PDF Document</t>
        </is>
      </c>
      <c r="K564" s="15" t="n">
        <v>679.9</v>
      </c>
      <c r="L564" s="16">
        <f>HYPERLINK("http://127.0.0.1:8000/api/documents/download?id=2577&amp;attachment=true", "⬇ Download Section - 12 ACSR Conduc")</f>
        <v/>
      </c>
      <c r="M564" s="16">
        <f>HYPERLINK("http://localhost:5173/?state=Andhra%20Pradesh&amp;keyword=MIS&amp;tender=988338", "🚀 Open in Portal")</f>
        <v/>
      </c>
    </row>
    <row r="565" ht="24" customHeight="1">
      <c r="A565" s="4" t="inlineStr">
        <is>
          <t>Andhra Pradesh</t>
        </is>
      </c>
      <c r="B565" s="5" t="inlineStr">
        <is>
          <t>MIS</t>
        </is>
      </c>
      <c r="C565" s="6" t="inlineStr">
        <is>
          <t>988338</t>
        </is>
      </c>
      <c r="D565" s="7" t="inlineStr">
        <is>
          <t>Supply, Erection, Testing and Commissioning of i) 132/33kV Sub Station at Vuyyuru (ii)02 Nos 132KV Bays (Telecom Portion Only) (iii) 132KV DC line from 400KV Gudivada Sub Station to the proposed 132/33kV SS Vuyyuru in Krishna District on turnkey basis</t>
        </is>
      </c>
      <c r="E565" s="7" t="inlineStr">
        <is>
          <t>APTRANSCO WORKS-Chief Engineer Projects, Vijayawada</t>
        </is>
      </c>
      <c r="F565" s="6" t="inlineStr">
        <is>
          <t>08 Sep 2026</t>
        </is>
      </c>
      <c r="G565" s="5" t="inlineStr">
        <is>
          <t>05 Oct 2026</t>
        </is>
      </c>
      <c r="H565" s="8" t="inlineStr">
        <is>
          <t>⏳ UPCOMING</t>
        </is>
      </c>
      <c r="I565" s="4" t="inlineStr">
        <is>
          <t>Section - 13 Porcelain disc insulators.pdf</t>
        </is>
      </c>
      <c r="J565" s="6" t="inlineStr">
        <is>
          <t>📕 PDF Document</t>
        </is>
      </c>
      <c r="K565" s="9" t="n">
        <v>423.9</v>
      </c>
      <c r="L565" s="10">
        <f>HYPERLINK("http://127.0.0.1:8000/api/documents/download?id=2578&amp;attachment=true", "⬇ Download Section - 13 Porcelain d")</f>
        <v/>
      </c>
      <c r="M565" s="10">
        <f>HYPERLINK("http://localhost:5173/?state=Andhra%20Pradesh&amp;keyword=MIS&amp;tender=988338", "🚀 Open in Portal")</f>
        <v/>
      </c>
    </row>
    <row r="566" ht="24" customHeight="1">
      <c r="A566" s="11" t="inlineStr">
        <is>
          <t>Andhra Pradesh</t>
        </is>
      </c>
      <c r="B566" s="12" t="inlineStr">
        <is>
          <t>MIS</t>
        </is>
      </c>
      <c r="C566" s="13" t="inlineStr">
        <is>
          <t>988338</t>
        </is>
      </c>
      <c r="D566" s="14" t="inlineStr">
        <is>
          <t>Supply, Erection, Testing and Commissioning of i) 132/33kV Sub Station at Vuyyuru (ii)02 Nos 132KV Bays (Telecom Portion Only) (iii) 132KV DC line from 400KV Gudivada Sub Station to the proposed 132/33kV SS Vuyyuru in Krishna District on turnkey basis</t>
        </is>
      </c>
      <c r="E566" s="14" t="inlineStr">
        <is>
          <t>APTRANSCO WORKS-Chief Engineer Projects, Vijayawada</t>
        </is>
      </c>
      <c r="F566" s="13" t="inlineStr">
        <is>
          <t>08 Sep 2026</t>
        </is>
      </c>
      <c r="G566" s="12" t="inlineStr">
        <is>
          <t>05 Oct 2026</t>
        </is>
      </c>
      <c r="H566" s="8" t="inlineStr">
        <is>
          <t>⏳ UPCOMING</t>
        </is>
      </c>
      <c r="I566" s="11" t="inlineStr">
        <is>
          <t>Section - 14 Transmission line towers.pdf</t>
        </is>
      </c>
      <c r="J566" s="13" t="inlineStr">
        <is>
          <t>📕 PDF Document</t>
        </is>
      </c>
      <c r="K566" s="15" t="n">
        <v>452.1</v>
      </c>
      <c r="L566" s="16">
        <f>HYPERLINK("http://127.0.0.1:8000/api/documents/download?id=2579&amp;attachment=true", "⬇ Download Section - 14 Transmissio")</f>
        <v/>
      </c>
      <c r="M566" s="16">
        <f>HYPERLINK("http://localhost:5173/?state=Andhra%20Pradesh&amp;keyword=MIS&amp;tender=988338", "🚀 Open in Portal")</f>
        <v/>
      </c>
    </row>
    <row r="567" ht="24" customHeight="1">
      <c r="A567" s="4" t="inlineStr">
        <is>
          <t>Andhra Pradesh</t>
        </is>
      </c>
      <c r="B567" s="5" t="inlineStr">
        <is>
          <t>MIS</t>
        </is>
      </c>
      <c r="C567" s="6" t="inlineStr">
        <is>
          <t>988338</t>
        </is>
      </c>
      <c r="D567" s="7" t="inlineStr">
        <is>
          <t>Supply, Erection, Testing and Commissioning of i) 132/33kV Sub Station at Vuyyuru (ii)02 Nos 132KV Bays (Telecom Portion Only) (iii) 132KV DC line from 400KV Gudivada Sub Station to the proposed 132/33kV SS Vuyyuru in Krishna District on turnkey basis</t>
        </is>
      </c>
      <c r="E567" s="7" t="inlineStr">
        <is>
          <t>APTRANSCO WORKS-Chief Engineer Projects, Vijayawada</t>
        </is>
      </c>
      <c r="F567" s="6" t="inlineStr">
        <is>
          <t>08 Sep 2026</t>
        </is>
      </c>
      <c r="G567" s="5" t="inlineStr">
        <is>
          <t>05 Oct 2026</t>
        </is>
      </c>
      <c r="H567" s="8" t="inlineStr">
        <is>
          <t>⏳ UPCOMING</t>
        </is>
      </c>
      <c r="I567" s="4" t="inlineStr">
        <is>
          <t>section - 15 Earth wire.pdf</t>
        </is>
      </c>
      <c r="J567" s="6" t="inlineStr">
        <is>
          <t>📕 PDF Document</t>
        </is>
      </c>
      <c r="K567" s="9" t="n">
        <v>524</v>
      </c>
      <c r="L567" s="10">
        <f>HYPERLINK("http://127.0.0.1:8000/api/documents/download?id=2580&amp;attachment=true", "⬇ Download section - 15 Earth wire.")</f>
        <v/>
      </c>
      <c r="M567" s="10">
        <f>HYPERLINK("http://localhost:5173/?state=Andhra%20Pradesh&amp;keyword=MIS&amp;tender=988338", "🚀 Open in Portal")</f>
        <v/>
      </c>
    </row>
    <row r="568" ht="24" customHeight="1">
      <c r="A568" s="11" t="inlineStr">
        <is>
          <t>Andhra Pradesh</t>
        </is>
      </c>
      <c r="B568" s="12" t="inlineStr">
        <is>
          <t>MIS</t>
        </is>
      </c>
      <c r="C568" s="13" t="inlineStr">
        <is>
          <t>988338</t>
        </is>
      </c>
      <c r="D568" s="14" t="inlineStr">
        <is>
          <t>Supply, Erection, Testing and Commissioning of i) 132/33kV Sub Station at Vuyyuru (ii)02 Nos 132KV Bays (Telecom Portion Only) (iii) 132KV DC line from 400KV Gudivada Sub Station to the proposed 132/33kV SS Vuyyuru in Krishna District on turnkey basis</t>
        </is>
      </c>
      <c r="E568" s="14" t="inlineStr">
        <is>
          <t>APTRANSCO WORKS-Chief Engineer Projects, Vijayawada</t>
        </is>
      </c>
      <c r="F568" s="13" t="inlineStr">
        <is>
          <t>08 Sep 2026</t>
        </is>
      </c>
      <c r="G568" s="12" t="inlineStr">
        <is>
          <t>05 Oct 2026</t>
        </is>
      </c>
      <c r="H568" s="8" t="inlineStr">
        <is>
          <t>⏳ UPCOMING</t>
        </is>
      </c>
      <c r="I568" s="11" t="inlineStr">
        <is>
          <t>Section - 16 Hardware &amp; Accessories for conductor &amp; earth wire.pdf</t>
        </is>
      </c>
      <c r="J568" s="13" t="inlineStr">
        <is>
          <t>📕 PDF Document</t>
        </is>
      </c>
      <c r="K568" s="15" t="n">
        <v>649.1</v>
      </c>
      <c r="L568" s="16">
        <f>HYPERLINK("http://127.0.0.1:8000/api/documents/download?id=2581&amp;attachment=true", "⬇ Download Section - 16 Hardware &amp; ")</f>
        <v/>
      </c>
      <c r="M568" s="16">
        <f>HYPERLINK("http://localhost:5173/?state=Andhra%20Pradesh&amp;keyword=MIS&amp;tender=988338", "🚀 Open in Portal")</f>
        <v/>
      </c>
    </row>
    <row r="569" ht="24" customHeight="1">
      <c r="A569" s="4" t="inlineStr">
        <is>
          <t>Andhra Pradesh</t>
        </is>
      </c>
      <c r="B569" s="5" t="inlineStr">
        <is>
          <t>MIS</t>
        </is>
      </c>
      <c r="C569" s="6" t="inlineStr">
        <is>
          <t>988338</t>
        </is>
      </c>
      <c r="D569" s="7" t="inlineStr">
        <is>
          <t>Supply, Erection, Testing and Commissioning of i) 132/33kV Sub Station at Vuyyuru (ii)02 Nos 132KV Bays (Telecom Portion Only) (iii) 132KV DC line from 400KV Gudivada Sub Station to the proposed 132/33kV SS Vuyyuru in Krishna District on turnkey basis</t>
        </is>
      </c>
      <c r="E569" s="7" t="inlineStr">
        <is>
          <t>APTRANSCO WORKS-Chief Engineer Projects, Vijayawada</t>
        </is>
      </c>
      <c r="F569" s="6" t="inlineStr">
        <is>
          <t>08 Sep 2026</t>
        </is>
      </c>
      <c r="G569" s="5" t="inlineStr">
        <is>
          <t>05 Oct 2026</t>
        </is>
      </c>
      <c r="H569" s="8" t="inlineStr">
        <is>
          <t>⏳ UPCOMING</t>
        </is>
      </c>
      <c r="I569" s="4" t="inlineStr">
        <is>
          <t>section - 17 Bolts &amp; Nuts.pdf</t>
        </is>
      </c>
      <c r="J569" s="6" t="inlineStr">
        <is>
          <t>📕 PDF Document</t>
        </is>
      </c>
      <c r="K569" s="9" t="n">
        <v>472.7</v>
      </c>
      <c r="L569" s="10">
        <f>HYPERLINK("http://127.0.0.1:8000/api/documents/download?id=2582&amp;attachment=true", "⬇ Download section - 17 Bolts &amp; Nut")</f>
        <v/>
      </c>
      <c r="M569" s="10">
        <f>HYPERLINK("http://localhost:5173/?state=Andhra%20Pradesh&amp;keyword=MIS&amp;tender=988338", "🚀 Open in Portal")</f>
        <v/>
      </c>
    </row>
    <row r="570" ht="24" customHeight="1">
      <c r="A570" s="11" t="inlineStr">
        <is>
          <t>Andhra Pradesh</t>
        </is>
      </c>
      <c r="B570" s="12" t="inlineStr">
        <is>
          <t>MIS</t>
        </is>
      </c>
      <c r="C570" s="13" t="inlineStr">
        <is>
          <t>988338</t>
        </is>
      </c>
      <c r="D570" s="14" t="inlineStr">
        <is>
          <t>Supply, Erection, Testing and Commissioning of i) 132/33kV Sub Station at Vuyyuru (ii)02 Nos 132KV Bays (Telecom Portion Only) (iii) 132KV DC line from 400KV Gudivada Sub Station to the proposed 132/33kV SS Vuyyuru in Krishna District on turnkey basis</t>
        </is>
      </c>
      <c r="E570" s="14" t="inlineStr">
        <is>
          <t>APTRANSCO WORKS-Chief Engineer Projects, Vijayawada</t>
        </is>
      </c>
      <c r="F570" s="13" t="inlineStr">
        <is>
          <t>08 Sep 2026</t>
        </is>
      </c>
      <c r="G570" s="12" t="inlineStr">
        <is>
          <t>05 Oct 2026</t>
        </is>
      </c>
      <c r="H570" s="8" t="inlineStr">
        <is>
          <t>⏳ UPCOMING</t>
        </is>
      </c>
      <c r="I570" s="11" t="inlineStr">
        <is>
          <t>Section - 18  Tech Spec for Substation.pdf</t>
        </is>
      </c>
      <c r="J570" s="13" t="inlineStr">
        <is>
          <t>📕 PDF Document</t>
        </is>
      </c>
      <c r="K570" s="15" t="n">
        <v>853.1</v>
      </c>
      <c r="L570" s="16">
        <f>HYPERLINK("http://127.0.0.1:8000/api/documents/download?id=2583&amp;attachment=true", "⬇ Download Section - 18  Tech Spec ")</f>
        <v/>
      </c>
      <c r="M570" s="16">
        <f>HYPERLINK("http://localhost:5173/?state=Andhra%20Pradesh&amp;keyword=MIS&amp;tender=988338", "🚀 Open in Portal")</f>
        <v/>
      </c>
    </row>
    <row r="571" ht="24" customHeight="1">
      <c r="A571" s="4" t="inlineStr">
        <is>
          <t>Andhra Pradesh</t>
        </is>
      </c>
      <c r="B571" s="5" t="inlineStr">
        <is>
          <t>MIS</t>
        </is>
      </c>
      <c r="C571" s="6" t="inlineStr">
        <is>
          <t>988338</t>
        </is>
      </c>
      <c r="D571" s="7" t="inlineStr">
        <is>
          <t>Supply, Erection, Testing and Commissioning of i) 132/33kV Sub Station at Vuyyuru (ii)02 Nos 132KV Bays (Telecom Portion Only) (iii) 132KV DC line from 400KV Gudivada Sub Station to the proposed 132/33kV SS Vuyyuru in Krishna District on turnkey basis</t>
        </is>
      </c>
      <c r="E571" s="7" t="inlineStr">
        <is>
          <t>APTRANSCO WORKS-Chief Engineer Projects, Vijayawada</t>
        </is>
      </c>
      <c r="F571" s="6" t="inlineStr">
        <is>
          <t>08 Sep 2026</t>
        </is>
      </c>
      <c r="G571" s="5" t="inlineStr">
        <is>
          <t>05 Oct 2026</t>
        </is>
      </c>
      <c r="H571" s="8" t="inlineStr">
        <is>
          <t>⏳ UPCOMING</t>
        </is>
      </c>
      <c r="I571" s="4" t="inlineStr">
        <is>
          <t>Section - 19 Tech Spec for Tr Line works.pdf</t>
        </is>
      </c>
      <c r="J571" s="6" t="inlineStr">
        <is>
          <t>📕 PDF Document</t>
        </is>
      </c>
      <c r="K571" s="9" t="n">
        <v>524.5</v>
      </c>
      <c r="L571" s="10">
        <f>HYPERLINK("http://127.0.0.1:8000/api/documents/download?id=2584&amp;attachment=true", "⬇ Download Section - 19 Tech Spec f")</f>
        <v/>
      </c>
      <c r="M571" s="10">
        <f>HYPERLINK("http://localhost:5173/?state=Andhra%20Pradesh&amp;keyword=MIS&amp;tender=988338", "🚀 Open in Portal")</f>
        <v/>
      </c>
    </row>
    <row r="572" ht="24" customHeight="1">
      <c r="A572" s="11" t="inlineStr">
        <is>
          <t>Andhra Pradesh</t>
        </is>
      </c>
      <c r="B572" s="12" t="inlineStr">
        <is>
          <t>MIS</t>
        </is>
      </c>
      <c r="C572" s="13" t="inlineStr">
        <is>
          <t>988338</t>
        </is>
      </c>
      <c r="D572" s="14" t="inlineStr">
        <is>
          <t>Supply, Erection, Testing and Commissioning of i) 132/33kV Sub Station at Vuyyuru (ii)02 Nos 132KV Bays (Telecom Portion Only) (iii) 132KV DC line from 400KV Gudivada Sub Station to the proposed 132/33kV SS Vuyyuru in Krishna District on turnkey basis</t>
        </is>
      </c>
      <c r="E572" s="14" t="inlineStr">
        <is>
          <t>APTRANSCO WORKS-Chief Engineer Projects, Vijayawada</t>
        </is>
      </c>
      <c r="F572" s="13" t="inlineStr">
        <is>
          <t>08 Sep 2026</t>
        </is>
      </c>
      <c r="G572" s="12" t="inlineStr">
        <is>
          <t>05 Oct 2026</t>
        </is>
      </c>
      <c r="H572" s="8" t="inlineStr">
        <is>
          <t>⏳ UPCOMING</t>
        </is>
      </c>
      <c r="I572" s="11" t="inlineStr">
        <is>
          <t>Section - 2 CTs-PTs-CVTs.pdf</t>
        </is>
      </c>
      <c r="J572" s="13" t="inlineStr">
        <is>
          <t>📕 PDF Document</t>
        </is>
      </c>
      <c r="K572" s="15" t="n">
        <v>719.3</v>
      </c>
      <c r="L572" s="16">
        <f>HYPERLINK("http://127.0.0.1:8000/api/documents/download?id=2585&amp;attachment=true", "⬇ Download Section - 2 CTs-PTs-CVTs")</f>
        <v/>
      </c>
      <c r="M572" s="16">
        <f>HYPERLINK("http://localhost:5173/?state=Andhra%20Pradesh&amp;keyword=MIS&amp;tender=988338", "🚀 Open in Portal")</f>
        <v/>
      </c>
    </row>
    <row r="573" ht="24" customHeight="1">
      <c r="A573" s="4" t="inlineStr">
        <is>
          <t>Andhra Pradesh</t>
        </is>
      </c>
      <c r="B573" s="5" t="inlineStr">
        <is>
          <t>MIS</t>
        </is>
      </c>
      <c r="C573" s="6" t="inlineStr">
        <is>
          <t>988338</t>
        </is>
      </c>
      <c r="D573" s="7" t="inlineStr">
        <is>
          <t>Supply, Erection, Testing and Commissioning of i) 132/33kV Sub Station at Vuyyuru (ii)02 Nos 132KV Bays (Telecom Portion Only) (iii) 132KV DC line from 400KV Gudivada Sub Station to the proposed 132/33kV SS Vuyyuru in Krishna District on turnkey basis</t>
        </is>
      </c>
      <c r="E573" s="7" t="inlineStr">
        <is>
          <t>APTRANSCO WORKS-Chief Engineer Projects, Vijayawada</t>
        </is>
      </c>
      <c r="F573" s="6" t="inlineStr">
        <is>
          <t>08 Sep 2026</t>
        </is>
      </c>
      <c r="G573" s="5" t="inlineStr">
        <is>
          <t>05 Oct 2026</t>
        </is>
      </c>
      <c r="H573" s="8" t="inlineStr">
        <is>
          <t>⏳ UPCOMING</t>
        </is>
      </c>
      <c r="I573" s="4" t="inlineStr">
        <is>
          <t>Section - 20  Technical specification of OPGW, OFAC &amp; FODP.pdf</t>
        </is>
      </c>
      <c r="J573" s="6" t="inlineStr">
        <is>
          <t>📕 PDF Document</t>
        </is>
      </c>
      <c r="K573" s="9" t="n">
        <v>1363.8</v>
      </c>
      <c r="L573" s="10">
        <f>HYPERLINK("http://127.0.0.1:8000/api/documents/download?id=2586&amp;attachment=true", "⬇ Download Section - 20  Technical ")</f>
        <v/>
      </c>
      <c r="M573" s="10">
        <f>HYPERLINK("http://localhost:5173/?state=Andhra%20Pradesh&amp;keyword=MIS&amp;tender=988338", "🚀 Open in Portal")</f>
        <v/>
      </c>
    </row>
    <row r="574" ht="24" customHeight="1">
      <c r="A574" s="11" t="inlineStr">
        <is>
          <t>Andhra Pradesh</t>
        </is>
      </c>
      <c r="B574" s="12" t="inlineStr">
        <is>
          <t>MIS</t>
        </is>
      </c>
      <c r="C574" s="13" t="inlineStr">
        <is>
          <t>988338</t>
        </is>
      </c>
      <c r="D574" s="14" t="inlineStr">
        <is>
          <t>Supply, Erection, Testing and Commissioning of i) 132/33kV Sub Station at Vuyyuru (ii)02 Nos 132KV Bays (Telecom Portion Only) (iii) 132KV DC line from 400KV Gudivada Sub Station to the proposed 132/33kV SS Vuyyuru in Krishna District on turnkey basis</t>
        </is>
      </c>
      <c r="E574" s="14" t="inlineStr">
        <is>
          <t>APTRANSCO WORKS-Chief Engineer Projects, Vijayawada</t>
        </is>
      </c>
      <c r="F574" s="13" t="inlineStr">
        <is>
          <t>08 Sep 2026</t>
        </is>
      </c>
      <c r="G574" s="12" t="inlineStr">
        <is>
          <t>05 Oct 2026</t>
        </is>
      </c>
      <c r="H574" s="8" t="inlineStr">
        <is>
          <t>⏳ UPCOMING</t>
        </is>
      </c>
      <c r="I574" s="11" t="inlineStr">
        <is>
          <t>Section - 21  Technical spec for UG OFC, HDPE duct &amp; RCC chambers.pdf</t>
        </is>
      </c>
      <c r="J574" s="13" t="inlineStr">
        <is>
          <t>📕 PDF Document</t>
        </is>
      </c>
      <c r="K574" s="15" t="n">
        <v>480.3</v>
      </c>
      <c r="L574" s="16">
        <f>HYPERLINK("http://127.0.0.1:8000/api/documents/download?id=2587&amp;attachment=true", "⬇ Download Section - 21  Technical ")</f>
        <v/>
      </c>
      <c r="M574" s="16">
        <f>HYPERLINK("http://localhost:5173/?state=Andhra%20Pradesh&amp;keyword=MIS&amp;tender=988338", "🚀 Open in Portal")</f>
        <v/>
      </c>
    </row>
    <row r="575" ht="24" customHeight="1">
      <c r="A575" s="4" t="inlineStr">
        <is>
          <t>Andhra Pradesh</t>
        </is>
      </c>
      <c r="B575" s="5" t="inlineStr">
        <is>
          <t>MIS</t>
        </is>
      </c>
      <c r="C575" s="6" t="inlineStr">
        <is>
          <t>988338</t>
        </is>
      </c>
      <c r="D575" s="7" t="inlineStr">
        <is>
          <t>Supply, Erection, Testing and Commissioning of i) 132/33kV Sub Station at Vuyyuru (ii)02 Nos 132KV Bays (Telecom Portion Only) (iii) 132KV DC line from 400KV Gudivada Sub Station to the proposed 132/33kV SS Vuyyuru in Krishna District on turnkey basis</t>
        </is>
      </c>
      <c r="E575" s="7" t="inlineStr">
        <is>
          <t>APTRANSCO WORKS-Chief Engineer Projects, Vijayawada</t>
        </is>
      </c>
      <c r="F575" s="6" t="inlineStr">
        <is>
          <t>08 Sep 2026</t>
        </is>
      </c>
      <c r="G575" s="5" t="inlineStr">
        <is>
          <t>05 Oct 2026</t>
        </is>
      </c>
      <c r="H575" s="8" t="inlineStr">
        <is>
          <t>⏳ UPCOMING</t>
        </is>
      </c>
      <c r="I575" s="4" t="inlineStr">
        <is>
          <t>Section - 22 Technical specification of SDH (OLTE) equipment.pdf</t>
        </is>
      </c>
      <c r="J575" s="6" t="inlineStr">
        <is>
          <t>📕 PDF Document</t>
        </is>
      </c>
      <c r="K575" s="9" t="n">
        <v>635.3</v>
      </c>
      <c r="L575" s="10">
        <f>HYPERLINK("http://127.0.0.1:8000/api/documents/download?id=2588&amp;attachment=true", "⬇ Download Section - 22 Technical s")</f>
        <v/>
      </c>
      <c r="M575" s="10">
        <f>HYPERLINK("http://localhost:5173/?state=Andhra%20Pradesh&amp;keyword=MIS&amp;tender=988338", "🚀 Open in Portal")</f>
        <v/>
      </c>
    </row>
    <row r="576" ht="24" customHeight="1">
      <c r="A576" s="11" t="inlineStr">
        <is>
          <t>Andhra Pradesh</t>
        </is>
      </c>
      <c r="B576" s="12" t="inlineStr">
        <is>
          <t>MIS</t>
        </is>
      </c>
      <c r="C576" s="13" t="inlineStr">
        <is>
          <t>988338</t>
        </is>
      </c>
      <c r="D576" s="14" t="inlineStr">
        <is>
          <t>Supply, Erection, Testing and Commissioning of i) 132/33kV Sub Station at Vuyyuru (ii)02 Nos 132KV Bays (Telecom Portion Only) (iii) 132KV DC line from 400KV Gudivada Sub Station to the proposed 132/33kV SS Vuyyuru in Krishna District on turnkey basis</t>
        </is>
      </c>
      <c r="E576" s="14" t="inlineStr">
        <is>
          <t>APTRANSCO WORKS-Chief Engineer Projects, Vijayawada</t>
        </is>
      </c>
      <c r="F576" s="13" t="inlineStr">
        <is>
          <t>08 Sep 2026</t>
        </is>
      </c>
      <c r="G576" s="12" t="inlineStr">
        <is>
          <t>05 Oct 2026</t>
        </is>
      </c>
      <c r="H576" s="8" t="inlineStr">
        <is>
          <t>⏳ UPCOMING</t>
        </is>
      </c>
      <c r="I576" s="11" t="inlineStr">
        <is>
          <t>Section - 23 Technical specification of DTPC.pdf</t>
        </is>
      </c>
      <c r="J576" s="13" t="inlineStr">
        <is>
          <t>📕 PDF Document</t>
        </is>
      </c>
      <c r="K576" s="15" t="n">
        <v>198.2</v>
      </c>
      <c r="L576" s="16">
        <f>HYPERLINK("http://127.0.0.1:8000/api/documents/download?id=2589&amp;attachment=true", "⬇ Download Section - 23 Technical s")</f>
        <v/>
      </c>
      <c r="M576" s="16">
        <f>HYPERLINK("http://localhost:5173/?state=Andhra%20Pradesh&amp;keyword=MIS&amp;tender=988338", "🚀 Open in Portal")</f>
        <v/>
      </c>
    </row>
    <row r="577" ht="24" customHeight="1">
      <c r="A577" s="4" t="inlineStr">
        <is>
          <t>Andhra Pradesh</t>
        </is>
      </c>
      <c r="B577" s="5" t="inlineStr">
        <is>
          <t>MIS</t>
        </is>
      </c>
      <c r="C577" s="6" t="inlineStr">
        <is>
          <t>988338</t>
        </is>
      </c>
      <c r="D577" s="7" t="inlineStr">
        <is>
          <t>Supply, Erection, Testing and Commissioning of i) 132/33kV Sub Station at Vuyyuru (ii)02 Nos 132KV Bays (Telecom Portion Only) (iii) 132KV DC line from 400KV Gudivada Sub Station to the proposed 132/33kV SS Vuyyuru in Krishna District on turnkey basis</t>
        </is>
      </c>
      <c r="E577" s="7" t="inlineStr">
        <is>
          <t>APTRANSCO WORKS-Chief Engineer Projects, Vijayawada</t>
        </is>
      </c>
      <c r="F577" s="6" t="inlineStr">
        <is>
          <t>08 Sep 2026</t>
        </is>
      </c>
      <c r="G577" s="5" t="inlineStr">
        <is>
          <t>05 Oct 2026</t>
        </is>
      </c>
      <c r="H577" s="8" t="inlineStr">
        <is>
          <t>⏳ UPCOMING</t>
        </is>
      </c>
      <c r="I577" s="4" t="inlineStr">
        <is>
          <t>Section - 24 Technical specification of  VOIP Phone.pdf</t>
        </is>
      </c>
      <c r="J577" s="6" t="inlineStr">
        <is>
          <t>📕 PDF Document</t>
        </is>
      </c>
      <c r="K577" s="9" t="n">
        <v>259.9</v>
      </c>
      <c r="L577" s="10">
        <f>HYPERLINK("http://127.0.0.1:8000/api/documents/download?id=2590&amp;attachment=true", "⬇ Download Section - 24 Technical s")</f>
        <v/>
      </c>
      <c r="M577" s="10">
        <f>HYPERLINK("http://localhost:5173/?state=Andhra%20Pradesh&amp;keyword=MIS&amp;tender=988338", "🚀 Open in Portal")</f>
        <v/>
      </c>
    </row>
    <row r="578" ht="24" customHeight="1">
      <c r="A578" s="11" t="inlineStr">
        <is>
          <t>Andhra Pradesh</t>
        </is>
      </c>
      <c r="B578" s="12" t="inlineStr">
        <is>
          <t>MIS</t>
        </is>
      </c>
      <c r="C578" s="13" t="inlineStr">
        <is>
          <t>988338</t>
        </is>
      </c>
      <c r="D578" s="14" t="inlineStr">
        <is>
          <t>Supply, Erection, Testing and Commissioning of i) 132/33kV Sub Station at Vuyyuru (ii)02 Nos 132KV Bays (Telecom Portion Only) (iii) 132KV DC line from 400KV Gudivada Sub Station to the proposed 132/33kV SS Vuyyuru in Krishna District on turnkey basis</t>
        </is>
      </c>
      <c r="E578" s="14" t="inlineStr">
        <is>
          <t>APTRANSCO WORKS-Chief Engineer Projects, Vijayawada</t>
        </is>
      </c>
      <c r="F578" s="13" t="inlineStr">
        <is>
          <t>08 Sep 2026</t>
        </is>
      </c>
      <c r="G578" s="12" t="inlineStr">
        <is>
          <t>05 Oct 2026</t>
        </is>
      </c>
      <c r="H578" s="8" t="inlineStr">
        <is>
          <t>⏳ UPCOMING</t>
        </is>
      </c>
      <c r="I578" s="11" t="inlineStr">
        <is>
          <t>Section - 25 Technical specification of 48V Chargers.pdf</t>
        </is>
      </c>
      <c r="J578" s="13" t="inlineStr">
        <is>
          <t>📕 PDF Document</t>
        </is>
      </c>
      <c r="K578" s="15" t="n">
        <v>443.3</v>
      </c>
      <c r="L578" s="16">
        <f>HYPERLINK("http://127.0.0.1:8000/api/documents/download?id=2591&amp;attachment=true", "⬇ Download Section - 25 Technical s")</f>
        <v/>
      </c>
      <c r="M578" s="16">
        <f>HYPERLINK("http://localhost:5173/?state=Andhra%20Pradesh&amp;keyword=MIS&amp;tender=988338", "🚀 Open in Portal")</f>
        <v/>
      </c>
    </row>
    <row r="579" ht="24" customHeight="1">
      <c r="A579" s="4" t="inlineStr">
        <is>
          <t>Andhra Pradesh</t>
        </is>
      </c>
      <c r="B579" s="5" t="inlineStr">
        <is>
          <t>MIS</t>
        </is>
      </c>
      <c r="C579" s="6" t="inlineStr">
        <is>
          <t>988338</t>
        </is>
      </c>
      <c r="D579" s="7" t="inlineStr">
        <is>
          <t>Supply, Erection, Testing and Commissioning of i) 132/33kV Sub Station at Vuyyuru (ii)02 Nos 132KV Bays (Telecom Portion Only) (iii) 132KV DC line from 400KV Gudivada Sub Station to the proposed 132/33kV SS Vuyyuru in Krishna District on turnkey basis</t>
        </is>
      </c>
      <c r="E579" s="7" t="inlineStr">
        <is>
          <t>APTRANSCO WORKS-Chief Engineer Projects, Vijayawada</t>
        </is>
      </c>
      <c r="F579" s="6" t="inlineStr">
        <is>
          <t>08 Sep 2026</t>
        </is>
      </c>
      <c r="G579" s="5" t="inlineStr">
        <is>
          <t>05 Oct 2026</t>
        </is>
      </c>
      <c r="H579" s="8" t="inlineStr">
        <is>
          <t>⏳ UPCOMING</t>
        </is>
      </c>
      <c r="I579" s="4" t="inlineStr">
        <is>
          <t>Section - 26 Technical specification of 48V Battery sets.pdf</t>
        </is>
      </c>
      <c r="J579" s="6" t="inlineStr">
        <is>
          <t>📕 PDF Document</t>
        </is>
      </c>
      <c r="K579" s="9" t="n">
        <v>188.2</v>
      </c>
      <c r="L579" s="10">
        <f>HYPERLINK("http://127.0.0.1:8000/api/documents/download?id=2592&amp;attachment=true", "⬇ Download Section - 26 Technical s")</f>
        <v/>
      </c>
      <c r="M579" s="10">
        <f>HYPERLINK("http://localhost:5173/?state=Andhra%20Pradesh&amp;keyword=MIS&amp;tender=988338", "🚀 Open in Portal")</f>
        <v/>
      </c>
    </row>
    <row r="580" ht="24" customHeight="1">
      <c r="A580" s="11" t="inlineStr">
        <is>
          <t>Andhra Pradesh</t>
        </is>
      </c>
      <c r="B580" s="12" t="inlineStr">
        <is>
          <t>MIS</t>
        </is>
      </c>
      <c r="C580" s="13" t="inlineStr">
        <is>
          <t>988338</t>
        </is>
      </c>
      <c r="D580" s="14" t="inlineStr">
        <is>
          <t>Supply, Erection, Testing and Commissioning of i) 132/33kV Sub Station at Vuyyuru (ii)02 Nos 132KV Bays (Telecom Portion Only) (iii) 132KV DC line from 400KV Gudivada Sub Station to the proposed 132/33kV SS Vuyyuru in Krishna District on turnkey basis</t>
        </is>
      </c>
      <c r="E580" s="14" t="inlineStr">
        <is>
          <t>APTRANSCO WORKS-Chief Engineer Projects, Vijayawada</t>
        </is>
      </c>
      <c r="F580" s="13" t="inlineStr">
        <is>
          <t>08 Sep 2026</t>
        </is>
      </c>
      <c r="G580" s="12" t="inlineStr">
        <is>
          <t>05 Oct 2026</t>
        </is>
      </c>
      <c r="H580" s="8" t="inlineStr">
        <is>
          <t>⏳ UPCOMING</t>
        </is>
      </c>
      <c r="I580" s="11" t="inlineStr">
        <is>
          <t>Section - 27  Techincal specification of Testing Instruments..pdf</t>
        </is>
      </c>
      <c r="J580" s="13" t="inlineStr">
        <is>
          <t>📕 PDF Document</t>
        </is>
      </c>
      <c r="K580" s="15" t="n">
        <v>629.7</v>
      </c>
      <c r="L580" s="16">
        <f>HYPERLINK("http://127.0.0.1:8000/api/documents/download?id=2593&amp;attachment=true", "⬇ Download Section - 27  Techincal ")</f>
        <v/>
      </c>
      <c r="M580" s="16">
        <f>HYPERLINK("http://localhost:5173/?state=Andhra%20Pradesh&amp;keyword=MIS&amp;tender=988338", "🚀 Open in Portal")</f>
        <v/>
      </c>
    </row>
    <row r="581" ht="24" customHeight="1">
      <c r="A581" s="4" t="inlineStr">
        <is>
          <t>Andhra Pradesh</t>
        </is>
      </c>
      <c r="B581" s="5" t="inlineStr">
        <is>
          <t>MIS</t>
        </is>
      </c>
      <c r="C581" s="6" t="inlineStr">
        <is>
          <t>988338</t>
        </is>
      </c>
      <c r="D581" s="7" t="inlineStr">
        <is>
          <t>Supply, Erection, Testing and Commissioning of i) 132/33kV Sub Station at Vuyyuru (ii)02 Nos 132KV Bays (Telecom Portion Only) (iii) 132KV DC line from 400KV Gudivada Sub Station to the proposed 132/33kV SS Vuyyuru in Krishna District on turnkey basis</t>
        </is>
      </c>
      <c r="E581" s="7" t="inlineStr">
        <is>
          <t>APTRANSCO WORKS-Chief Engineer Projects, Vijayawada</t>
        </is>
      </c>
      <c r="F581" s="6" t="inlineStr">
        <is>
          <t>08 Sep 2026</t>
        </is>
      </c>
      <c r="G581" s="5" t="inlineStr">
        <is>
          <t>05 Oct 2026</t>
        </is>
      </c>
      <c r="H581" s="8" t="inlineStr">
        <is>
          <t>⏳ UPCOMING</t>
        </is>
      </c>
      <c r="I581" s="4" t="inlineStr">
        <is>
          <t>Section - 28 -Technical specifications of cables.pdf</t>
        </is>
      </c>
      <c r="J581" s="6" t="inlineStr">
        <is>
          <t>📕 PDF Document</t>
        </is>
      </c>
      <c r="K581" s="9" t="n">
        <v>617.5</v>
      </c>
      <c r="L581" s="10">
        <f>HYPERLINK("http://127.0.0.1:8000/api/documents/download?id=2594&amp;attachment=true", "⬇ Download Section - 28 -Technical ")</f>
        <v/>
      </c>
      <c r="M581" s="10">
        <f>HYPERLINK("http://localhost:5173/?state=Andhra%20Pradesh&amp;keyword=MIS&amp;tender=988338", "🚀 Open in Portal")</f>
        <v/>
      </c>
    </row>
    <row r="582" ht="24" customHeight="1">
      <c r="A582" s="11" t="inlineStr">
        <is>
          <t>Andhra Pradesh</t>
        </is>
      </c>
      <c r="B582" s="12" t="inlineStr">
        <is>
          <t>MIS</t>
        </is>
      </c>
      <c r="C582" s="13" t="inlineStr">
        <is>
          <t>988338</t>
        </is>
      </c>
      <c r="D582" s="14" t="inlineStr">
        <is>
          <t>Supply, Erection, Testing and Commissioning of i) 132/33kV Sub Station at Vuyyuru (ii)02 Nos 132KV Bays (Telecom Portion Only) (iii) 132KV DC line from 400KV Gudivada Sub Station to the proposed 132/33kV SS Vuyyuru in Krishna District on turnkey basis</t>
        </is>
      </c>
      <c r="E582" s="14" t="inlineStr">
        <is>
          <t>APTRANSCO WORKS-Chief Engineer Projects, Vijayawada</t>
        </is>
      </c>
      <c r="F582" s="13" t="inlineStr">
        <is>
          <t>08 Sep 2026</t>
        </is>
      </c>
      <c r="G582" s="12" t="inlineStr">
        <is>
          <t>05 Oct 2026</t>
        </is>
      </c>
      <c r="H582" s="8" t="inlineStr">
        <is>
          <t>⏳ UPCOMING</t>
        </is>
      </c>
      <c r="I582" s="11" t="inlineStr">
        <is>
          <t>Section - 29 Long rod insulators.pdf</t>
        </is>
      </c>
      <c r="J582" s="13" t="inlineStr">
        <is>
          <t>📕 PDF Document</t>
        </is>
      </c>
      <c r="K582" s="15" t="n">
        <v>433.9</v>
      </c>
      <c r="L582" s="16">
        <f>HYPERLINK("http://127.0.0.1:8000/api/documents/download?id=2595&amp;attachment=true", "⬇ Download Section - 29 Long rod in")</f>
        <v/>
      </c>
      <c r="M582" s="16">
        <f>HYPERLINK("http://localhost:5173/?state=Andhra%20Pradesh&amp;keyword=MIS&amp;tender=988338", "🚀 Open in Portal")</f>
        <v/>
      </c>
    </row>
    <row r="583" ht="24" customHeight="1">
      <c r="A583" s="4" t="inlineStr">
        <is>
          <t>Andhra Pradesh</t>
        </is>
      </c>
      <c r="B583" s="5" t="inlineStr">
        <is>
          <t>MIS</t>
        </is>
      </c>
      <c r="C583" s="6" t="inlineStr">
        <is>
          <t>988338</t>
        </is>
      </c>
      <c r="D583" s="7" t="inlineStr">
        <is>
          <t>Supply, Erection, Testing and Commissioning of i) 132/33kV Sub Station at Vuyyuru (ii)02 Nos 132KV Bays (Telecom Portion Only) (iii) 132KV DC line from 400KV Gudivada Sub Station to the proposed 132/33kV SS Vuyyuru in Krishna District on turnkey basis</t>
        </is>
      </c>
      <c r="E583" s="7" t="inlineStr">
        <is>
          <t>APTRANSCO WORKS-Chief Engineer Projects, Vijayawada</t>
        </is>
      </c>
      <c r="F583" s="6" t="inlineStr">
        <is>
          <t>08 Sep 2026</t>
        </is>
      </c>
      <c r="G583" s="5" t="inlineStr">
        <is>
          <t>05 Oct 2026</t>
        </is>
      </c>
      <c r="H583" s="8" t="inlineStr">
        <is>
          <t>⏳ UPCOMING</t>
        </is>
      </c>
      <c r="I583" s="4" t="inlineStr">
        <is>
          <t>Section - 3 Surge Arrestors.pdf</t>
        </is>
      </c>
      <c r="J583" s="6" t="inlineStr">
        <is>
          <t>📕 PDF Document</t>
        </is>
      </c>
      <c r="K583" s="9" t="n">
        <v>431</v>
      </c>
      <c r="L583" s="10">
        <f>HYPERLINK("http://127.0.0.1:8000/api/documents/download?id=2596&amp;attachment=true", "⬇ Download Section - 3 Surge Arrest")</f>
        <v/>
      </c>
      <c r="M583" s="10">
        <f>HYPERLINK("http://localhost:5173/?state=Andhra%20Pradesh&amp;keyword=MIS&amp;tender=988338", "🚀 Open in Portal")</f>
        <v/>
      </c>
    </row>
    <row r="584" ht="24" customHeight="1">
      <c r="A584" s="11" t="inlineStr">
        <is>
          <t>Andhra Pradesh</t>
        </is>
      </c>
      <c r="B584" s="12" t="inlineStr">
        <is>
          <t>MIS</t>
        </is>
      </c>
      <c r="C584" s="13" t="inlineStr">
        <is>
          <t>988338</t>
        </is>
      </c>
      <c r="D584" s="14" t="inlineStr">
        <is>
          <t>Supply, Erection, Testing and Commissioning of i) 132/33kV Sub Station at Vuyyuru (ii)02 Nos 132KV Bays (Telecom Portion Only) (iii) 132KV DC line from 400KV Gudivada Sub Station to the proposed 132/33kV SS Vuyyuru in Krishna District on turnkey basis</t>
        </is>
      </c>
      <c r="E584" s="14" t="inlineStr">
        <is>
          <t>APTRANSCO WORKS-Chief Engineer Projects, Vijayawada</t>
        </is>
      </c>
      <c r="F584" s="13" t="inlineStr">
        <is>
          <t>08 Sep 2026</t>
        </is>
      </c>
      <c r="G584" s="12" t="inlineStr">
        <is>
          <t>05 Oct 2026</t>
        </is>
      </c>
      <c r="H584" s="8" t="inlineStr">
        <is>
          <t>⏳ UPCOMING</t>
        </is>
      </c>
      <c r="I584" s="11" t="inlineStr">
        <is>
          <t>Section - 30 Technical specification of AC unit &amp; Stabilizer.pdf</t>
        </is>
      </c>
      <c r="J584" s="13" t="inlineStr">
        <is>
          <t>📕 PDF Document</t>
        </is>
      </c>
      <c r="K584" s="15" t="n">
        <v>156.4</v>
      </c>
      <c r="L584" s="16">
        <f>HYPERLINK("http://127.0.0.1:8000/api/documents/download?id=2597&amp;attachment=true", "⬇ Download Section - 30 Technical s")</f>
        <v/>
      </c>
      <c r="M584" s="16">
        <f>HYPERLINK("http://localhost:5173/?state=Andhra%20Pradesh&amp;keyword=MIS&amp;tender=988338", "🚀 Open in Portal")</f>
        <v/>
      </c>
    </row>
    <row r="585" ht="24" customHeight="1">
      <c r="A585" s="4" t="inlineStr">
        <is>
          <t>Andhra Pradesh</t>
        </is>
      </c>
      <c r="B585" s="5" t="inlineStr">
        <is>
          <t>MIS</t>
        </is>
      </c>
      <c r="C585" s="6" t="inlineStr">
        <is>
          <t>988338</t>
        </is>
      </c>
      <c r="D585" s="7" t="inlineStr">
        <is>
          <t>Supply, Erection, Testing and Commissioning of i) 132/33kV Sub Station at Vuyyuru (ii)02 Nos 132KV Bays (Telecom Portion Only) (iii) 132KV DC line from 400KV Gudivada Sub Station to the proposed 132/33kV SS Vuyyuru in Krishna District on turnkey basis</t>
        </is>
      </c>
      <c r="E585" s="7" t="inlineStr">
        <is>
          <t>APTRANSCO WORKS-Chief Engineer Projects, Vijayawada</t>
        </is>
      </c>
      <c r="F585" s="6" t="inlineStr">
        <is>
          <t>08 Sep 2026</t>
        </is>
      </c>
      <c r="G585" s="5" t="inlineStr">
        <is>
          <t>05 Oct 2026</t>
        </is>
      </c>
      <c r="H585" s="8" t="inlineStr">
        <is>
          <t>⏳ UPCOMING</t>
        </is>
      </c>
      <c r="I585" s="4" t="inlineStr">
        <is>
          <t>Section - 31 Technical specification of MPLS FOTE &amp; NMS.pdf</t>
        </is>
      </c>
      <c r="J585" s="6" t="inlineStr">
        <is>
          <t>📕 PDF Document</t>
        </is>
      </c>
      <c r="K585" s="9" t="n">
        <v>946.7</v>
      </c>
      <c r="L585" s="10">
        <f>HYPERLINK("http://127.0.0.1:8000/api/documents/download?id=2598&amp;attachment=true", "⬇ Download Section - 31 Technical s")</f>
        <v/>
      </c>
      <c r="M585" s="10">
        <f>HYPERLINK("http://localhost:5173/?state=Andhra%20Pradesh&amp;keyword=MIS&amp;tender=988338", "🚀 Open in Portal")</f>
        <v/>
      </c>
    </row>
    <row r="586" ht="24" customHeight="1">
      <c r="A586" s="11" t="inlineStr">
        <is>
          <t>Andhra Pradesh</t>
        </is>
      </c>
      <c r="B586" s="12" t="inlineStr">
        <is>
          <t>MIS</t>
        </is>
      </c>
      <c r="C586" s="13" t="inlineStr">
        <is>
          <t>988338</t>
        </is>
      </c>
      <c r="D586" s="14" t="inlineStr">
        <is>
          <t>Supply, Erection, Testing and Commissioning of i) 132/33kV Sub Station at Vuyyuru (ii)02 Nos 132KV Bays (Telecom Portion Only) (iii) 132KV DC line from 400KV Gudivada Sub Station to the proposed 132/33kV SS Vuyyuru in Krishna District on turnkey basis</t>
        </is>
      </c>
      <c r="E586" s="14" t="inlineStr">
        <is>
          <t>APTRANSCO WORKS-Chief Engineer Projects, Vijayawada</t>
        </is>
      </c>
      <c r="F586" s="13" t="inlineStr">
        <is>
          <t>08 Sep 2026</t>
        </is>
      </c>
      <c r="G586" s="12" t="inlineStr">
        <is>
          <t>05 Oct 2026</t>
        </is>
      </c>
      <c r="H586" s="8" t="inlineStr">
        <is>
          <t>⏳ UPCOMING</t>
        </is>
      </c>
      <c r="I586" s="11" t="inlineStr">
        <is>
          <t>Section - 32 Tech Spec- SRC Insulators.pdf</t>
        </is>
      </c>
      <c r="J586" s="13" t="inlineStr">
        <is>
          <t>📕 PDF Document</t>
        </is>
      </c>
      <c r="K586" s="15" t="n">
        <v>423.9</v>
      </c>
      <c r="L586" s="16">
        <f>HYPERLINK("http://127.0.0.1:8000/api/documents/download?id=2599&amp;attachment=true", "⬇ Download Section - 32 Tech Spec- ")</f>
        <v/>
      </c>
      <c r="M586" s="16">
        <f>HYPERLINK("http://localhost:5173/?state=Andhra%20Pradesh&amp;keyword=MIS&amp;tender=988338", "🚀 Open in Portal")</f>
        <v/>
      </c>
    </row>
    <row r="587" ht="24" customHeight="1">
      <c r="A587" s="4" t="inlineStr">
        <is>
          <t>Andhra Pradesh</t>
        </is>
      </c>
      <c r="B587" s="5" t="inlineStr">
        <is>
          <t>MIS</t>
        </is>
      </c>
      <c r="C587" s="6" t="inlineStr">
        <is>
          <t>988338</t>
        </is>
      </c>
      <c r="D587" s="7" t="inlineStr">
        <is>
          <t>Supply, Erection, Testing and Commissioning of i) 132/33kV Sub Station at Vuyyuru (ii)02 Nos 132KV Bays (Telecom Portion Only) (iii) 132KV DC line from 400KV Gudivada Sub Station to the proposed 132/33kV SS Vuyyuru in Krishna District on turnkey basis</t>
        </is>
      </c>
      <c r="E587" s="7" t="inlineStr">
        <is>
          <t>APTRANSCO WORKS-Chief Engineer Projects, Vijayawada</t>
        </is>
      </c>
      <c r="F587" s="6" t="inlineStr">
        <is>
          <t>08 Sep 2026</t>
        </is>
      </c>
      <c r="G587" s="5" t="inlineStr">
        <is>
          <t>05 Oct 2026</t>
        </is>
      </c>
      <c r="H587" s="8" t="inlineStr">
        <is>
          <t>⏳ UPCOMING</t>
        </is>
      </c>
      <c r="I587" s="4" t="inlineStr">
        <is>
          <t>Section - 33 LED Specification.pdf</t>
        </is>
      </c>
      <c r="J587" s="6" t="inlineStr">
        <is>
          <t>📕 PDF Document</t>
        </is>
      </c>
      <c r="K587" s="9" t="n">
        <v>563</v>
      </c>
      <c r="L587" s="10">
        <f>HYPERLINK("http://127.0.0.1:8000/api/documents/download?id=2600&amp;attachment=true", "⬇ Download Section - 33 LED Specifi")</f>
        <v/>
      </c>
      <c r="M587" s="10">
        <f>HYPERLINK("http://localhost:5173/?state=Andhra%20Pradesh&amp;keyword=MIS&amp;tender=988338", "🚀 Open in Portal")</f>
        <v/>
      </c>
    </row>
    <row r="588" ht="24" customHeight="1">
      <c r="A588" s="11" t="inlineStr">
        <is>
          <t>Andhra Pradesh</t>
        </is>
      </c>
      <c r="B588" s="12" t="inlineStr">
        <is>
          <t>MIS</t>
        </is>
      </c>
      <c r="C588" s="13" t="inlineStr">
        <is>
          <t>988338</t>
        </is>
      </c>
      <c r="D588" s="14" t="inlineStr">
        <is>
          <t>Supply, Erection, Testing and Commissioning of i) 132/33kV Sub Station at Vuyyuru (ii)02 Nos 132KV Bays (Telecom Portion Only) (iii) 132KV DC line from 400KV Gudivada Sub Station to the proposed 132/33kV SS Vuyyuru in Krishna District on turnkey basis</t>
        </is>
      </c>
      <c r="E588" s="14" t="inlineStr">
        <is>
          <t>APTRANSCO WORKS-Chief Engineer Projects, Vijayawada</t>
        </is>
      </c>
      <c r="F588" s="13" t="inlineStr">
        <is>
          <t>08 Sep 2026</t>
        </is>
      </c>
      <c r="G588" s="12" t="inlineStr">
        <is>
          <t>05 Oct 2026</t>
        </is>
      </c>
      <c r="H588" s="8" t="inlineStr">
        <is>
          <t>⏳ UPCOMING</t>
        </is>
      </c>
      <c r="I588" s="11" t="inlineStr">
        <is>
          <t>Section - 34 ACSS Cond eq Conductor SPEC_Final.pdf</t>
        </is>
      </c>
      <c r="J588" s="13" t="inlineStr">
        <is>
          <t>📕 PDF Document</t>
        </is>
      </c>
      <c r="K588" s="15" t="n">
        <v>1084</v>
      </c>
      <c r="L588" s="16">
        <f>HYPERLINK("http://127.0.0.1:8000/api/documents/download?id=2601&amp;attachment=true", "⬇ Download Section - 34 ACSS Cond e")</f>
        <v/>
      </c>
      <c r="M588" s="16">
        <f>HYPERLINK("http://localhost:5173/?state=Andhra%20Pradesh&amp;keyword=MIS&amp;tender=988338", "🚀 Open in Portal")</f>
        <v/>
      </c>
    </row>
    <row r="589" ht="24" customHeight="1">
      <c r="A589" s="4" t="inlineStr">
        <is>
          <t>Andhra Pradesh</t>
        </is>
      </c>
      <c r="B589" s="5" t="inlineStr">
        <is>
          <t>MIS</t>
        </is>
      </c>
      <c r="C589" s="6" t="inlineStr">
        <is>
          <t>988338</t>
        </is>
      </c>
      <c r="D589" s="7" t="inlineStr">
        <is>
          <t>Supply, Erection, Testing and Commissioning of i) 132/33kV Sub Station at Vuyyuru (ii)02 Nos 132KV Bays (Telecom Portion Only) (iii) 132KV DC line from 400KV Gudivada Sub Station to the proposed 132/33kV SS Vuyyuru in Krishna District on turnkey basis</t>
        </is>
      </c>
      <c r="E589" s="7" t="inlineStr">
        <is>
          <t>APTRANSCO WORKS-Chief Engineer Projects, Vijayawada</t>
        </is>
      </c>
      <c r="F589" s="6" t="inlineStr">
        <is>
          <t>08 Sep 2026</t>
        </is>
      </c>
      <c r="G589" s="5" t="inlineStr">
        <is>
          <t>05 Oct 2026</t>
        </is>
      </c>
      <c r="H589" s="8" t="inlineStr">
        <is>
          <t>⏳ UPCOMING</t>
        </is>
      </c>
      <c r="I589" s="4" t="inlineStr">
        <is>
          <t>Section - 4 Isolator Mettalics.pdf</t>
        </is>
      </c>
      <c r="J589" s="6" t="inlineStr">
        <is>
          <t>📕 PDF Document</t>
        </is>
      </c>
      <c r="K589" s="9" t="n">
        <v>514.5</v>
      </c>
      <c r="L589" s="10">
        <f>HYPERLINK("http://127.0.0.1:8000/api/documents/download?id=2602&amp;attachment=true", "⬇ Download Section - 4 Isolator Met")</f>
        <v/>
      </c>
      <c r="M589" s="10">
        <f>HYPERLINK("http://localhost:5173/?state=Andhra%20Pradesh&amp;keyword=MIS&amp;tender=988338", "🚀 Open in Portal")</f>
        <v/>
      </c>
    </row>
    <row r="590" ht="24" customHeight="1">
      <c r="A590" s="11" t="inlineStr">
        <is>
          <t>Andhra Pradesh</t>
        </is>
      </c>
      <c r="B590" s="12" t="inlineStr">
        <is>
          <t>MIS</t>
        </is>
      </c>
      <c r="C590" s="13" t="inlineStr">
        <is>
          <t>988338</t>
        </is>
      </c>
      <c r="D590" s="14" t="inlineStr">
        <is>
          <t>Supply, Erection, Testing and Commissioning of i) 132/33kV Sub Station at Vuyyuru (ii)02 Nos 132KV Bays (Telecom Portion Only) (iii) 132KV DC line from 400KV Gudivada Sub Station to the proposed 132/33kV SS Vuyyuru in Krishna District on turnkey basis</t>
        </is>
      </c>
      <c r="E590" s="14" t="inlineStr">
        <is>
          <t>APTRANSCO WORKS-Chief Engineer Projects, Vijayawada</t>
        </is>
      </c>
      <c r="F590" s="13" t="inlineStr">
        <is>
          <t>08 Sep 2026</t>
        </is>
      </c>
      <c r="G590" s="12" t="inlineStr">
        <is>
          <t>05 Oct 2026</t>
        </is>
      </c>
      <c r="H590" s="8" t="inlineStr">
        <is>
          <t>⏳ UPCOMING</t>
        </is>
      </c>
      <c r="I590" s="11" t="inlineStr">
        <is>
          <t>Section - 5 Solid core  insulators.pdf</t>
        </is>
      </c>
      <c r="J590" s="13" t="inlineStr">
        <is>
          <t>📕 PDF Document</t>
        </is>
      </c>
      <c r="K590" s="15" t="n">
        <v>289.7</v>
      </c>
      <c r="L590" s="16">
        <f>HYPERLINK("http://127.0.0.1:8000/api/documents/download?id=2603&amp;attachment=true", "⬇ Download Section - 5 Solid core  ")</f>
        <v/>
      </c>
      <c r="M590" s="16">
        <f>HYPERLINK("http://localhost:5173/?state=Andhra%20Pradesh&amp;keyword=MIS&amp;tender=988338", "🚀 Open in Portal")</f>
        <v/>
      </c>
    </row>
    <row r="591" ht="24" customHeight="1">
      <c r="A591" s="4" t="inlineStr">
        <is>
          <t>Andhra Pradesh</t>
        </is>
      </c>
      <c r="B591" s="5" t="inlineStr">
        <is>
          <t>MIS</t>
        </is>
      </c>
      <c r="C591" s="6" t="inlineStr">
        <is>
          <t>988338</t>
        </is>
      </c>
      <c r="D591" s="7" t="inlineStr">
        <is>
          <t>Supply, Erection, Testing and Commissioning of i) 132/33kV Sub Station at Vuyyuru (ii)02 Nos 132KV Bays (Telecom Portion Only) (iii) 132KV DC line from 400KV Gudivada Sub Station to the proposed 132/33kV SS Vuyyuru in Krishna District on turnkey basis</t>
        </is>
      </c>
      <c r="E591" s="7" t="inlineStr">
        <is>
          <t>APTRANSCO WORKS-Chief Engineer Projects, Vijayawada</t>
        </is>
      </c>
      <c r="F591" s="6" t="inlineStr">
        <is>
          <t>08 Sep 2026</t>
        </is>
      </c>
      <c r="G591" s="5" t="inlineStr">
        <is>
          <t>05 Oct 2026</t>
        </is>
      </c>
      <c r="H591" s="8" t="inlineStr">
        <is>
          <t>⏳ UPCOMING</t>
        </is>
      </c>
      <c r="I591" s="4" t="inlineStr">
        <is>
          <t>Section - 6 Control _ Power Cables.pdf</t>
        </is>
      </c>
      <c r="J591" s="6" t="inlineStr">
        <is>
          <t>📕 PDF Document</t>
        </is>
      </c>
      <c r="K591" s="9" t="n">
        <v>420.2</v>
      </c>
      <c r="L591" s="10">
        <f>HYPERLINK("http://127.0.0.1:8000/api/documents/download?id=2604&amp;attachment=true", "⬇ Download Section - 6 Control _ Po")</f>
        <v/>
      </c>
      <c r="M591" s="10">
        <f>HYPERLINK("http://localhost:5173/?state=Andhra%20Pradesh&amp;keyword=MIS&amp;tender=988338", "🚀 Open in Portal")</f>
        <v/>
      </c>
    </row>
    <row r="592" ht="24" customHeight="1">
      <c r="A592" s="11" t="inlineStr">
        <is>
          <t>Andhra Pradesh</t>
        </is>
      </c>
      <c r="B592" s="12" t="inlineStr">
        <is>
          <t>MIS</t>
        </is>
      </c>
      <c r="C592" s="13" t="inlineStr">
        <is>
          <t>988338</t>
        </is>
      </c>
      <c r="D592" s="14" t="inlineStr">
        <is>
          <t>Supply, Erection, Testing and Commissioning of i) 132/33kV Sub Station at Vuyyuru (ii)02 Nos 132KV Bays (Telecom Portion Only) (iii) 132KV DC line from 400KV Gudivada Sub Station to the proposed 132/33kV SS Vuyyuru in Krishna District on turnkey basis</t>
        </is>
      </c>
      <c r="E592" s="14" t="inlineStr">
        <is>
          <t>APTRANSCO WORKS-Chief Engineer Projects, Vijayawada</t>
        </is>
      </c>
      <c r="F592" s="13" t="inlineStr">
        <is>
          <t>08 Sep 2026</t>
        </is>
      </c>
      <c r="G592" s="12" t="inlineStr">
        <is>
          <t>05 Oct 2026</t>
        </is>
      </c>
      <c r="H592" s="8" t="inlineStr">
        <is>
          <t>⏳ UPCOMING</t>
        </is>
      </c>
      <c r="I592" s="11" t="inlineStr">
        <is>
          <t>Section - 7 Battery set &amp; battery charger.pdf</t>
        </is>
      </c>
      <c r="J592" s="13" t="inlineStr">
        <is>
          <t>📕 PDF Document</t>
        </is>
      </c>
      <c r="K592" s="15" t="n">
        <v>1452.5</v>
      </c>
      <c r="L592" s="16">
        <f>HYPERLINK("http://127.0.0.1:8000/api/documents/download?id=2605&amp;attachment=true", "⬇ Download Section - 7 Battery set ")</f>
        <v/>
      </c>
      <c r="M592" s="16">
        <f>HYPERLINK("http://localhost:5173/?state=Andhra%20Pradesh&amp;keyword=MIS&amp;tender=988338", "🚀 Open in Portal")</f>
        <v/>
      </c>
    </row>
    <row r="593" ht="24" customHeight="1">
      <c r="A593" s="4" t="inlineStr">
        <is>
          <t>Andhra Pradesh</t>
        </is>
      </c>
      <c r="B593" s="5" t="inlineStr">
        <is>
          <t>MIS</t>
        </is>
      </c>
      <c r="C593" s="6" t="inlineStr">
        <is>
          <t>988338</t>
        </is>
      </c>
      <c r="D593" s="7" t="inlineStr">
        <is>
          <t>Supply, Erection, Testing and Commissioning of i) 132/33kV Sub Station at Vuyyuru (ii)02 Nos 132KV Bays (Telecom Portion Only) (iii) 132KV DC line from 400KV Gudivada Sub Station to the proposed 132/33kV SS Vuyyuru in Krishna District on turnkey basis</t>
        </is>
      </c>
      <c r="E593" s="7" t="inlineStr">
        <is>
          <t>APTRANSCO WORKS-Chief Engineer Projects, Vijayawada</t>
        </is>
      </c>
      <c r="F593" s="6" t="inlineStr">
        <is>
          <t>08 Sep 2026</t>
        </is>
      </c>
      <c r="G593" s="5" t="inlineStr">
        <is>
          <t>05 Oct 2026</t>
        </is>
      </c>
      <c r="H593" s="8" t="inlineStr">
        <is>
          <t>⏳ UPCOMING</t>
        </is>
      </c>
      <c r="I593" s="4" t="inlineStr">
        <is>
          <t>Section - 8 Circuit Breakers.pdf</t>
        </is>
      </c>
      <c r="J593" s="6" t="inlineStr">
        <is>
          <t>📕 PDF Document</t>
        </is>
      </c>
      <c r="K593" s="9" t="n">
        <v>871.7</v>
      </c>
      <c r="L593" s="10">
        <f>HYPERLINK("http://127.0.0.1:8000/api/documents/download?id=2606&amp;attachment=true", "⬇ Download Section - 8 Circuit Brea")</f>
        <v/>
      </c>
      <c r="M593" s="10">
        <f>HYPERLINK("http://localhost:5173/?state=Andhra%20Pradesh&amp;keyword=MIS&amp;tender=988338", "🚀 Open in Portal")</f>
        <v/>
      </c>
    </row>
    <row r="594" ht="24" customHeight="1">
      <c r="A594" s="11" t="inlineStr">
        <is>
          <t>Andhra Pradesh</t>
        </is>
      </c>
      <c r="B594" s="12" t="inlineStr">
        <is>
          <t>MIS</t>
        </is>
      </c>
      <c r="C594" s="13" t="inlineStr">
        <is>
          <t>988338</t>
        </is>
      </c>
      <c r="D594" s="14" t="inlineStr">
        <is>
          <t>Supply, Erection, Testing and Commissioning of i) 132/33kV Sub Station at Vuyyuru (ii)02 Nos 132KV Bays (Telecom Portion Only) (iii) 132KV DC line from 400KV Gudivada Sub Station to the proposed 132/33kV SS Vuyyuru in Krishna District on turnkey basis</t>
        </is>
      </c>
      <c r="E594" s="14" t="inlineStr">
        <is>
          <t>APTRANSCO WORKS-Chief Engineer Projects, Vijayawada</t>
        </is>
      </c>
      <c r="F594" s="13" t="inlineStr">
        <is>
          <t>08 Sep 2026</t>
        </is>
      </c>
      <c r="G594" s="12" t="inlineStr">
        <is>
          <t>05 Oct 2026</t>
        </is>
      </c>
      <c r="H594" s="8" t="inlineStr">
        <is>
          <t>⏳ UPCOMING</t>
        </is>
      </c>
      <c r="I594" s="11" t="inlineStr">
        <is>
          <t>Section - 9  LTAC Panel.pdf</t>
        </is>
      </c>
      <c r="J594" s="13" t="inlineStr">
        <is>
          <t>📕 PDF Document</t>
        </is>
      </c>
      <c r="K594" s="15" t="n">
        <v>539</v>
      </c>
      <c r="L594" s="16">
        <f>HYPERLINK("http://127.0.0.1:8000/api/documents/download?id=2607&amp;attachment=true", "⬇ Download Section - 9  LTAC Panel.")</f>
        <v/>
      </c>
      <c r="M594" s="16">
        <f>HYPERLINK("http://localhost:5173/?state=Andhra%20Pradesh&amp;keyword=MIS&amp;tender=988338", "🚀 Open in Portal")</f>
        <v/>
      </c>
    </row>
    <row r="595" ht="24" customHeight="1">
      <c r="A595" s="4" t="inlineStr">
        <is>
          <t>Andhra Pradesh</t>
        </is>
      </c>
      <c r="B595" s="5" t="inlineStr">
        <is>
          <t>MIS</t>
        </is>
      </c>
      <c r="C595" s="6" t="inlineStr">
        <is>
          <t>988338</t>
        </is>
      </c>
      <c r="D595" s="7" t="inlineStr">
        <is>
          <t>Supply, Erection, Testing and Commissioning of i) 132/33kV Sub Station at Vuyyuru (ii)02 Nos 132KV Bays (Telecom Portion Only) (iii) 132KV DC line from 400KV Gudivada Sub Station to the proposed 132/33kV SS Vuyyuru in Krishna District on turnkey basis</t>
        </is>
      </c>
      <c r="E595" s="7" t="inlineStr">
        <is>
          <t>APTRANSCO WORKS-Chief Engineer Projects, Vijayawada</t>
        </is>
      </c>
      <c r="F595" s="6" t="inlineStr">
        <is>
          <t>08 Sep 2026</t>
        </is>
      </c>
      <c r="G595" s="5" t="inlineStr">
        <is>
          <t>05 Oct 2026</t>
        </is>
      </c>
      <c r="H595" s="8" t="inlineStr">
        <is>
          <t>⏳ UPCOMING</t>
        </is>
      </c>
      <c r="I595" s="4" t="inlineStr">
        <is>
          <t>Tender_988338_All_Documents.zip</t>
        </is>
      </c>
      <c r="J595" s="6" t="inlineStr">
        <is>
          <t>📦 ZIP Package</t>
        </is>
      </c>
      <c r="K595" s="9" t="n">
        <v>3559.7</v>
      </c>
      <c r="L595" s="10">
        <f>HYPERLINK("http://127.0.0.1:8000/api/documents/download?id=2608&amp;attachment=true", "⬇ Download Tender_988338_All_Docume")</f>
        <v/>
      </c>
      <c r="M595" s="10">
        <f>HYPERLINK("http://localhost:5173/?state=Andhra%20Pradesh&amp;keyword=MIS&amp;tender=988338", "🚀 Open in Portal")</f>
        <v/>
      </c>
    </row>
    <row r="596" ht="24" customHeight="1">
      <c r="A596" s="11" t="inlineStr">
        <is>
          <t>Andhra Pradesh</t>
        </is>
      </c>
      <c r="B596" s="12" t="inlineStr">
        <is>
          <t>MIS</t>
        </is>
      </c>
      <c r="C596" s="13" t="inlineStr">
        <is>
          <t>989582</t>
        </is>
      </c>
      <c r="D596"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596" s="14" t="inlineStr">
        <is>
          <t>APTRANSCO WORKS-Chief Engineer Projects, Vijayawada</t>
        </is>
      </c>
      <c r="F596" s="13" t="inlineStr">
        <is>
          <t>21 Jul 2026</t>
        </is>
      </c>
      <c r="G596" s="12" t="inlineStr">
        <is>
          <t>20 Aug 2026</t>
        </is>
      </c>
      <c r="H596" s="8" t="inlineStr">
        <is>
          <t>⏳ UPCOMING</t>
        </is>
      </c>
      <c r="I596" s="11" t="inlineStr">
        <is>
          <t>Index.doc</t>
        </is>
      </c>
      <c r="J596" s="13" t="inlineStr">
        <is>
          <t>📄 DOC</t>
        </is>
      </c>
      <c r="K596" s="15" t="n">
        <v>35</v>
      </c>
      <c r="L596" s="16">
        <f>HYPERLINK("http://127.0.0.1:8000/api/documents/download?id=2523&amp;attachment=true", "⬇ Download Index.doc")</f>
        <v/>
      </c>
      <c r="M596" s="16">
        <f>HYPERLINK("http://localhost:5173/?state=Andhra%20Pradesh&amp;keyword=MIS&amp;tender=989582", "🚀 Open in Portal")</f>
        <v/>
      </c>
    </row>
    <row r="597" ht="24" customHeight="1">
      <c r="A597" s="4" t="inlineStr">
        <is>
          <t>Andhra Pradesh</t>
        </is>
      </c>
      <c r="B597" s="5" t="inlineStr">
        <is>
          <t>MIS</t>
        </is>
      </c>
      <c r="C597" s="6" t="inlineStr">
        <is>
          <t>989582</t>
        </is>
      </c>
      <c r="D597"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597" s="7" t="inlineStr">
        <is>
          <t>APTRANSCO WORKS-Chief Engineer Projects, Vijayawada</t>
        </is>
      </c>
      <c r="F597" s="6" t="inlineStr">
        <is>
          <t>21 Jul 2026</t>
        </is>
      </c>
      <c r="G597" s="5" t="inlineStr">
        <is>
          <t>20 Aug 2026</t>
        </is>
      </c>
      <c r="H597" s="8" t="inlineStr">
        <is>
          <t>⏳ UPCOMING</t>
        </is>
      </c>
      <c r="I597" s="4" t="inlineStr">
        <is>
          <t>Section - 1 General.pdf</t>
        </is>
      </c>
      <c r="J597" s="6" t="inlineStr">
        <is>
          <t>📕 PDF Document</t>
        </is>
      </c>
      <c r="K597" s="9" t="n">
        <v>288.4</v>
      </c>
      <c r="L597" s="10">
        <f>HYPERLINK("http://127.0.0.1:8000/api/documents/download?id=2524&amp;attachment=true", "⬇ Download Section - 1 General.pdf")</f>
        <v/>
      </c>
      <c r="M597" s="10">
        <f>HYPERLINK("http://localhost:5173/?state=Andhra%20Pradesh&amp;keyword=MIS&amp;tender=989582", "🚀 Open in Portal")</f>
        <v/>
      </c>
    </row>
    <row r="598" ht="24" customHeight="1">
      <c r="A598" s="11" t="inlineStr">
        <is>
          <t>Andhra Pradesh</t>
        </is>
      </c>
      <c r="B598" s="12" t="inlineStr">
        <is>
          <t>MIS</t>
        </is>
      </c>
      <c r="C598" s="13" t="inlineStr">
        <is>
          <t>989582</t>
        </is>
      </c>
      <c r="D598"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598" s="14" t="inlineStr">
        <is>
          <t>APTRANSCO WORKS-Chief Engineer Projects, Vijayawada</t>
        </is>
      </c>
      <c r="F598" s="13" t="inlineStr">
        <is>
          <t>21 Jul 2026</t>
        </is>
      </c>
      <c r="G598" s="12" t="inlineStr">
        <is>
          <t>20 Aug 2026</t>
        </is>
      </c>
      <c r="H598" s="8" t="inlineStr">
        <is>
          <t>⏳ UPCOMING</t>
        </is>
      </c>
      <c r="I598" s="11" t="inlineStr">
        <is>
          <t>Section - 10 Tech  Spec for Control Relay panels.pdf</t>
        </is>
      </c>
      <c r="J598" s="13" t="inlineStr">
        <is>
          <t>📕 PDF Document</t>
        </is>
      </c>
      <c r="K598" s="15" t="n">
        <v>1467.2</v>
      </c>
      <c r="L598" s="16">
        <f>HYPERLINK("http://127.0.0.1:8000/api/documents/download?id=2525&amp;attachment=true", "⬇ Download Section - 10 Tech  Spec ")</f>
        <v/>
      </c>
      <c r="M598" s="16">
        <f>HYPERLINK("http://localhost:5173/?state=Andhra%20Pradesh&amp;keyword=MIS&amp;tender=989582", "🚀 Open in Portal")</f>
        <v/>
      </c>
    </row>
    <row r="599" ht="24" customHeight="1">
      <c r="A599" s="4" t="inlineStr">
        <is>
          <t>Andhra Pradesh</t>
        </is>
      </c>
      <c r="B599" s="5" t="inlineStr">
        <is>
          <t>MIS</t>
        </is>
      </c>
      <c r="C599" s="6" t="inlineStr">
        <is>
          <t>989582</t>
        </is>
      </c>
      <c r="D599"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599" s="7" t="inlineStr">
        <is>
          <t>APTRANSCO WORKS-Chief Engineer Projects, Vijayawada</t>
        </is>
      </c>
      <c r="F599" s="6" t="inlineStr">
        <is>
          <t>21 Jul 2026</t>
        </is>
      </c>
      <c r="G599" s="5" t="inlineStr">
        <is>
          <t>20 Aug 2026</t>
        </is>
      </c>
      <c r="H599" s="8" t="inlineStr">
        <is>
          <t>⏳ UPCOMING</t>
        </is>
      </c>
      <c r="I599" s="4" t="inlineStr">
        <is>
          <t>Section - 11 -Staton Transformer.pdf</t>
        </is>
      </c>
      <c r="J599" s="6" t="inlineStr">
        <is>
          <t>📕 PDF Document</t>
        </is>
      </c>
      <c r="K599" s="9" t="n">
        <v>274.7</v>
      </c>
      <c r="L599" s="10">
        <f>HYPERLINK("http://127.0.0.1:8000/api/documents/download?id=2526&amp;attachment=true", "⬇ Download Section - 11 -Staton Tra")</f>
        <v/>
      </c>
      <c r="M599" s="10">
        <f>HYPERLINK("http://localhost:5173/?state=Andhra%20Pradesh&amp;keyword=MIS&amp;tender=989582", "🚀 Open in Portal")</f>
        <v/>
      </c>
    </row>
    <row r="600" ht="24" customHeight="1">
      <c r="A600" s="11" t="inlineStr">
        <is>
          <t>Andhra Pradesh</t>
        </is>
      </c>
      <c r="B600" s="12" t="inlineStr">
        <is>
          <t>MIS</t>
        </is>
      </c>
      <c r="C600" s="13" t="inlineStr">
        <is>
          <t>989582</t>
        </is>
      </c>
      <c r="D600"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00" s="14" t="inlineStr">
        <is>
          <t>APTRANSCO WORKS-Chief Engineer Projects, Vijayawada</t>
        </is>
      </c>
      <c r="F600" s="13" t="inlineStr">
        <is>
          <t>21 Jul 2026</t>
        </is>
      </c>
      <c r="G600" s="12" t="inlineStr">
        <is>
          <t>20 Aug 2026</t>
        </is>
      </c>
      <c r="H600" s="8" t="inlineStr">
        <is>
          <t>⏳ UPCOMING</t>
        </is>
      </c>
      <c r="I600" s="11" t="inlineStr">
        <is>
          <t>Section - 12 ACSR Conductor.pdf</t>
        </is>
      </c>
      <c r="J600" s="13" t="inlineStr">
        <is>
          <t>📕 PDF Document</t>
        </is>
      </c>
      <c r="K600" s="15" t="n">
        <v>679.9</v>
      </c>
      <c r="L600" s="16">
        <f>HYPERLINK("http://127.0.0.1:8000/api/documents/download?id=2527&amp;attachment=true", "⬇ Download Section - 12 ACSR Conduc")</f>
        <v/>
      </c>
      <c r="M600" s="16">
        <f>HYPERLINK("http://localhost:5173/?state=Andhra%20Pradesh&amp;keyword=MIS&amp;tender=989582", "🚀 Open in Portal")</f>
        <v/>
      </c>
    </row>
    <row r="601" ht="24" customHeight="1">
      <c r="A601" s="4" t="inlineStr">
        <is>
          <t>Andhra Pradesh</t>
        </is>
      </c>
      <c r="B601" s="5" t="inlineStr">
        <is>
          <t>MIS</t>
        </is>
      </c>
      <c r="C601" s="6" t="inlineStr">
        <is>
          <t>989582</t>
        </is>
      </c>
      <c r="D601"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01" s="7" t="inlineStr">
        <is>
          <t>APTRANSCO WORKS-Chief Engineer Projects, Vijayawada</t>
        </is>
      </c>
      <c r="F601" s="6" t="inlineStr">
        <is>
          <t>21 Jul 2026</t>
        </is>
      </c>
      <c r="G601" s="5" t="inlineStr">
        <is>
          <t>20 Aug 2026</t>
        </is>
      </c>
      <c r="H601" s="8" t="inlineStr">
        <is>
          <t>⏳ UPCOMING</t>
        </is>
      </c>
      <c r="I601" s="4" t="inlineStr">
        <is>
          <t>Section - 13 Porcelain disc insulators.pdf</t>
        </is>
      </c>
      <c r="J601" s="6" t="inlineStr">
        <is>
          <t>📕 PDF Document</t>
        </is>
      </c>
      <c r="K601" s="9" t="n">
        <v>423.9</v>
      </c>
      <c r="L601" s="10">
        <f>HYPERLINK("http://127.0.0.1:8000/api/documents/download?id=2528&amp;attachment=true", "⬇ Download Section - 13 Porcelain d")</f>
        <v/>
      </c>
      <c r="M601" s="10">
        <f>HYPERLINK("http://localhost:5173/?state=Andhra%20Pradesh&amp;keyword=MIS&amp;tender=989582", "🚀 Open in Portal")</f>
        <v/>
      </c>
    </row>
    <row r="602" ht="24" customHeight="1">
      <c r="A602" s="11" t="inlineStr">
        <is>
          <t>Andhra Pradesh</t>
        </is>
      </c>
      <c r="B602" s="12" t="inlineStr">
        <is>
          <t>MIS</t>
        </is>
      </c>
      <c r="C602" s="13" t="inlineStr">
        <is>
          <t>989582</t>
        </is>
      </c>
      <c r="D602"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02" s="14" t="inlineStr">
        <is>
          <t>APTRANSCO WORKS-Chief Engineer Projects, Vijayawada</t>
        </is>
      </c>
      <c r="F602" s="13" t="inlineStr">
        <is>
          <t>21 Jul 2026</t>
        </is>
      </c>
      <c r="G602" s="12" t="inlineStr">
        <is>
          <t>20 Aug 2026</t>
        </is>
      </c>
      <c r="H602" s="8" t="inlineStr">
        <is>
          <t>⏳ UPCOMING</t>
        </is>
      </c>
      <c r="I602" s="11" t="inlineStr">
        <is>
          <t>Section - 14 Transmission line towers.pdf</t>
        </is>
      </c>
      <c r="J602" s="13" t="inlineStr">
        <is>
          <t>📕 PDF Document</t>
        </is>
      </c>
      <c r="K602" s="15" t="n">
        <v>452.1</v>
      </c>
      <c r="L602" s="16">
        <f>HYPERLINK("http://127.0.0.1:8000/api/documents/download?id=2529&amp;attachment=true", "⬇ Download Section - 14 Transmissio")</f>
        <v/>
      </c>
      <c r="M602" s="16">
        <f>HYPERLINK("http://localhost:5173/?state=Andhra%20Pradesh&amp;keyword=MIS&amp;tender=989582", "🚀 Open in Portal")</f>
        <v/>
      </c>
    </row>
    <row r="603" ht="24" customHeight="1">
      <c r="A603" s="4" t="inlineStr">
        <is>
          <t>Andhra Pradesh</t>
        </is>
      </c>
      <c r="B603" s="5" t="inlineStr">
        <is>
          <t>MIS</t>
        </is>
      </c>
      <c r="C603" s="6" t="inlineStr">
        <is>
          <t>989582</t>
        </is>
      </c>
      <c r="D603"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03" s="7" t="inlineStr">
        <is>
          <t>APTRANSCO WORKS-Chief Engineer Projects, Vijayawada</t>
        </is>
      </c>
      <c r="F603" s="6" t="inlineStr">
        <is>
          <t>21 Jul 2026</t>
        </is>
      </c>
      <c r="G603" s="5" t="inlineStr">
        <is>
          <t>20 Aug 2026</t>
        </is>
      </c>
      <c r="H603" s="8" t="inlineStr">
        <is>
          <t>⏳ UPCOMING</t>
        </is>
      </c>
      <c r="I603" s="4" t="inlineStr">
        <is>
          <t>section - 15 Earth wire.pdf</t>
        </is>
      </c>
      <c r="J603" s="6" t="inlineStr">
        <is>
          <t>📕 PDF Document</t>
        </is>
      </c>
      <c r="K603" s="9" t="n">
        <v>524</v>
      </c>
      <c r="L603" s="10">
        <f>HYPERLINK("http://127.0.0.1:8000/api/documents/download?id=2530&amp;attachment=true", "⬇ Download section - 15 Earth wire.")</f>
        <v/>
      </c>
      <c r="M603" s="10">
        <f>HYPERLINK("http://localhost:5173/?state=Andhra%20Pradesh&amp;keyword=MIS&amp;tender=989582", "🚀 Open in Portal")</f>
        <v/>
      </c>
    </row>
    <row r="604" ht="24" customHeight="1">
      <c r="A604" s="11" t="inlineStr">
        <is>
          <t>Andhra Pradesh</t>
        </is>
      </c>
      <c r="B604" s="12" t="inlineStr">
        <is>
          <t>MIS</t>
        </is>
      </c>
      <c r="C604" s="13" t="inlineStr">
        <is>
          <t>989582</t>
        </is>
      </c>
      <c r="D604"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04" s="14" t="inlineStr">
        <is>
          <t>APTRANSCO WORKS-Chief Engineer Projects, Vijayawada</t>
        </is>
      </c>
      <c r="F604" s="13" t="inlineStr">
        <is>
          <t>21 Jul 2026</t>
        </is>
      </c>
      <c r="G604" s="12" t="inlineStr">
        <is>
          <t>20 Aug 2026</t>
        </is>
      </c>
      <c r="H604" s="8" t="inlineStr">
        <is>
          <t>⏳ UPCOMING</t>
        </is>
      </c>
      <c r="I604" s="11" t="inlineStr">
        <is>
          <t>Section - 16 Hardware &amp; Accessories for conductor &amp; earth wire.pdf</t>
        </is>
      </c>
      <c r="J604" s="13" t="inlineStr">
        <is>
          <t>📕 PDF Document</t>
        </is>
      </c>
      <c r="K604" s="15" t="n">
        <v>649.1</v>
      </c>
      <c r="L604" s="16">
        <f>HYPERLINK("http://127.0.0.1:8000/api/documents/download?id=2531&amp;attachment=true", "⬇ Download Section - 16 Hardware &amp; ")</f>
        <v/>
      </c>
      <c r="M604" s="16">
        <f>HYPERLINK("http://localhost:5173/?state=Andhra%20Pradesh&amp;keyword=MIS&amp;tender=989582", "🚀 Open in Portal")</f>
        <v/>
      </c>
    </row>
    <row r="605" ht="24" customHeight="1">
      <c r="A605" s="4" t="inlineStr">
        <is>
          <t>Andhra Pradesh</t>
        </is>
      </c>
      <c r="B605" s="5" t="inlineStr">
        <is>
          <t>MIS</t>
        </is>
      </c>
      <c r="C605" s="6" t="inlineStr">
        <is>
          <t>989582</t>
        </is>
      </c>
      <c r="D605"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05" s="7" t="inlineStr">
        <is>
          <t>APTRANSCO WORKS-Chief Engineer Projects, Vijayawada</t>
        </is>
      </c>
      <c r="F605" s="6" t="inlineStr">
        <is>
          <t>21 Jul 2026</t>
        </is>
      </c>
      <c r="G605" s="5" t="inlineStr">
        <is>
          <t>20 Aug 2026</t>
        </is>
      </c>
      <c r="H605" s="8" t="inlineStr">
        <is>
          <t>⏳ UPCOMING</t>
        </is>
      </c>
      <c r="I605" s="4" t="inlineStr">
        <is>
          <t>section - 17 Bolts &amp; Nuts.pdf</t>
        </is>
      </c>
      <c r="J605" s="6" t="inlineStr">
        <is>
          <t>📕 PDF Document</t>
        </is>
      </c>
      <c r="K605" s="9" t="n">
        <v>472.7</v>
      </c>
      <c r="L605" s="10">
        <f>HYPERLINK("http://127.0.0.1:8000/api/documents/download?id=2532&amp;attachment=true", "⬇ Download section - 17 Bolts &amp; Nut")</f>
        <v/>
      </c>
      <c r="M605" s="10">
        <f>HYPERLINK("http://localhost:5173/?state=Andhra%20Pradesh&amp;keyword=MIS&amp;tender=989582", "🚀 Open in Portal")</f>
        <v/>
      </c>
    </row>
    <row r="606" ht="24" customHeight="1">
      <c r="A606" s="11" t="inlineStr">
        <is>
          <t>Andhra Pradesh</t>
        </is>
      </c>
      <c r="B606" s="12" t="inlineStr">
        <is>
          <t>MIS</t>
        </is>
      </c>
      <c r="C606" s="13" t="inlineStr">
        <is>
          <t>989582</t>
        </is>
      </c>
      <c r="D606"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06" s="14" t="inlineStr">
        <is>
          <t>APTRANSCO WORKS-Chief Engineer Projects, Vijayawada</t>
        </is>
      </c>
      <c r="F606" s="13" t="inlineStr">
        <is>
          <t>21 Jul 2026</t>
        </is>
      </c>
      <c r="G606" s="12" t="inlineStr">
        <is>
          <t>20 Aug 2026</t>
        </is>
      </c>
      <c r="H606" s="8" t="inlineStr">
        <is>
          <t>⏳ UPCOMING</t>
        </is>
      </c>
      <c r="I606" s="11" t="inlineStr">
        <is>
          <t>Section - 18  Tech Spec for Substation.pdf</t>
        </is>
      </c>
      <c r="J606" s="13" t="inlineStr">
        <is>
          <t>📕 PDF Document</t>
        </is>
      </c>
      <c r="K606" s="15" t="n">
        <v>853.1</v>
      </c>
      <c r="L606" s="16">
        <f>HYPERLINK("http://127.0.0.1:8000/api/documents/download?id=2533&amp;attachment=true", "⬇ Download Section - 18  Tech Spec ")</f>
        <v/>
      </c>
      <c r="M606" s="16">
        <f>HYPERLINK("http://localhost:5173/?state=Andhra%20Pradesh&amp;keyword=MIS&amp;tender=989582", "🚀 Open in Portal")</f>
        <v/>
      </c>
    </row>
    <row r="607" ht="24" customHeight="1">
      <c r="A607" s="4" t="inlineStr">
        <is>
          <t>Andhra Pradesh</t>
        </is>
      </c>
      <c r="B607" s="5" t="inlineStr">
        <is>
          <t>MIS</t>
        </is>
      </c>
      <c r="C607" s="6" t="inlineStr">
        <is>
          <t>989582</t>
        </is>
      </c>
      <c r="D607"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07" s="7" t="inlineStr">
        <is>
          <t>APTRANSCO WORKS-Chief Engineer Projects, Vijayawada</t>
        </is>
      </c>
      <c r="F607" s="6" t="inlineStr">
        <is>
          <t>21 Jul 2026</t>
        </is>
      </c>
      <c r="G607" s="5" t="inlineStr">
        <is>
          <t>20 Aug 2026</t>
        </is>
      </c>
      <c r="H607" s="8" t="inlineStr">
        <is>
          <t>⏳ UPCOMING</t>
        </is>
      </c>
      <c r="I607" s="4" t="inlineStr">
        <is>
          <t>Section - 19 Tech Spec for Tr Line works.pdf</t>
        </is>
      </c>
      <c r="J607" s="6" t="inlineStr">
        <is>
          <t>📕 PDF Document</t>
        </is>
      </c>
      <c r="K607" s="9" t="n">
        <v>524.5</v>
      </c>
      <c r="L607" s="10">
        <f>HYPERLINK("http://127.0.0.1:8000/api/documents/download?id=2534&amp;attachment=true", "⬇ Download Section - 19 Tech Spec f")</f>
        <v/>
      </c>
      <c r="M607" s="10">
        <f>HYPERLINK("http://localhost:5173/?state=Andhra%20Pradesh&amp;keyword=MIS&amp;tender=989582", "🚀 Open in Portal")</f>
        <v/>
      </c>
    </row>
    <row r="608" ht="24" customHeight="1">
      <c r="A608" s="11" t="inlineStr">
        <is>
          <t>Andhra Pradesh</t>
        </is>
      </c>
      <c r="B608" s="12" t="inlineStr">
        <is>
          <t>MIS</t>
        </is>
      </c>
      <c r="C608" s="13" t="inlineStr">
        <is>
          <t>989582</t>
        </is>
      </c>
      <c r="D608"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08" s="14" t="inlineStr">
        <is>
          <t>APTRANSCO WORKS-Chief Engineer Projects, Vijayawada</t>
        </is>
      </c>
      <c r="F608" s="13" t="inlineStr">
        <is>
          <t>21 Jul 2026</t>
        </is>
      </c>
      <c r="G608" s="12" t="inlineStr">
        <is>
          <t>20 Aug 2026</t>
        </is>
      </c>
      <c r="H608" s="8" t="inlineStr">
        <is>
          <t>⏳ UPCOMING</t>
        </is>
      </c>
      <c r="I608" s="11" t="inlineStr">
        <is>
          <t>Section - 2 CTs-PTs-CVTs.pdf</t>
        </is>
      </c>
      <c r="J608" s="13" t="inlineStr">
        <is>
          <t>📕 PDF Document</t>
        </is>
      </c>
      <c r="K608" s="15" t="n">
        <v>719.3</v>
      </c>
      <c r="L608" s="16">
        <f>HYPERLINK("http://127.0.0.1:8000/api/documents/download?id=2535&amp;attachment=true", "⬇ Download Section - 2 CTs-PTs-CVTs")</f>
        <v/>
      </c>
      <c r="M608" s="16">
        <f>HYPERLINK("http://localhost:5173/?state=Andhra%20Pradesh&amp;keyword=MIS&amp;tender=989582", "🚀 Open in Portal")</f>
        <v/>
      </c>
    </row>
    <row r="609" ht="24" customHeight="1">
      <c r="A609" s="4" t="inlineStr">
        <is>
          <t>Andhra Pradesh</t>
        </is>
      </c>
      <c r="B609" s="5" t="inlineStr">
        <is>
          <t>MIS</t>
        </is>
      </c>
      <c r="C609" s="6" t="inlineStr">
        <is>
          <t>989582</t>
        </is>
      </c>
      <c r="D609"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09" s="7" t="inlineStr">
        <is>
          <t>APTRANSCO WORKS-Chief Engineer Projects, Vijayawada</t>
        </is>
      </c>
      <c r="F609" s="6" t="inlineStr">
        <is>
          <t>21 Jul 2026</t>
        </is>
      </c>
      <c r="G609" s="5" t="inlineStr">
        <is>
          <t>20 Aug 2026</t>
        </is>
      </c>
      <c r="H609" s="8" t="inlineStr">
        <is>
          <t>⏳ UPCOMING</t>
        </is>
      </c>
      <c r="I609" s="4" t="inlineStr">
        <is>
          <t>Section - 20  Technical specification of OPGW, OFAC &amp; FODP.pdf</t>
        </is>
      </c>
      <c r="J609" s="6" t="inlineStr">
        <is>
          <t>📕 PDF Document</t>
        </is>
      </c>
      <c r="K609" s="9" t="n">
        <v>1363.8</v>
      </c>
      <c r="L609" s="10">
        <f>HYPERLINK("http://127.0.0.1:8000/api/documents/download?id=2536&amp;attachment=true", "⬇ Download Section - 20  Technical ")</f>
        <v/>
      </c>
      <c r="M609" s="10">
        <f>HYPERLINK("http://localhost:5173/?state=Andhra%20Pradesh&amp;keyword=MIS&amp;tender=989582", "🚀 Open in Portal")</f>
        <v/>
      </c>
    </row>
    <row r="610" ht="24" customHeight="1">
      <c r="A610" s="11" t="inlineStr">
        <is>
          <t>Andhra Pradesh</t>
        </is>
      </c>
      <c r="B610" s="12" t="inlineStr">
        <is>
          <t>MIS</t>
        </is>
      </c>
      <c r="C610" s="13" t="inlineStr">
        <is>
          <t>989582</t>
        </is>
      </c>
      <c r="D610"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10" s="14" t="inlineStr">
        <is>
          <t>APTRANSCO WORKS-Chief Engineer Projects, Vijayawada</t>
        </is>
      </c>
      <c r="F610" s="13" t="inlineStr">
        <is>
          <t>21 Jul 2026</t>
        </is>
      </c>
      <c r="G610" s="12" t="inlineStr">
        <is>
          <t>20 Aug 2026</t>
        </is>
      </c>
      <c r="H610" s="8" t="inlineStr">
        <is>
          <t>⏳ UPCOMING</t>
        </is>
      </c>
      <c r="I610" s="11" t="inlineStr">
        <is>
          <t>Section - 21  Technical spec for UG OFC, HDPE duct &amp; RCC chambers.pdf</t>
        </is>
      </c>
      <c r="J610" s="13" t="inlineStr">
        <is>
          <t>📕 PDF Document</t>
        </is>
      </c>
      <c r="K610" s="15" t="n">
        <v>480.3</v>
      </c>
      <c r="L610" s="16">
        <f>HYPERLINK("http://127.0.0.1:8000/api/documents/download?id=2537&amp;attachment=true", "⬇ Download Section - 21  Technical ")</f>
        <v/>
      </c>
      <c r="M610" s="16">
        <f>HYPERLINK("http://localhost:5173/?state=Andhra%20Pradesh&amp;keyword=MIS&amp;tender=989582", "🚀 Open in Portal")</f>
        <v/>
      </c>
    </row>
    <row r="611" ht="24" customHeight="1">
      <c r="A611" s="4" t="inlineStr">
        <is>
          <t>Andhra Pradesh</t>
        </is>
      </c>
      <c r="B611" s="5" t="inlineStr">
        <is>
          <t>MIS</t>
        </is>
      </c>
      <c r="C611" s="6" t="inlineStr">
        <is>
          <t>989582</t>
        </is>
      </c>
      <c r="D611"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11" s="7" t="inlineStr">
        <is>
          <t>APTRANSCO WORKS-Chief Engineer Projects, Vijayawada</t>
        </is>
      </c>
      <c r="F611" s="6" t="inlineStr">
        <is>
          <t>21 Jul 2026</t>
        </is>
      </c>
      <c r="G611" s="5" t="inlineStr">
        <is>
          <t>20 Aug 2026</t>
        </is>
      </c>
      <c r="H611" s="8" t="inlineStr">
        <is>
          <t>⏳ UPCOMING</t>
        </is>
      </c>
      <c r="I611" s="4" t="inlineStr">
        <is>
          <t>Section - 22 Technical specification of SDH (OLTE) equipment.pdf</t>
        </is>
      </c>
      <c r="J611" s="6" t="inlineStr">
        <is>
          <t>📕 PDF Document</t>
        </is>
      </c>
      <c r="K611" s="9" t="n">
        <v>635.3</v>
      </c>
      <c r="L611" s="10">
        <f>HYPERLINK("http://127.0.0.1:8000/api/documents/download?id=2538&amp;attachment=true", "⬇ Download Section - 22 Technical s")</f>
        <v/>
      </c>
      <c r="M611" s="10">
        <f>HYPERLINK("http://localhost:5173/?state=Andhra%20Pradesh&amp;keyword=MIS&amp;tender=989582", "🚀 Open in Portal")</f>
        <v/>
      </c>
    </row>
    <row r="612" ht="24" customHeight="1">
      <c r="A612" s="11" t="inlineStr">
        <is>
          <t>Andhra Pradesh</t>
        </is>
      </c>
      <c r="B612" s="12" t="inlineStr">
        <is>
          <t>MIS</t>
        </is>
      </c>
      <c r="C612" s="13" t="inlineStr">
        <is>
          <t>989582</t>
        </is>
      </c>
      <c r="D612"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12" s="14" t="inlineStr">
        <is>
          <t>APTRANSCO WORKS-Chief Engineer Projects, Vijayawada</t>
        </is>
      </c>
      <c r="F612" s="13" t="inlineStr">
        <is>
          <t>21 Jul 2026</t>
        </is>
      </c>
      <c r="G612" s="12" t="inlineStr">
        <is>
          <t>20 Aug 2026</t>
        </is>
      </c>
      <c r="H612" s="8" t="inlineStr">
        <is>
          <t>⏳ UPCOMING</t>
        </is>
      </c>
      <c r="I612" s="11" t="inlineStr">
        <is>
          <t>Section - 23 Technical specification of DTPC.pdf</t>
        </is>
      </c>
      <c r="J612" s="13" t="inlineStr">
        <is>
          <t>📕 PDF Document</t>
        </is>
      </c>
      <c r="K612" s="15" t="n">
        <v>198.2</v>
      </c>
      <c r="L612" s="16">
        <f>HYPERLINK("http://127.0.0.1:8000/api/documents/download?id=2539&amp;attachment=true", "⬇ Download Section - 23 Technical s")</f>
        <v/>
      </c>
      <c r="M612" s="16">
        <f>HYPERLINK("http://localhost:5173/?state=Andhra%20Pradesh&amp;keyword=MIS&amp;tender=989582", "🚀 Open in Portal")</f>
        <v/>
      </c>
    </row>
    <row r="613" ht="24" customHeight="1">
      <c r="A613" s="4" t="inlineStr">
        <is>
          <t>Andhra Pradesh</t>
        </is>
      </c>
      <c r="B613" s="5" t="inlineStr">
        <is>
          <t>MIS</t>
        </is>
      </c>
      <c r="C613" s="6" t="inlineStr">
        <is>
          <t>989582</t>
        </is>
      </c>
      <c r="D613"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13" s="7" t="inlineStr">
        <is>
          <t>APTRANSCO WORKS-Chief Engineer Projects, Vijayawada</t>
        </is>
      </c>
      <c r="F613" s="6" t="inlineStr">
        <is>
          <t>21 Jul 2026</t>
        </is>
      </c>
      <c r="G613" s="5" t="inlineStr">
        <is>
          <t>20 Aug 2026</t>
        </is>
      </c>
      <c r="H613" s="8" t="inlineStr">
        <is>
          <t>⏳ UPCOMING</t>
        </is>
      </c>
      <c r="I613" s="4" t="inlineStr">
        <is>
          <t>Section - 24 Technical specification of  VOIP Phone.pdf</t>
        </is>
      </c>
      <c r="J613" s="6" t="inlineStr">
        <is>
          <t>📕 PDF Document</t>
        </is>
      </c>
      <c r="K613" s="9" t="n">
        <v>259.9</v>
      </c>
      <c r="L613" s="10">
        <f>HYPERLINK("http://127.0.0.1:8000/api/documents/download?id=2540&amp;attachment=true", "⬇ Download Section - 24 Technical s")</f>
        <v/>
      </c>
      <c r="M613" s="10">
        <f>HYPERLINK("http://localhost:5173/?state=Andhra%20Pradesh&amp;keyword=MIS&amp;tender=989582", "🚀 Open in Portal")</f>
        <v/>
      </c>
    </row>
    <row r="614" ht="24" customHeight="1">
      <c r="A614" s="11" t="inlineStr">
        <is>
          <t>Andhra Pradesh</t>
        </is>
      </c>
      <c r="B614" s="12" t="inlineStr">
        <is>
          <t>MIS</t>
        </is>
      </c>
      <c r="C614" s="13" t="inlineStr">
        <is>
          <t>989582</t>
        </is>
      </c>
      <c r="D614"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14" s="14" t="inlineStr">
        <is>
          <t>APTRANSCO WORKS-Chief Engineer Projects, Vijayawada</t>
        </is>
      </c>
      <c r="F614" s="13" t="inlineStr">
        <is>
          <t>21 Jul 2026</t>
        </is>
      </c>
      <c r="G614" s="12" t="inlineStr">
        <is>
          <t>20 Aug 2026</t>
        </is>
      </c>
      <c r="H614" s="8" t="inlineStr">
        <is>
          <t>⏳ UPCOMING</t>
        </is>
      </c>
      <c r="I614" s="11" t="inlineStr">
        <is>
          <t>Section - 25 Technical specification of 48V Chargers.pdf</t>
        </is>
      </c>
      <c r="J614" s="13" t="inlineStr">
        <is>
          <t>📕 PDF Document</t>
        </is>
      </c>
      <c r="K614" s="15" t="n">
        <v>443.3</v>
      </c>
      <c r="L614" s="16">
        <f>HYPERLINK("http://127.0.0.1:8000/api/documents/download?id=2541&amp;attachment=true", "⬇ Download Section - 25 Technical s")</f>
        <v/>
      </c>
      <c r="M614" s="16">
        <f>HYPERLINK("http://localhost:5173/?state=Andhra%20Pradesh&amp;keyword=MIS&amp;tender=989582", "🚀 Open in Portal")</f>
        <v/>
      </c>
    </row>
    <row r="615" ht="24" customHeight="1">
      <c r="A615" s="4" t="inlineStr">
        <is>
          <t>Andhra Pradesh</t>
        </is>
      </c>
      <c r="B615" s="5" t="inlineStr">
        <is>
          <t>MIS</t>
        </is>
      </c>
      <c r="C615" s="6" t="inlineStr">
        <is>
          <t>989582</t>
        </is>
      </c>
      <c r="D615"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15" s="7" t="inlineStr">
        <is>
          <t>APTRANSCO WORKS-Chief Engineer Projects, Vijayawada</t>
        </is>
      </c>
      <c r="F615" s="6" t="inlineStr">
        <is>
          <t>21 Jul 2026</t>
        </is>
      </c>
      <c r="G615" s="5" t="inlineStr">
        <is>
          <t>20 Aug 2026</t>
        </is>
      </c>
      <c r="H615" s="8" t="inlineStr">
        <is>
          <t>⏳ UPCOMING</t>
        </is>
      </c>
      <c r="I615" s="4" t="inlineStr">
        <is>
          <t>Section - 26 Technical specification of 48V Battery sets.pdf</t>
        </is>
      </c>
      <c r="J615" s="6" t="inlineStr">
        <is>
          <t>📕 PDF Document</t>
        </is>
      </c>
      <c r="K615" s="9" t="n">
        <v>188.2</v>
      </c>
      <c r="L615" s="10">
        <f>HYPERLINK("http://127.0.0.1:8000/api/documents/download?id=2542&amp;attachment=true", "⬇ Download Section - 26 Technical s")</f>
        <v/>
      </c>
      <c r="M615" s="10">
        <f>HYPERLINK("http://localhost:5173/?state=Andhra%20Pradesh&amp;keyword=MIS&amp;tender=989582", "🚀 Open in Portal")</f>
        <v/>
      </c>
    </row>
    <row r="616" ht="24" customHeight="1">
      <c r="A616" s="11" t="inlineStr">
        <is>
          <t>Andhra Pradesh</t>
        </is>
      </c>
      <c r="B616" s="12" t="inlineStr">
        <is>
          <t>MIS</t>
        </is>
      </c>
      <c r="C616" s="13" t="inlineStr">
        <is>
          <t>989582</t>
        </is>
      </c>
      <c r="D616"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16" s="14" t="inlineStr">
        <is>
          <t>APTRANSCO WORKS-Chief Engineer Projects, Vijayawada</t>
        </is>
      </c>
      <c r="F616" s="13" t="inlineStr">
        <is>
          <t>21 Jul 2026</t>
        </is>
      </c>
      <c r="G616" s="12" t="inlineStr">
        <is>
          <t>20 Aug 2026</t>
        </is>
      </c>
      <c r="H616" s="8" t="inlineStr">
        <is>
          <t>⏳ UPCOMING</t>
        </is>
      </c>
      <c r="I616" s="11" t="inlineStr">
        <is>
          <t>Section - 27  Techincal specification of Testing Instruments..pdf</t>
        </is>
      </c>
      <c r="J616" s="13" t="inlineStr">
        <is>
          <t>📕 PDF Document</t>
        </is>
      </c>
      <c r="K616" s="15" t="n">
        <v>629.7</v>
      </c>
      <c r="L616" s="16">
        <f>HYPERLINK("http://127.0.0.1:8000/api/documents/download?id=2543&amp;attachment=true", "⬇ Download Section - 27  Techincal ")</f>
        <v/>
      </c>
      <c r="M616" s="16">
        <f>HYPERLINK("http://localhost:5173/?state=Andhra%20Pradesh&amp;keyword=MIS&amp;tender=989582", "🚀 Open in Portal")</f>
        <v/>
      </c>
    </row>
    <row r="617" ht="24" customHeight="1">
      <c r="A617" s="4" t="inlineStr">
        <is>
          <t>Andhra Pradesh</t>
        </is>
      </c>
      <c r="B617" s="5" t="inlineStr">
        <is>
          <t>MIS</t>
        </is>
      </c>
      <c r="C617" s="6" t="inlineStr">
        <is>
          <t>989582</t>
        </is>
      </c>
      <c r="D617"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17" s="7" t="inlineStr">
        <is>
          <t>APTRANSCO WORKS-Chief Engineer Projects, Vijayawada</t>
        </is>
      </c>
      <c r="F617" s="6" t="inlineStr">
        <is>
          <t>21 Jul 2026</t>
        </is>
      </c>
      <c r="G617" s="5" t="inlineStr">
        <is>
          <t>20 Aug 2026</t>
        </is>
      </c>
      <c r="H617" s="8" t="inlineStr">
        <is>
          <t>⏳ UPCOMING</t>
        </is>
      </c>
      <c r="I617" s="4" t="inlineStr">
        <is>
          <t>Section - 28 -Technical specifications of cables.pdf</t>
        </is>
      </c>
      <c r="J617" s="6" t="inlineStr">
        <is>
          <t>📕 PDF Document</t>
        </is>
      </c>
      <c r="K617" s="9" t="n">
        <v>617.5</v>
      </c>
      <c r="L617" s="10">
        <f>HYPERLINK("http://127.0.0.1:8000/api/documents/download?id=2544&amp;attachment=true", "⬇ Download Section - 28 -Technical ")</f>
        <v/>
      </c>
      <c r="M617" s="10">
        <f>HYPERLINK("http://localhost:5173/?state=Andhra%20Pradesh&amp;keyword=MIS&amp;tender=989582", "🚀 Open in Portal")</f>
        <v/>
      </c>
    </row>
    <row r="618" ht="24" customHeight="1">
      <c r="A618" s="11" t="inlineStr">
        <is>
          <t>Andhra Pradesh</t>
        </is>
      </c>
      <c r="B618" s="12" t="inlineStr">
        <is>
          <t>MIS</t>
        </is>
      </c>
      <c r="C618" s="13" t="inlineStr">
        <is>
          <t>989582</t>
        </is>
      </c>
      <c r="D618"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18" s="14" t="inlineStr">
        <is>
          <t>APTRANSCO WORKS-Chief Engineer Projects, Vijayawada</t>
        </is>
      </c>
      <c r="F618" s="13" t="inlineStr">
        <is>
          <t>21 Jul 2026</t>
        </is>
      </c>
      <c r="G618" s="12" t="inlineStr">
        <is>
          <t>20 Aug 2026</t>
        </is>
      </c>
      <c r="H618" s="8" t="inlineStr">
        <is>
          <t>⏳ UPCOMING</t>
        </is>
      </c>
      <c r="I618" s="11" t="inlineStr">
        <is>
          <t>Section - 29 Long rod insulators.pdf</t>
        </is>
      </c>
      <c r="J618" s="13" t="inlineStr">
        <is>
          <t>📕 PDF Document</t>
        </is>
      </c>
      <c r="K618" s="15" t="n">
        <v>433.9</v>
      </c>
      <c r="L618" s="16">
        <f>HYPERLINK("http://127.0.0.1:8000/api/documents/download?id=2545&amp;attachment=true", "⬇ Download Section - 29 Long rod in")</f>
        <v/>
      </c>
      <c r="M618" s="16">
        <f>HYPERLINK("http://localhost:5173/?state=Andhra%20Pradesh&amp;keyword=MIS&amp;tender=989582", "🚀 Open in Portal")</f>
        <v/>
      </c>
    </row>
    <row r="619" ht="24" customHeight="1">
      <c r="A619" s="4" t="inlineStr">
        <is>
          <t>Andhra Pradesh</t>
        </is>
      </c>
      <c r="B619" s="5" t="inlineStr">
        <is>
          <t>MIS</t>
        </is>
      </c>
      <c r="C619" s="6" t="inlineStr">
        <is>
          <t>989582</t>
        </is>
      </c>
      <c r="D619"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19" s="7" t="inlineStr">
        <is>
          <t>APTRANSCO WORKS-Chief Engineer Projects, Vijayawada</t>
        </is>
      </c>
      <c r="F619" s="6" t="inlineStr">
        <is>
          <t>21 Jul 2026</t>
        </is>
      </c>
      <c r="G619" s="5" t="inlineStr">
        <is>
          <t>20 Aug 2026</t>
        </is>
      </c>
      <c r="H619" s="8" t="inlineStr">
        <is>
          <t>⏳ UPCOMING</t>
        </is>
      </c>
      <c r="I619" s="4" t="inlineStr">
        <is>
          <t>Section - 3 Surge Arrestors.pdf</t>
        </is>
      </c>
      <c r="J619" s="6" t="inlineStr">
        <is>
          <t>📕 PDF Document</t>
        </is>
      </c>
      <c r="K619" s="9" t="n">
        <v>431</v>
      </c>
      <c r="L619" s="10">
        <f>HYPERLINK("http://127.0.0.1:8000/api/documents/download?id=2546&amp;attachment=true", "⬇ Download Section - 3 Surge Arrest")</f>
        <v/>
      </c>
      <c r="M619" s="10">
        <f>HYPERLINK("http://localhost:5173/?state=Andhra%20Pradesh&amp;keyword=MIS&amp;tender=989582", "🚀 Open in Portal")</f>
        <v/>
      </c>
    </row>
    <row r="620" ht="24" customHeight="1">
      <c r="A620" s="11" t="inlineStr">
        <is>
          <t>Andhra Pradesh</t>
        </is>
      </c>
      <c r="B620" s="12" t="inlineStr">
        <is>
          <t>MIS</t>
        </is>
      </c>
      <c r="C620" s="13" t="inlineStr">
        <is>
          <t>989582</t>
        </is>
      </c>
      <c r="D620"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20" s="14" t="inlineStr">
        <is>
          <t>APTRANSCO WORKS-Chief Engineer Projects, Vijayawada</t>
        </is>
      </c>
      <c r="F620" s="13" t="inlineStr">
        <is>
          <t>21 Jul 2026</t>
        </is>
      </c>
      <c r="G620" s="12" t="inlineStr">
        <is>
          <t>20 Aug 2026</t>
        </is>
      </c>
      <c r="H620" s="8" t="inlineStr">
        <is>
          <t>⏳ UPCOMING</t>
        </is>
      </c>
      <c r="I620" s="11" t="inlineStr">
        <is>
          <t>Section - 30 Technical specification of AC unit &amp; Stabilizer.pdf</t>
        </is>
      </c>
      <c r="J620" s="13" t="inlineStr">
        <is>
          <t>📕 PDF Document</t>
        </is>
      </c>
      <c r="K620" s="15" t="n">
        <v>156.4</v>
      </c>
      <c r="L620" s="16">
        <f>HYPERLINK("http://127.0.0.1:8000/api/documents/download?id=2547&amp;attachment=true", "⬇ Download Section - 30 Technical s")</f>
        <v/>
      </c>
      <c r="M620" s="16">
        <f>HYPERLINK("http://localhost:5173/?state=Andhra%20Pradesh&amp;keyword=MIS&amp;tender=989582", "🚀 Open in Portal")</f>
        <v/>
      </c>
    </row>
    <row r="621" ht="24" customHeight="1">
      <c r="A621" s="4" t="inlineStr">
        <is>
          <t>Andhra Pradesh</t>
        </is>
      </c>
      <c r="B621" s="5" t="inlineStr">
        <is>
          <t>MIS</t>
        </is>
      </c>
      <c r="C621" s="6" t="inlineStr">
        <is>
          <t>989582</t>
        </is>
      </c>
      <c r="D621"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21" s="7" t="inlineStr">
        <is>
          <t>APTRANSCO WORKS-Chief Engineer Projects, Vijayawada</t>
        </is>
      </c>
      <c r="F621" s="6" t="inlineStr">
        <is>
          <t>21 Jul 2026</t>
        </is>
      </c>
      <c r="G621" s="5" t="inlineStr">
        <is>
          <t>20 Aug 2026</t>
        </is>
      </c>
      <c r="H621" s="8" t="inlineStr">
        <is>
          <t>⏳ UPCOMING</t>
        </is>
      </c>
      <c r="I621" s="4" t="inlineStr">
        <is>
          <t>Section - 31 Technical specification of MPLS FOTE &amp; NMS.pdf</t>
        </is>
      </c>
      <c r="J621" s="6" t="inlineStr">
        <is>
          <t>📕 PDF Document</t>
        </is>
      </c>
      <c r="K621" s="9" t="n">
        <v>946.7</v>
      </c>
      <c r="L621" s="10">
        <f>HYPERLINK("http://127.0.0.1:8000/api/documents/download?id=2548&amp;attachment=true", "⬇ Download Section - 31 Technical s")</f>
        <v/>
      </c>
      <c r="M621" s="10">
        <f>HYPERLINK("http://localhost:5173/?state=Andhra%20Pradesh&amp;keyword=MIS&amp;tender=989582", "🚀 Open in Portal")</f>
        <v/>
      </c>
    </row>
    <row r="622" ht="24" customHeight="1">
      <c r="A622" s="11" t="inlineStr">
        <is>
          <t>Andhra Pradesh</t>
        </is>
      </c>
      <c r="B622" s="12" t="inlineStr">
        <is>
          <t>MIS</t>
        </is>
      </c>
      <c r="C622" s="13" t="inlineStr">
        <is>
          <t>989582</t>
        </is>
      </c>
      <c r="D622"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22" s="14" t="inlineStr">
        <is>
          <t>APTRANSCO WORKS-Chief Engineer Projects, Vijayawada</t>
        </is>
      </c>
      <c r="F622" s="13" t="inlineStr">
        <is>
          <t>21 Jul 2026</t>
        </is>
      </c>
      <c r="G622" s="12" t="inlineStr">
        <is>
          <t>20 Aug 2026</t>
        </is>
      </c>
      <c r="H622" s="8" t="inlineStr">
        <is>
          <t>⏳ UPCOMING</t>
        </is>
      </c>
      <c r="I622" s="11" t="inlineStr">
        <is>
          <t>Section - 32 Tech Spec- SRC Insulators.pdf</t>
        </is>
      </c>
      <c r="J622" s="13" t="inlineStr">
        <is>
          <t>📕 PDF Document</t>
        </is>
      </c>
      <c r="K622" s="15" t="n">
        <v>423.9</v>
      </c>
      <c r="L622" s="16">
        <f>HYPERLINK("http://127.0.0.1:8000/api/documents/download?id=2549&amp;attachment=true", "⬇ Download Section - 32 Tech Spec- ")</f>
        <v/>
      </c>
      <c r="M622" s="16">
        <f>HYPERLINK("http://localhost:5173/?state=Andhra%20Pradesh&amp;keyword=MIS&amp;tender=989582", "🚀 Open in Portal")</f>
        <v/>
      </c>
    </row>
    <row r="623" ht="24" customHeight="1">
      <c r="A623" s="4" t="inlineStr">
        <is>
          <t>Andhra Pradesh</t>
        </is>
      </c>
      <c r="B623" s="5" t="inlineStr">
        <is>
          <t>MIS</t>
        </is>
      </c>
      <c r="C623" s="6" t="inlineStr">
        <is>
          <t>989582</t>
        </is>
      </c>
      <c r="D623"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23" s="7" t="inlineStr">
        <is>
          <t>APTRANSCO WORKS-Chief Engineer Projects, Vijayawada</t>
        </is>
      </c>
      <c r="F623" s="6" t="inlineStr">
        <is>
          <t>21 Jul 2026</t>
        </is>
      </c>
      <c r="G623" s="5" t="inlineStr">
        <is>
          <t>20 Aug 2026</t>
        </is>
      </c>
      <c r="H623" s="8" t="inlineStr">
        <is>
          <t>⏳ UPCOMING</t>
        </is>
      </c>
      <c r="I623" s="4" t="inlineStr">
        <is>
          <t>Section - 33 LED Specification.pdf</t>
        </is>
      </c>
      <c r="J623" s="6" t="inlineStr">
        <is>
          <t>📕 PDF Document</t>
        </is>
      </c>
      <c r="K623" s="9" t="n">
        <v>563</v>
      </c>
      <c r="L623" s="10">
        <f>HYPERLINK("http://127.0.0.1:8000/api/documents/download?id=2550&amp;attachment=true", "⬇ Download Section - 33 LED Specifi")</f>
        <v/>
      </c>
      <c r="M623" s="10">
        <f>HYPERLINK("http://localhost:5173/?state=Andhra%20Pradesh&amp;keyword=MIS&amp;tender=989582", "🚀 Open in Portal")</f>
        <v/>
      </c>
    </row>
    <row r="624" ht="24" customHeight="1">
      <c r="A624" s="11" t="inlineStr">
        <is>
          <t>Andhra Pradesh</t>
        </is>
      </c>
      <c r="B624" s="12" t="inlineStr">
        <is>
          <t>MIS</t>
        </is>
      </c>
      <c r="C624" s="13" t="inlineStr">
        <is>
          <t>989582</t>
        </is>
      </c>
      <c r="D624"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24" s="14" t="inlineStr">
        <is>
          <t>APTRANSCO WORKS-Chief Engineer Projects, Vijayawada</t>
        </is>
      </c>
      <c r="F624" s="13" t="inlineStr">
        <is>
          <t>21 Jul 2026</t>
        </is>
      </c>
      <c r="G624" s="12" t="inlineStr">
        <is>
          <t>20 Aug 2026</t>
        </is>
      </c>
      <c r="H624" s="8" t="inlineStr">
        <is>
          <t>⏳ UPCOMING</t>
        </is>
      </c>
      <c r="I624" s="11" t="inlineStr">
        <is>
          <t>Section - 34 ACSS Cond eq Conductor SPEC_Final.pdf</t>
        </is>
      </c>
      <c r="J624" s="13" t="inlineStr">
        <is>
          <t>📕 PDF Document</t>
        </is>
      </c>
      <c r="K624" s="15" t="n">
        <v>1084</v>
      </c>
      <c r="L624" s="16">
        <f>HYPERLINK("http://127.0.0.1:8000/api/documents/download?id=2551&amp;attachment=true", "⬇ Download Section - 34 ACSS Cond e")</f>
        <v/>
      </c>
      <c r="M624" s="16">
        <f>HYPERLINK("http://localhost:5173/?state=Andhra%20Pradesh&amp;keyword=MIS&amp;tender=989582", "🚀 Open in Portal")</f>
        <v/>
      </c>
    </row>
    <row r="625" ht="24" customHeight="1">
      <c r="A625" s="4" t="inlineStr">
        <is>
          <t>Andhra Pradesh</t>
        </is>
      </c>
      <c r="B625" s="5" t="inlineStr">
        <is>
          <t>MIS</t>
        </is>
      </c>
      <c r="C625" s="6" t="inlineStr">
        <is>
          <t>989582</t>
        </is>
      </c>
      <c r="D625"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25" s="7" t="inlineStr">
        <is>
          <t>APTRANSCO WORKS-Chief Engineer Projects, Vijayawada</t>
        </is>
      </c>
      <c r="F625" s="6" t="inlineStr">
        <is>
          <t>21 Jul 2026</t>
        </is>
      </c>
      <c r="G625" s="5" t="inlineStr">
        <is>
          <t>20 Aug 2026</t>
        </is>
      </c>
      <c r="H625" s="8" t="inlineStr">
        <is>
          <t>⏳ UPCOMING</t>
        </is>
      </c>
      <c r="I625" s="4" t="inlineStr">
        <is>
          <t>Section - 4 Isolator Mettalics.pdf</t>
        </is>
      </c>
      <c r="J625" s="6" t="inlineStr">
        <is>
          <t>📕 PDF Document</t>
        </is>
      </c>
      <c r="K625" s="9" t="n">
        <v>514.5</v>
      </c>
      <c r="L625" s="10">
        <f>HYPERLINK("http://127.0.0.1:8000/api/documents/download?id=2552&amp;attachment=true", "⬇ Download Section - 4 Isolator Met")</f>
        <v/>
      </c>
      <c r="M625" s="10">
        <f>HYPERLINK("http://localhost:5173/?state=Andhra%20Pradesh&amp;keyword=MIS&amp;tender=989582", "🚀 Open in Portal")</f>
        <v/>
      </c>
    </row>
    <row r="626" ht="24" customHeight="1">
      <c r="A626" s="11" t="inlineStr">
        <is>
          <t>Andhra Pradesh</t>
        </is>
      </c>
      <c r="B626" s="12" t="inlineStr">
        <is>
          <t>MIS</t>
        </is>
      </c>
      <c r="C626" s="13" t="inlineStr">
        <is>
          <t>989582</t>
        </is>
      </c>
      <c r="D626"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26" s="14" t="inlineStr">
        <is>
          <t>APTRANSCO WORKS-Chief Engineer Projects, Vijayawada</t>
        </is>
      </c>
      <c r="F626" s="13" t="inlineStr">
        <is>
          <t>21 Jul 2026</t>
        </is>
      </c>
      <c r="G626" s="12" t="inlineStr">
        <is>
          <t>20 Aug 2026</t>
        </is>
      </c>
      <c r="H626" s="8" t="inlineStr">
        <is>
          <t>⏳ UPCOMING</t>
        </is>
      </c>
      <c r="I626" s="11" t="inlineStr">
        <is>
          <t>Section - 5 Solid core  insulators.pdf</t>
        </is>
      </c>
      <c r="J626" s="13" t="inlineStr">
        <is>
          <t>📕 PDF Document</t>
        </is>
      </c>
      <c r="K626" s="15" t="n">
        <v>289.7</v>
      </c>
      <c r="L626" s="16">
        <f>HYPERLINK("http://127.0.0.1:8000/api/documents/download?id=2553&amp;attachment=true", "⬇ Download Section - 5 Solid core  ")</f>
        <v/>
      </c>
      <c r="M626" s="16">
        <f>HYPERLINK("http://localhost:5173/?state=Andhra%20Pradesh&amp;keyword=MIS&amp;tender=989582", "🚀 Open in Portal")</f>
        <v/>
      </c>
    </row>
    <row r="627" ht="24" customHeight="1">
      <c r="A627" s="4" t="inlineStr">
        <is>
          <t>Andhra Pradesh</t>
        </is>
      </c>
      <c r="B627" s="5" t="inlineStr">
        <is>
          <t>MIS</t>
        </is>
      </c>
      <c r="C627" s="6" t="inlineStr">
        <is>
          <t>989582</t>
        </is>
      </c>
      <c r="D627"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27" s="7" t="inlineStr">
        <is>
          <t>APTRANSCO WORKS-Chief Engineer Projects, Vijayawada</t>
        </is>
      </c>
      <c r="F627" s="6" t="inlineStr">
        <is>
          <t>21 Jul 2026</t>
        </is>
      </c>
      <c r="G627" s="5" t="inlineStr">
        <is>
          <t>20 Aug 2026</t>
        </is>
      </c>
      <c r="H627" s="8" t="inlineStr">
        <is>
          <t>⏳ UPCOMING</t>
        </is>
      </c>
      <c r="I627" s="4" t="inlineStr">
        <is>
          <t>Section - 6 Control _ Power Cables.pdf</t>
        </is>
      </c>
      <c r="J627" s="6" t="inlineStr">
        <is>
          <t>📕 PDF Document</t>
        </is>
      </c>
      <c r="K627" s="9" t="n">
        <v>420.2</v>
      </c>
      <c r="L627" s="10">
        <f>HYPERLINK("http://127.0.0.1:8000/api/documents/download?id=2554&amp;attachment=true", "⬇ Download Section - 6 Control _ Po")</f>
        <v/>
      </c>
      <c r="M627" s="10">
        <f>HYPERLINK("http://localhost:5173/?state=Andhra%20Pradesh&amp;keyword=MIS&amp;tender=989582", "🚀 Open in Portal")</f>
        <v/>
      </c>
    </row>
    <row r="628" ht="24" customHeight="1">
      <c r="A628" s="11" t="inlineStr">
        <is>
          <t>Andhra Pradesh</t>
        </is>
      </c>
      <c r="B628" s="12" t="inlineStr">
        <is>
          <t>MIS</t>
        </is>
      </c>
      <c r="C628" s="13" t="inlineStr">
        <is>
          <t>989582</t>
        </is>
      </c>
      <c r="D628"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28" s="14" t="inlineStr">
        <is>
          <t>APTRANSCO WORKS-Chief Engineer Projects, Vijayawada</t>
        </is>
      </c>
      <c r="F628" s="13" t="inlineStr">
        <is>
          <t>21 Jul 2026</t>
        </is>
      </c>
      <c r="G628" s="12" t="inlineStr">
        <is>
          <t>20 Aug 2026</t>
        </is>
      </c>
      <c r="H628" s="8" t="inlineStr">
        <is>
          <t>⏳ UPCOMING</t>
        </is>
      </c>
      <c r="I628" s="11" t="inlineStr">
        <is>
          <t>Section - 7 Battery set &amp; battery charger.pdf</t>
        </is>
      </c>
      <c r="J628" s="13" t="inlineStr">
        <is>
          <t>📕 PDF Document</t>
        </is>
      </c>
      <c r="K628" s="15" t="n">
        <v>1452.5</v>
      </c>
      <c r="L628" s="16">
        <f>HYPERLINK("http://127.0.0.1:8000/api/documents/download?id=2555&amp;attachment=true", "⬇ Download Section - 7 Battery set ")</f>
        <v/>
      </c>
      <c r="M628" s="16">
        <f>HYPERLINK("http://localhost:5173/?state=Andhra%20Pradesh&amp;keyword=MIS&amp;tender=989582", "🚀 Open in Portal")</f>
        <v/>
      </c>
    </row>
    <row r="629" ht="24" customHeight="1">
      <c r="A629" s="4" t="inlineStr">
        <is>
          <t>Andhra Pradesh</t>
        </is>
      </c>
      <c r="B629" s="5" t="inlineStr">
        <is>
          <t>MIS</t>
        </is>
      </c>
      <c r="C629" s="6" t="inlineStr">
        <is>
          <t>989582</t>
        </is>
      </c>
      <c r="D629"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29" s="7" t="inlineStr">
        <is>
          <t>APTRANSCO WORKS-Chief Engineer Projects, Vijayawada</t>
        </is>
      </c>
      <c r="F629" s="6" t="inlineStr">
        <is>
          <t>21 Jul 2026</t>
        </is>
      </c>
      <c r="G629" s="5" t="inlineStr">
        <is>
          <t>20 Aug 2026</t>
        </is>
      </c>
      <c r="H629" s="8" t="inlineStr">
        <is>
          <t>⏳ UPCOMING</t>
        </is>
      </c>
      <c r="I629" s="4" t="inlineStr">
        <is>
          <t>Section - 8 Circuit Breakers.pdf</t>
        </is>
      </c>
      <c r="J629" s="6" t="inlineStr">
        <is>
          <t>📕 PDF Document</t>
        </is>
      </c>
      <c r="K629" s="9" t="n">
        <v>871.7</v>
      </c>
      <c r="L629" s="10">
        <f>HYPERLINK("http://127.0.0.1:8000/api/documents/download?id=2556&amp;attachment=true", "⬇ Download Section - 8 Circuit Brea")</f>
        <v/>
      </c>
      <c r="M629" s="10">
        <f>HYPERLINK("http://localhost:5173/?state=Andhra%20Pradesh&amp;keyword=MIS&amp;tender=989582", "🚀 Open in Portal")</f>
        <v/>
      </c>
    </row>
    <row r="630" ht="24" customHeight="1">
      <c r="A630" s="11" t="inlineStr">
        <is>
          <t>Andhra Pradesh</t>
        </is>
      </c>
      <c r="B630" s="12" t="inlineStr">
        <is>
          <t>MIS</t>
        </is>
      </c>
      <c r="C630" s="13" t="inlineStr">
        <is>
          <t>989582</t>
        </is>
      </c>
      <c r="D630"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30" s="14" t="inlineStr">
        <is>
          <t>APTRANSCO WORKS-Chief Engineer Projects, Vijayawada</t>
        </is>
      </c>
      <c r="F630" s="13" t="inlineStr">
        <is>
          <t>21 Jul 2026</t>
        </is>
      </c>
      <c r="G630" s="12" t="inlineStr">
        <is>
          <t>20 Aug 2026</t>
        </is>
      </c>
      <c r="H630" s="8" t="inlineStr">
        <is>
          <t>⏳ UPCOMING</t>
        </is>
      </c>
      <c r="I630" s="11" t="inlineStr">
        <is>
          <t>Section - 9  LTAC Panel.pdf</t>
        </is>
      </c>
      <c r="J630" s="13" t="inlineStr">
        <is>
          <t>📕 PDF Document</t>
        </is>
      </c>
      <c r="K630" s="15" t="n">
        <v>539</v>
      </c>
      <c r="L630" s="16">
        <f>HYPERLINK("http://127.0.0.1:8000/api/documents/download?id=2557&amp;attachment=true", "⬇ Download Section - 9  LTAC Panel.")</f>
        <v/>
      </c>
      <c r="M630" s="16">
        <f>HYPERLINK("http://localhost:5173/?state=Andhra%20Pradesh&amp;keyword=MIS&amp;tender=989582", "🚀 Open in Portal")</f>
        <v/>
      </c>
    </row>
    <row r="631" ht="24" customHeight="1">
      <c r="A631" s="4" t="inlineStr">
        <is>
          <t>Andhra Pradesh</t>
        </is>
      </c>
      <c r="B631" s="5" t="inlineStr">
        <is>
          <t>MIS</t>
        </is>
      </c>
      <c r="C631" s="6" t="inlineStr">
        <is>
          <t>989582</t>
        </is>
      </c>
      <c r="D631"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31" s="7" t="inlineStr">
        <is>
          <t>APTRANSCO WORKS-Chief Engineer Projects, Vijayawada</t>
        </is>
      </c>
      <c r="F631" s="6" t="inlineStr">
        <is>
          <t>21 Jul 2026</t>
        </is>
      </c>
      <c r="G631" s="5" t="inlineStr">
        <is>
          <t>20 Aug 2026</t>
        </is>
      </c>
      <c r="H631" s="8" t="inlineStr">
        <is>
          <t>⏳ UPCOMING</t>
        </is>
      </c>
      <c r="I631" s="4" t="inlineStr">
        <is>
          <t>Commercial Schedules-e-EHVT e57-26-CTT Towers.xlsx</t>
        </is>
      </c>
      <c r="J631" s="6" t="inlineStr">
        <is>
          <t>📊 Excel BOQ</t>
        </is>
      </c>
      <c r="K631" s="9" t="n">
        <v>54.3</v>
      </c>
      <c r="L631" s="10">
        <f>HYPERLINK("http://127.0.0.1:8000/api/documents/download?id=2558&amp;attachment=true", "⬇ Download Commercial Schedules-e-E")</f>
        <v/>
      </c>
      <c r="M631" s="10">
        <f>HYPERLINK("http://localhost:5173/?state=Andhra%20Pradesh&amp;keyword=MIS&amp;tender=989582", "🚀 Open in Portal")</f>
        <v/>
      </c>
    </row>
    <row r="632" ht="24" customHeight="1">
      <c r="A632" s="11" t="inlineStr">
        <is>
          <t>Andhra Pradesh</t>
        </is>
      </c>
      <c r="B632" s="12" t="inlineStr">
        <is>
          <t>MIS</t>
        </is>
      </c>
      <c r="C632" s="13" t="inlineStr">
        <is>
          <t>989582</t>
        </is>
      </c>
      <c r="D632"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32" s="14" t="inlineStr">
        <is>
          <t>APTRANSCO WORKS-Chief Engineer Projects, Vijayawada</t>
        </is>
      </c>
      <c r="F632" s="13" t="inlineStr">
        <is>
          <t>21 Jul 2026</t>
        </is>
      </c>
      <c r="G632" s="12" t="inlineStr">
        <is>
          <t>20 Aug 2026</t>
        </is>
      </c>
      <c r="H632" s="8" t="inlineStr">
        <is>
          <t>⏳ UPCOMING</t>
        </is>
      </c>
      <c r="I632" s="11" t="inlineStr">
        <is>
          <t>Vol-I -e-EHVT-57-26-CTT Towers.pdf</t>
        </is>
      </c>
      <c r="J632" s="13" t="inlineStr">
        <is>
          <t>📕 PDF Document</t>
        </is>
      </c>
      <c r="K632" s="15" t="n">
        <v>1530.2</v>
      </c>
      <c r="L632" s="16">
        <f>HYPERLINK("http://127.0.0.1:8000/api/documents/download?id=2559&amp;attachment=true", "⬇ Download Vol-I -e-EHVT-57-26-CTT ")</f>
        <v/>
      </c>
      <c r="M632" s="16">
        <f>HYPERLINK("http://localhost:5173/?state=Andhra%20Pradesh&amp;keyword=MIS&amp;tender=989582", "🚀 Open in Portal")</f>
        <v/>
      </c>
    </row>
    <row r="633" ht="24" customHeight="1">
      <c r="A633" s="4" t="inlineStr">
        <is>
          <t>Andhra Pradesh</t>
        </is>
      </c>
      <c r="B633" s="5" t="inlineStr">
        <is>
          <t>MIS</t>
        </is>
      </c>
      <c r="C633" s="6" t="inlineStr">
        <is>
          <t>989582</t>
        </is>
      </c>
      <c r="D633"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33" s="7" t="inlineStr">
        <is>
          <t>APTRANSCO WORKS-Chief Engineer Projects, Vijayawada</t>
        </is>
      </c>
      <c r="F633" s="6" t="inlineStr">
        <is>
          <t>21 Jul 2026</t>
        </is>
      </c>
      <c r="G633" s="5" t="inlineStr">
        <is>
          <t>20 Aug 2026</t>
        </is>
      </c>
      <c r="H633" s="8" t="inlineStr">
        <is>
          <t>⏳ UPCOMING</t>
        </is>
      </c>
      <c r="I633" s="4" t="inlineStr">
        <is>
          <t>Quality Assurance Plan.pdf</t>
        </is>
      </c>
      <c r="J633" s="6" t="inlineStr">
        <is>
          <t>📕 PDF Document</t>
        </is>
      </c>
      <c r="K633" s="9" t="n">
        <v>1303.3</v>
      </c>
      <c r="L633" s="10">
        <f>HYPERLINK("http://127.0.0.1:8000/api/documents/download?id=2560&amp;attachment=true", "⬇ Download Quality Assurance Plan.p")</f>
        <v/>
      </c>
      <c r="M633" s="10">
        <f>HYPERLINK("http://localhost:5173/?state=Andhra%20Pradesh&amp;keyword=MIS&amp;tender=989582", "🚀 Open in Portal")</f>
        <v/>
      </c>
    </row>
    <row r="634" ht="24" customHeight="1">
      <c r="A634" s="11" t="inlineStr">
        <is>
          <t>Andhra Pradesh</t>
        </is>
      </c>
      <c r="B634" s="12" t="inlineStr">
        <is>
          <t>MIS</t>
        </is>
      </c>
      <c r="C634" s="13" t="inlineStr">
        <is>
          <t>989582</t>
        </is>
      </c>
      <c r="D634"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634" s="14" t="inlineStr">
        <is>
          <t>APTRANSCO WORKS-Chief Engineer Projects, Vijayawada</t>
        </is>
      </c>
      <c r="F634" s="13" t="inlineStr">
        <is>
          <t>21 Jul 2026</t>
        </is>
      </c>
      <c r="G634" s="12" t="inlineStr">
        <is>
          <t>20 Aug 2026</t>
        </is>
      </c>
      <c r="H634" s="8" t="inlineStr">
        <is>
          <t>⏳ UPCOMING</t>
        </is>
      </c>
      <c r="I634" s="11" t="inlineStr">
        <is>
          <t>Tender_989582_All_Documents.zip</t>
        </is>
      </c>
      <c r="J634" s="13" t="inlineStr">
        <is>
          <t>📦 ZIP Package</t>
        </is>
      </c>
      <c r="K634" s="15" t="n">
        <v>2114.1</v>
      </c>
      <c r="L634" s="16">
        <f>HYPERLINK("http://127.0.0.1:8000/api/documents/download?id=2561&amp;attachment=true", "⬇ Download Tender_989582_All_Docume")</f>
        <v/>
      </c>
      <c r="M634" s="16">
        <f>HYPERLINK("http://localhost:5173/?state=Andhra%20Pradesh&amp;keyword=MIS&amp;tender=989582", "🚀 Open in Portal")</f>
        <v/>
      </c>
    </row>
    <row r="635" ht="24" customHeight="1">
      <c r="A635" s="4" t="inlineStr">
        <is>
          <t>Andhra Pradesh</t>
        </is>
      </c>
      <c r="B635" s="5" t="inlineStr">
        <is>
          <t>MIS</t>
        </is>
      </c>
      <c r="C635" s="6" t="inlineStr">
        <is>
          <t>993428</t>
        </is>
      </c>
      <c r="D635" s="7" t="inlineStr">
        <is>
          <t>Supply, Erection, Testing and commissioning of 220/132/33KV GIS Kancharapalem and connected lines in Visakhapatnam district</t>
        </is>
      </c>
      <c r="E635" s="7" t="inlineStr">
        <is>
          <t>APTRANSCO WORKS-Chief Engineer Projects, Vijayawada</t>
        </is>
      </c>
      <c r="F635" s="6" t="inlineStr">
        <is>
          <t>21 Sep 2026</t>
        </is>
      </c>
      <c r="G635" s="5" t="inlineStr">
        <is>
          <t>20 Oct 2026</t>
        </is>
      </c>
      <c r="H635" s="18" t="inlineStr">
        <is>
          <t>⚠️ CLOSING SOON</t>
        </is>
      </c>
      <c r="I635" s="4" t="inlineStr">
        <is>
          <t>VOLI APT-e 72-20206 QR Kancharapalem.docx</t>
        </is>
      </c>
      <c r="J635" s="6" t="inlineStr">
        <is>
          <t>📄 DOCX</t>
        </is>
      </c>
      <c r="K635" s="9" t="n">
        <v>33.4</v>
      </c>
      <c r="L635" s="10">
        <f>HYPERLINK("http://127.0.0.1:8000/api/documents/download?id=2425&amp;attachment=true", "⬇ Download VOLI APT-e 72-20206 QR K")</f>
        <v/>
      </c>
      <c r="M635" s="10">
        <f>HYPERLINK("http://localhost:5173/?state=Andhra%20Pradesh&amp;keyword=MIS&amp;tender=993428", "🚀 Open in Portal")</f>
        <v/>
      </c>
    </row>
    <row r="636" ht="24" customHeight="1">
      <c r="A636" s="11" t="inlineStr">
        <is>
          <t>Andhra Pradesh</t>
        </is>
      </c>
      <c r="B636" s="12" t="inlineStr">
        <is>
          <t>MIS</t>
        </is>
      </c>
      <c r="C636" s="13" t="inlineStr">
        <is>
          <t>993428</t>
        </is>
      </c>
      <c r="D636" s="14" t="inlineStr">
        <is>
          <t>Supply, Erection, Testing and commissioning of 220/132/33KV GIS Kancharapalem and connected lines in Visakhapatnam district</t>
        </is>
      </c>
      <c r="E636" s="14" t="inlineStr">
        <is>
          <t>APTRANSCO WORKS-Chief Engineer Projects, Vijayawada</t>
        </is>
      </c>
      <c r="F636" s="13" t="inlineStr">
        <is>
          <t>21 Sep 2026</t>
        </is>
      </c>
      <c r="G636" s="12" t="inlineStr">
        <is>
          <t>20 Oct 2026</t>
        </is>
      </c>
      <c r="H636" s="18" t="inlineStr">
        <is>
          <t>⚠️ CLOSING SOON</t>
        </is>
      </c>
      <c r="I636" s="11" t="inlineStr">
        <is>
          <t>Index.doc</t>
        </is>
      </c>
      <c r="J636" s="13" t="inlineStr">
        <is>
          <t>📄 DOC</t>
        </is>
      </c>
      <c r="K636" s="15" t="n">
        <v>35</v>
      </c>
      <c r="L636" s="16">
        <f>HYPERLINK("http://127.0.0.1:8000/api/documents/download?id=2431&amp;attachment=true", "⬇ Download Index.doc")</f>
        <v/>
      </c>
      <c r="M636" s="16">
        <f>HYPERLINK("http://localhost:5173/?state=Andhra%20Pradesh&amp;keyword=MIS&amp;tender=993428", "🚀 Open in Portal")</f>
        <v/>
      </c>
    </row>
    <row r="637" ht="24" customHeight="1">
      <c r="A637" s="4" t="inlineStr">
        <is>
          <t>Andhra Pradesh</t>
        </is>
      </c>
      <c r="B637" s="5" t="inlineStr">
        <is>
          <t>MIS</t>
        </is>
      </c>
      <c r="C637" s="6" t="inlineStr">
        <is>
          <t>993428</t>
        </is>
      </c>
      <c r="D637" s="7" t="inlineStr">
        <is>
          <t>Supply, Erection, Testing and commissioning of 220/132/33KV GIS Kancharapalem and connected lines in Visakhapatnam district</t>
        </is>
      </c>
      <c r="E637" s="7" t="inlineStr">
        <is>
          <t>APTRANSCO WORKS-Chief Engineer Projects, Vijayawada</t>
        </is>
      </c>
      <c r="F637" s="6" t="inlineStr">
        <is>
          <t>21 Sep 2026</t>
        </is>
      </c>
      <c r="G637" s="5" t="inlineStr">
        <is>
          <t>20 Oct 2026</t>
        </is>
      </c>
      <c r="H637" s="18" t="inlineStr">
        <is>
          <t>⚠️ CLOSING SOON</t>
        </is>
      </c>
      <c r="I637" s="4" t="inlineStr">
        <is>
          <t>Section - 1 General.pdf</t>
        </is>
      </c>
      <c r="J637" s="6" t="inlineStr">
        <is>
          <t>📕 PDF Document</t>
        </is>
      </c>
      <c r="K637" s="9" t="n">
        <v>288.4</v>
      </c>
      <c r="L637" s="10">
        <f>HYPERLINK("http://127.0.0.1:8000/api/documents/download?id=2432&amp;attachment=true", "⬇ Download Section - 1 General.pdf")</f>
        <v/>
      </c>
      <c r="M637" s="10">
        <f>HYPERLINK("http://localhost:5173/?state=Andhra%20Pradesh&amp;keyword=MIS&amp;tender=993428", "🚀 Open in Portal")</f>
        <v/>
      </c>
    </row>
    <row r="638" ht="24" customHeight="1">
      <c r="A638" s="11" t="inlineStr">
        <is>
          <t>Andhra Pradesh</t>
        </is>
      </c>
      <c r="B638" s="12" t="inlineStr">
        <is>
          <t>MIS</t>
        </is>
      </c>
      <c r="C638" s="13" t="inlineStr">
        <is>
          <t>993428</t>
        </is>
      </c>
      <c r="D638" s="14" t="inlineStr">
        <is>
          <t>Supply, Erection, Testing and commissioning of 220/132/33KV GIS Kancharapalem and connected lines in Visakhapatnam district</t>
        </is>
      </c>
      <c r="E638" s="14" t="inlineStr">
        <is>
          <t>APTRANSCO WORKS-Chief Engineer Projects, Vijayawada</t>
        </is>
      </c>
      <c r="F638" s="13" t="inlineStr">
        <is>
          <t>21 Sep 2026</t>
        </is>
      </c>
      <c r="G638" s="12" t="inlineStr">
        <is>
          <t>20 Oct 2026</t>
        </is>
      </c>
      <c r="H638" s="18" t="inlineStr">
        <is>
          <t>⚠️ CLOSING SOON</t>
        </is>
      </c>
      <c r="I638" s="11" t="inlineStr">
        <is>
          <t>Section - 10 Tech  Spec for Control Relay panels.pdf</t>
        </is>
      </c>
      <c r="J638" s="13" t="inlineStr">
        <is>
          <t>📕 PDF Document</t>
        </is>
      </c>
      <c r="K638" s="15" t="n">
        <v>1467.2</v>
      </c>
      <c r="L638" s="16">
        <f>HYPERLINK("http://127.0.0.1:8000/api/documents/download?id=2433&amp;attachment=true", "⬇ Download Section - 10 Tech  Spec ")</f>
        <v/>
      </c>
      <c r="M638" s="16">
        <f>HYPERLINK("http://localhost:5173/?state=Andhra%20Pradesh&amp;keyword=MIS&amp;tender=993428", "🚀 Open in Portal")</f>
        <v/>
      </c>
    </row>
    <row r="639" ht="24" customHeight="1">
      <c r="A639" s="4" t="inlineStr">
        <is>
          <t>Andhra Pradesh</t>
        </is>
      </c>
      <c r="B639" s="5" t="inlineStr">
        <is>
          <t>MIS</t>
        </is>
      </c>
      <c r="C639" s="6" t="inlineStr">
        <is>
          <t>993428</t>
        </is>
      </c>
      <c r="D639" s="7" t="inlineStr">
        <is>
          <t>Supply, Erection, Testing and commissioning of 220/132/33KV GIS Kancharapalem and connected lines in Visakhapatnam district</t>
        </is>
      </c>
      <c r="E639" s="7" t="inlineStr">
        <is>
          <t>APTRANSCO WORKS-Chief Engineer Projects, Vijayawada</t>
        </is>
      </c>
      <c r="F639" s="6" t="inlineStr">
        <is>
          <t>21 Sep 2026</t>
        </is>
      </c>
      <c r="G639" s="5" t="inlineStr">
        <is>
          <t>20 Oct 2026</t>
        </is>
      </c>
      <c r="H639" s="18" t="inlineStr">
        <is>
          <t>⚠️ CLOSING SOON</t>
        </is>
      </c>
      <c r="I639" s="4" t="inlineStr">
        <is>
          <t>Section - 11 -Staton Transformer.pdf</t>
        </is>
      </c>
      <c r="J639" s="6" t="inlineStr">
        <is>
          <t>📕 PDF Document</t>
        </is>
      </c>
      <c r="K639" s="9" t="n">
        <v>274.7</v>
      </c>
      <c r="L639" s="10">
        <f>HYPERLINK("http://127.0.0.1:8000/api/documents/download?id=2434&amp;attachment=true", "⬇ Download Section - 11 -Staton Tra")</f>
        <v/>
      </c>
      <c r="M639" s="10">
        <f>HYPERLINK("http://localhost:5173/?state=Andhra%20Pradesh&amp;keyword=MIS&amp;tender=993428", "🚀 Open in Portal")</f>
        <v/>
      </c>
    </row>
    <row r="640" ht="24" customHeight="1">
      <c r="A640" s="11" t="inlineStr">
        <is>
          <t>Andhra Pradesh</t>
        </is>
      </c>
      <c r="B640" s="12" t="inlineStr">
        <is>
          <t>MIS</t>
        </is>
      </c>
      <c r="C640" s="13" t="inlineStr">
        <is>
          <t>993428</t>
        </is>
      </c>
      <c r="D640" s="14" t="inlineStr">
        <is>
          <t>Supply, Erection, Testing and commissioning of 220/132/33KV GIS Kancharapalem and connected lines in Visakhapatnam district</t>
        </is>
      </c>
      <c r="E640" s="14" t="inlineStr">
        <is>
          <t>APTRANSCO WORKS-Chief Engineer Projects, Vijayawada</t>
        </is>
      </c>
      <c r="F640" s="13" t="inlineStr">
        <is>
          <t>21 Sep 2026</t>
        </is>
      </c>
      <c r="G640" s="12" t="inlineStr">
        <is>
          <t>20 Oct 2026</t>
        </is>
      </c>
      <c r="H640" s="18" t="inlineStr">
        <is>
          <t>⚠️ CLOSING SOON</t>
        </is>
      </c>
      <c r="I640" s="11" t="inlineStr">
        <is>
          <t>Section - 12 ACSR Conductor.pdf</t>
        </is>
      </c>
      <c r="J640" s="13" t="inlineStr">
        <is>
          <t>📕 PDF Document</t>
        </is>
      </c>
      <c r="K640" s="15" t="n">
        <v>679.9</v>
      </c>
      <c r="L640" s="16">
        <f>HYPERLINK("http://127.0.0.1:8000/api/documents/download?id=2435&amp;attachment=true", "⬇ Download Section - 12 ACSR Conduc")</f>
        <v/>
      </c>
      <c r="M640" s="16">
        <f>HYPERLINK("http://localhost:5173/?state=Andhra%20Pradesh&amp;keyword=MIS&amp;tender=993428", "🚀 Open in Portal")</f>
        <v/>
      </c>
    </row>
    <row r="641" ht="24" customHeight="1">
      <c r="A641" s="4" t="inlineStr">
        <is>
          <t>Andhra Pradesh</t>
        </is>
      </c>
      <c r="B641" s="5" t="inlineStr">
        <is>
          <t>MIS</t>
        </is>
      </c>
      <c r="C641" s="6" t="inlineStr">
        <is>
          <t>993428</t>
        </is>
      </c>
      <c r="D641" s="7" t="inlineStr">
        <is>
          <t>Supply, Erection, Testing and commissioning of 220/132/33KV GIS Kancharapalem and connected lines in Visakhapatnam district</t>
        </is>
      </c>
      <c r="E641" s="7" t="inlineStr">
        <is>
          <t>APTRANSCO WORKS-Chief Engineer Projects, Vijayawada</t>
        </is>
      </c>
      <c r="F641" s="6" t="inlineStr">
        <is>
          <t>21 Sep 2026</t>
        </is>
      </c>
      <c r="G641" s="5" t="inlineStr">
        <is>
          <t>20 Oct 2026</t>
        </is>
      </c>
      <c r="H641" s="18" t="inlineStr">
        <is>
          <t>⚠️ CLOSING SOON</t>
        </is>
      </c>
      <c r="I641" s="4" t="inlineStr">
        <is>
          <t>Section - 13 Porcelain disc insulators.pdf</t>
        </is>
      </c>
      <c r="J641" s="6" t="inlineStr">
        <is>
          <t>📕 PDF Document</t>
        </is>
      </c>
      <c r="K641" s="9" t="n">
        <v>423.9</v>
      </c>
      <c r="L641" s="10">
        <f>HYPERLINK("http://127.0.0.1:8000/api/documents/download?id=2436&amp;attachment=true", "⬇ Download Section - 13 Porcelain d")</f>
        <v/>
      </c>
      <c r="M641" s="10">
        <f>HYPERLINK("http://localhost:5173/?state=Andhra%20Pradesh&amp;keyword=MIS&amp;tender=993428", "🚀 Open in Portal")</f>
        <v/>
      </c>
    </row>
    <row r="642" ht="24" customHeight="1">
      <c r="A642" s="11" t="inlineStr">
        <is>
          <t>Andhra Pradesh</t>
        </is>
      </c>
      <c r="B642" s="12" t="inlineStr">
        <is>
          <t>MIS</t>
        </is>
      </c>
      <c r="C642" s="13" t="inlineStr">
        <is>
          <t>993428</t>
        </is>
      </c>
      <c r="D642" s="14" t="inlineStr">
        <is>
          <t>Supply, Erection, Testing and commissioning of 220/132/33KV GIS Kancharapalem and connected lines in Visakhapatnam district</t>
        </is>
      </c>
      <c r="E642" s="14" t="inlineStr">
        <is>
          <t>APTRANSCO WORKS-Chief Engineer Projects, Vijayawada</t>
        </is>
      </c>
      <c r="F642" s="13" t="inlineStr">
        <is>
          <t>21 Sep 2026</t>
        </is>
      </c>
      <c r="G642" s="12" t="inlineStr">
        <is>
          <t>20 Oct 2026</t>
        </is>
      </c>
      <c r="H642" s="18" t="inlineStr">
        <is>
          <t>⚠️ CLOSING SOON</t>
        </is>
      </c>
      <c r="I642" s="11" t="inlineStr">
        <is>
          <t>Section - 14 Transmission line towers.pdf</t>
        </is>
      </c>
      <c r="J642" s="13" t="inlineStr">
        <is>
          <t>📕 PDF Document</t>
        </is>
      </c>
      <c r="K642" s="15" t="n">
        <v>452.1</v>
      </c>
      <c r="L642" s="16">
        <f>HYPERLINK("http://127.0.0.1:8000/api/documents/download?id=2437&amp;attachment=true", "⬇ Download Section - 14 Transmissio")</f>
        <v/>
      </c>
      <c r="M642" s="16">
        <f>HYPERLINK("http://localhost:5173/?state=Andhra%20Pradesh&amp;keyword=MIS&amp;tender=993428", "🚀 Open in Portal")</f>
        <v/>
      </c>
    </row>
    <row r="643" ht="24" customHeight="1">
      <c r="A643" s="4" t="inlineStr">
        <is>
          <t>Andhra Pradesh</t>
        </is>
      </c>
      <c r="B643" s="5" t="inlineStr">
        <is>
          <t>MIS</t>
        </is>
      </c>
      <c r="C643" s="6" t="inlineStr">
        <is>
          <t>993428</t>
        </is>
      </c>
      <c r="D643" s="7" t="inlineStr">
        <is>
          <t>Supply, Erection, Testing and commissioning of 220/132/33KV GIS Kancharapalem and connected lines in Visakhapatnam district</t>
        </is>
      </c>
      <c r="E643" s="7" t="inlineStr">
        <is>
          <t>APTRANSCO WORKS-Chief Engineer Projects, Vijayawada</t>
        </is>
      </c>
      <c r="F643" s="6" t="inlineStr">
        <is>
          <t>21 Sep 2026</t>
        </is>
      </c>
      <c r="G643" s="5" t="inlineStr">
        <is>
          <t>20 Oct 2026</t>
        </is>
      </c>
      <c r="H643" s="18" t="inlineStr">
        <is>
          <t>⚠️ CLOSING SOON</t>
        </is>
      </c>
      <c r="I643" s="4" t="inlineStr">
        <is>
          <t>section - 15 Earth wire.pdf</t>
        </is>
      </c>
      <c r="J643" s="6" t="inlineStr">
        <is>
          <t>📕 PDF Document</t>
        </is>
      </c>
      <c r="K643" s="9" t="n">
        <v>524</v>
      </c>
      <c r="L643" s="10">
        <f>HYPERLINK("http://127.0.0.1:8000/api/documents/download?id=2438&amp;attachment=true", "⬇ Download section - 15 Earth wire.")</f>
        <v/>
      </c>
      <c r="M643" s="10">
        <f>HYPERLINK("http://localhost:5173/?state=Andhra%20Pradesh&amp;keyword=MIS&amp;tender=993428", "🚀 Open in Portal")</f>
        <v/>
      </c>
    </row>
    <row r="644" ht="24" customHeight="1">
      <c r="A644" s="11" t="inlineStr">
        <is>
          <t>Andhra Pradesh</t>
        </is>
      </c>
      <c r="B644" s="12" t="inlineStr">
        <is>
          <t>MIS</t>
        </is>
      </c>
      <c r="C644" s="13" t="inlineStr">
        <is>
          <t>993428</t>
        </is>
      </c>
      <c r="D644" s="14" t="inlineStr">
        <is>
          <t>Supply, Erection, Testing and commissioning of 220/132/33KV GIS Kancharapalem and connected lines in Visakhapatnam district</t>
        </is>
      </c>
      <c r="E644" s="14" t="inlineStr">
        <is>
          <t>APTRANSCO WORKS-Chief Engineer Projects, Vijayawada</t>
        </is>
      </c>
      <c r="F644" s="13" t="inlineStr">
        <is>
          <t>21 Sep 2026</t>
        </is>
      </c>
      <c r="G644" s="12" t="inlineStr">
        <is>
          <t>20 Oct 2026</t>
        </is>
      </c>
      <c r="H644" s="18" t="inlineStr">
        <is>
          <t>⚠️ CLOSING SOON</t>
        </is>
      </c>
      <c r="I644" s="11" t="inlineStr">
        <is>
          <t>Section - 16 Hardware &amp; Accessories for conductor &amp; earth wire.pdf</t>
        </is>
      </c>
      <c r="J644" s="13" t="inlineStr">
        <is>
          <t>📕 PDF Document</t>
        </is>
      </c>
      <c r="K644" s="15" t="n">
        <v>649.1</v>
      </c>
      <c r="L644" s="16">
        <f>HYPERLINK("http://127.0.0.1:8000/api/documents/download?id=2439&amp;attachment=true", "⬇ Download Section - 16 Hardware &amp; ")</f>
        <v/>
      </c>
      <c r="M644" s="16">
        <f>HYPERLINK("http://localhost:5173/?state=Andhra%20Pradesh&amp;keyword=MIS&amp;tender=993428", "🚀 Open in Portal")</f>
        <v/>
      </c>
    </row>
    <row r="645" ht="24" customHeight="1">
      <c r="A645" s="4" t="inlineStr">
        <is>
          <t>Andhra Pradesh</t>
        </is>
      </c>
      <c r="B645" s="5" t="inlineStr">
        <is>
          <t>MIS</t>
        </is>
      </c>
      <c r="C645" s="6" t="inlineStr">
        <is>
          <t>993428</t>
        </is>
      </c>
      <c r="D645" s="7" t="inlineStr">
        <is>
          <t>Supply, Erection, Testing and commissioning of 220/132/33KV GIS Kancharapalem and connected lines in Visakhapatnam district</t>
        </is>
      </c>
      <c r="E645" s="7" t="inlineStr">
        <is>
          <t>APTRANSCO WORKS-Chief Engineer Projects, Vijayawada</t>
        </is>
      </c>
      <c r="F645" s="6" t="inlineStr">
        <is>
          <t>21 Sep 2026</t>
        </is>
      </c>
      <c r="G645" s="5" t="inlineStr">
        <is>
          <t>20 Oct 2026</t>
        </is>
      </c>
      <c r="H645" s="18" t="inlineStr">
        <is>
          <t>⚠️ CLOSING SOON</t>
        </is>
      </c>
      <c r="I645" s="4" t="inlineStr">
        <is>
          <t>section - 17 Bolts &amp; Nuts.pdf</t>
        </is>
      </c>
      <c r="J645" s="6" t="inlineStr">
        <is>
          <t>📕 PDF Document</t>
        </is>
      </c>
      <c r="K645" s="9" t="n">
        <v>472.7</v>
      </c>
      <c r="L645" s="10">
        <f>HYPERLINK("http://127.0.0.1:8000/api/documents/download?id=2440&amp;attachment=true", "⬇ Download section - 17 Bolts &amp; Nut")</f>
        <v/>
      </c>
      <c r="M645" s="10">
        <f>HYPERLINK("http://localhost:5173/?state=Andhra%20Pradesh&amp;keyword=MIS&amp;tender=993428", "🚀 Open in Portal")</f>
        <v/>
      </c>
    </row>
    <row r="646" ht="24" customHeight="1">
      <c r="A646" s="11" t="inlineStr">
        <is>
          <t>Andhra Pradesh</t>
        </is>
      </c>
      <c r="B646" s="12" t="inlineStr">
        <is>
          <t>MIS</t>
        </is>
      </c>
      <c r="C646" s="13" t="inlineStr">
        <is>
          <t>993428</t>
        </is>
      </c>
      <c r="D646" s="14" t="inlineStr">
        <is>
          <t>Supply, Erection, Testing and commissioning of 220/132/33KV GIS Kancharapalem and connected lines in Visakhapatnam district</t>
        </is>
      </c>
      <c r="E646" s="14" t="inlineStr">
        <is>
          <t>APTRANSCO WORKS-Chief Engineer Projects, Vijayawada</t>
        </is>
      </c>
      <c r="F646" s="13" t="inlineStr">
        <is>
          <t>21 Sep 2026</t>
        </is>
      </c>
      <c r="G646" s="12" t="inlineStr">
        <is>
          <t>20 Oct 2026</t>
        </is>
      </c>
      <c r="H646" s="18" t="inlineStr">
        <is>
          <t>⚠️ CLOSING SOON</t>
        </is>
      </c>
      <c r="I646" s="11" t="inlineStr">
        <is>
          <t>Section - 18  Tech Spec for Substation.pdf</t>
        </is>
      </c>
      <c r="J646" s="13" t="inlineStr">
        <is>
          <t>📕 PDF Document</t>
        </is>
      </c>
      <c r="K646" s="15" t="n">
        <v>853.1</v>
      </c>
      <c r="L646" s="16">
        <f>HYPERLINK("http://127.0.0.1:8000/api/documents/download?id=2441&amp;attachment=true", "⬇ Download Section - 18  Tech Spec ")</f>
        <v/>
      </c>
      <c r="M646" s="16">
        <f>HYPERLINK("http://localhost:5173/?state=Andhra%20Pradesh&amp;keyword=MIS&amp;tender=993428", "🚀 Open in Portal")</f>
        <v/>
      </c>
    </row>
    <row r="647" ht="24" customHeight="1">
      <c r="A647" s="4" t="inlineStr">
        <is>
          <t>Andhra Pradesh</t>
        </is>
      </c>
      <c r="B647" s="5" t="inlineStr">
        <is>
          <t>MIS</t>
        </is>
      </c>
      <c r="C647" s="6" t="inlineStr">
        <is>
          <t>993428</t>
        </is>
      </c>
      <c r="D647" s="7" t="inlineStr">
        <is>
          <t>Supply, Erection, Testing and commissioning of 220/132/33KV GIS Kancharapalem and connected lines in Visakhapatnam district</t>
        </is>
      </c>
      <c r="E647" s="7" t="inlineStr">
        <is>
          <t>APTRANSCO WORKS-Chief Engineer Projects, Vijayawada</t>
        </is>
      </c>
      <c r="F647" s="6" t="inlineStr">
        <is>
          <t>21 Sep 2026</t>
        </is>
      </c>
      <c r="G647" s="5" t="inlineStr">
        <is>
          <t>20 Oct 2026</t>
        </is>
      </c>
      <c r="H647" s="18" t="inlineStr">
        <is>
          <t>⚠️ CLOSING SOON</t>
        </is>
      </c>
      <c r="I647" s="4" t="inlineStr">
        <is>
          <t>Section - 19 Tech Spec for Tr Line works.pdf</t>
        </is>
      </c>
      <c r="J647" s="6" t="inlineStr">
        <is>
          <t>📕 PDF Document</t>
        </is>
      </c>
      <c r="K647" s="9" t="n">
        <v>524.5</v>
      </c>
      <c r="L647" s="10">
        <f>HYPERLINK("http://127.0.0.1:8000/api/documents/download?id=2442&amp;attachment=true", "⬇ Download Section - 19 Tech Spec f")</f>
        <v/>
      </c>
      <c r="M647" s="10">
        <f>HYPERLINK("http://localhost:5173/?state=Andhra%20Pradesh&amp;keyword=MIS&amp;tender=993428", "🚀 Open in Portal")</f>
        <v/>
      </c>
    </row>
    <row r="648" ht="24" customHeight="1">
      <c r="A648" s="11" t="inlineStr">
        <is>
          <t>Andhra Pradesh</t>
        </is>
      </c>
      <c r="B648" s="12" t="inlineStr">
        <is>
          <t>MIS</t>
        </is>
      </c>
      <c r="C648" s="13" t="inlineStr">
        <is>
          <t>993428</t>
        </is>
      </c>
      <c r="D648" s="14" t="inlineStr">
        <is>
          <t>Supply, Erection, Testing and commissioning of 220/132/33KV GIS Kancharapalem and connected lines in Visakhapatnam district</t>
        </is>
      </c>
      <c r="E648" s="14" t="inlineStr">
        <is>
          <t>APTRANSCO WORKS-Chief Engineer Projects, Vijayawada</t>
        </is>
      </c>
      <c r="F648" s="13" t="inlineStr">
        <is>
          <t>21 Sep 2026</t>
        </is>
      </c>
      <c r="G648" s="12" t="inlineStr">
        <is>
          <t>20 Oct 2026</t>
        </is>
      </c>
      <c r="H648" s="18" t="inlineStr">
        <is>
          <t>⚠️ CLOSING SOON</t>
        </is>
      </c>
      <c r="I648" s="11" t="inlineStr">
        <is>
          <t>Section - 2 CTs-PTs-CVTs.pdf</t>
        </is>
      </c>
      <c r="J648" s="13" t="inlineStr">
        <is>
          <t>📕 PDF Document</t>
        </is>
      </c>
      <c r="K648" s="15" t="n">
        <v>719.3</v>
      </c>
      <c r="L648" s="16">
        <f>HYPERLINK("http://127.0.0.1:8000/api/documents/download?id=2443&amp;attachment=true", "⬇ Download Section - 2 CTs-PTs-CVTs")</f>
        <v/>
      </c>
      <c r="M648" s="16">
        <f>HYPERLINK("http://localhost:5173/?state=Andhra%20Pradesh&amp;keyword=MIS&amp;tender=993428", "🚀 Open in Portal")</f>
        <v/>
      </c>
    </row>
    <row r="649" ht="24" customHeight="1">
      <c r="A649" s="4" t="inlineStr">
        <is>
          <t>Andhra Pradesh</t>
        </is>
      </c>
      <c r="B649" s="5" t="inlineStr">
        <is>
          <t>MIS</t>
        </is>
      </c>
      <c r="C649" s="6" t="inlineStr">
        <is>
          <t>993428</t>
        </is>
      </c>
      <c r="D649" s="7" t="inlineStr">
        <is>
          <t>Supply, Erection, Testing and commissioning of 220/132/33KV GIS Kancharapalem and connected lines in Visakhapatnam district</t>
        </is>
      </c>
      <c r="E649" s="7" t="inlineStr">
        <is>
          <t>APTRANSCO WORKS-Chief Engineer Projects, Vijayawada</t>
        </is>
      </c>
      <c r="F649" s="6" t="inlineStr">
        <is>
          <t>21 Sep 2026</t>
        </is>
      </c>
      <c r="G649" s="5" t="inlineStr">
        <is>
          <t>20 Oct 2026</t>
        </is>
      </c>
      <c r="H649" s="18" t="inlineStr">
        <is>
          <t>⚠️ CLOSING SOON</t>
        </is>
      </c>
      <c r="I649" s="4" t="inlineStr">
        <is>
          <t>Section - 20  Technical specification of OPGW, OFAC &amp; FODP.pdf</t>
        </is>
      </c>
      <c r="J649" s="6" t="inlineStr">
        <is>
          <t>📕 PDF Document</t>
        </is>
      </c>
      <c r="K649" s="9" t="n">
        <v>1363.8</v>
      </c>
      <c r="L649" s="10">
        <f>HYPERLINK("http://127.0.0.1:8000/api/documents/download?id=2444&amp;attachment=true", "⬇ Download Section - 20  Technical ")</f>
        <v/>
      </c>
      <c r="M649" s="10">
        <f>HYPERLINK("http://localhost:5173/?state=Andhra%20Pradesh&amp;keyword=MIS&amp;tender=993428", "🚀 Open in Portal")</f>
        <v/>
      </c>
    </row>
    <row r="650" ht="24" customHeight="1">
      <c r="A650" s="11" t="inlineStr">
        <is>
          <t>Andhra Pradesh</t>
        </is>
      </c>
      <c r="B650" s="12" t="inlineStr">
        <is>
          <t>MIS</t>
        </is>
      </c>
      <c r="C650" s="13" t="inlineStr">
        <is>
          <t>993428</t>
        </is>
      </c>
      <c r="D650" s="14" t="inlineStr">
        <is>
          <t>Supply, Erection, Testing and commissioning of 220/132/33KV GIS Kancharapalem and connected lines in Visakhapatnam district</t>
        </is>
      </c>
      <c r="E650" s="14" t="inlineStr">
        <is>
          <t>APTRANSCO WORKS-Chief Engineer Projects, Vijayawada</t>
        </is>
      </c>
      <c r="F650" s="13" t="inlineStr">
        <is>
          <t>21 Sep 2026</t>
        </is>
      </c>
      <c r="G650" s="12" t="inlineStr">
        <is>
          <t>20 Oct 2026</t>
        </is>
      </c>
      <c r="H650" s="18" t="inlineStr">
        <is>
          <t>⚠️ CLOSING SOON</t>
        </is>
      </c>
      <c r="I650" s="11" t="inlineStr">
        <is>
          <t>Section - 21  Technical spec for UG OFC, HDPE duct &amp; RCC chambers.pdf</t>
        </is>
      </c>
      <c r="J650" s="13" t="inlineStr">
        <is>
          <t>📕 PDF Document</t>
        </is>
      </c>
      <c r="K650" s="15" t="n">
        <v>480.3</v>
      </c>
      <c r="L650" s="16">
        <f>HYPERLINK("http://127.0.0.1:8000/api/documents/download?id=2445&amp;attachment=true", "⬇ Download Section - 21  Technical ")</f>
        <v/>
      </c>
      <c r="M650" s="16">
        <f>HYPERLINK("http://localhost:5173/?state=Andhra%20Pradesh&amp;keyword=MIS&amp;tender=993428", "🚀 Open in Portal")</f>
        <v/>
      </c>
    </row>
    <row r="651" ht="24" customHeight="1">
      <c r="A651" s="4" t="inlineStr">
        <is>
          <t>Andhra Pradesh</t>
        </is>
      </c>
      <c r="B651" s="5" t="inlineStr">
        <is>
          <t>MIS</t>
        </is>
      </c>
      <c r="C651" s="6" t="inlineStr">
        <is>
          <t>993428</t>
        </is>
      </c>
      <c r="D651" s="7" t="inlineStr">
        <is>
          <t>Supply, Erection, Testing and commissioning of 220/132/33KV GIS Kancharapalem and connected lines in Visakhapatnam district</t>
        </is>
      </c>
      <c r="E651" s="7" t="inlineStr">
        <is>
          <t>APTRANSCO WORKS-Chief Engineer Projects, Vijayawada</t>
        </is>
      </c>
      <c r="F651" s="6" t="inlineStr">
        <is>
          <t>21 Sep 2026</t>
        </is>
      </c>
      <c r="G651" s="5" t="inlineStr">
        <is>
          <t>20 Oct 2026</t>
        </is>
      </c>
      <c r="H651" s="18" t="inlineStr">
        <is>
          <t>⚠️ CLOSING SOON</t>
        </is>
      </c>
      <c r="I651" s="4" t="inlineStr">
        <is>
          <t>Section - 22 Technical specification of SDH (OLTE) equipment.pdf</t>
        </is>
      </c>
      <c r="J651" s="6" t="inlineStr">
        <is>
          <t>📕 PDF Document</t>
        </is>
      </c>
      <c r="K651" s="9" t="n">
        <v>635.3</v>
      </c>
      <c r="L651" s="10">
        <f>HYPERLINK("http://127.0.0.1:8000/api/documents/download?id=2446&amp;attachment=true", "⬇ Download Section - 22 Technical s")</f>
        <v/>
      </c>
      <c r="M651" s="10">
        <f>HYPERLINK("http://localhost:5173/?state=Andhra%20Pradesh&amp;keyword=MIS&amp;tender=993428", "🚀 Open in Portal")</f>
        <v/>
      </c>
    </row>
    <row r="652" ht="24" customHeight="1">
      <c r="A652" s="11" t="inlineStr">
        <is>
          <t>Andhra Pradesh</t>
        </is>
      </c>
      <c r="B652" s="12" t="inlineStr">
        <is>
          <t>MIS</t>
        </is>
      </c>
      <c r="C652" s="13" t="inlineStr">
        <is>
          <t>993428</t>
        </is>
      </c>
      <c r="D652" s="14" t="inlineStr">
        <is>
          <t>Supply, Erection, Testing and commissioning of 220/132/33KV GIS Kancharapalem and connected lines in Visakhapatnam district</t>
        </is>
      </c>
      <c r="E652" s="14" t="inlineStr">
        <is>
          <t>APTRANSCO WORKS-Chief Engineer Projects, Vijayawada</t>
        </is>
      </c>
      <c r="F652" s="13" t="inlineStr">
        <is>
          <t>21 Sep 2026</t>
        </is>
      </c>
      <c r="G652" s="12" t="inlineStr">
        <is>
          <t>20 Oct 2026</t>
        </is>
      </c>
      <c r="H652" s="18" t="inlineStr">
        <is>
          <t>⚠️ CLOSING SOON</t>
        </is>
      </c>
      <c r="I652" s="11" t="inlineStr">
        <is>
          <t>Section - 23 Technical specification of DTPC.pdf</t>
        </is>
      </c>
      <c r="J652" s="13" t="inlineStr">
        <is>
          <t>📕 PDF Document</t>
        </is>
      </c>
      <c r="K652" s="15" t="n">
        <v>198.2</v>
      </c>
      <c r="L652" s="16">
        <f>HYPERLINK("http://127.0.0.1:8000/api/documents/download?id=2447&amp;attachment=true", "⬇ Download Section - 23 Technical s")</f>
        <v/>
      </c>
      <c r="M652" s="16">
        <f>HYPERLINK("http://localhost:5173/?state=Andhra%20Pradesh&amp;keyword=MIS&amp;tender=993428", "🚀 Open in Portal")</f>
        <v/>
      </c>
    </row>
    <row r="653" ht="24" customHeight="1">
      <c r="A653" s="4" t="inlineStr">
        <is>
          <t>Andhra Pradesh</t>
        </is>
      </c>
      <c r="B653" s="5" t="inlineStr">
        <is>
          <t>MIS</t>
        </is>
      </c>
      <c r="C653" s="6" t="inlineStr">
        <is>
          <t>993428</t>
        </is>
      </c>
      <c r="D653" s="7" t="inlineStr">
        <is>
          <t>Supply, Erection, Testing and commissioning of 220/132/33KV GIS Kancharapalem and connected lines in Visakhapatnam district</t>
        </is>
      </c>
      <c r="E653" s="7" t="inlineStr">
        <is>
          <t>APTRANSCO WORKS-Chief Engineer Projects, Vijayawada</t>
        </is>
      </c>
      <c r="F653" s="6" t="inlineStr">
        <is>
          <t>21 Sep 2026</t>
        </is>
      </c>
      <c r="G653" s="5" t="inlineStr">
        <is>
          <t>20 Oct 2026</t>
        </is>
      </c>
      <c r="H653" s="18" t="inlineStr">
        <is>
          <t>⚠️ CLOSING SOON</t>
        </is>
      </c>
      <c r="I653" s="4" t="inlineStr">
        <is>
          <t>Section - 24 Technical specification of  VOIP Phone.pdf</t>
        </is>
      </c>
      <c r="J653" s="6" t="inlineStr">
        <is>
          <t>📕 PDF Document</t>
        </is>
      </c>
      <c r="K653" s="9" t="n">
        <v>259.9</v>
      </c>
      <c r="L653" s="10">
        <f>HYPERLINK("http://127.0.0.1:8000/api/documents/download?id=2448&amp;attachment=true", "⬇ Download Section - 24 Technical s")</f>
        <v/>
      </c>
      <c r="M653" s="10">
        <f>HYPERLINK("http://localhost:5173/?state=Andhra%20Pradesh&amp;keyword=MIS&amp;tender=993428", "🚀 Open in Portal")</f>
        <v/>
      </c>
    </row>
    <row r="654" ht="24" customHeight="1">
      <c r="A654" s="11" t="inlineStr">
        <is>
          <t>Andhra Pradesh</t>
        </is>
      </c>
      <c r="B654" s="12" t="inlineStr">
        <is>
          <t>MIS</t>
        </is>
      </c>
      <c r="C654" s="13" t="inlineStr">
        <is>
          <t>993428</t>
        </is>
      </c>
      <c r="D654" s="14" t="inlineStr">
        <is>
          <t>Supply, Erection, Testing and commissioning of 220/132/33KV GIS Kancharapalem and connected lines in Visakhapatnam district</t>
        </is>
      </c>
      <c r="E654" s="14" t="inlineStr">
        <is>
          <t>APTRANSCO WORKS-Chief Engineer Projects, Vijayawada</t>
        </is>
      </c>
      <c r="F654" s="13" t="inlineStr">
        <is>
          <t>21 Sep 2026</t>
        </is>
      </c>
      <c r="G654" s="12" t="inlineStr">
        <is>
          <t>20 Oct 2026</t>
        </is>
      </c>
      <c r="H654" s="18" t="inlineStr">
        <is>
          <t>⚠️ CLOSING SOON</t>
        </is>
      </c>
      <c r="I654" s="11" t="inlineStr">
        <is>
          <t>Section - 25 Technical specification of 48V Chargers.pdf</t>
        </is>
      </c>
      <c r="J654" s="13" t="inlineStr">
        <is>
          <t>📕 PDF Document</t>
        </is>
      </c>
      <c r="K654" s="15" t="n">
        <v>443.3</v>
      </c>
      <c r="L654" s="16">
        <f>HYPERLINK("http://127.0.0.1:8000/api/documents/download?id=2449&amp;attachment=true", "⬇ Download Section - 25 Technical s")</f>
        <v/>
      </c>
      <c r="M654" s="16">
        <f>HYPERLINK("http://localhost:5173/?state=Andhra%20Pradesh&amp;keyword=MIS&amp;tender=993428", "🚀 Open in Portal")</f>
        <v/>
      </c>
    </row>
    <row r="655" ht="24" customHeight="1">
      <c r="A655" s="4" t="inlineStr">
        <is>
          <t>Andhra Pradesh</t>
        </is>
      </c>
      <c r="B655" s="5" t="inlineStr">
        <is>
          <t>MIS</t>
        </is>
      </c>
      <c r="C655" s="6" t="inlineStr">
        <is>
          <t>993428</t>
        </is>
      </c>
      <c r="D655" s="7" t="inlineStr">
        <is>
          <t>Supply, Erection, Testing and commissioning of 220/132/33KV GIS Kancharapalem and connected lines in Visakhapatnam district</t>
        </is>
      </c>
      <c r="E655" s="7" t="inlineStr">
        <is>
          <t>APTRANSCO WORKS-Chief Engineer Projects, Vijayawada</t>
        </is>
      </c>
      <c r="F655" s="6" t="inlineStr">
        <is>
          <t>21 Sep 2026</t>
        </is>
      </c>
      <c r="G655" s="5" t="inlineStr">
        <is>
          <t>20 Oct 2026</t>
        </is>
      </c>
      <c r="H655" s="18" t="inlineStr">
        <is>
          <t>⚠️ CLOSING SOON</t>
        </is>
      </c>
      <c r="I655" s="4" t="inlineStr">
        <is>
          <t>Section - 26 Technical specification of 48V Battery sets.pdf</t>
        </is>
      </c>
      <c r="J655" s="6" t="inlineStr">
        <is>
          <t>📕 PDF Document</t>
        </is>
      </c>
      <c r="K655" s="9" t="n">
        <v>188.2</v>
      </c>
      <c r="L655" s="10">
        <f>HYPERLINK("http://127.0.0.1:8000/api/documents/download?id=2450&amp;attachment=true", "⬇ Download Section - 26 Technical s")</f>
        <v/>
      </c>
      <c r="M655" s="10">
        <f>HYPERLINK("http://localhost:5173/?state=Andhra%20Pradesh&amp;keyword=MIS&amp;tender=993428", "🚀 Open in Portal")</f>
        <v/>
      </c>
    </row>
    <row r="656" ht="24" customHeight="1">
      <c r="A656" s="11" t="inlineStr">
        <is>
          <t>Andhra Pradesh</t>
        </is>
      </c>
      <c r="B656" s="12" t="inlineStr">
        <is>
          <t>MIS</t>
        </is>
      </c>
      <c r="C656" s="13" t="inlineStr">
        <is>
          <t>993428</t>
        </is>
      </c>
      <c r="D656" s="14" t="inlineStr">
        <is>
          <t>Supply, Erection, Testing and commissioning of 220/132/33KV GIS Kancharapalem and connected lines in Visakhapatnam district</t>
        </is>
      </c>
      <c r="E656" s="14" t="inlineStr">
        <is>
          <t>APTRANSCO WORKS-Chief Engineer Projects, Vijayawada</t>
        </is>
      </c>
      <c r="F656" s="13" t="inlineStr">
        <is>
          <t>21 Sep 2026</t>
        </is>
      </c>
      <c r="G656" s="12" t="inlineStr">
        <is>
          <t>20 Oct 2026</t>
        </is>
      </c>
      <c r="H656" s="18" t="inlineStr">
        <is>
          <t>⚠️ CLOSING SOON</t>
        </is>
      </c>
      <c r="I656" s="11" t="inlineStr">
        <is>
          <t>Section - 27  Techincal specification of Testing Instruments..pdf</t>
        </is>
      </c>
      <c r="J656" s="13" t="inlineStr">
        <is>
          <t>📕 PDF Document</t>
        </is>
      </c>
      <c r="K656" s="15" t="n">
        <v>629.7</v>
      </c>
      <c r="L656" s="16">
        <f>HYPERLINK("http://127.0.0.1:8000/api/documents/download?id=2451&amp;attachment=true", "⬇ Download Section - 27  Techincal ")</f>
        <v/>
      </c>
      <c r="M656" s="16">
        <f>HYPERLINK("http://localhost:5173/?state=Andhra%20Pradesh&amp;keyword=MIS&amp;tender=993428", "🚀 Open in Portal")</f>
        <v/>
      </c>
    </row>
    <row r="657" ht="24" customHeight="1">
      <c r="A657" s="4" t="inlineStr">
        <is>
          <t>Andhra Pradesh</t>
        </is>
      </c>
      <c r="B657" s="5" t="inlineStr">
        <is>
          <t>MIS</t>
        </is>
      </c>
      <c r="C657" s="6" t="inlineStr">
        <is>
          <t>993428</t>
        </is>
      </c>
      <c r="D657" s="7" t="inlineStr">
        <is>
          <t>Supply, Erection, Testing and commissioning of 220/132/33KV GIS Kancharapalem and connected lines in Visakhapatnam district</t>
        </is>
      </c>
      <c r="E657" s="7" t="inlineStr">
        <is>
          <t>APTRANSCO WORKS-Chief Engineer Projects, Vijayawada</t>
        </is>
      </c>
      <c r="F657" s="6" t="inlineStr">
        <is>
          <t>21 Sep 2026</t>
        </is>
      </c>
      <c r="G657" s="5" t="inlineStr">
        <is>
          <t>20 Oct 2026</t>
        </is>
      </c>
      <c r="H657" s="18" t="inlineStr">
        <is>
          <t>⚠️ CLOSING SOON</t>
        </is>
      </c>
      <c r="I657" s="4" t="inlineStr">
        <is>
          <t>Section - 28 -Technical specifications of cables.pdf</t>
        </is>
      </c>
      <c r="J657" s="6" t="inlineStr">
        <is>
          <t>📕 PDF Document</t>
        </is>
      </c>
      <c r="K657" s="9" t="n">
        <v>617.5</v>
      </c>
      <c r="L657" s="10">
        <f>HYPERLINK("http://127.0.0.1:8000/api/documents/download?id=2452&amp;attachment=true", "⬇ Download Section - 28 -Technical ")</f>
        <v/>
      </c>
      <c r="M657" s="10">
        <f>HYPERLINK("http://localhost:5173/?state=Andhra%20Pradesh&amp;keyword=MIS&amp;tender=993428", "🚀 Open in Portal")</f>
        <v/>
      </c>
    </row>
    <row r="658" ht="24" customHeight="1">
      <c r="A658" s="11" t="inlineStr">
        <is>
          <t>Andhra Pradesh</t>
        </is>
      </c>
      <c r="B658" s="12" t="inlineStr">
        <is>
          <t>MIS</t>
        </is>
      </c>
      <c r="C658" s="13" t="inlineStr">
        <is>
          <t>993428</t>
        </is>
      </c>
      <c r="D658" s="14" t="inlineStr">
        <is>
          <t>Supply, Erection, Testing and commissioning of 220/132/33KV GIS Kancharapalem and connected lines in Visakhapatnam district</t>
        </is>
      </c>
      <c r="E658" s="14" t="inlineStr">
        <is>
          <t>APTRANSCO WORKS-Chief Engineer Projects, Vijayawada</t>
        </is>
      </c>
      <c r="F658" s="13" t="inlineStr">
        <is>
          <t>21 Sep 2026</t>
        </is>
      </c>
      <c r="G658" s="12" t="inlineStr">
        <is>
          <t>20 Oct 2026</t>
        </is>
      </c>
      <c r="H658" s="18" t="inlineStr">
        <is>
          <t>⚠️ CLOSING SOON</t>
        </is>
      </c>
      <c r="I658" s="11" t="inlineStr">
        <is>
          <t>Section - 29 Long rod insulators.pdf</t>
        </is>
      </c>
      <c r="J658" s="13" t="inlineStr">
        <is>
          <t>📕 PDF Document</t>
        </is>
      </c>
      <c r="K658" s="15" t="n">
        <v>433.9</v>
      </c>
      <c r="L658" s="16">
        <f>HYPERLINK("http://127.0.0.1:8000/api/documents/download?id=2453&amp;attachment=true", "⬇ Download Section - 29 Long rod in")</f>
        <v/>
      </c>
      <c r="M658" s="16">
        <f>HYPERLINK("http://localhost:5173/?state=Andhra%20Pradesh&amp;keyword=MIS&amp;tender=993428", "🚀 Open in Portal")</f>
        <v/>
      </c>
    </row>
    <row r="659" ht="24" customHeight="1">
      <c r="A659" s="4" t="inlineStr">
        <is>
          <t>Andhra Pradesh</t>
        </is>
      </c>
      <c r="B659" s="5" t="inlineStr">
        <is>
          <t>MIS</t>
        </is>
      </c>
      <c r="C659" s="6" t="inlineStr">
        <is>
          <t>993428</t>
        </is>
      </c>
      <c r="D659" s="7" t="inlineStr">
        <is>
          <t>Supply, Erection, Testing and commissioning of 220/132/33KV GIS Kancharapalem and connected lines in Visakhapatnam district</t>
        </is>
      </c>
      <c r="E659" s="7" t="inlineStr">
        <is>
          <t>APTRANSCO WORKS-Chief Engineer Projects, Vijayawada</t>
        </is>
      </c>
      <c r="F659" s="6" t="inlineStr">
        <is>
          <t>21 Sep 2026</t>
        </is>
      </c>
      <c r="G659" s="5" t="inlineStr">
        <is>
          <t>20 Oct 2026</t>
        </is>
      </c>
      <c r="H659" s="18" t="inlineStr">
        <is>
          <t>⚠️ CLOSING SOON</t>
        </is>
      </c>
      <c r="I659" s="4" t="inlineStr">
        <is>
          <t>Section - 3 Surge Arrestors.pdf</t>
        </is>
      </c>
      <c r="J659" s="6" t="inlineStr">
        <is>
          <t>📕 PDF Document</t>
        </is>
      </c>
      <c r="K659" s="9" t="n">
        <v>431</v>
      </c>
      <c r="L659" s="10">
        <f>HYPERLINK("http://127.0.0.1:8000/api/documents/download?id=2454&amp;attachment=true", "⬇ Download Section - 3 Surge Arrest")</f>
        <v/>
      </c>
      <c r="M659" s="10">
        <f>HYPERLINK("http://localhost:5173/?state=Andhra%20Pradesh&amp;keyword=MIS&amp;tender=993428", "🚀 Open in Portal")</f>
        <v/>
      </c>
    </row>
    <row r="660" ht="24" customHeight="1">
      <c r="A660" s="11" t="inlineStr">
        <is>
          <t>Andhra Pradesh</t>
        </is>
      </c>
      <c r="B660" s="12" t="inlineStr">
        <is>
          <t>MIS</t>
        </is>
      </c>
      <c r="C660" s="13" t="inlineStr">
        <is>
          <t>993428</t>
        </is>
      </c>
      <c r="D660" s="14" t="inlineStr">
        <is>
          <t>Supply, Erection, Testing and commissioning of 220/132/33KV GIS Kancharapalem and connected lines in Visakhapatnam district</t>
        </is>
      </c>
      <c r="E660" s="14" t="inlineStr">
        <is>
          <t>APTRANSCO WORKS-Chief Engineer Projects, Vijayawada</t>
        </is>
      </c>
      <c r="F660" s="13" t="inlineStr">
        <is>
          <t>21 Sep 2026</t>
        </is>
      </c>
      <c r="G660" s="12" t="inlineStr">
        <is>
          <t>20 Oct 2026</t>
        </is>
      </c>
      <c r="H660" s="18" t="inlineStr">
        <is>
          <t>⚠️ CLOSING SOON</t>
        </is>
      </c>
      <c r="I660" s="11" t="inlineStr">
        <is>
          <t>Section - 30 Technical specification of AC unit &amp; Stabilizer.pdf</t>
        </is>
      </c>
      <c r="J660" s="13" t="inlineStr">
        <is>
          <t>📕 PDF Document</t>
        </is>
      </c>
      <c r="K660" s="15" t="n">
        <v>156.4</v>
      </c>
      <c r="L660" s="16">
        <f>HYPERLINK("http://127.0.0.1:8000/api/documents/download?id=2455&amp;attachment=true", "⬇ Download Section - 30 Technical s")</f>
        <v/>
      </c>
      <c r="M660" s="16">
        <f>HYPERLINK("http://localhost:5173/?state=Andhra%20Pradesh&amp;keyword=MIS&amp;tender=993428", "🚀 Open in Portal")</f>
        <v/>
      </c>
    </row>
    <row r="661" ht="24" customHeight="1">
      <c r="A661" s="4" t="inlineStr">
        <is>
          <t>Andhra Pradesh</t>
        </is>
      </c>
      <c r="B661" s="5" t="inlineStr">
        <is>
          <t>MIS</t>
        </is>
      </c>
      <c r="C661" s="6" t="inlineStr">
        <is>
          <t>993428</t>
        </is>
      </c>
      <c r="D661" s="7" t="inlineStr">
        <is>
          <t>Supply, Erection, Testing and commissioning of 220/132/33KV GIS Kancharapalem and connected lines in Visakhapatnam district</t>
        </is>
      </c>
      <c r="E661" s="7" t="inlineStr">
        <is>
          <t>APTRANSCO WORKS-Chief Engineer Projects, Vijayawada</t>
        </is>
      </c>
      <c r="F661" s="6" t="inlineStr">
        <is>
          <t>21 Sep 2026</t>
        </is>
      </c>
      <c r="G661" s="5" t="inlineStr">
        <is>
          <t>20 Oct 2026</t>
        </is>
      </c>
      <c r="H661" s="18" t="inlineStr">
        <is>
          <t>⚠️ CLOSING SOON</t>
        </is>
      </c>
      <c r="I661" s="4" t="inlineStr">
        <is>
          <t>Section - 31 Technical specification of MPLS FOTE &amp; NMS.pdf</t>
        </is>
      </c>
      <c r="J661" s="6" t="inlineStr">
        <is>
          <t>📕 PDF Document</t>
        </is>
      </c>
      <c r="K661" s="9" t="n">
        <v>946.7</v>
      </c>
      <c r="L661" s="10">
        <f>HYPERLINK("http://127.0.0.1:8000/api/documents/download?id=2456&amp;attachment=true", "⬇ Download Section - 31 Technical s")</f>
        <v/>
      </c>
      <c r="M661" s="10">
        <f>HYPERLINK("http://localhost:5173/?state=Andhra%20Pradesh&amp;keyword=MIS&amp;tender=993428", "🚀 Open in Portal")</f>
        <v/>
      </c>
    </row>
    <row r="662" ht="24" customHeight="1">
      <c r="A662" s="11" t="inlineStr">
        <is>
          <t>Andhra Pradesh</t>
        </is>
      </c>
      <c r="B662" s="12" t="inlineStr">
        <is>
          <t>MIS</t>
        </is>
      </c>
      <c r="C662" s="13" t="inlineStr">
        <is>
          <t>993428</t>
        </is>
      </c>
      <c r="D662" s="14" t="inlineStr">
        <is>
          <t>Supply, Erection, Testing and commissioning of 220/132/33KV GIS Kancharapalem and connected lines in Visakhapatnam district</t>
        </is>
      </c>
      <c r="E662" s="14" t="inlineStr">
        <is>
          <t>APTRANSCO WORKS-Chief Engineer Projects, Vijayawada</t>
        </is>
      </c>
      <c r="F662" s="13" t="inlineStr">
        <is>
          <t>21 Sep 2026</t>
        </is>
      </c>
      <c r="G662" s="12" t="inlineStr">
        <is>
          <t>20 Oct 2026</t>
        </is>
      </c>
      <c r="H662" s="18" t="inlineStr">
        <is>
          <t>⚠️ CLOSING SOON</t>
        </is>
      </c>
      <c r="I662" s="11" t="inlineStr">
        <is>
          <t>Section - 32 Tech Spec- SRC Insulators.pdf</t>
        </is>
      </c>
      <c r="J662" s="13" t="inlineStr">
        <is>
          <t>📕 PDF Document</t>
        </is>
      </c>
      <c r="K662" s="15" t="n">
        <v>423.9</v>
      </c>
      <c r="L662" s="16">
        <f>HYPERLINK("http://127.0.0.1:8000/api/documents/download?id=2457&amp;attachment=true", "⬇ Download Section - 32 Tech Spec- ")</f>
        <v/>
      </c>
      <c r="M662" s="16">
        <f>HYPERLINK("http://localhost:5173/?state=Andhra%20Pradesh&amp;keyword=MIS&amp;tender=993428", "🚀 Open in Portal")</f>
        <v/>
      </c>
    </row>
    <row r="663" ht="24" customHeight="1">
      <c r="A663" s="4" t="inlineStr">
        <is>
          <t>Andhra Pradesh</t>
        </is>
      </c>
      <c r="B663" s="5" t="inlineStr">
        <is>
          <t>MIS</t>
        </is>
      </c>
      <c r="C663" s="6" t="inlineStr">
        <is>
          <t>993428</t>
        </is>
      </c>
      <c r="D663" s="7" t="inlineStr">
        <is>
          <t>Supply, Erection, Testing and commissioning of 220/132/33KV GIS Kancharapalem and connected lines in Visakhapatnam district</t>
        </is>
      </c>
      <c r="E663" s="7" t="inlineStr">
        <is>
          <t>APTRANSCO WORKS-Chief Engineer Projects, Vijayawada</t>
        </is>
      </c>
      <c r="F663" s="6" t="inlineStr">
        <is>
          <t>21 Sep 2026</t>
        </is>
      </c>
      <c r="G663" s="5" t="inlineStr">
        <is>
          <t>20 Oct 2026</t>
        </is>
      </c>
      <c r="H663" s="18" t="inlineStr">
        <is>
          <t>⚠️ CLOSING SOON</t>
        </is>
      </c>
      <c r="I663" s="4" t="inlineStr">
        <is>
          <t>Section - 33 LED Specification.pdf</t>
        </is>
      </c>
      <c r="J663" s="6" t="inlineStr">
        <is>
          <t>📕 PDF Document</t>
        </is>
      </c>
      <c r="K663" s="9" t="n">
        <v>563</v>
      </c>
      <c r="L663" s="10">
        <f>HYPERLINK("http://127.0.0.1:8000/api/documents/download?id=2458&amp;attachment=true", "⬇ Download Section - 33 LED Specifi")</f>
        <v/>
      </c>
      <c r="M663" s="10">
        <f>HYPERLINK("http://localhost:5173/?state=Andhra%20Pradesh&amp;keyword=MIS&amp;tender=993428", "🚀 Open in Portal")</f>
        <v/>
      </c>
    </row>
    <row r="664" ht="24" customHeight="1">
      <c r="A664" s="11" t="inlineStr">
        <is>
          <t>Andhra Pradesh</t>
        </is>
      </c>
      <c r="B664" s="12" t="inlineStr">
        <is>
          <t>MIS</t>
        </is>
      </c>
      <c r="C664" s="13" t="inlineStr">
        <is>
          <t>993428</t>
        </is>
      </c>
      <c r="D664" s="14" t="inlineStr">
        <is>
          <t>Supply, Erection, Testing and commissioning of 220/132/33KV GIS Kancharapalem and connected lines in Visakhapatnam district</t>
        </is>
      </c>
      <c r="E664" s="14" t="inlineStr">
        <is>
          <t>APTRANSCO WORKS-Chief Engineer Projects, Vijayawada</t>
        </is>
      </c>
      <c r="F664" s="13" t="inlineStr">
        <is>
          <t>21 Sep 2026</t>
        </is>
      </c>
      <c r="G664" s="12" t="inlineStr">
        <is>
          <t>20 Oct 2026</t>
        </is>
      </c>
      <c r="H664" s="18" t="inlineStr">
        <is>
          <t>⚠️ CLOSING SOON</t>
        </is>
      </c>
      <c r="I664" s="11" t="inlineStr">
        <is>
          <t>Section - 34 ACSS Cond eq Conductor SPEC_Final.pdf</t>
        </is>
      </c>
      <c r="J664" s="13" t="inlineStr">
        <is>
          <t>📕 PDF Document</t>
        </is>
      </c>
      <c r="K664" s="15" t="n">
        <v>1084</v>
      </c>
      <c r="L664" s="16">
        <f>HYPERLINK("http://127.0.0.1:8000/api/documents/download?id=2459&amp;attachment=true", "⬇ Download Section - 34 ACSS Cond e")</f>
        <v/>
      </c>
      <c r="M664" s="16">
        <f>HYPERLINK("http://localhost:5173/?state=Andhra%20Pradesh&amp;keyword=MIS&amp;tender=993428", "🚀 Open in Portal")</f>
        <v/>
      </c>
    </row>
    <row r="665" ht="24" customHeight="1">
      <c r="A665" s="4" t="inlineStr">
        <is>
          <t>Andhra Pradesh</t>
        </is>
      </c>
      <c r="B665" s="5" t="inlineStr">
        <is>
          <t>MIS</t>
        </is>
      </c>
      <c r="C665" s="6" t="inlineStr">
        <is>
          <t>993428</t>
        </is>
      </c>
      <c r="D665" s="7" t="inlineStr">
        <is>
          <t>Supply, Erection, Testing and commissioning of 220/132/33KV GIS Kancharapalem and connected lines in Visakhapatnam district</t>
        </is>
      </c>
      <c r="E665" s="7" t="inlineStr">
        <is>
          <t>APTRANSCO WORKS-Chief Engineer Projects, Vijayawada</t>
        </is>
      </c>
      <c r="F665" s="6" t="inlineStr">
        <is>
          <t>21 Sep 2026</t>
        </is>
      </c>
      <c r="G665" s="5" t="inlineStr">
        <is>
          <t>20 Oct 2026</t>
        </is>
      </c>
      <c r="H665" s="18" t="inlineStr">
        <is>
          <t>⚠️ CLOSING SOON</t>
        </is>
      </c>
      <c r="I665" s="4" t="inlineStr">
        <is>
          <t>Section - 4 Isolator Mettalics.pdf</t>
        </is>
      </c>
      <c r="J665" s="6" t="inlineStr">
        <is>
          <t>📕 PDF Document</t>
        </is>
      </c>
      <c r="K665" s="9" t="n">
        <v>514.5</v>
      </c>
      <c r="L665" s="10">
        <f>HYPERLINK("http://127.0.0.1:8000/api/documents/download?id=2460&amp;attachment=true", "⬇ Download Section - 4 Isolator Met")</f>
        <v/>
      </c>
      <c r="M665" s="10">
        <f>HYPERLINK("http://localhost:5173/?state=Andhra%20Pradesh&amp;keyword=MIS&amp;tender=993428", "🚀 Open in Portal")</f>
        <v/>
      </c>
    </row>
    <row r="666" ht="24" customHeight="1">
      <c r="A666" s="11" t="inlineStr">
        <is>
          <t>Andhra Pradesh</t>
        </is>
      </c>
      <c r="B666" s="12" t="inlineStr">
        <is>
          <t>MIS</t>
        </is>
      </c>
      <c r="C666" s="13" t="inlineStr">
        <is>
          <t>993428</t>
        </is>
      </c>
      <c r="D666" s="14" t="inlineStr">
        <is>
          <t>Supply, Erection, Testing and commissioning of 220/132/33KV GIS Kancharapalem and connected lines in Visakhapatnam district</t>
        </is>
      </c>
      <c r="E666" s="14" t="inlineStr">
        <is>
          <t>APTRANSCO WORKS-Chief Engineer Projects, Vijayawada</t>
        </is>
      </c>
      <c r="F666" s="13" t="inlineStr">
        <is>
          <t>21 Sep 2026</t>
        </is>
      </c>
      <c r="G666" s="12" t="inlineStr">
        <is>
          <t>20 Oct 2026</t>
        </is>
      </c>
      <c r="H666" s="18" t="inlineStr">
        <is>
          <t>⚠️ CLOSING SOON</t>
        </is>
      </c>
      <c r="I666" s="11" t="inlineStr">
        <is>
          <t>Section - 5 Solid core  insulators.pdf</t>
        </is>
      </c>
      <c r="J666" s="13" t="inlineStr">
        <is>
          <t>📕 PDF Document</t>
        </is>
      </c>
      <c r="K666" s="15" t="n">
        <v>289.7</v>
      </c>
      <c r="L666" s="16">
        <f>HYPERLINK("http://127.0.0.1:8000/api/documents/download?id=2461&amp;attachment=true", "⬇ Download Section - 5 Solid core  ")</f>
        <v/>
      </c>
      <c r="M666" s="16">
        <f>HYPERLINK("http://localhost:5173/?state=Andhra%20Pradesh&amp;keyword=MIS&amp;tender=993428", "🚀 Open in Portal")</f>
        <v/>
      </c>
    </row>
    <row r="667" ht="24" customHeight="1">
      <c r="A667" s="4" t="inlineStr">
        <is>
          <t>Andhra Pradesh</t>
        </is>
      </c>
      <c r="B667" s="5" t="inlineStr">
        <is>
          <t>MIS</t>
        </is>
      </c>
      <c r="C667" s="6" t="inlineStr">
        <is>
          <t>993428</t>
        </is>
      </c>
      <c r="D667" s="7" t="inlineStr">
        <is>
          <t>Supply, Erection, Testing and commissioning of 220/132/33KV GIS Kancharapalem and connected lines in Visakhapatnam district</t>
        </is>
      </c>
      <c r="E667" s="7" t="inlineStr">
        <is>
          <t>APTRANSCO WORKS-Chief Engineer Projects, Vijayawada</t>
        </is>
      </c>
      <c r="F667" s="6" t="inlineStr">
        <is>
          <t>21 Sep 2026</t>
        </is>
      </c>
      <c r="G667" s="5" t="inlineStr">
        <is>
          <t>20 Oct 2026</t>
        </is>
      </c>
      <c r="H667" s="18" t="inlineStr">
        <is>
          <t>⚠️ CLOSING SOON</t>
        </is>
      </c>
      <c r="I667" s="4" t="inlineStr">
        <is>
          <t>Section - 6 Control _ Power Cables.pdf</t>
        </is>
      </c>
      <c r="J667" s="6" t="inlineStr">
        <is>
          <t>📕 PDF Document</t>
        </is>
      </c>
      <c r="K667" s="9" t="n">
        <v>420.2</v>
      </c>
      <c r="L667" s="10">
        <f>HYPERLINK("http://127.0.0.1:8000/api/documents/download?id=2462&amp;attachment=true", "⬇ Download Section - 6 Control _ Po")</f>
        <v/>
      </c>
      <c r="M667" s="10">
        <f>HYPERLINK("http://localhost:5173/?state=Andhra%20Pradesh&amp;keyword=MIS&amp;tender=993428", "🚀 Open in Portal")</f>
        <v/>
      </c>
    </row>
    <row r="668" ht="24" customHeight="1">
      <c r="A668" s="11" t="inlineStr">
        <is>
          <t>Andhra Pradesh</t>
        </is>
      </c>
      <c r="B668" s="12" t="inlineStr">
        <is>
          <t>MIS</t>
        </is>
      </c>
      <c r="C668" s="13" t="inlineStr">
        <is>
          <t>993428</t>
        </is>
      </c>
      <c r="D668" s="14" t="inlineStr">
        <is>
          <t>Supply, Erection, Testing and commissioning of 220/132/33KV GIS Kancharapalem and connected lines in Visakhapatnam district</t>
        </is>
      </c>
      <c r="E668" s="14" t="inlineStr">
        <is>
          <t>APTRANSCO WORKS-Chief Engineer Projects, Vijayawada</t>
        </is>
      </c>
      <c r="F668" s="13" t="inlineStr">
        <is>
          <t>21 Sep 2026</t>
        </is>
      </c>
      <c r="G668" s="12" t="inlineStr">
        <is>
          <t>20 Oct 2026</t>
        </is>
      </c>
      <c r="H668" s="18" t="inlineStr">
        <is>
          <t>⚠️ CLOSING SOON</t>
        </is>
      </c>
      <c r="I668" s="11" t="inlineStr">
        <is>
          <t>Section - 7 Battery set &amp; battery charger.pdf</t>
        </is>
      </c>
      <c r="J668" s="13" t="inlineStr">
        <is>
          <t>📕 PDF Document</t>
        </is>
      </c>
      <c r="K668" s="15" t="n">
        <v>1452.5</v>
      </c>
      <c r="L668" s="16">
        <f>HYPERLINK("http://127.0.0.1:8000/api/documents/download?id=2463&amp;attachment=true", "⬇ Download Section - 7 Battery set ")</f>
        <v/>
      </c>
      <c r="M668" s="16">
        <f>HYPERLINK("http://localhost:5173/?state=Andhra%20Pradesh&amp;keyword=MIS&amp;tender=993428", "🚀 Open in Portal")</f>
        <v/>
      </c>
    </row>
    <row r="669" ht="24" customHeight="1">
      <c r="A669" s="4" t="inlineStr">
        <is>
          <t>Andhra Pradesh</t>
        </is>
      </c>
      <c r="B669" s="5" t="inlineStr">
        <is>
          <t>MIS</t>
        </is>
      </c>
      <c r="C669" s="6" t="inlineStr">
        <is>
          <t>993428</t>
        </is>
      </c>
      <c r="D669" s="7" t="inlineStr">
        <is>
          <t>Supply, Erection, Testing and commissioning of 220/132/33KV GIS Kancharapalem and connected lines in Visakhapatnam district</t>
        </is>
      </c>
      <c r="E669" s="7" t="inlineStr">
        <is>
          <t>APTRANSCO WORKS-Chief Engineer Projects, Vijayawada</t>
        </is>
      </c>
      <c r="F669" s="6" t="inlineStr">
        <is>
          <t>21 Sep 2026</t>
        </is>
      </c>
      <c r="G669" s="5" t="inlineStr">
        <is>
          <t>20 Oct 2026</t>
        </is>
      </c>
      <c r="H669" s="18" t="inlineStr">
        <is>
          <t>⚠️ CLOSING SOON</t>
        </is>
      </c>
      <c r="I669" s="4" t="inlineStr">
        <is>
          <t>Section - 8 Circuit Breakers.pdf</t>
        </is>
      </c>
      <c r="J669" s="6" t="inlineStr">
        <is>
          <t>📕 PDF Document</t>
        </is>
      </c>
      <c r="K669" s="9" t="n">
        <v>871.7</v>
      </c>
      <c r="L669" s="10">
        <f>HYPERLINK("http://127.0.0.1:8000/api/documents/download?id=2464&amp;attachment=true", "⬇ Download Section - 8 Circuit Brea")</f>
        <v/>
      </c>
      <c r="M669" s="10">
        <f>HYPERLINK("http://localhost:5173/?state=Andhra%20Pradesh&amp;keyword=MIS&amp;tender=993428", "🚀 Open in Portal")</f>
        <v/>
      </c>
    </row>
    <row r="670" ht="24" customHeight="1">
      <c r="A670" s="11" t="inlineStr">
        <is>
          <t>Andhra Pradesh</t>
        </is>
      </c>
      <c r="B670" s="12" t="inlineStr">
        <is>
          <t>MIS</t>
        </is>
      </c>
      <c r="C670" s="13" t="inlineStr">
        <is>
          <t>993428</t>
        </is>
      </c>
      <c r="D670" s="14" t="inlineStr">
        <is>
          <t>Supply, Erection, Testing and commissioning of 220/132/33KV GIS Kancharapalem and connected lines in Visakhapatnam district</t>
        </is>
      </c>
      <c r="E670" s="14" t="inlineStr">
        <is>
          <t>APTRANSCO WORKS-Chief Engineer Projects, Vijayawada</t>
        </is>
      </c>
      <c r="F670" s="13" t="inlineStr">
        <is>
          <t>21 Sep 2026</t>
        </is>
      </c>
      <c r="G670" s="12" t="inlineStr">
        <is>
          <t>20 Oct 2026</t>
        </is>
      </c>
      <c r="H670" s="18" t="inlineStr">
        <is>
          <t>⚠️ CLOSING SOON</t>
        </is>
      </c>
      <c r="I670" s="11" t="inlineStr">
        <is>
          <t>Section - 9  LTAC Panel.pdf</t>
        </is>
      </c>
      <c r="J670" s="13" t="inlineStr">
        <is>
          <t>📕 PDF Document</t>
        </is>
      </c>
      <c r="K670" s="15" t="n">
        <v>539</v>
      </c>
      <c r="L670" s="16">
        <f>HYPERLINK("http://127.0.0.1:8000/api/documents/download?id=2465&amp;attachment=true", "⬇ Download Section - 9  LTAC Panel.")</f>
        <v/>
      </c>
      <c r="M670" s="16">
        <f>HYPERLINK("http://localhost:5173/?state=Andhra%20Pradesh&amp;keyword=MIS&amp;tender=993428", "🚀 Open in Portal")</f>
        <v/>
      </c>
    </row>
    <row r="671" ht="24" customHeight="1">
      <c r="A671" s="4" t="inlineStr">
        <is>
          <t>Andhra Pradesh</t>
        </is>
      </c>
      <c r="B671" s="5" t="inlineStr">
        <is>
          <t>MIS</t>
        </is>
      </c>
      <c r="C671" s="6" t="inlineStr">
        <is>
          <t>993428</t>
        </is>
      </c>
      <c r="D671" s="7" t="inlineStr">
        <is>
          <t>Supply, Erection, Testing and commissioning of 220/132/33KV GIS Kancharapalem and connected lines in Visakhapatnam district</t>
        </is>
      </c>
      <c r="E671" s="7" t="inlineStr">
        <is>
          <t>APTRANSCO WORKS-Chief Engineer Projects, Vijayawada</t>
        </is>
      </c>
      <c r="F671" s="6" t="inlineStr">
        <is>
          <t>21 Sep 2026</t>
        </is>
      </c>
      <c r="G671" s="5" t="inlineStr">
        <is>
          <t>20 Oct 2026</t>
        </is>
      </c>
      <c r="H671" s="18" t="inlineStr">
        <is>
          <t>⚠️ CLOSING SOON</t>
        </is>
      </c>
      <c r="I671" s="4" t="inlineStr">
        <is>
          <t>Quality Assurance Plan .pdf</t>
        </is>
      </c>
      <c r="J671" s="6" t="inlineStr">
        <is>
          <t>📕 PDF Document</t>
        </is>
      </c>
      <c r="K671" s="9" t="n">
        <v>1303.3</v>
      </c>
      <c r="L671" s="10">
        <f>HYPERLINK("http://127.0.0.1:8000/api/documents/download?id=2467&amp;attachment=true", "⬇ Download Quality Assurance Plan .")</f>
        <v/>
      </c>
      <c r="M671" s="10">
        <f>HYPERLINK("http://localhost:5173/?state=Andhra%20Pradesh&amp;keyword=MIS&amp;tender=993428", "🚀 Open in Portal")</f>
        <v/>
      </c>
    </row>
    <row r="672" ht="24" customHeight="1">
      <c r="A672" s="11" t="inlineStr">
        <is>
          <t>Andhra Pradesh</t>
        </is>
      </c>
      <c r="B672" s="12" t="inlineStr">
        <is>
          <t>MIS</t>
        </is>
      </c>
      <c r="C672" s="13" t="inlineStr">
        <is>
          <t>993428</t>
        </is>
      </c>
      <c r="D672" s="14" t="inlineStr">
        <is>
          <t>Supply, Erection, Testing and commissioning of 220/132/33KV GIS Kancharapalem and connected lines in Visakhapatnam district</t>
        </is>
      </c>
      <c r="E672" s="14" t="inlineStr">
        <is>
          <t>APTRANSCO WORKS-Chief Engineer Projects, Vijayawada</t>
        </is>
      </c>
      <c r="F672" s="13" t="inlineStr">
        <is>
          <t>21 Sep 2026</t>
        </is>
      </c>
      <c r="G672" s="12" t="inlineStr">
        <is>
          <t>20 Oct 2026</t>
        </is>
      </c>
      <c r="H672" s="18" t="inlineStr">
        <is>
          <t>⚠️ CLOSING SOON</t>
        </is>
      </c>
      <c r="I672" s="11" t="inlineStr">
        <is>
          <t>Vol I APT-e72-2026-Kancharapalem GIS.zip</t>
        </is>
      </c>
      <c r="J672" s="13" t="inlineStr">
        <is>
          <t>📦 ZIP Package</t>
        </is>
      </c>
      <c r="K672" s="15" t="n">
        <v>2928.4</v>
      </c>
      <c r="L672" s="16">
        <f>HYPERLINK("http://127.0.0.1:8000/api/documents/download?id=2428&amp;attachment=true", "⬇ Download Vol I APT-e72-2026-Kanch")</f>
        <v/>
      </c>
      <c r="M672" s="16">
        <f>HYPERLINK("http://localhost:5173/?state=Andhra%20Pradesh&amp;keyword=MIS&amp;tender=993428", "🚀 Open in Portal")</f>
        <v/>
      </c>
    </row>
    <row r="673" ht="20" customHeight="1">
      <c r="A673" s="19" t="inlineStr">
        <is>
          <t>Andhra Pradesh</t>
        </is>
      </c>
      <c r="B673" s="19" t="inlineStr">
        <is>
          <t>MIS</t>
        </is>
      </c>
      <c r="C673" s="19" t="inlineStr">
        <is>
          <t>993428 (pkg)</t>
        </is>
      </c>
      <c r="D673" s="19" t="inlineStr">
        <is>
          <t>↳ Part of: Vol I APT-e72-2026-Kancharapalem GIS.zip</t>
        </is>
      </c>
      <c r="E673" s="19" t="inlineStr">
        <is>
          <t>APTRANSCO WORKS-Chief Engineer Projects, Vijayawada</t>
        </is>
      </c>
      <c r="F673" s="19" t="inlineStr">
        <is>
          <t>21 Sep 2026</t>
        </is>
      </c>
      <c r="G673" s="19" t="inlineStr">
        <is>
          <t>20 Oct 2026</t>
        </is>
      </c>
      <c r="H673" s="19" t="inlineStr">
        <is>
          <t>📂 PACKAGE FILE</t>
        </is>
      </c>
      <c r="I673" s="20" t="inlineStr">
        <is>
          <t xml:space="preserve">  ↳ Vol I APT-e72-2026-Kancharapalem GIS.docx</t>
        </is>
      </c>
      <c r="J673" s="19" t="inlineStr">
        <is>
          <t>Section Doc</t>
        </is>
      </c>
      <c r="K673" s="19" t="n">
        <v>3071.1</v>
      </c>
      <c r="L673" s="21">
        <f>HYPERLINK("http://127.0.0.1:8000/api/documents/download?id=2427&amp;attachment=true", "⬇ Download Vol I APT-e72-2026-K")</f>
        <v/>
      </c>
      <c r="M673" s="21">
        <f>HYPERLINK("http://localhost:5173/?state=Andhra%20Pradesh&amp;keyword=MIS&amp;tender=993428", "🚀 Open")</f>
        <v/>
      </c>
    </row>
    <row r="674" ht="24" customHeight="1">
      <c r="A674" s="11" t="inlineStr">
        <is>
          <t>Andhra Pradesh</t>
        </is>
      </c>
      <c r="B674" s="12" t="inlineStr">
        <is>
          <t>MIS</t>
        </is>
      </c>
      <c r="C674" s="13" t="inlineStr">
        <is>
          <t>993428</t>
        </is>
      </c>
      <c r="D674" s="14" t="inlineStr">
        <is>
          <t>Supply, Erection, Testing and commissioning of 220/132/33KV GIS Kancharapalem and connected lines in Visakhapatnam district</t>
        </is>
      </c>
      <c r="E674" s="14" t="inlineStr">
        <is>
          <t>APTRANSCO WORKS-Chief Engineer Projects, Vijayawada</t>
        </is>
      </c>
      <c r="F674" s="13" t="inlineStr">
        <is>
          <t>21 Sep 2026</t>
        </is>
      </c>
      <c r="G674" s="12" t="inlineStr">
        <is>
          <t>20 Oct 2026</t>
        </is>
      </c>
      <c r="H674" s="18" t="inlineStr">
        <is>
          <t>⚠️ CLOSING SOON</t>
        </is>
      </c>
      <c r="I674" s="11" t="inlineStr">
        <is>
          <t>Commercial Schedules-APT-e72-2026.zip</t>
        </is>
      </c>
      <c r="J674" s="13" t="inlineStr">
        <is>
          <t>📦 ZIP Package</t>
        </is>
      </c>
      <c r="K674" s="15" t="n">
        <v>431.3</v>
      </c>
      <c r="L674" s="16">
        <f>HYPERLINK("http://127.0.0.1:8000/api/documents/download?id=2430&amp;attachment=true", "⬇ Download Commercial Schedules-APT")</f>
        <v/>
      </c>
      <c r="M674" s="16">
        <f>HYPERLINK("http://localhost:5173/?state=Andhra%20Pradesh&amp;keyword=MIS&amp;tender=993428", "🚀 Open in Portal")</f>
        <v/>
      </c>
    </row>
    <row r="675" ht="20" customHeight="1">
      <c r="A675" s="19" t="inlineStr">
        <is>
          <t>Andhra Pradesh</t>
        </is>
      </c>
      <c r="B675" s="19" t="inlineStr">
        <is>
          <t>MIS</t>
        </is>
      </c>
      <c r="C675" s="19" t="inlineStr">
        <is>
          <t>993428 (pkg)</t>
        </is>
      </c>
      <c r="D675" s="19" t="inlineStr">
        <is>
          <t>↳ Part of: Commercial Schedules-APT-e72-2026.zip</t>
        </is>
      </c>
      <c r="E675" s="19" t="inlineStr">
        <is>
          <t>APTRANSCO WORKS-Chief Engineer Projects, Vijayawada</t>
        </is>
      </c>
      <c r="F675" s="19" t="inlineStr">
        <is>
          <t>21 Sep 2026</t>
        </is>
      </c>
      <c r="G675" s="19" t="inlineStr">
        <is>
          <t>20 Oct 2026</t>
        </is>
      </c>
      <c r="H675" s="19" t="inlineStr">
        <is>
          <t>📂 PACKAGE FILE</t>
        </is>
      </c>
      <c r="I675" s="20" t="inlineStr">
        <is>
          <t xml:space="preserve">  ↳ Commercial Schedules-APT-e72-2026.xlsx</t>
        </is>
      </c>
      <c r="J675" s="19" t="inlineStr">
        <is>
          <t>Section Doc</t>
        </is>
      </c>
      <c r="K675" s="19" t="n">
        <v>650.2</v>
      </c>
      <c r="L675" s="21">
        <f>HYPERLINK("http://127.0.0.1:8000/api/documents/download?id=2429&amp;attachment=true", "⬇ Download Commercial Schedules")</f>
        <v/>
      </c>
      <c r="M675" s="21">
        <f>HYPERLINK("http://localhost:5173/?state=Andhra%20Pradesh&amp;keyword=MIS&amp;tender=993428", "🚀 Open")</f>
        <v/>
      </c>
    </row>
    <row r="676" ht="24" customHeight="1">
      <c r="A676" s="11" t="inlineStr">
        <is>
          <t>Andhra Pradesh</t>
        </is>
      </c>
      <c r="B676" s="12" t="inlineStr">
        <is>
          <t>MIS</t>
        </is>
      </c>
      <c r="C676" s="13" t="inlineStr">
        <is>
          <t>993428</t>
        </is>
      </c>
      <c r="D676" s="14" t="inlineStr">
        <is>
          <t>Supply, Erection, Testing and commissioning of 220/132/33KV GIS Kancharapalem and connected lines in Visakhapatnam district</t>
        </is>
      </c>
      <c r="E676" s="14" t="inlineStr">
        <is>
          <t>APTRANSCO WORKS-Chief Engineer Projects, Vijayawada</t>
        </is>
      </c>
      <c r="F676" s="13" t="inlineStr">
        <is>
          <t>21 Sep 2026</t>
        </is>
      </c>
      <c r="G676" s="12" t="inlineStr">
        <is>
          <t>20 Oct 2026</t>
        </is>
      </c>
      <c r="H676" s="18" t="inlineStr">
        <is>
          <t>⚠️ CLOSING SOON</t>
        </is>
      </c>
      <c r="I676" s="11" t="inlineStr">
        <is>
          <t>Volume 2 Technical Specifications.zip</t>
        </is>
      </c>
      <c r="J676" s="13" t="inlineStr">
        <is>
          <t>📦 ZIP Package</t>
        </is>
      </c>
      <c r="K676" s="15" t="n">
        <v>16489.8</v>
      </c>
      <c r="L676" s="16">
        <f>HYPERLINK("http://127.0.0.1:8000/api/documents/download?id=2466&amp;attachment=true", "⬇ Download Volume 2 Technical Speci")</f>
        <v/>
      </c>
      <c r="M676" s="16">
        <f>HYPERLINK("http://localhost:5173/?state=Andhra%20Pradesh&amp;keyword=MIS&amp;tender=993428", "🚀 Open in Portal")</f>
        <v/>
      </c>
    </row>
    <row r="677" ht="24" customHeight="1">
      <c r="A677" s="4" t="inlineStr">
        <is>
          <t>Andhra Pradesh</t>
        </is>
      </c>
      <c r="B677" s="5" t="inlineStr">
        <is>
          <t>MIS</t>
        </is>
      </c>
      <c r="C677" s="6" t="inlineStr">
        <is>
          <t>993428</t>
        </is>
      </c>
      <c r="D677" s="7" t="inlineStr">
        <is>
          <t>Supply, Erection, Testing and commissioning of 220/132/33KV GIS Kancharapalem and connected lines in Visakhapatnam district</t>
        </is>
      </c>
      <c r="E677" s="7" t="inlineStr">
        <is>
          <t>APTRANSCO WORKS-Chief Engineer Projects, Vijayawada</t>
        </is>
      </c>
      <c r="F677" s="6" t="inlineStr">
        <is>
          <t>21 Sep 2026</t>
        </is>
      </c>
      <c r="G677" s="5" t="inlineStr">
        <is>
          <t>20 Oct 2026</t>
        </is>
      </c>
      <c r="H677" s="18" t="inlineStr">
        <is>
          <t>⚠️ CLOSING SOON</t>
        </is>
      </c>
      <c r="I677" s="4" t="inlineStr">
        <is>
          <t>Tender_993428_All_Documents.zip</t>
        </is>
      </c>
      <c r="J677" s="6" t="inlineStr">
        <is>
          <t>📦 ZIP Package</t>
        </is>
      </c>
      <c r="K677" s="9" t="n">
        <v>3950</v>
      </c>
      <c r="L677" s="10">
        <f>HYPERLINK("http://127.0.0.1:8000/api/documents/download?id=2426&amp;attachment=true", "⬇ Download Tender_993428_All_Docume")</f>
        <v/>
      </c>
      <c r="M677" s="10">
        <f>HYPERLINK("http://localhost:5173/?state=Andhra%20Pradesh&amp;keyword=MIS&amp;tender=993428", "🚀 Open in Portal")</f>
        <v/>
      </c>
    </row>
    <row r="678" ht="24" customHeight="1">
      <c r="A678" s="11" t="inlineStr">
        <is>
          <t>Andhra Pradesh</t>
        </is>
      </c>
      <c r="B678" s="12" t="inlineStr">
        <is>
          <t>MIS</t>
        </is>
      </c>
      <c r="C678" s="13" t="inlineStr">
        <is>
          <t>999239</t>
        </is>
      </c>
      <c r="D678"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678" s="14" t="inlineStr">
        <is>
          <t>MUNICIPAL ADMINISTRATION DEPARTMENT-Amaravati Growth &amp; Infrastructure Corporation Limited Amaravati</t>
        </is>
      </c>
      <c r="F678" s="13" t="inlineStr">
        <is>
          <t>25 Jul 2026</t>
        </is>
      </c>
      <c r="G678" s="12" t="inlineStr">
        <is>
          <t>18 Aug 2026</t>
        </is>
      </c>
      <c r="H678" s="8" t="inlineStr">
        <is>
          <t>⏳ UPCOMING</t>
        </is>
      </c>
      <c r="I678" s="11" t="inlineStr">
        <is>
          <t>171020- LA- central Spire - Str DBR.pdf</t>
        </is>
      </c>
      <c r="J678" s="13" t="inlineStr">
        <is>
          <t>📕 PDF Document</t>
        </is>
      </c>
      <c r="K678" s="15" t="n">
        <v>3667.3</v>
      </c>
      <c r="L678" s="16">
        <f>HYPERLINK("http://127.0.0.1:8000/api/documents/download?id=2353&amp;attachment=true", "⬇ Download 171020- LA- central Spir")</f>
        <v/>
      </c>
      <c r="M678" s="16">
        <f>HYPERLINK("http://localhost:5173/?state=Andhra%20Pradesh&amp;keyword=MIS&amp;tender=999239", "🚀 Open in Portal")</f>
        <v/>
      </c>
    </row>
    <row r="679" ht="24" customHeight="1">
      <c r="A679" s="4" t="inlineStr">
        <is>
          <t>Andhra Pradesh</t>
        </is>
      </c>
      <c r="B679" s="5" t="inlineStr">
        <is>
          <t>MIS</t>
        </is>
      </c>
      <c r="C679" s="6" t="inlineStr">
        <is>
          <t>999239</t>
        </is>
      </c>
      <c r="D679"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679" s="7" t="inlineStr">
        <is>
          <t>MUNICIPAL ADMINISTRATION DEPARTMENT-Amaravati Growth &amp; Infrastructure Corporation Limited Amaravati</t>
        </is>
      </c>
      <c r="F679" s="6" t="inlineStr">
        <is>
          <t>25 Jul 2026</t>
        </is>
      </c>
      <c r="G679" s="5" t="inlineStr">
        <is>
          <t>18 Aug 2026</t>
        </is>
      </c>
      <c r="H679" s="8" t="inlineStr">
        <is>
          <t>⏳ UPCOMING</t>
        </is>
      </c>
      <c r="I679" s="4" t="inlineStr">
        <is>
          <t>Assembly Spire Work BOQ.pdf</t>
        </is>
      </c>
      <c r="J679" s="6" t="inlineStr">
        <is>
          <t>📕 PDF Document</t>
        </is>
      </c>
      <c r="K679" s="9" t="n">
        <v>520.7</v>
      </c>
      <c r="L679" s="10">
        <f>HYPERLINK("http://127.0.0.1:8000/api/documents/download?id=2354&amp;attachment=true", "⬇ Download Assembly Spire Work BOQ.")</f>
        <v/>
      </c>
      <c r="M679" s="10">
        <f>HYPERLINK("http://localhost:5173/?state=Andhra%20Pradesh&amp;keyword=MIS&amp;tender=999239", "🚀 Open in Portal")</f>
        <v/>
      </c>
    </row>
    <row r="680" ht="24" customHeight="1">
      <c r="A680" s="11" t="inlineStr">
        <is>
          <t>Andhra Pradesh</t>
        </is>
      </c>
      <c r="B680" s="12" t="inlineStr">
        <is>
          <t>MIS</t>
        </is>
      </c>
      <c r="C680" s="13" t="inlineStr">
        <is>
          <t>999239</t>
        </is>
      </c>
      <c r="D680"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680" s="14" t="inlineStr">
        <is>
          <t>MUNICIPAL ADMINISTRATION DEPARTMENT-Amaravati Growth &amp; Infrastructure Corporation Limited Amaravati</t>
        </is>
      </c>
      <c r="F680" s="13" t="inlineStr">
        <is>
          <t>25 Jul 2026</t>
        </is>
      </c>
      <c r="G680" s="12" t="inlineStr">
        <is>
          <t>18 Aug 2026</t>
        </is>
      </c>
      <c r="H680" s="8" t="inlineStr">
        <is>
          <t>⏳ UPCOMING</t>
        </is>
      </c>
      <c r="I680" s="11" t="inlineStr">
        <is>
          <t>VOLUME III - TECH-SPECS.pdf</t>
        </is>
      </c>
      <c r="J680" s="13" t="inlineStr">
        <is>
          <t>📕 PDF Document</t>
        </is>
      </c>
      <c r="K680" s="15" t="n">
        <v>2969.9</v>
      </c>
      <c r="L680" s="16">
        <f>HYPERLINK("http://127.0.0.1:8000/api/documents/download?id=2355&amp;attachment=true", "⬇ Download VOLUME III - TECH-SPECS.")</f>
        <v/>
      </c>
      <c r="M680" s="16">
        <f>HYPERLINK("http://localhost:5173/?state=Andhra%20Pradesh&amp;keyword=MIS&amp;tender=999239", "🚀 Open in Portal")</f>
        <v/>
      </c>
    </row>
    <row r="681" ht="24" customHeight="1">
      <c r="A681" s="4" t="inlineStr">
        <is>
          <t>Andhra Pradesh</t>
        </is>
      </c>
      <c r="B681" s="5" t="inlineStr">
        <is>
          <t>MIS</t>
        </is>
      </c>
      <c r="C681" s="6" t="inlineStr">
        <is>
          <t>999239</t>
        </is>
      </c>
      <c r="D681"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681" s="7" t="inlineStr">
        <is>
          <t>MUNICIPAL ADMINISTRATION DEPARTMENT-Amaravati Growth &amp; Infrastructure Corporation Limited Amaravati</t>
        </is>
      </c>
      <c r="F681" s="6" t="inlineStr">
        <is>
          <t>25 Jul 2026</t>
        </is>
      </c>
      <c r="G681" s="5" t="inlineStr">
        <is>
          <t>18 Aug 2026</t>
        </is>
      </c>
      <c r="H681" s="8" t="inlineStr">
        <is>
          <t>⏳ UPCOMING</t>
        </is>
      </c>
      <c r="I681" s="4" t="inlineStr">
        <is>
          <t>Assembly Spire Work bid document 02-10-2026.pdf</t>
        </is>
      </c>
      <c r="J681" s="6" t="inlineStr">
        <is>
          <t>📕 PDF Document</t>
        </is>
      </c>
      <c r="K681" s="9" t="n">
        <v>3009.5</v>
      </c>
      <c r="L681" s="10">
        <f>HYPERLINK("http://127.0.0.1:8000/api/documents/download?id=2356&amp;attachment=true", "⬇ Download Assembly Spire Work bid ")</f>
        <v/>
      </c>
      <c r="M681" s="10">
        <f>HYPERLINK("http://localhost:5173/?state=Andhra%20Pradesh&amp;keyword=MIS&amp;tender=999239", "🚀 Open in Portal")</f>
        <v/>
      </c>
    </row>
    <row r="682" ht="24" customHeight="1">
      <c r="A682" s="11" t="inlineStr">
        <is>
          <t>Andhra Pradesh</t>
        </is>
      </c>
      <c r="B682" s="12" t="inlineStr">
        <is>
          <t>MIS</t>
        </is>
      </c>
      <c r="C682" s="13" t="inlineStr">
        <is>
          <t>999239</t>
        </is>
      </c>
      <c r="D682"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682" s="14" t="inlineStr">
        <is>
          <t>MUNICIPAL ADMINISTRATION DEPARTMENT-Amaravati Growth &amp; Infrastructure Corporation Limited Amaravati</t>
        </is>
      </c>
      <c r="F682" s="13" t="inlineStr">
        <is>
          <t>25 Jul 2026</t>
        </is>
      </c>
      <c r="G682" s="12" t="inlineStr">
        <is>
          <t>18 Aug 2026</t>
        </is>
      </c>
      <c r="H682" s="8" t="inlineStr">
        <is>
          <t>⏳ UPCOMING</t>
        </is>
      </c>
      <c r="I682" s="11" t="inlineStr">
        <is>
          <t>171020-LA-201 171020-LA-201-5.pdf</t>
        </is>
      </c>
      <c r="J682" s="13" t="inlineStr">
        <is>
          <t>📕 PDF Document</t>
        </is>
      </c>
      <c r="K682" s="15" t="n">
        <v>959.7</v>
      </c>
      <c r="L682" s="16">
        <f>HYPERLINK("http://127.0.0.1:8000/api/documents/download?id=2357&amp;attachment=true", "⬇ Download 171020-LA-201 171020-LA-")</f>
        <v/>
      </c>
      <c r="M682" s="16">
        <f>HYPERLINK("http://localhost:5173/?state=Andhra%20Pradesh&amp;keyword=MIS&amp;tender=999239", "🚀 Open in Portal")</f>
        <v/>
      </c>
    </row>
    <row r="683" ht="24" customHeight="1">
      <c r="A683" s="4" t="inlineStr">
        <is>
          <t>Andhra Pradesh</t>
        </is>
      </c>
      <c r="B683" s="5" t="inlineStr">
        <is>
          <t>MIS</t>
        </is>
      </c>
      <c r="C683" s="6" t="inlineStr">
        <is>
          <t>999239</t>
        </is>
      </c>
      <c r="D683"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683" s="7" t="inlineStr">
        <is>
          <t>MUNICIPAL ADMINISTRATION DEPARTMENT-Amaravati Growth &amp; Infrastructure Corporation Limited Amaravati</t>
        </is>
      </c>
      <c r="F683" s="6" t="inlineStr">
        <is>
          <t>25 Jul 2026</t>
        </is>
      </c>
      <c r="G683" s="5" t="inlineStr">
        <is>
          <t>18 Aug 2026</t>
        </is>
      </c>
      <c r="H683" s="8" t="inlineStr">
        <is>
          <t>⏳ UPCOMING</t>
        </is>
      </c>
      <c r="I683" s="4" t="inlineStr">
        <is>
          <t>171020-LA-311 171020-LA-311-5.pdf</t>
        </is>
      </c>
      <c r="J683" s="6" t="inlineStr">
        <is>
          <t>📕 PDF Document</t>
        </is>
      </c>
      <c r="K683" s="9" t="n">
        <v>983.4</v>
      </c>
      <c r="L683" s="10">
        <f>HYPERLINK("http://127.0.0.1:8000/api/documents/download?id=2358&amp;attachment=true", "⬇ Download 171020-LA-311 171020-LA-")</f>
        <v/>
      </c>
      <c r="M683" s="10">
        <f>HYPERLINK("http://localhost:5173/?state=Andhra%20Pradesh&amp;keyword=MIS&amp;tender=999239", "🚀 Open in Portal")</f>
        <v/>
      </c>
    </row>
    <row r="684" ht="24" customHeight="1">
      <c r="A684" s="11" t="inlineStr">
        <is>
          <t>Andhra Pradesh</t>
        </is>
      </c>
      <c r="B684" s="12" t="inlineStr">
        <is>
          <t>MIS</t>
        </is>
      </c>
      <c r="C684" s="13" t="inlineStr">
        <is>
          <t>999239</t>
        </is>
      </c>
      <c r="D684"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684" s="14" t="inlineStr">
        <is>
          <t>MUNICIPAL ADMINISTRATION DEPARTMENT-Amaravati Growth &amp; Infrastructure Corporation Limited Amaravati</t>
        </is>
      </c>
      <c r="F684" s="13" t="inlineStr">
        <is>
          <t>25 Jul 2026</t>
        </is>
      </c>
      <c r="G684" s="12" t="inlineStr">
        <is>
          <t>18 Aug 2026</t>
        </is>
      </c>
      <c r="H684" s="8" t="inlineStr">
        <is>
          <t>⏳ UPCOMING</t>
        </is>
      </c>
      <c r="I684" s="11" t="inlineStr">
        <is>
          <t>171020-LA-321 171020-LA-321-5.pdf</t>
        </is>
      </c>
      <c r="J684" s="13" t="inlineStr">
        <is>
          <t>📕 PDF Document</t>
        </is>
      </c>
      <c r="K684" s="15" t="n">
        <v>905.9</v>
      </c>
      <c r="L684" s="16">
        <f>HYPERLINK("http://127.0.0.1:8000/api/documents/download?id=2359&amp;attachment=true", "⬇ Download 171020-LA-321 171020-LA-")</f>
        <v/>
      </c>
      <c r="M684" s="16">
        <f>HYPERLINK("http://localhost:5173/?state=Andhra%20Pradesh&amp;keyword=MIS&amp;tender=999239", "🚀 Open in Portal")</f>
        <v/>
      </c>
    </row>
    <row r="685" ht="24" customHeight="1">
      <c r="A685" s="4" t="inlineStr">
        <is>
          <t>Andhra Pradesh</t>
        </is>
      </c>
      <c r="B685" s="5" t="inlineStr">
        <is>
          <t>MIS</t>
        </is>
      </c>
      <c r="C685" s="6" t="inlineStr">
        <is>
          <t>999239</t>
        </is>
      </c>
      <c r="D685"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685" s="7" t="inlineStr">
        <is>
          <t>MUNICIPAL ADMINISTRATION DEPARTMENT-Amaravati Growth &amp; Infrastructure Corporation Limited Amaravati</t>
        </is>
      </c>
      <c r="F685" s="6" t="inlineStr">
        <is>
          <t>25 Jul 2026</t>
        </is>
      </c>
      <c r="G685" s="5" t="inlineStr">
        <is>
          <t>18 Aug 2026</t>
        </is>
      </c>
      <c r="H685" s="8" t="inlineStr">
        <is>
          <t>⏳ UPCOMING</t>
        </is>
      </c>
      <c r="I685" s="4" t="inlineStr">
        <is>
          <t>171020-LA-331 171020-LA-331-5.pdf</t>
        </is>
      </c>
      <c r="J685" s="6" t="inlineStr">
        <is>
          <t>📕 PDF Document</t>
        </is>
      </c>
      <c r="K685" s="9" t="n">
        <v>926.8</v>
      </c>
      <c r="L685" s="10">
        <f>HYPERLINK("http://127.0.0.1:8000/api/documents/download?id=2360&amp;attachment=true", "⬇ Download 171020-LA-331 171020-LA-")</f>
        <v/>
      </c>
      <c r="M685" s="10">
        <f>HYPERLINK("http://localhost:5173/?state=Andhra%20Pradesh&amp;keyword=MIS&amp;tender=999239", "🚀 Open in Portal")</f>
        <v/>
      </c>
    </row>
    <row r="686" ht="24" customHeight="1">
      <c r="A686" s="11" t="inlineStr">
        <is>
          <t>Andhra Pradesh</t>
        </is>
      </c>
      <c r="B686" s="12" t="inlineStr">
        <is>
          <t>MIS</t>
        </is>
      </c>
      <c r="C686" s="13" t="inlineStr">
        <is>
          <t>999239</t>
        </is>
      </c>
      <c r="D686"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686" s="14" t="inlineStr">
        <is>
          <t>MUNICIPAL ADMINISTRATION DEPARTMENT-Amaravati Growth &amp; Infrastructure Corporation Limited Amaravati</t>
        </is>
      </c>
      <c r="F686" s="13" t="inlineStr">
        <is>
          <t>25 Jul 2026</t>
        </is>
      </c>
      <c r="G686" s="12" t="inlineStr">
        <is>
          <t>18 Aug 2026</t>
        </is>
      </c>
      <c r="H686" s="8" t="inlineStr">
        <is>
          <t>⏳ UPCOMING</t>
        </is>
      </c>
      <c r="I686" s="11" t="inlineStr">
        <is>
          <t>171020-LA-411-171020-LA-411-6.pdf</t>
        </is>
      </c>
      <c r="J686" s="13" t="inlineStr">
        <is>
          <t>📕 PDF Document</t>
        </is>
      </c>
      <c r="K686" s="15" t="n">
        <v>981.6</v>
      </c>
      <c r="L686" s="16">
        <f>HYPERLINK("http://127.0.0.1:8000/api/documents/download?id=2361&amp;attachment=true", "⬇ Download 171020-LA-411-171020-LA-")</f>
        <v/>
      </c>
      <c r="M686" s="16">
        <f>HYPERLINK("http://localhost:5173/?state=Andhra%20Pradesh&amp;keyword=MIS&amp;tender=999239", "🚀 Open in Portal")</f>
        <v/>
      </c>
    </row>
    <row r="687" ht="24" customHeight="1">
      <c r="A687" s="4" t="inlineStr">
        <is>
          <t>Andhra Pradesh</t>
        </is>
      </c>
      <c r="B687" s="5" t="inlineStr">
        <is>
          <t>MIS</t>
        </is>
      </c>
      <c r="C687" s="6" t="inlineStr">
        <is>
          <t>999239</t>
        </is>
      </c>
      <c r="D687"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687" s="7" t="inlineStr">
        <is>
          <t>MUNICIPAL ADMINISTRATION DEPARTMENT-Amaravati Growth &amp; Infrastructure Corporation Limited Amaravati</t>
        </is>
      </c>
      <c r="F687" s="6" t="inlineStr">
        <is>
          <t>25 Jul 2026</t>
        </is>
      </c>
      <c r="G687" s="5" t="inlineStr">
        <is>
          <t>18 Aug 2026</t>
        </is>
      </c>
      <c r="H687" s="8" t="inlineStr">
        <is>
          <t>⏳ UPCOMING</t>
        </is>
      </c>
      <c r="I687" s="4" t="inlineStr">
        <is>
          <t>171020-LA-431 171020-LA-431-1.pdf</t>
        </is>
      </c>
      <c r="J687" s="6" t="inlineStr">
        <is>
          <t>📕 PDF Document</t>
        </is>
      </c>
      <c r="K687" s="9" t="n">
        <v>961.4</v>
      </c>
      <c r="L687" s="10">
        <f>HYPERLINK("http://127.0.0.1:8000/api/documents/download?id=2362&amp;attachment=true", "⬇ Download 171020-LA-431 171020-LA-")</f>
        <v/>
      </c>
      <c r="M687" s="10">
        <f>HYPERLINK("http://localhost:5173/?state=Andhra%20Pradesh&amp;keyword=MIS&amp;tender=999239", "🚀 Open in Portal")</f>
        <v/>
      </c>
    </row>
    <row r="688" ht="24" customHeight="1">
      <c r="A688" s="11" t="inlineStr">
        <is>
          <t>Andhra Pradesh</t>
        </is>
      </c>
      <c r="B688" s="12" t="inlineStr">
        <is>
          <t>MIS</t>
        </is>
      </c>
      <c r="C688" s="13" t="inlineStr">
        <is>
          <t>999239</t>
        </is>
      </c>
      <c r="D688"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688" s="14" t="inlineStr">
        <is>
          <t>MUNICIPAL ADMINISTRATION DEPARTMENT-Amaravati Growth &amp; Infrastructure Corporation Limited Amaravati</t>
        </is>
      </c>
      <c r="F688" s="13" t="inlineStr">
        <is>
          <t>25 Jul 2026</t>
        </is>
      </c>
      <c r="G688" s="12" t="inlineStr">
        <is>
          <t>18 Aug 2026</t>
        </is>
      </c>
      <c r="H688" s="8" t="inlineStr">
        <is>
          <t>⏳ UPCOMING</t>
        </is>
      </c>
      <c r="I688" s="11" t="inlineStr">
        <is>
          <t>171020-LA-431 171020-LA-431-2.pdf</t>
        </is>
      </c>
      <c r="J688" s="13" t="inlineStr">
        <is>
          <t>📕 PDF Document</t>
        </is>
      </c>
      <c r="K688" s="15" t="n">
        <v>960.2</v>
      </c>
      <c r="L688" s="16">
        <f>HYPERLINK("http://127.0.0.1:8000/api/documents/download?id=2363&amp;attachment=true", "⬇ Download 171020-LA-431 171020-LA-")</f>
        <v/>
      </c>
      <c r="M688" s="16">
        <f>HYPERLINK("http://localhost:5173/?state=Andhra%20Pradesh&amp;keyword=MIS&amp;tender=999239", "🚀 Open in Portal")</f>
        <v/>
      </c>
    </row>
    <row r="689" ht="24" customHeight="1">
      <c r="A689" s="4" t="inlineStr">
        <is>
          <t>Andhra Pradesh</t>
        </is>
      </c>
      <c r="B689" s="5" t="inlineStr">
        <is>
          <t>MIS</t>
        </is>
      </c>
      <c r="C689" s="6" t="inlineStr">
        <is>
          <t>999239</t>
        </is>
      </c>
      <c r="D689"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689" s="7" t="inlineStr">
        <is>
          <t>MUNICIPAL ADMINISTRATION DEPARTMENT-Amaravati Growth &amp; Infrastructure Corporation Limited Amaravati</t>
        </is>
      </c>
      <c r="F689" s="6" t="inlineStr">
        <is>
          <t>25 Jul 2026</t>
        </is>
      </c>
      <c r="G689" s="5" t="inlineStr">
        <is>
          <t>18 Aug 2026</t>
        </is>
      </c>
      <c r="H689" s="8" t="inlineStr">
        <is>
          <t>⏳ UPCOMING</t>
        </is>
      </c>
      <c r="I689" s="4" t="inlineStr">
        <is>
          <t>171020-LA-431 171020-LA-431-3.pdf</t>
        </is>
      </c>
      <c r="J689" s="6" t="inlineStr">
        <is>
          <t>📕 PDF Document</t>
        </is>
      </c>
      <c r="K689" s="9" t="n">
        <v>910.8</v>
      </c>
      <c r="L689" s="10">
        <f>HYPERLINK("http://127.0.0.1:8000/api/documents/download?id=2364&amp;attachment=true", "⬇ Download 171020-LA-431 171020-LA-")</f>
        <v/>
      </c>
      <c r="M689" s="10">
        <f>HYPERLINK("http://localhost:5173/?state=Andhra%20Pradesh&amp;keyword=MIS&amp;tender=999239", "🚀 Open in Portal")</f>
        <v/>
      </c>
    </row>
    <row r="690" ht="24" customHeight="1">
      <c r="A690" s="11" t="inlineStr">
        <is>
          <t>Andhra Pradesh</t>
        </is>
      </c>
      <c r="B690" s="12" t="inlineStr">
        <is>
          <t>MIS</t>
        </is>
      </c>
      <c r="C690" s="13" t="inlineStr">
        <is>
          <t>999239</t>
        </is>
      </c>
      <c r="D690"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690" s="14" t="inlineStr">
        <is>
          <t>MUNICIPAL ADMINISTRATION DEPARTMENT-Amaravati Growth &amp; Infrastructure Corporation Limited Amaravati</t>
        </is>
      </c>
      <c r="F690" s="13" t="inlineStr">
        <is>
          <t>25 Jul 2026</t>
        </is>
      </c>
      <c r="G690" s="12" t="inlineStr">
        <is>
          <t>18 Aug 2026</t>
        </is>
      </c>
      <c r="H690" s="8" t="inlineStr">
        <is>
          <t>⏳ UPCOMING</t>
        </is>
      </c>
      <c r="I690" s="11" t="inlineStr">
        <is>
          <t>171020-LA-431 171020-LA-431-4.pdf</t>
        </is>
      </c>
      <c r="J690" s="13" t="inlineStr">
        <is>
          <t>📕 PDF Document</t>
        </is>
      </c>
      <c r="K690" s="15" t="n">
        <v>931.7</v>
      </c>
      <c r="L690" s="16">
        <f>HYPERLINK("http://127.0.0.1:8000/api/documents/download?id=2365&amp;attachment=true", "⬇ Download 171020-LA-431 171020-LA-")</f>
        <v/>
      </c>
      <c r="M690" s="16">
        <f>HYPERLINK("http://localhost:5173/?state=Andhra%20Pradesh&amp;keyword=MIS&amp;tender=999239", "🚀 Open in Portal")</f>
        <v/>
      </c>
    </row>
    <row r="691" ht="24" customHeight="1">
      <c r="A691" s="4" t="inlineStr">
        <is>
          <t>Andhra Pradesh</t>
        </is>
      </c>
      <c r="B691" s="5" t="inlineStr">
        <is>
          <t>MIS</t>
        </is>
      </c>
      <c r="C691" s="6" t="inlineStr">
        <is>
          <t>999239</t>
        </is>
      </c>
      <c r="D691"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691" s="7" t="inlineStr">
        <is>
          <t>MUNICIPAL ADMINISTRATION DEPARTMENT-Amaravati Growth &amp; Infrastructure Corporation Limited Amaravati</t>
        </is>
      </c>
      <c r="F691" s="6" t="inlineStr">
        <is>
          <t>25 Jul 2026</t>
        </is>
      </c>
      <c r="G691" s="5" t="inlineStr">
        <is>
          <t>18 Aug 2026</t>
        </is>
      </c>
      <c r="H691" s="8" t="inlineStr">
        <is>
          <t>⏳ UPCOMING</t>
        </is>
      </c>
      <c r="I691" s="4" t="inlineStr">
        <is>
          <t>171020-LA-431 171020-LA-431-5.pdf</t>
        </is>
      </c>
      <c r="J691" s="6" t="inlineStr">
        <is>
          <t>📕 PDF Document</t>
        </is>
      </c>
      <c r="K691" s="9" t="n">
        <v>880.8</v>
      </c>
      <c r="L691" s="10">
        <f>HYPERLINK("http://127.0.0.1:8000/api/documents/download?id=2366&amp;attachment=true", "⬇ Download 171020-LA-431 171020-LA-")</f>
        <v/>
      </c>
      <c r="M691" s="10">
        <f>HYPERLINK("http://localhost:5173/?state=Andhra%20Pradesh&amp;keyword=MIS&amp;tender=999239", "🚀 Open in Portal")</f>
        <v/>
      </c>
    </row>
    <row r="692" ht="24" customHeight="1">
      <c r="A692" s="11" t="inlineStr">
        <is>
          <t>Andhra Pradesh</t>
        </is>
      </c>
      <c r="B692" s="12" t="inlineStr">
        <is>
          <t>MIS</t>
        </is>
      </c>
      <c r="C692" s="13" t="inlineStr">
        <is>
          <t>999239</t>
        </is>
      </c>
      <c r="D692"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692" s="14" t="inlineStr">
        <is>
          <t>MUNICIPAL ADMINISTRATION DEPARTMENT-Amaravati Growth &amp; Infrastructure Corporation Limited Amaravati</t>
        </is>
      </c>
      <c r="F692" s="13" t="inlineStr">
        <is>
          <t>25 Jul 2026</t>
        </is>
      </c>
      <c r="G692" s="12" t="inlineStr">
        <is>
          <t>18 Aug 2026</t>
        </is>
      </c>
      <c r="H692" s="8" t="inlineStr">
        <is>
          <t>⏳ UPCOMING</t>
        </is>
      </c>
      <c r="I692" s="11" t="inlineStr">
        <is>
          <t>171020-LA-431 171020-LA-431-6.pdf</t>
        </is>
      </c>
      <c r="J692" s="13" t="inlineStr">
        <is>
          <t>📕 PDF Document</t>
        </is>
      </c>
      <c r="K692" s="15" t="n">
        <v>878.9</v>
      </c>
      <c r="L692" s="16">
        <f>HYPERLINK("http://127.0.0.1:8000/api/documents/download?id=2367&amp;attachment=true", "⬇ Download 171020-LA-431 171020-LA-")</f>
        <v/>
      </c>
      <c r="M692" s="16">
        <f>HYPERLINK("http://localhost:5173/?state=Andhra%20Pradesh&amp;keyword=MIS&amp;tender=999239", "🚀 Open in Portal")</f>
        <v/>
      </c>
    </row>
    <row r="693" ht="24" customHeight="1">
      <c r="A693" s="4" t="inlineStr">
        <is>
          <t>Andhra Pradesh</t>
        </is>
      </c>
      <c r="B693" s="5" t="inlineStr">
        <is>
          <t>MIS</t>
        </is>
      </c>
      <c r="C693" s="6" t="inlineStr">
        <is>
          <t>999239</t>
        </is>
      </c>
      <c r="D693"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693" s="7" t="inlineStr">
        <is>
          <t>MUNICIPAL ADMINISTRATION DEPARTMENT-Amaravati Growth &amp; Infrastructure Corporation Limited Amaravati</t>
        </is>
      </c>
      <c r="F693" s="6" t="inlineStr">
        <is>
          <t>25 Jul 2026</t>
        </is>
      </c>
      <c r="G693" s="5" t="inlineStr">
        <is>
          <t>18 Aug 2026</t>
        </is>
      </c>
      <c r="H693" s="8" t="inlineStr">
        <is>
          <t>⏳ UPCOMING</t>
        </is>
      </c>
      <c r="I693" s="4" t="inlineStr">
        <is>
          <t>171020-LA-431 171020-LA-431-7.pdf</t>
        </is>
      </c>
      <c r="J693" s="6" t="inlineStr">
        <is>
          <t>📕 PDF Document</t>
        </is>
      </c>
      <c r="K693" s="9" t="n">
        <v>875.3</v>
      </c>
      <c r="L693" s="10">
        <f>HYPERLINK("http://127.0.0.1:8000/api/documents/download?id=2368&amp;attachment=true", "⬇ Download 171020-LA-431 171020-LA-")</f>
        <v/>
      </c>
      <c r="M693" s="10">
        <f>HYPERLINK("http://localhost:5173/?state=Andhra%20Pradesh&amp;keyword=MIS&amp;tender=999239", "🚀 Open in Portal")</f>
        <v/>
      </c>
    </row>
    <row r="694" ht="24" customHeight="1">
      <c r="A694" s="11" t="inlineStr">
        <is>
          <t>Andhra Pradesh</t>
        </is>
      </c>
      <c r="B694" s="12" t="inlineStr">
        <is>
          <t>MIS</t>
        </is>
      </c>
      <c r="C694" s="13" t="inlineStr">
        <is>
          <t>999239</t>
        </is>
      </c>
      <c r="D694"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694" s="14" t="inlineStr">
        <is>
          <t>MUNICIPAL ADMINISTRATION DEPARTMENT-Amaravati Growth &amp; Infrastructure Corporation Limited Amaravati</t>
        </is>
      </c>
      <c r="F694" s="13" t="inlineStr">
        <is>
          <t>25 Jul 2026</t>
        </is>
      </c>
      <c r="G694" s="12" t="inlineStr">
        <is>
          <t>18 Aug 2026</t>
        </is>
      </c>
      <c r="H694" s="8" t="inlineStr">
        <is>
          <t>⏳ UPCOMING</t>
        </is>
      </c>
      <c r="I694" s="11" t="inlineStr">
        <is>
          <t>171020-LA-431 171020-LA-431.pdf</t>
        </is>
      </c>
      <c r="J694" s="13" t="inlineStr">
        <is>
          <t>📕 PDF Document</t>
        </is>
      </c>
      <c r="K694" s="15" t="n">
        <v>921.9</v>
      </c>
      <c r="L694" s="16">
        <f>HYPERLINK("http://127.0.0.1:8000/api/documents/download?id=2369&amp;attachment=true", "⬇ Download 171020-LA-431 171020-LA-")</f>
        <v/>
      </c>
      <c r="M694" s="16">
        <f>HYPERLINK("http://localhost:5173/?state=Andhra%20Pradesh&amp;keyword=MIS&amp;tender=999239", "🚀 Open in Portal")</f>
        <v/>
      </c>
    </row>
    <row r="695" ht="24" customHeight="1">
      <c r="A695" s="4" t="inlineStr">
        <is>
          <t>Andhra Pradesh</t>
        </is>
      </c>
      <c r="B695" s="5" t="inlineStr">
        <is>
          <t>MIS</t>
        </is>
      </c>
      <c r="C695" s="6" t="inlineStr">
        <is>
          <t>999239</t>
        </is>
      </c>
      <c r="D695"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695" s="7" t="inlineStr">
        <is>
          <t>MUNICIPAL ADMINISTRATION DEPARTMENT-Amaravati Growth &amp; Infrastructure Corporation Limited Amaravati</t>
        </is>
      </c>
      <c r="F695" s="6" t="inlineStr">
        <is>
          <t>25 Jul 2026</t>
        </is>
      </c>
      <c r="G695" s="5" t="inlineStr">
        <is>
          <t>18 Aug 2026</t>
        </is>
      </c>
      <c r="H695" s="8" t="inlineStr">
        <is>
          <t>⏳ UPCOMING</t>
        </is>
      </c>
      <c r="I695" s="4" t="inlineStr">
        <is>
          <t>3755-FSP-LA-ZZZ-DR-A-210000.pdf</t>
        </is>
      </c>
      <c r="J695" s="6" t="inlineStr">
        <is>
          <t>📕 PDF Document</t>
        </is>
      </c>
      <c r="K695" s="9" t="n">
        <v>25229.8</v>
      </c>
      <c r="L695" s="10">
        <f>HYPERLINK("http://127.0.0.1:8000/api/documents/download?id=2371&amp;attachment=true", "⬇ Download 3755-FSP-LA-ZZZ-DR-A-210")</f>
        <v/>
      </c>
      <c r="M695" s="10">
        <f>HYPERLINK("http://localhost:5173/?state=Andhra%20Pradesh&amp;keyword=MIS&amp;tender=999239", "🚀 Open in Portal")</f>
        <v/>
      </c>
    </row>
    <row r="696" ht="24" customHeight="1">
      <c r="A696" s="11" t="inlineStr">
        <is>
          <t>Andhra Pradesh</t>
        </is>
      </c>
      <c r="B696" s="12" t="inlineStr">
        <is>
          <t>MIS</t>
        </is>
      </c>
      <c r="C696" s="13" t="inlineStr">
        <is>
          <t>999239</t>
        </is>
      </c>
      <c r="D696"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696" s="14" t="inlineStr">
        <is>
          <t>MUNICIPAL ADMINISTRATION DEPARTMENT-Amaravati Growth &amp; Infrastructure Corporation Limited Amaravati</t>
        </is>
      </c>
      <c r="F696" s="13" t="inlineStr">
        <is>
          <t>25 Jul 2026</t>
        </is>
      </c>
      <c r="G696" s="12" t="inlineStr">
        <is>
          <t>18 Aug 2026</t>
        </is>
      </c>
      <c r="H696" s="8" t="inlineStr">
        <is>
          <t>⏳ UPCOMING</t>
        </is>
      </c>
      <c r="I696" s="11" t="inlineStr">
        <is>
          <t>171020-LA-621-(NE &amp; SW) - SKYLIGHT 171020-LA-NE-621-1.pdf</t>
        </is>
      </c>
      <c r="J696" s="13" t="inlineStr">
        <is>
          <t>📕 PDF Document</t>
        </is>
      </c>
      <c r="K696" s="15" t="n">
        <v>1984.1</v>
      </c>
      <c r="L696" s="16">
        <f>HYPERLINK("http://127.0.0.1:8000/api/documents/download?id=2373&amp;attachment=true", "⬇ Download 171020-LA-621-(NE &amp; SW) ")</f>
        <v/>
      </c>
      <c r="M696" s="16">
        <f>HYPERLINK("http://localhost:5173/?state=Andhra%20Pradesh&amp;keyword=MIS&amp;tender=999239", "🚀 Open in Portal")</f>
        <v/>
      </c>
    </row>
    <row r="697" ht="24" customHeight="1">
      <c r="A697" s="4" t="inlineStr">
        <is>
          <t>Andhra Pradesh</t>
        </is>
      </c>
      <c r="B697" s="5" t="inlineStr">
        <is>
          <t>MIS</t>
        </is>
      </c>
      <c r="C697" s="6" t="inlineStr">
        <is>
          <t>999239</t>
        </is>
      </c>
      <c r="D697"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697" s="7" t="inlineStr">
        <is>
          <t>MUNICIPAL ADMINISTRATION DEPARTMENT-Amaravati Growth &amp; Infrastructure Corporation Limited Amaravati</t>
        </is>
      </c>
      <c r="F697" s="6" t="inlineStr">
        <is>
          <t>25 Jul 2026</t>
        </is>
      </c>
      <c r="G697" s="5" t="inlineStr">
        <is>
          <t>18 Aug 2026</t>
        </is>
      </c>
      <c r="H697" s="8" t="inlineStr">
        <is>
          <t>⏳ UPCOMING</t>
        </is>
      </c>
      <c r="I697" s="4" t="inlineStr">
        <is>
          <t>171020-LA-621-(NE &amp; SW) - SKYLIGHT 171020-LA-NE-621-2.pdf</t>
        </is>
      </c>
      <c r="J697" s="6" t="inlineStr">
        <is>
          <t>📕 PDF Document</t>
        </is>
      </c>
      <c r="K697" s="9" t="n">
        <v>917.3</v>
      </c>
      <c r="L697" s="10">
        <f>HYPERLINK("http://127.0.0.1:8000/api/documents/download?id=2374&amp;attachment=true", "⬇ Download 171020-LA-621-(NE &amp; SW) ")</f>
        <v/>
      </c>
      <c r="M697" s="10">
        <f>HYPERLINK("http://localhost:5173/?state=Andhra%20Pradesh&amp;keyword=MIS&amp;tender=999239", "🚀 Open in Portal")</f>
        <v/>
      </c>
    </row>
    <row r="698" ht="24" customHeight="1">
      <c r="A698" s="11" t="inlineStr">
        <is>
          <t>Andhra Pradesh</t>
        </is>
      </c>
      <c r="B698" s="12" t="inlineStr">
        <is>
          <t>MIS</t>
        </is>
      </c>
      <c r="C698" s="13" t="inlineStr">
        <is>
          <t>999239</t>
        </is>
      </c>
      <c r="D698"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698" s="14" t="inlineStr">
        <is>
          <t>MUNICIPAL ADMINISTRATION DEPARTMENT-Amaravati Growth &amp; Infrastructure Corporation Limited Amaravati</t>
        </is>
      </c>
      <c r="F698" s="13" t="inlineStr">
        <is>
          <t>25 Jul 2026</t>
        </is>
      </c>
      <c r="G698" s="12" t="inlineStr">
        <is>
          <t>18 Aug 2026</t>
        </is>
      </c>
      <c r="H698" s="8" t="inlineStr">
        <is>
          <t>⏳ UPCOMING</t>
        </is>
      </c>
      <c r="I698" s="11" t="inlineStr">
        <is>
          <t>171020-LA-621-(NE &amp; SW) - SKYLIGHT 171020-LA-NE-621-3.pdf</t>
        </is>
      </c>
      <c r="J698" s="13" t="inlineStr">
        <is>
          <t>📕 PDF Document</t>
        </is>
      </c>
      <c r="K698" s="15" t="n">
        <v>999.3</v>
      </c>
      <c r="L698" s="16">
        <f>HYPERLINK("http://127.0.0.1:8000/api/documents/download?id=2375&amp;attachment=true", "⬇ Download 171020-LA-621-(NE &amp; SW) ")</f>
        <v/>
      </c>
      <c r="M698" s="16">
        <f>HYPERLINK("http://localhost:5173/?state=Andhra%20Pradesh&amp;keyword=MIS&amp;tender=999239", "🚀 Open in Portal")</f>
        <v/>
      </c>
    </row>
    <row r="699" ht="24" customHeight="1">
      <c r="A699" s="4" t="inlineStr">
        <is>
          <t>Andhra Pradesh</t>
        </is>
      </c>
      <c r="B699" s="5" t="inlineStr">
        <is>
          <t>MIS</t>
        </is>
      </c>
      <c r="C699" s="6" t="inlineStr">
        <is>
          <t>999239</t>
        </is>
      </c>
      <c r="D699"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699" s="7" t="inlineStr">
        <is>
          <t>MUNICIPAL ADMINISTRATION DEPARTMENT-Amaravati Growth &amp; Infrastructure Corporation Limited Amaravati</t>
        </is>
      </c>
      <c r="F699" s="6" t="inlineStr">
        <is>
          <t>25 Jul 2026</t>
        </is>
      </c>
      <c r="G699" s="5" t="inlineStr">
        <is>
          <t>18 Aug 2026</t>
        </is>
      </c>
      <c r="H699" s="8" t="inlineStr">
        <is>
          <t>⏳ UPCOMING</t>
        </is>
      </c>
      <c r="I699" s="4" t="inlineStr">
        <is>
          <t>171020-LA-621-(NE &amp; SW) - SKYLIGHT 171020-LA-SW-621.pdf</t>
        </is>
      </c>
      <c r="J699" s="6" t="inlineStr">
        <is>
          <t>📕 PDF Document</t>
        </is>
      </c>
      <c r="K699" s="9" t="n">
        <v>2058.4</v>
      </c>
      <c r="L699" s="10">
        <f>HYPERLINK("http://127.0.0.1:8000/api/documents/download?id=2376&amp;attachment=true", "⬇ Download 171020-LA-621-(NE &amp; SW) ")</f>
        <v/>
      </c>
      <c r="M699" s="10">
        <f>HYPERLINK("http://localhost:5173/?state=Andhra%20Pradesh&amp;keyword=MIS&amp;tender=999239", "🚀 Open in Portal")</f>
        <v/>
      </c>
    </row>
    <row r="700" ht="24" customHeight="1">
      <c r="A700" s="11" t="inlineStr">
        <is>
          <t>Andhra Pradesh</t>
        </is>
      </c>
      <c r="B700" s="12" t="inlineStr">
        <is>
          <t>MIS</t>
        </is>
      </c>
      <c r="C700" s="13" t="inlineStr">
        <is>
          <t>999239</t>
        </is>
      </c>
      <c r="D700"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00" s="14" t="inlineStr">
        <is>
          <t>MUNICIPAL ADMINISTRATION DEPARTMENT-Amaravati Growth &amp; Infrastructure Corporation Limited Amaravati</t>
        </is>
      </c>
      <c r="F700" s="13" t="inlineStr">
        <is>
          <t>25 Jul 2026</t>
        </is>
      </c>
      <c r="G700" s="12" t="inlineStr">
        <is>
          <t>18 Aug 2026</t>
        </is>
      </c>
      <c r="H700" s="8" t="inlineStr">
        <is>
          <t>⏳ UPCOMING</t>
        </is>
      </c>
      <c r="I700" s="11" t="inlineStr">
        <is>
          <t>171020-LA-INCLINED LIFT 171020-LA-INCL-611-1.pdf</t>
        </is>
      </c>
      <c r="J700" s="13" t="inlineStr">
        <is>
          <t>📕 PDF Document</t>
        </is>
      </c>
      <c r="K700" s="15" t="n">
        <v>597.1</v>
      </c>
      <c r="L700" s="16">
        <f>HYPERLINK("http://127.0.0.1:8000/api/documents/download?id=2377&amp;attachment=true", "⬇ Download 171020-LA-INCLINED LIFT ")</f>
        <v/>
      </c>
      <c r="M700" s="16">
        <f>HYPERLINK("http://localhost:5173/?state=Andhra%20Pradesh&amp;keyword=MIS&amp;tender=999239", "🚀 Open in Portal")</f>
        <v/>
      </c>
    </row>
    <row r="701" ht="24" customHeight="1">
      <c r="A701" s="4" t="inlineStr">
        <is>
          <t>Andhra Pradesh</t>
        </is>
      </c>
      <c r="B701" s="5" t="inlineStr">
        <is>
          <t>MIS</t>
        </is>
      </c>
      <c r="C701" s="6" t="inlineStr">
        <is>
          <t>999239</t>
        </is>
      </c>
      <c r="D701"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01" s="7" t="inlineStr">
        <is>
          <t>MUNICIPAL ADMINISTRATION DEPARTMENT-Amaravati Growth &amp; Infrastructure Corporation Limited Amaravati</t>
        </is>
      </c>
      <c r="F701" s="6" t="inlineStr">
        <is>
          <t>25 Jul 2026</t>
        </is>
      </c>
      <c r="G701" s="5" t="inlineStr">
        <is>
          <t>18 Aug 2026</t>
        </is>
      </c>
      <c r="H701" s="8" t="inlineStr">
        <is>
          <t>⏳ UPCOMING</t>
        </is>
      </c>
      <c r="I701" s="4" t="inlineStr">
        <is>
          <t>171020-LA-INCLINED LIFT 171020-LA-INCL-611.pdf</t>
        </is>
      </c>
      <c r="J701" s="6" t="inlineStr">
        <is>
          <t>📕 PDF Document</t>
        </is>
      </c>
      <c r="K701" s="9" t="n">
        <v>367</v>
      </c>
      <c r="L701" s="10">
        <f>HYPERLINK("http://127.0.0.1:8000/api/documents/download?id=2378&amp;attachment=true", "⬇ Download 171020-LA-INCLINED LIFT ")</f>
        <v/>
      </c>
      <c r="M701" s="10">
        <f>HYPERLINK("http://localhost:5173/?state=Andhra%20Pradesh&amp;keyword=MIS&amp;tender=999239", "🚀 Open in Portal")</f>
        <v/>
      </c>
    </row>
    <row r="702" ht="24" customHeight="1">
      <c r="A702" s="11" t="inlineStr">
        <is>
          <t>Andhra Pradesh</t>
        </is>
      </c>
      <c r="B702" s="12" t="inlineStr">
        <is>
          <t>MIS</t>
        </is>
      </c>
      <c r="C702" s="13" t="inlineStr">
        <is>
          <t>999239</t>
        </is>
      </c>
      <c r="D702"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02" s="14" t="inlineStr">
        <is>
          <t>MUNICIPAL ADMINISTRATION DEPARTMENT-Amaravati Growth &amp; Infrastructure Corporation Limited Amaravati</t>
        </is>
      </c>
      <c r="F702" s="13" t="inlineStr">
        <is>
          <t>25 Jul 2026</t>
        </is>
      </c>
      <c r="G702" s="12" t="inlineStr">
        <is>
          <t>18 Aug 2026</t>
        </is>
      </c>
      <c r="H702" s="8" t="inlineStr">
        <is>
          <t>⏳ UPCOMING</t>
        </is>
      </c>
      <c r="I702" s="11" t="inlineStr">
        <is>
          <t>171020-LA-INCLINED STAIRCASE 171020-LA-INCL-612-1.pdf</t>
        </is>
      </c>
      <c r="J702" s="13" t="inlineStr">
        <is>
          <t>📕 PDF Document</t>
        </is>
      </c>
      <c r="K702" s="15" t="n">
        <v>2774.1</v>
      </c>
      <c r="L702" s="16">
        <f>HYPERLINK("http://127.0.0.1:8000/api/documents/download?id=2379&amp;attachment=true", "⬇ Download 171020-LA-INCLINED STAIR")</f>
        <v/>
      </c>
      <c r="M702" s="16">
        <f>HYPERLINK("http://localhost:5173/?state=Andhra%20Pradesh&amp;keyword=MIS&amp;tender=999239", "🚀 Open in Portal")</f>
        <v/>
      </c>
    </row>
    <row r="703" ht="24" customHeight="1">
      <c r="A703" s="4" t="inlineStr">
        <is>
          <t>Andhra Pradesh</t>
        </is>
      </c>
      <c r="B703" s="5" t="inlineStr">
        <is>
          <t>MIS</t>
        </is>
      </c>
      <c r="C703" s="6" t="inlineStr">
        <is>
          <t>999239</t>
        </is>
      </c>
      <c r="D703"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03" s="7" t="inlineStr">
        <is>
          <t>MUNICIPAL ADMINISTRATION DEPARTMENT-Amaravati Growth &amp; Infrastructure Corporation Limited Amaravati</t>
        </is>
      </c>
      <c r="F703" s="6" t="inlineStr">
        <is>
          <t>25 Jul 2026</t>
        </is>
      </c>
      <c r="G703" s="5" t="inlineStr">
        <is>
          <t>18 Aug 2026</t>
        </is>
      </c>
      <c r="H703" s="8" t="inlineStr">
        <is>
          <t>⏳ UPCOMING</t>
        </is>
      </c>
      <c r="I703" s="4" t="inlineStr">
        <is>
          <t>171020-LA-INCLINED STAIRCASE 171020-LA-INCL-612.pdf</t>
        </is>
      </c>
      <c r="J703" s="6" t="inlineStr">
        <is>
          <t>📕 PDF Document</t>
        </is>
      </c>
      <c r="K703" s="9" t="n">
        <v>875</v>
      </c>
      <c r="L703" s="10">
        <f>HYPERLINK("http://127.0.0.1:8000/api/documents/download?id=2380&amp;attachment=true", "⬇ Download 171020-LA-INCLINED STAIR")</f>
        <v/>
      </c>
      <c r="M703" s="10">
        <f>HYPERLINK("http://localhost:5173/?state=Andhra%20Pradesh&amp;keyword=MIS&amp;tender=999239", "🚀 Open in Portal")</f>
        <v/>
      </c>
    </row>
    <row r="704" ht="24" customHeight="1">
      <c r="A704" s="11" t="inlineStr">
        <is>
          <t>Andhra Pradesh</t>
        </is>
      </c>
      <c r="B704" s="12" t="inlineStr">
        <is>
          <t>MIS</t>
        </is>
      </c>
      <c r="C704" s="13" t="inlineStr">
        <is>
          <t>999239</t>
        </is>
      </c>
      <c r="D704"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04" s="14" t="inlineStr">
        <is>
          <t>MUNICIPAL ADMINISTRATION DEPARTMENT-Amaravati Growth &amp; Infrastructure Corporation Limited Amaravati</t>
        </is>
      </c>
      <c r="F704" s="13" t="inlineStr">
        <is>
          <t>25 Jul 2026</t>
        </is>
      </c>
      <c r="G704" s="12" t="inlineStr">
        <is>
          <t>18 Aug 2026</t>
        </is>
      </c>
      <c r="H704" s="8" t="inlineStr">
        <is>
          <t>⏳ UPCOMING</t>
        </is>
      </c>
      <c r="I704" s="11" t="inlineStr">
        <is>
          <t>plot.log</t>
        </is>
      </c>
      <c r="J704" s="13" t="inlineStr">
        <is>
          <t>📄 LOG</t>
        </is>
      </c>
      <c r="K704" s="15" t="n">
        <v>0.3</v>
      </c>
      <c r="L704" s="16">
        <f>HYPERLINK("http://127.0.0.1:8000/api/documents/download?id=2381&amp;attachment=true", "⬇ Download plot.log")</f>
        <v/>
      </c>
      <c r="M704" s="16">
        <f>HYPERLINK("http://localhost:5173/?state=Andhra%20Pradesh&amp;keyword=MIS&amp;tender=999239", "🚀 Open in Portal")</f>
        <v/>
      </c>
    </row>
    <row r="705" ht="24" customHeight="1">
      <c r="A705" s="4" t="inlineStr">
        <is>
          <t>Andhra Pradesh</t>
        </is>
      </c>
      <c r="B705" s="5" t="inlineStr">
        <is>
          <t>MIS</t>
        </is>
      </c>
      <c r="C705" s="6" t="inlineStr">
        <is>
          <t>999239</t>
        </is>
      </c>
      <c r="D705"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05" s="7" t="inlineStr">
        <is>
          <t>MUNICIPAL ADMINISTRATION DEPARTMENT-Amaravati Growth &amp; Infrastructure Corporation Limited Amaravati</t>
        </is>
      </c>
      <c r="F705" s="6" t="inlineStr">
        <is>
          <t>25 Jul 2026</t>
        </is>
      </c>
      <c r="G705" s="5" t="inlineStr">
        <is>
          <t>18 Aug 2026</t>
        </is>
      </c>
      <c r="H705" s="8" t="inlineStr">
        <is>
          <t>⏳ UPCOMING</t>
        </is>
      </c>
      <c r="I705" s="4" t="inlineStr">
        <is>
          <t>3755-FSP-LA-100-DR-A-031015_.pdf</t>
        </is>
      </c>
      <c r="J705" s="6" t="inlineStr">
        <is>
          <t>📕 PDF Document</t>
        </is>
      </c>
      <c r="K705" s="9" t="n">
        <v>8787.4</v>
      </c>
      <c r="L705" s="10">
        <f>HYPERLINK("http://127.0.0.1:8000/api/documents/download?id=2383&amp;attachment=true", "⬇ Download 3755-FSP-LA-100-DR-A-031")</f>
        <v/>
      </c>
      <c r="M705" s="10">
        <f>HYPERLINK("http://localhost:5173/?state=Andhra%20Pradesh&amp;keyword=MIS&amp;tender=999239", "🚀 Open in Portal")</f>
        <v/>
      </c>
    </row>
    <row r="706" ht="24" customHeight="1">
      <c r="A706" s="11" t="inlineStr">
        <is>
          <t>Andhra Pradesh</t>
        </is>
      </c>
      <c r="B706" s="12" t="inlineStr">
        <is>
          <t>MIS</t>
        </is>
      </c>
      <c r="C706" s="13" t="inlineStr">
        <is>
          <t>999239</t>
        </is>
      </c>
      <c r="D706"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06" s="14" t="inlineStr">
        <is>
          <t>MUNICIPAL ADMINISTRATION DEPARTMENT-Amaravati Growth &amp; Infrastructure Corporation Limited Amaravati</t>
        </is>
      </c>
      <c r="F706" s="13" t="inlineStr">
        <is>
          <t>25 Jul 2026</t>
        </is>
      </c>
      <c r="G706" s="12" t="inlineStr">
        <is>
          <t>18 Aug 2026</t>
        </is>
      </c>
      <c r="H706" s="8" t="inlineStr">
        <is>
          <t>⏳ UPCOMING</t>
        </is>
      </c>
      <c r="I706" s="11" t="inlineStr">
        <is>
          <t>3755-FSP-LA-101-DR-A-031015.pdf</t>
        </is>
      </c>
      <c r="J706" s="13" t="inlineStr">
        <is>
          <t>📕 PDF Document</t>
        </is>
      </c>
      <c r="K706" s="15" t="n">
        <v>10108.3</v>
      </c>
      <c r="L706" s="16">
        <f>HYPERLINK("http://127.0.0.1:8000/api/documents/download?id=2384&amp;attachment=true", "⬇ Download 3755-FSP-LA-101-DR-A-031")</f>
        <v/>
      </c>
      <c r="M706" s="16">
        <f>HYPERLINK("http://localhost:5173/?state=Andhra%20Pradesh&amp;keyword=MIS&amp;tender=999239", "🚀 Open in Portal")</f>
        <v/>
      </c>
    </row>
    <row r="707" ht="24" customHeight="1">
      <c r="A707" s="4" t="inlineStr">
        <is>
          <t>Andhra Pradesh</t>
        </is>
      </c>
      <c r="B707" s="5" t="inlineStr">
        <is>
          <t>MIS</t>
        </is>
      </c>
      <c r="C707" s="6" t="inlineStr">
        <is>
          <t>999239</t>
        </is>
      </c>
      <c r="D707"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07" s="7" t="inlineStr">
        <is>
          <t>MUNICIPAL ADMINISTRATION DEPARTMENT-Amaravati Growth &amp; Infrastructure Corporation Limited Amaravati</t>
        </is>
      </c>
      <c r="F707" s="6" t="inlineStr">
        <is>
          <t>25 Jul 2026</t>
        </is>
      </c>
      <c r="G707" s="5" t="inlineStr">
        <is>
          <t>18 Aug 2026</t>
        </is>
      </c>
      <c r="H707" s="8" t="inlineStr">
        <is>
          <t>⏳ UPCOMING</t>
        </is>
      </c>
      <c r="I707" s="4" t="inlineStr">
        <is>
          <t>3755-FSP-LA-102-DR-A-031015.pdf</t>
        </is>
      </c>
      <c r="J707" s="6" t="inlineStr">
        <is>
          <t>📕 PDF Document</t>
        </is>
      </c>
      <c r="K707" s="9" t="n">
        <v>8543.1</v>
      </c>
      <c r="L707" s="10">
        <f>HYPERLINK("http://127.0.0.1:8000/api/documents/download?id=2385&amp;attachment=true", "⬇ Download 3755-FSP-LA-102-DR-A-031")</f>
        <v/>
      </c>
      <c r="M707" s="10">
        <f>HYPERLINK("http://localhost:5173/?state=Andhra%20Pradesh&amp;keyword=MIS&amp;tender=999239", "🚀 Open in Portal")</f>
        <v/>
      </c>
    </row>
    <row r="708" ht="24" customHeight="1">
      <c r="A708" s="11" t="inlineStr">
        <is>
          <t>Andhra Pradesh</t>
        </is>
      </c>
      <c r="B708" s="12" t="inlineStr">
        <is>
          <t>MIS</t>
        </is>
      </c>
      <c r="C708" s="13" t="inlineStr">
        <is>
          <t>999239</t>
        </is>
      </c>
      <c r="D708"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08" s="14" t="inlineStr">
        <is>
          <t>MUNICIPAL ADMINISTRATION DEPARTMENT-Amaravati Growth &amp; Infrastructure Corporation Limited Amaravati</t>
        </is>
      </c>
      <c r="F708" s="13" t="inlineStr">
        <is>
          <t>25 Jul 2026</t>
        </is>
      </c>
      <c r="G708" s="12" t="inlineStr">
        <is>
          <t>18 Aug 2026</t>
        </is>
      </c>
      <c r="H708" s="8" t="inlineStr">
        <is>
          <t>⏳ UPCOMING</t>
        </is>
      </c>
      <c r="I708" s="11" t="inlineStr">
        <is>
          <t>3755-FSP-LA-103-DR-A-031015.pdf</t>
        </is>
      </c>
      <c r="J708" s="13" t="inlineStr">
        <is>
          <t>📕 PDF Document</t>
        </is>
      </c>
      <c r="K708" s="15" t="n">
        <v>6488.7</v>
      </c>
      <c r="L708" s="16">
        <f>HYPERLINK("http://127.0.0.1:8000/api/documents/download?id=2386&amp;attachment=true", "⬇ Download 3755-FSP-LA-103-DR-A-031")</f>
        <v/>
      </c>
      <c r="M708" s="16">
        <f>HYPERLINK("http://localhost:5173/?state=Andhra%20Pradesh&amp;keyword=MIS&amp;tender=999239", "🚀 Open in Portal")</f>
        <v/>
      </c>
    </row>
    <row r="709" ht="24" customHeight="1">
      <c r="A709" s="4" t="inlineStr">
        <is>
          <t>Andhra Pradesh</t>
        </is>
      </c>
      <c r="B709" s="5" t="inlineStr">
        <is>
          <t>MIS</t>
        </is>
      </c>
      <c r="C709" s="6" t="inlineStr">
        <is>
          <t>999239</t>
        </is>
      </c>
      <c r="D709"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09" s="7" t="inlineStr">
        <is>
          <t>MUNICIPAL ADMINISTRATION DEPARTMENT-Amaravati Growth &amp; Infrastructure Corporation Limited Amaravati</t>
        </is>
      </c>
      <c r="F709" s="6" t="inlineStr">
        <is>
          <t>25 Jul 2026</t>
        </is>
      </c>
      <c r="G709" s="5" t="inlineStr">
        <is>
          <t>18 Aug 2026</t>
        </is>
      </c>
      <c r="H709" s="8" t="inlineStr">
        <is>
          <t>⏳ UPCOMING</t>
        </is>
      </c>
      <c r="I709" s="4" t="inlineStr">
        <is>
          <t>3755-FSP-LA-099-DR-A-031015.pdf</t>
        </is>
      </c>
      <c r="J709" s="6" t="inlineStr">
        <is>
          <t>📕 PDF Document</t>
        </is>
      </c>
      <c r="K709" s="9" t="n">
        <v>18934.3</v>
      </c>
      <c r="L709" s="10">
        <f>HYPERLINK("http://127.0.0.1:8000/api/documents/download?id=2388&amp;attachment=true", "⬇ Download 3755-FSP-LA-099-DR-A-031")</f>
        <v/>
      </c>
      <c r="M709" s="10">
        <f>HYPERLINK("http://localhost:5173/?state=Andhra%20Pradesh&amp;keyword=MIS&amp;tender=999239", "🚀 Open in Portal")</f>
        <v/>
      </c>
    </row>
    <row r="710" ht="24" customHeight="1">
      <c r="A710" s="11" t="inlineStr">
        <is>
          <t>Andhra Pradesh</t>
        </is>
      </c>
      <c r="B710" s="12" t="inlineStr">
        <is>
          <t>MIS</t>
        </is>
      </c>
      <c r="C710" s="13" t="inlineStr">
        <is>
          <t>999239</t>
        </is>
      </c>
      <c r="D710"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10" s="14" t="inlineStr">
        <is>
          <t>MUNICIPAL ADMINISTRATION DEPARTMENT-Amaravati Growth &amp; Infrastructure Corporation Limited Amaravati</t>
        </is>
      </c>
      <c r="F710" s="13" t="inlineStr">
        <is>
          <t>25 Jul 2026</t>
        </is>
      </c>
      <c r="G710" s="12" t="inlineStr">
        <is>
          <t>18 Aug 2026</t>
        </is>
      </c>
      <c r="H710" s="8" t="inlineStr">
        <is>
          <t>⏳ UPCOMING</t>
        </is>
      </c>
      <c r="I710" s="11" t="inlineStr">
        <is>
          <t>Roofing.zip</t>
        </is>
      </c>
      <c r="J710" s="13" t="inlineStr">
        <is>
          <t>📦 ZIP Package</t>
        </is>
      </c>
      <c r="K710" s="15" t="n">
        <v>25356.9</v>
      </c>
      <c r="L710" s="16">
        <f>HYPERLINK("http://127.0.0.1:8000/api/documents/download?id=2372&amp;attachment=true", "⬇ Download Roofing.zip")</f>
        <v/>
      </c>
      <c r="M710" s="16">
        <f>HYPERLINK("http://localhost:5173/?state=Andhra%20Pradesh&amp;keyword=MIS&amp;tender=999239", "🚀 Open in Portal")</f>
        <v/>
      </c>
    </row>
    <row r="711" ht="24" customHeight="1">
      <c r="A711" s="4" t="inlineStr">
        <is>
          <t>Andhra Pradesh</t>
        </is>
      </c>
      <c r="B711" s="5" t="inlineStr">
        <is>
          <t>MIS</t>
        </is>
      </c>
      <c r="C711" s="6" t="inlineStr">
        <is>
          <t>999239</t>
        </is>
      </c>
      <c r="D711"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11" s="7" t="inlineStr">
        <is>
          <t>MUNICIPAL ADMINISTRATION DEPARTMENT-Amaravati Growth &amp; Infrastructure Corporation Limited Amaravati</t>
        </is>
      </c>
      <c r="F711" s="6" t="inlineStr">
        <is>
          <t>25 Jul 2026</t>
        </is>
      </c>
      <c r="G711" s="5" t="inlineStr">
        <is>
          <t>18 Aug 2026</t>
        </is>
      </c>
      <c r="H711" s="8" t="inlineStr">
        <is>
          <t>⏳ UPCOMING</t>
        </is>
      </c>
      <c r="I711" s="4" t="inlineStr">
        <is>
          <t>Sky.zip</t>
        </is>
      </c>
      <c r="J711" s="6" t="inlineStr">
        <is>
          <t>📦 ZIP Package</t>
        </is>
      </c>
      <c r="K711" s="9" t="n">
        <v>9488.5</v>
      </c>
      <c r="L711" s="10">
        <f>HYPERLINK("http://127.0.0.1:8000/api/documents/download?id=2382&amp;attachment=true", "⬇ Download Sky.zip")</f>
        <v/>
      </c>
      <c r="M711" s="10">
        <f>HYPERLINK("http://localhost:5173/?state=Andhra%20Pradesh&amp;keyword=MIS&amp;tender=999239", "🚀 Open in Portal")</f>
        <v/>
      </c>
    </row>
    <row r="712" ht="24" customHeight="1">
      <c r="A712" s="11" t="inlineStr">
        <is>
          <t>Andhra Pradesh</t>
        </is>
      </c>
      <c r="B712" s="12" t="inlineStr">
        <is>
          <t>MIS</t>
        </is>
      </c>
      <c r="C712" s="13" t="inlineStr">
        <is>
          <t>999239</t>
        </is>
      </c>
      <c r="D712"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12" s="14" t="inlineStr">
        <is>
          <t>MUNICIPAL ADMINISTRATION DEPARTMENT-Amaravati Growth &amp; Infrastructure Corporation Limited Amaravati</t>
        </is>
      </c>
      <c r="F712" s="13" t="inlineStr">
        <is>
          <t>25 Jul 2026</t>
        </is>
      </c>
      <c r="G712" s="12" t="inlineStr">
        <is>
          <t>18 Aug 2026</t>
        </is>
      </c>
      <c r="H712" s="8" t="inlineStr">
        <is>
          <t>⏳ UPCOMING</t>
        </is>
      </c>
      <c r="I712" s="11" t="inlineStr">
        <is>
          <t>Architectural.zip</t>
        </is>
      </c>
      <c r="J712" s="13" t="inlineStr">
        <is>
          <t>📦 ZIP Package</t>
        </is>
      </c>
      <c r="K712" s="15" t="n">
        <v>33373.3</v>
      </c>
      <c r="L712" s="16">
        <f>HYPERLINK("http://127.0.0.1:8000/api/documents/download?id=2387&amp;attachment=true", "⬇ Download Architectural.zip")</f>
        <v/>
      </c>
      <c r="M712" s="16">
        <f>HYPERLINK("http://localhost:5173/?state=Andhra%20Pradesh&amp;keyword=MIS&amp;tender=999239", "🚀 Open in Portal")</f>
        <v/>
      </c>
    </row>
    <row r="713" ht="24" customHeight="1">
      <c r="A713" s="4" t="inlineStr">
        <is>
          <t>Andhra Pradesh</t>
        </is>
      </c>
      <c r="B713" s="5" t="inlineStr">
        <is>
          <t>MIS</t>
        </is>
      </c>
      <c r="C713" s="6" t="inlineStr">
        <is>
          <t>999239</t>
        </is>
      </c>
      <c r="D713"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13" s="7" t="inlineStr">
        <is>
          <t>MUNICIPAL ADMINISTRATION DEPARTMENT-Amaravati Growth &amp; Infrastructure Corporation Limited Amaravati</t>
        </is>
      </c>
      <c r="F713" s="6" t="inlineStr">
        <is>
          <t>25 Jul 2026</t>
        </is>
      </c>
      <c r="G713" s="5" t="inlineStr">
        <is>
          <t>18 Aug 2026</t>
        </is>
      </c>
      <c r="H713" s="8" t="inlineStr">
        <is>
          <t>⏳ UPCOMING</t>
        </is>
      </c>
      <c r="I713" s="4" t="inlineStr">
        <is>
          <t>Architecural1.zip</t>
        </is>
      </c>
      <c r="J713" s="6" t="inlineStr">
        <is>
          <t>📦 ZIP Package</t>
        </is>
      </c>
      <c r="K713" s="9" t="n">
        <v>19436.1</v>
      </c>
      <c r="L713" s="10">
        <f>HYPERLINK("http://127.0.0.1:8000/api/documents/download?id=2389&amp;attachment=true", "⬇ Download Architecural1.zip")</f>
        <v/>
      </c>
      <c r="M713" s="10">
        <f>HYPERLINK("http://localhost:5173/?state=Andhra%20Pradesh&amp;keyword=MIS&amp;tender=999239", "🚀 Open in Portal")</f>
        <v/>
      </c>
    </row>
    <row r="714" ht="24" customHeight="1">
      <c r="A714" s="11" t="inlineStr">
        <is>
          <t>Andhra Pradesh</t>
        </is>
      </c>
      <c r="B714" s="12" t="inlineStr">
        <is>
          <t>MIS</t>
        </is>
      </c>
      <c r="C714" s="13" t="inlineStr">
        <is>
          <t>999239</t>
        </is>
      </c>
      <c r="D714"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14" s="14" t="inlineStr">
        <is>
          <t>MUNICIPAL ADMINISTRATION DEPARTMENT-Amaravati Growth &amp; Infrastructure Corporation Limited Amaravati</t>
        </is>
      </c>
      <c r="F714" s="13" t="inlineStr">
        <is>
          <t>25 Jul 2026</t>
        </is>
      </c>
      <c r="G714" s="12" t="inlineStr">
        <is>
          <t>18 Aug 2026</t>
        </is>
      </c>
      <c r="H714" s="8" t="inlineStr">
        <is>
          <t>⏳ UPCOMING</t>
        </is>
      </c>
      <c r="I714" s="11" t="inlineStr">
        <is>
          <t>Tender_999239_All_Documents.zip</t>
        </is>
      </c>
      <c r="J714" s="13" t="inlineStr">
        <is>
          <t>📦 ZIP Package</t>
        </is>
      </c>
      <c r="K714" s="15" t="n">
        <v>11515.8</v>
      </c>
      <c r="L714" s="16">
        <f>HYPERLINK("http://127.0.0.1:8000/api/documents/download?id=2370&amp;attachment=true", "⬇ Download Tender_999239_All_Docume")</f>
        <v/>
      </c>
      <c r="M714" s="16">
        <f>HYPERLINK("http://localhost:5173/?state=Andhra%20Pradesh&amp;keyword=MIS&amp;tender=999239", "🚀 Open in Portal")</f>
        <v/>
      </c>
    </row>
    <row r="715" ht="24" customHeight="1">
      <c r="A715" s="4" t="inlineStr">
        <is>
          <t>Andhra Pradesh</t>
        </is>
      </c>
      <c r="B715" s="5" t="inlineStr">
        <is>
          <t>Mapping</t>
        </is>
      </c>
      <c r="C715" s="6" t="inlineStr">
        <is>
          <t>1000170</t>
        </is>
      </c>
      <c r="D715" s="7" t="inlineStr">
        <is>
          <t>Supply, Installation, Commissioning, Training and Post-Supply Support of GEOSPATIAL SURVEY AND MAPPING DRONE SYSTEMS</t>
        </is>
      </c>
      <c r="E715" s="7" t="inlineStr">
        <is>
          <t>INFRASTRUCTURE AND INVESTMENT DEPARTMENT OF ANDHRA PRADESH-A P Drones Corporation, Vijayawada</t>
        </is>
      </c>
      <c r="F715" s="6" t="inlineStr">
        <is>
          <t>12 Aug 2026</t>
        </is>
      </c>
      <c r="G715" s="5" t="inlineStr">
        <is>
          <t>05 Sep 2026</t>
        </is>
      </c>
      <c r="H715" s="8" t="inlineStr">
        <is>
          <t>⏳ UPCOMING</t>
        </is>
      </c>
      <c r="I715" s="4" t="inlineStr">
        <is>
          <t>APDC_RFP_Geospatial_Survey_Drone_Systems.pdf</t>
        </is>
      </c>
      <c r="J715" s="6" t="inlineStr">
        <is>
          <t>📕 PDF Document</t>
        </is>
      </c>
      <c r="K715" s="9" t="n">
        <v>460.7</v>
      </c>
      <c r="L715" s="10">
        <f>HYPERLINK("http://127.0.0.1:8000/api/documents/download?id=2612&amp;attachment=true", "⬇ Download APDC_RFP_Geospatial_Surv")</f>
        <v/>
      </c>
      <c r="M715" s="10">
        <f>HYPERLINK("http://localhost:5173/?state=Andhra%20Pradesh&amp;keyword=Mapping&amp;tender=1000170", "🚀 Open in Portal")</f>
        <v/>
      </c>
    </row>
    <row r="716" ht="24" customHeight="1">
      <c r="A716" s="11" t="inlineStr">
        <is>
          <t>Andhra Pradesh</t>
        </is>
      </c>
      <c r="B716" s="12" t="inlineStr">
        <is>
          <t>Mapping</t>
        </is>
      </c>
      <c r="C716" s="13" t="inlineStr">
        <is>
          <t>1000170</t>
        </is>
      </c>
      <c r="D716" s="14" t="inlineStr">
        <is>
          <t>Supply, Installation, Commissioning, Training and Post-Supply Support of GEOSPATIAL SURVEY AND MAPPING DRONE SYSTEMS</t>
        </is>
      </c>
      <c r="E716" s="14" t="inlineStr">
        <is>
          <t>INFRASTRUCTURE AND INVESTMENT DEPARTMENT OF ANDHRA PRADESH-A P Drones Corporation, Vijayawada</t>
        </is>
      </c>
      <c r="F716" s="13" t="inlineStr">
        <is>
          <t>12 Aug 2026</t>
        </is>
      </c>
      <c r="G716" s="12" t="inlineStr">
        <is>
          <t>05 Sep 2026</t>
        </is>
      </c>
      <c r="H716" s="8" t="inlineStr">
        <is>
          <t>⏳ UPCOMING</t>
        </is>
      </c>
      <c r="I716" s="11" t="inlineStr">
        <is>
          <t>Tender_1000170_All_Documents.zip</t>
        </is>
      </c>
      <c r="J716" s="13" t="inlineStr">
        <is>
          <t>📦 ZIP Package</t>
        </is>
      </c>
      <c r="K716" s="15" t="n">
        <v>400</v>
      </c>
      <c r="L716" s="16">
        <f>HYPERLINK("http://127.0.0.1:8000/api/documents/download?id=2997&amp;attachment=true", "⬇ Download Tender_1000170_All_Docum")</f>
        <v/>
      </c>
      <c r="M716" s="16">
        <f>HYPERLINK("http://localhost:5173/?state=Andhra%20Pradesh&amp;keyword=Mapping&amp;tender=1000170", "🚀 Open in Portal")</f>
        <v/>
      </c>
    </row>
    <row r="717" ht="24" customHeight="1">
      <c r="A717" s="4" t="inlineStr">
        <is>
          <t>Andhra Pradesh</t>
        </is>
      </c>
      <c r="B717" s="5" t="inlineStr">
        <is>
          <t>Design</t>
        </is>
      </c>
      <c r="C717" s="6" t="inlineStr">
        <is>
          <t>1002390</t>
        </is>
      </c>
      <c r="D717" s="7" t="inlineStr">
        <is>
          <t>Water Resources Department HNSS Project Phase II Package No 52 A Balance work Investigation Preparation of HPs Designs LP Schedules Drawings for Provideing Distributory System to an ayacut of 8000 Acres in Amidyala Raketla and Peddakowkuntla villages of Uravakonda M by lifting water at KM 203 000 of HNSS Main Canal excluding laying of pressuremain in Anantapuramu District</t>
        </is>
      </c>
      <c r="E717" s="7" t="inlineStr">
        <is>
          <t>I &amp; CAD-SE, I &amp; CAD, HNSS Circle - II, ANANTAPUR</t>
        </is>
      </c>
      <c r="F717" s="6" t="inlineStr">
        <is>
          <t>07 Aug 2026</t>
        </is>
      </c>
      <c r="G717" s="5" t="inlineStr">
        <is>
          <t>05 Sep 2026</t>
        </is>
      </c>
      <c r="H717" s="8" t="inlineStr">
        <is>
          <t>⏳ UPCOMING</t>
        </is>
      </c>
      <c r="I717" s="4" t="inlineStr">
        <is>
          <t>Technical specifications Vol.II.doc</t>
        </is>
      </c>
      <c r="J717" s="6" t="inlineStr">
        <is>
          <t>📄 DOC</t>
        </is>
      </c>
      <c r="K717" s="9" t="n">
        <v>2301.5</v>
      </c>
      <c r="L717" s="10">
        <f>HYPERLINK("http://127.0.0.1:8000/api/documents/download?id=2562&amp;attachment=true", "⬇ Download Technical specifications")</f>
        <v/>
      </c>
      <c r="M717" s="10">
        <f>HYPERLINK("http://localhost:5173/?state=Andhra%20Pradesh&amp;keyword=Design&amp;tender=1002390", "🚀 Open in Portal")</f>
        <v/>
      </c>
    </row>
    <row r="718" ht="24" customHeight="1">
      <c r="A718" s="11" t="inlineStr">
        <is>
          <t>Andhra Pradesh</t>
        </is>
      </c>
      <c r="B718" s="12" t="inlineStr">
        <is>
          <t>Design</t>
        </is>
      </c>
      <c r="C718" s="13" t="inlineStr">
        <is>
          <t>1002390</t>
        </is>
      </c>
      <c r="D718" s="14" t="inlineStr">
        <is>
          <t>Water Resources Department HNSS Project Phase II Package No 52 A Balance work Investigation Preparation of HPs Designs LP Schedules Drawings for Provideing Distributory System to an ayacut of 8000 Acres in Amidyala Raketla and Peddakowkuntla villages of Uravakonda M by lifting water at KM 203 000 of HNSS Main Canal excluding laying of pressuremain in Anantapuramu District</t>
        </is>
      </c>
      <c r="E718" s="14" t="inlineStr">
        <is>
          <t>I &amp; CAD-SE, I &amp; CAD, HNSS Circle - II, ANANTAPUR</t>
        </is>
      </c>
      <c r="F718" s="13" t="inlineStr">
        <is>
          <t>07 Aug 2026</t>
        </is>
      </c>
      <c r="G718" s="12" t="inlineStr">
        <is>
          <t>05 Sep 2026</t>
        </is>
      </c>
      <c r="H718" s="8" t="inlineStr">
        <is>
          <t>⏳ UPCOMING</t>
        </is>
      </c>
      <c r="I718" s="11" t="inlineStr">
        <is>
          <t>Pkg.No.52 (A) Balance work Tender Document (09.10.2026) Vol.1.doc</t>
        </is>
      </c>
      <c r="J718" s="13" t="inlineStr">
        <is>
          <t>📄 DOC</t>
        </is>
      </c>
      <c r="K718" s="15" t="n">
        <v>1337.5</v>
      </c>
      <c r="L718" s="16">
        <f>HYPERLINK("http://127.0.0.1:8000/api/documents/download?id=2563&amp;attachment=true", "⬇ Download Pkg.No.52 (A) Balance wo")</f>
        <v/>
      </c>
      <c r="M718" s="16">
        <f>HYPERLINK("http://localhost:5173/?state=Andhra%20Pradesh&amp;keyword=Design&amp;tender=1002390", "🚀 Open in Portal")</f>
        <v/>
      </c>
    </row>
    <row r="719" ht="24" customHeight="1">
      <c r="A719" s="4" t="inlineStr">
        <is>
          <t>Andhra Pradesh</t>
        </is>
      </c>
      <c r="B719" s="5" t="inlineStr">
        <is>
          <t>Design</t>
        </is>
      </c>
      <c r="C719" s="6" t="inlineStr">
        <is>
          <t>1002390</t>
        </is>
      </c>
      <c r="D719" s="7" t="inlineStr">
        <is>
          <t>Water Resources Department HNSS Project Phase II Package No 52 A Balance work Investigation Preparation of HPs Designs LP Schedules Drawings for Provideing Distributory System to an ayacut of 8000 Acres in Amidyala Raketla and Peddakowkuntla villages of Uravakonda M by lifting water at KM 203 000 of HNSS Main Canal excluding laying of pressuremain in Anantapuramu District</t>
        </is>
      </c>
      <c r="E719" s="7" t="inlineStr">
        <is>
          <t>I &amp; CAD-SE, I &amp; CAD, HNSS Circle - II, ANANTAPUR</t>
        </is>
      </c>
      <c r="F719" s="6" t="inlineStr">
        <is>
          <t>07 Aug 2026</t>
        </is>
      </c>
      <c r="G719" s="5" t="inlineStr">
        <is>
          <t>05 Sep 2026</t>
        </is>
      </c>
      <c r="H719" s="8" t="inlineStr">
        <is>
          <t>⏳ UPCOMING</t>
        </is>
      </c>
      <c r="I719" s="4" t="inlineStr">
        <is>
          <t>Scdule A.xlsx</t>
        </is>
      </c>
      <c r="J719" s="6" t="inlineStr">
        <is>
          <t>📊 Excel BOQ</t>
        </is>
      </c>
      <c r="K719" s="9" t="n">
        <v>107.6</v>
      </c>
      <c r="L719" s="10">
        <f>HYPERLINK("http://127.0.0.1:8000/api/documents/download?id=2564&amp;attachment=true", "⬇ Download Scdule A.xlsx")</f>
        <v/>
      </c>
      <c r="M719" s="10">
        <f>HYPERLINK("http://localhost:5173/?state=Andhra%20Pradesh&amp;keyword=Design&amp;tender=1002390", "🚀 Open in Portal")</f>
        <v/>
      </c>
    </row>
    <row r="720" ht="24" customHeight="1">
      <c r="A720" s="11" t="inlineStr">
        <is>
          <t>Andhra Pradesh</t>
        </is>
      </c>
      <c r="B720" s="12" t="inlineStr">
        <is>
          <t>Design</t>
        </is>
      </c>
      <c r="C720" s="13" t="inlineStr">
        <is>
          <t>1002390</t>
        </is>
      </c>
      <c r="D720" s="14" t="inlineStr">
        <is>
          <t>Water Resources Department HNSS Project Phase II Package No 52 A Balance work Investigation Preparation of HPs Designs LP Schedules Drawings for Provideing Distributory System to an ayacut of 8000 Acres in Amidyala Raketla and Peddakowkuntla villages of Uravakonda M by lifting water at KM 203 000 of HNSS Main Canal excluding laying of pressuremain in Anantapuramu District</t>
        </is>
      </c>
      <c r="E720" s="14" t="inlineStr">
        <is>
          <t>I &amp; CAD-SE, I &amp; CAD, HNSS Circle - II, ANANTAPUR</t>
        </is>
      </c>
      <c r="F720" s="13" t="inlineStr">
        <is>
          <t>07 Aug 2026</t>
        </is>
      </c>
      <c r="G720" s="12" t="inlineStr">
        <is>
          <t>05 Sep 2026</t>
        </is>
      </c>
      <c r="H720" s="8" t="inlineStr">
        <is>
          <t>⏳ UPCOMING</t>
        </is>
      </c>
      <c r="I720" s="11" t="inlineStr">
        <is>
          <t>Tender_1002390_All_Documents.zip</t>
        </is>
      </c>
      <c r="J720" s="13" t="inlineStr">
        <is>
          <t>📦 ZIP Package</t>
        </is>
      </c>
      <c r="K720" s="15" t="n">
        <v>1088.5</v>
      </c>
      <c r="L720" s="16">
        <f>HYPERLINK("http://127.0.0.1:8000/api/documents/download?id=2565&amp;attachment=true", "⬇ Download Tender_1002390_All_Docum")</f>
        <v/>
      </c>
      <c r="M720" s="16">
        <f>HYPERLINK("http://localhost:5173/?state=Andhra%20Pradesh&amp;keyword=Design&amp;tender=1002390", "🚀 Open in Portal")</f>
        <v/>
      </c>
    </row>
    <row r="721" ht="24" customHeight="1">
      <c r="A721" s="4" t="inlineStr">
        <is>
          <t>Andhra Pradesh</t>
        </is>
      </c>
      <c r="B721" s="5" t="inlineStr">
        <is>
          <t>Design</t>
        </is>
      </c>
      <c r="C721" s="6" t="inlineStr">
        <is>
          <t>1002400</t>
        </is>
      </c>
      <c r="D721" s="7" t="inlineStr">
        <is>
          <t>Water Resources Department HNSS Project Phase I Design Supply Erection and Commissioning of Amidyala Lift Scheme near Raketla Village to Lift 109 000 Cusecs of water from HNSS Main Canal at Km203 000 to irrigate an ayacut of 8000 Acres in Uravakonda Mandal in Ananthapuramu District</t>
        </is>
      </c>
      <c r="E721" s="7" t="inlineStr">
        <is>
          <t>I &amp; CAD-SE, I &amp; CAD, HNSS Circle - II, ANANTAPUR</t>
        </is>
      </c>
      <c r="F721" s="6" t="inlineStr">
        <is>
          <t>23 Aug 2026</t>
        </is>
      </c>
      <c r="G721" s="5" t="inlineStr">
        <is>
          <t>18 Sep 2026</t>
        </is>
      </c>
      <c r="H721" s="8" t="inlineStr">
        <is>
          <t>⏳ UPCOMING</t>
        </is>
      </c>
      <c r="I721" s="4" t="inlineStr">
        <is>
          <t>Technical specifications Vol.II.doc</t>
        </is>
      </c>
      <c r="J721" s="6" t="inlineStr">
        <is>
          <t>📄 DOC</t>
        </is>
      </c>
      <c r="K721" s="9" t="n">
        <v>2303</v>
      </c>
      <c r="L721" s="10">
        <f>HYPERLINK("http://127.0.0.1:8000/api/documents/download?id=2566&amp;attachment=true", "⬇ Download Technical specifications")</f>
        <v/>
      </c>
      <c r="M721" s="10">
        <f>HYPERLINK("http://localhost:5173/?state=Andhra%20Pradesh&amp;keyword=Design&amp;tender=1002400", "🚀 Open in Portal")</f>
        <v/>
      </c>
    </row>
    <row r="722" ht="24" customHeight="1">
      <c r="A722" s="11" t="inlineStr">
        <is>
          <t>Andhra Pradesh</t>
        </is>
      </c>
      <c r="B722" s="12" t="inlineStr">
        <is>
          <t>Design</t>
        </is>
      </c>
      <c r="C722" s="13" t="inlineStr">
        <is>
          <t>1002400</t>
        </is>
      </c>
      <c r="D722" s="14" t="inlineStr">
        <is>
          <t>Water Resources Department HNSS Project Phase I Design Supply Erection and Commissioning of Amidyala Lift Scheme near Raketla Village to Lift 109 000 Cusecs of water from HNSS Main Canal at Km203 000 to irrigate an ayacut of 8000 Acres in Uravakonda Mandal in Ananthapuramu District</t>
        </is>
      </c>
      <c r="E722" s="14" t="inlineStr">
        <is>
          <t>I &amp; CAD-SE, I &amp; CAD, HNSS Circle - II, ANANTAPUR</t>
        </is>
      </c>
      <c r="F722" s="13" t="inlineStr">
        <is>
          <t>23 Aug 2026</t>
        </is>
      </c>
      <c r="G722" s="12" t="inlineStr">
        <is>
          <t>18 Sep 2026</t>
        </is>
      </c>
      <c r="H722" s="8" t="inlineStr">
        <is>
          <t>⏳ UPCOMING</t>
        </is>
      </c>
      <c r="I722" s="11" t="inlineStr">
        <is>
          <t>BOQ.xlsx</t>
        </is>
      </c>
      <c r="J722" s="13" t="inlineStr">
        <is>
          <t>📊 Excel BOQ</t>
        </is>
      </c>
      <c r="K722" s="15" t="n">
        <v>1126.7</v>
      </c>
      <c r="L722" s="16">
        <f>HYPERLINK("http://127.0.0.1:8000/api/documents/download?id=2567&amp;attachment=true", "⬇ Download BOQ.xlsx")</f>
        <v/>
      </c>
      <c r="M722" s="16">
        <f>HYPERLINK("http://localhost:5173/?state=Andhra%20Pradesh&amp;keyword=Design&amp;tender=1002400", "🚀 Open in Portal")</f>
        <v/>
      </c>
    </row>
    <row r="723" ht="24" customHeight="1">
      <c r="A723" s="4" t="inlineStr">
        <is>
          <t>Andhra Pradesh</t>
        </is>
      </c>
      <c r="B723" s="5" t="inlineStr">
        <is>
          <t>Design</t>
        </is>
      </c>
      <c r="C723" s="6" t="inlineStr">
        <is>
          <t>1002400</t>
        </is>
      </c>
      <c r="D723" s="7" t="inlineStr">
        <is>
          <t>Water Resources Department HNSS Project Phase I Design Supply Erection and Commissioning of Amidyala Lift Scheme near Raketla Village to Lift 109 000 Cusecs of water from HNSS Main Canal at Km203 000 to irrigate an ayacut of 8000 Acres in Uravakonda Mandal in Ananthapuramu District</t>
        </is>
      </c>
      <c r="E723" s="7" t="inlineStr">
        <is>
          <t>I &amp; CAD-SE, I &amp; CAD, HNSS Circle - II, ANANTAPUR</t>
        </is>
      </c>
      <c r="F723" s="6" t="inlineStr">
        <is>
          <t>23 Aug 2026</t>
        </is>
      </c>
      <c r="G723" s="5" t="inlineStr">
        <is>
          <t>18 Sep 2026</t>
        </is>
      </c>
      <c r="H723" s="8" t="inlineStr">
        <is>
          <t>⏳ UPCOMING</t>
        </is>
      </c>
      <c r="I723" s="4" t="inlineStr">
        <is>
          <t>P52 (Amidyala Lift) Tender Document (09.10.2026) (VOL.1).doc</t>
        </is>
      </c>
      <c r="J723" s="6" t="inlineStr">
        <is>
          <t>📄 DOC</t>
        </is>
      </c>
      <c r="K723" s="9" t="n">
        <v>1320</v>
      </c>
      <c r="L723" s="10">
        <f>HYPERLINK("http://127.0.0.1:8000/api/documents/download?id=2568&amp;attachment=true", "⬇ Download P52 (Amidyala Lift) Tend")</f>
        <v/>
      </c>
      <c r="M723" s="10">
        <f>HYPERLINK("http://localhost:5173/?state=Andhra%20Pradesh&amp;keyword=Design&amp;tender=1002400", "🚀 Open in Portal")</f>
        <v/>
      </c>
    </row>
    <row r="724" ht="24" customHeight="1">
      <c r="A724" s="11" t="inlineStr">
        <is>
          <t>Andhra Pradesh</t>
        </is>
      </c>
      <c r="B724" s="12" t="inlineStr">
        <is>
          <t>Design</t>
        </is>
      </c>
      <c r="C724" s="13" t="inlineStr">
        <is>
          <t>1002400</t>
        </is>
      </c>
      <c r="D724" s="14" t="inlineStr">
        <is>
          <t>Water Resources Department HNSS Project Phase I Design Supply Erection and Commissioning of Amidyala Lift Scheme near Raketla Village to Lift 109 000 Cusecs of water from HNSS Main Canal at Km203 000 to irrigate an ayacut of 8000 Acres in Uravakonda Mandal in Ananthapuramu District</t>
        </is>
      </c>
      <c r="E724" s="14" t="inlineStr">
        <is>
          <t>I &amp; CAD-SE, I &amp; CAD, HNSS Circle - II, ANANTAPUR</t>
        </is>
      </c>
      <c r="F724" s="13" t="inlineStr">
        <is>
          <t>23 Aug 2026</t>
        </is>
      </c>
      <c r="G724" s="12" t="inlineStr">
        <is>
          <t>18 Sep 2026</t>
        </is>
      </c>
      <c r="H724" s="8" t="inlineStr">
        <is>
          <t>⏳ UPCOMING</t>
        </is>
      </c>
      <c r="I724" s="11" t="inlineStr">
        <is>
          <t>Tender_1002400_All_Documents.zip</t>
        </is>
      </c>
      <c r="J724" s="13" t="inlineStr">
        <is>
          <t>📦 ZIP Package</t>
        </is>
      </c>
      <c r="K724" s="15" t="n">
        <v>1518</v>
      </c>
      <c r="L724" s="16">
        <f>HYPERLINK("http://127.0.0.1:8000/api/documents/download?id=2569&amp;attachment=true", "⬇ Download Tender_1002400_All_Docum")</f>
        <v/>
      </c>
      <c r="M724" s="16">
        <f>HYPERLINK("http://localhost:5173/?state=Andhra%20Pradesh&amp;keyword=Design&amp;tender=1002400", "🚀 Open in Portal")</f>
        <v/>
      </c>
    </row>
    <row r="725" ht="24" customHeight="1">
      <c r="A725" s="4" t="inlineStr">
        <is>
          <t>Andhra Pradesh</t>
        </is>
      </c>
      <c r="B725" s="5" t="inlineStr">
        <is>
          <t>Design</t>
        </is>
      </c>
      <c r="C725" s="6" t="inlineStr">
        <is>
          <t>1002403</t>
        </is>
      </c>
      <c r="D725" s="7" t="inlineStr">
        <is>
          <t>HNSS Project Phase I -Package No Kottalapalli Lift Scheme Design Supply Errection and Commissioning of Kottalapalli lift Scheme in the vajrakarur mandal to lift the 100 Cusecs of water to irrigate the 10 500 Acres in the uravakonda vidapanakal and vajrakarur mandals</t>
        </is>
      </c>
      <c r="E725" s="7" t="inlineStr">
        <is>
          <t>I &amp; CAD-SE, I &amp; CAD, HNSS Circle - II, ANANTAPUR</t>
        </is>
      </c>
      <c r="F725" s="6" t="inlineStr">
        <is>
          <t>24 Sep 2026</t>
        </is>
      </c>
      <c r="G725" s="5" t="inlineStr">
        <is>
          <t>23 Oct 2026</t>
        </is>
      </c>
      <c r="H725" s="17" t="inlineStr">
        <is>
          <t>🟢 LIVE ACTIVE</t>
        </is>
      </c>
      <c r="I725" s="4" t="inlineStr">
        <is>
          <t>Kottalapalli Tender document Vol 1(2nd Call )09.10.2026.doc</t>
        </is>
      </c>
      <c r="J725" s="6" t="inlineStr">
        <is>
          <t>📄 DOC</t>
        </is>
      </c>
      <c r="K725" s="9" t="n">
        <v>1321.5</v>
      </c>
      <c r="L725" s="10">
        <f>HYPERLINK("http://127.0.0.1:8000/api/documents/download?id=2617&amp;attachment=true", "⬇ Download Kottalapalli Tender docu")</f>
        <v/>
      </c>
      <c r="M725" s="10">
        <f>HYPERLINK("http://localhost:5173/?state=Andhra%20Pradesh&amp;keyword=Design&amp;tender=1002403", "🚀 Open in Portal")</f>
        <v/>
      </c>
    </row>
    <row r="726" ht="24" customHeight="1">
      <c r="A726" s="11" t="inlineStr">
        <is>
          <t>Andhra Pradesh</t>
        </is>
      </c>
      <c r="B726" s="12" t="inlineStr">
        <is>
          <t>Design</t>
        </is>
      </c>
      <c r="C726" s="13" t="inlineStr">
        <is>
          <t>1002403</t>
        </is>
      </c>
      <c r="D726" s="14" t="inlineStr">
        <is>
          <t>HNSS Project Phase I -Package No Kottalapalli Lift Scheme Design Supply Errection and Commissioning of Kottalapalli lift Scheme in the vajrakarur mandal to lift the 100 Cusecs of water to irrigate the 10 500 Acres in the uravakonda vidapanakal and vajrakarur mandals</t>
        </is>
      </c>
      <c r="E726" s="14" t="inlineStr">
        <is>
          <t>I &amp; CAD-SE, I &amp; CAD, HNSS Circle - II, ANANTAPUR</t>
        </is>
      </c>
      <c r="F726" s="13" t="inlineStr">
        <is>
          <t>24 Sep 2026</t>
        </is>
      </c>
      <c r="G726" s="12" t="inlineStr">
        <is>
          <t>23 Oct 2026</t>
        </is>
      </c>
      <c r="H726" s="17" t="inlineStr">
        <is>
          <t>🟢 LIVE ACTIVE</t>
        </is>
      </c>
      <c r="I726" s="11" t="inlineStr">
        <is>
          <t>Pkg Kottalapalli Lift Scheme Schedule A final (19.07.2026).xlsx</t>
        </is>
      </c>
      <c r="J726" s="13" t="inlineStr">
        <is>
          <t>📊 Excel BOQ</t>
        </is>
      </c>
      <c r="K726" s="15" t="n">
        <v>74.40000000000001</v>
      </c>
      <c r="L726" s="16">
        <f>HYPERLINK("http://127.0.0.1:8000/api/documents/download?id=2618&amp;attachment=true", "⬇ Download Pkg Kottalapalli Lift Sc")</f>
        <v/>
      </c>
      <c r="M726" s="16">
        <f>HYPERLINK("http://localhost:5173/?state=Andhra%20Pradesh&amp;keyword=Design&amp;tender=1002403", "🚀 Open in Portal")</f>
        <v/>
      </c>
    </row>
    <row r="727" ht="24" customHeight="1">
      <c r="A727" s="4" t="inlineStr">
        <is>
          <t>Andhra Pradesh</t>
        </is>
      </c>
      <c r="B727" s="5" t="inlineStr">
        <is>
          <t>Design</t>
        </is>
      </c>
      <c r="C727" s="6" t="inlineStr">
        <is>
          <t>1002403</t>
        </is>
      </c>
      <c r="D727" s="7" t="inlineStr">
        <is>
          <t>HNSS Project Phase I -Package No Kottalapalli Lift Scheme Design Supply Errection and Commissioning of Kottalapalli lift Scheme in the vajrakarur mandal to lift the 100 Cusecs of water to irrigate the 10 500 Acres in the uravakonda vidapanakal and vajrakarur mandals</t>
        </is>
      </c>
      <c r="E727" s="7" t="inlineStr">
        <is>
          <t>I &amp; CAD-SE, I &amp; CAD, HNSS Circle - II, ANANTAPUR</t>
        </is>
      </c>
      <c r="F727" s="6" t="inlineStr">
        <is>
          <t>24 Sep 2026</t>
        </is>
      </c>
      <c r="G727" s="5" t="inlineStr">
        <is>
          <t>23 Oct 2026</t>
        </is>
      </c>
      <c r="H727" s="17" t="inlineStr">
        <is>
          <t>🟢 LIVE ACTIVE</t>
        </is>
      </c>
      <c r="I727" s="4" t="inlineStr">
        <is>
          <t>Technical specifications Vol.II.doc</t>
        </is>
      </c>
      <c r="J727" s="6" t="inlineStr">
        <is>
          <t>📄 DOC</t>
        </is>
      </c>
      <c r="K727" s="9" t="n">
        <v>2314</v>
      </c>
      <c r="L727" s="10">
        <f>HYPERLINK("http://127.0.0.1:8000/api/documents/download?id=2619&amp;attachment=true", "⬇ Download Technical specifications")</f>
        <v/>
      </c>
      <c r="M727" s="10">
        <f>HYPERLINK("http://localhost:5173/?state=Andhra%20Pradesh&amp;keyword=Design&amp;tender=1002403", "🚀 Open in Portal")</f>
        <v/>
      </c>
    </row>
    <row r="728" ht="24" customHeight="1">
      <c r="A728" s="11" t="inlineStr">
        <is>
          <t>Andhra Pradesh</t>
        </is>
      </c>
      <c r="B728" s="12" t="inlineStr">
        <is>
          <t>Design</t>
        </is>
      </c>
      <c r="C728" s="13" t="inlineStr">
        <is>
          <t>1002403</t>
        </is>
      </c>
      <c r="D728" s="14" t="inlineStr">
        <is>
          <t>HNSS Project Phase I -Package No Kottalapalli Lift Scheme Design Supply Errection and Commissioning of Kottalapalli lift Scheme in the vajrakarur mandal to lift the 100 Cusecs of water to irrigate the 10 500 Acres in the uravakonda vidapanakal and vajrakarur mandals</t>
        </is>
      </c>
      <c r="E728" s="14" t="inlineStr">
        <is>
          <t>I &amp; CAD-SE, I &amp; CAD, HNSS Circle - II, ANANTAPUR</t>
        </is>
      </c>
      <c r="F728" s="13" t="inlineStr">
        <is>
          <t>24 Sep 2026</t>
        </is>
      </c>
      <c r="G728" s="12" t="inlineStr">
        <is>
          <t>23 Oct 2026</t>
        </is>
      </c>
      <c r="H728" s="17" t="inlineStr">
        <is>
          <t>🟢 LIVE ACTIVE</t>
        </is>
      </c>
      <c r="I728" s="11" t="inlineStr">
        <is>
          <t>Tender_1002403_All_Documents.zip</t>
        </is>
      </c>
      <c r="J728" s="13" t="inlineStr">
        <is>
          <t>📦 ZIP Package</t>
        </is>
      </c>
      <c r="K728" s="15" t="n">
        <v>1064.3</v>
      </c>
      <c r="L728" s="16">
        <f>HYPERLINK("http://127.0.0.1:8000/api/documents/download?id=2620&amp;attachment=true", "⬇ Download Tender_1002403_All_Docum")</f>
        <v/>
      </c>
      <c r="M728" s="16">
        <f>HYPERLINK("http://localhost:5173/?state=Andhra%20Pradesh&amp;keyword=Design&amp;tender=1002403", "🚀 Open in Portal")</f>
        <v/>
      </c>
    </row>
    <row r="729" ht="24" customHeight="1">
      <c r="A729" s="4" t="inlineStr">
        <is>
          <t>Andhra Pradesh</t>
        </is>
      </c>
      <c r="B729" s="5" t="inlineStr">
        <is>
          <t>Design</t>
        </is>
      </c>
      <c r="C729" s="6" t="inlineStr">
        <is>
          <t>972034</t>
        </is>
      </c>
      <c r="D729" s="7" t="inlineStr">
        <is>
          <t>Appointment of SCADA Implementation Agency (SIA) for Design, engineering, supply, integration, installation, testing &amp; commissioning of SCADA software applications, Dispatcher Training Simulator (DTS) , SCADA hardware and SCADA Enablers at Substations in cities of Visakhapatnam &amp; Rajamahendravaram in APEPDCL (Outdoor Breakers and RMUs will be supplied by APEPDCL)</t>
        </is>
      </c>
      <c r="E729" s="7" t="inlineStr">
        <is>
          <t>EASTERN POWER DISTRIBUTION COMPANY OF A.P LIMITED-PROJECTS</t>
        </is>
      </c>
      <c r="F729" s="6" t="inlineStr">
        <is>
          <t>10 Sep 2026</t>
        </is>
      </c>
      <c r="G729" s="5" t="inlineStr">
        <is>
          <t>09 Oct 2026</t>
        </is>
      </c>
      <c r="H729" s="8" t="inlineStr">
        <is>
          <t>⏳ UPCOMING</t>
        </is>
      </c>
      <c r="I729" s="4" t="inlineStr">
        <is>
          <t>BOQ for RFB No 01 2026 27 SCADA Upgradation.xlsx</t>
        </is>
      </c>
      <c r="J729" s="6" t="inlineStr">
        <is>
          <t>📊 Excel BOQ</t>
        </is>
      </c>
      <c r="K729" s="9" t="n">
        <v>357.5</v>
      </c>
      <c r="L729" s="10">
        <f>HYPERLINK("http://127.0.0.1:8000/api/documents/download?id=2614&amp;attachment=true", "⬇ Download BOQ for RFB No 01 2026 2")</f>
        <v/>
      </c>
      <c r="M729" s="10">
        <f>HYPERLINK("http://localhost:5173/?state=Andhra%20Pradesh&amp;keyword=Design&amp;tender=972034", "🚀 Open in Portal")</f>
        <v/>
      </c>
    </row>
    <row r="730" ht="24" customHeight="1">
      <c r="A730" s="11" t="inlineStr">
        <is>
          <t>Andhra Pradesh</t>
        </is>
      </c>
      <c r="B730" s="12" t="inlineStr">
        <is>
          <t>Design</t>
        </is>
      </c>
      <c r="C730" s="13" t="inlineStr">
        <is>
          <t>972034</t>
        </is>
      </c>
      <c r="D730" s="14" t="inlineStr">
        <is>
          <t>Appointment of SCADA Implementation Agency (SIA) for Design, engineering, supply, integration, installation, testing &amp; commissioning of SCADA software applications, Dispatcher Training Simulator (DTS) , SCADA hardware and SCADA Enablers at Substations in cities of Visakhapatnam &amp; Rajamahendravaram in APEPDCL (Outdoor Breakers and RMUs will be supplied by APEPDCL)</t>
        </is>
      </c>
      <c r="E730" s="14" t="inlineStr">
        <is>
          <t>EASTERN POWER DISTRIBUTION COMPANY OF A.P LIMITED-PROJECTS</t>
        </is>
      </c>
      <c r="F730" s="13" t="inlineStr">
        <is>
          <t>10 Sep 2026</t>
        </is>
      </c>
      <c r="G730" s="12" t="inlineStr">
        <is>
          <t>09 Oct 2026</t>
        </is>
      </c>
      <c r="H730" s="8" t="inlineStr">
        <is>
          <t>⏳ UPCOMING</t>
        </is>
      </c>
      <c r="I730" s="11" t="inlineStr">
        <is>
          <t>RFP for SCADA Upgradation V3.pdf</t>
        </is>
      </c>
      <c r="J730" s="13" t="inlineStr">
        <is>
          <t>📕 PDF Document</t>
        </is>
      </c>
      <c r="K730" s="15" t="n">
        <v>23671</v>
      </c>
      <c r="L730" s="16">
        <f>HYPERLINK("http://127.0.0.1:8000/api/documents/download?id=2615&amp;attachment=true", "⬇ Download RFP for SCADA Upgradatio")</f>
        <v/>
      </c>
      <c r="M730" s="16">
        <f>HYPERLINK("http://localhost:5173/?state=Andhra%20Pradesh&amp;keyword=Design&amp;tender=972034", "🚀 Open in Portal")</f>
        <v/>
      </c>
    </row>
    <row r="731" ht="24" customHeight="1">
      <c r="A731" s="4" t="inlineStr">
        <is>
          <t>Andhra Pradesh</t>
        </is>
      </c>
      <c r="B731" s="5" t="inlineStr">
        <is>
          <t>Design</t>
        </is>
      </c>
      <c r="C731" s="6" t="inlineStr">
        <is>
          <t>972034</t>
        </is>
      </c>
      <c r="D731" s="7" t="inlineStr">
        <is>
          <t>Appointment of SCADA Implementation Agency (SIA) for Design, engineering, supply, integration, installation, testing &amp; commissioning of SCADA software applications, Dispatcher Training Simulator (DTS) , SCADA hardware and SCADA Enablers at Substations in cities of Visakhapatnam &amp; Rajamahendravaram in APEPDCL (Outdoor Breakers and RMUs will be supplied by APEPDCL)</t>
        </is>
      </c>
      <c r="E731" s="7" t="inlineStr">
        <is>
          <t>EASTERN POWER DISTRIBUTION COMPANY OF A.P LIMITED-PROJECTS</t>
        </is>
      </c>
      <c r="F731" s="6" t="inlineStr">
        <is>
          <t>10 Sep 2026</t>
        </is>
      </c>
      <c r="G731" s="5" t="inlineStr">
        <is>
          <t>09 Oct 2026</t>
        </is>
      </c>
      <c r="H731" s="8" t="inlineStr">
        <is>
          <t>⏳ UPCOMING</t>
        </is>
      </c>
      <c r="I731" s="4" t="inlineStr">
        <is>
          <t>Tender_972034_All_Documents.zip</t>
        </is>
      </c>
      <c r="J731" s="6" t="inlineStr">
        <is>
          <t>📦 ZIP Package</t>
        </is>
      </c>
      <c r="K731" s="9" t="n">
        <v>11.7</v>
      </c>
      <c r="L731" s="10">
        <f>HYPERLINK("http://127.0.0.1:8000/api/documents/download?id=2616&amp;attachment=true", "⬇ Download Tender_972034_All_Docume")</f>
        <v/>
      </c>
      <c r="M731" s="10">
        <f>HYPERLINK("http://localhost:5173/?state=Andhra%20Pradesh&amp;keyword=Design&amp;tender=972034", "🚀 Open in Portal")</f>
        <v/>
      </c>
    </row>
    <row r="732" ht="24" customHeight="1">
      <c r="A732" s="11" t="inlineStr">
        <is>
          <t>Andhra Pradesh</t>
        </is>
      </c>
      <c r="B732" s="12" t="inlineStr">
        <is>
          <t>Design</t>
        </is>
      </c>
      <c r="C732" s="13" t="inlineStr">
        <is>
          <t>989582</t>
        </is>
      </c>
      <c r="D732"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32" s="14" t="inlineStr">
        <is>
          <t>APTRANSCO WORKS-Chief Engineer Projects, Vijayawada</t>
        </is>
      </c>
      <c r="F732" s="13" t="inlineStr">
        <is>
          <t>21 Jul 2026</t>
        </is>
      </c>
      <c r="G732" s="12" t="inlineStr">
        <is>
          <t>20 Aug 2026</t>
        </is>
      </c>
      <c r="H732" s="8" t="inlineStr">
        <is>
          <t>⏳ UPCOMING</t>
        </is>
      </c>
      <c r="I732" s="11" t="inlineStr">
        <is>
          <t>Index.doc</t>
        </is>
      </c>
      <c r="J732" s="13" t="inlineStr">
        <is>
          <t>📄 DOC</t>
        </is>
      </c>
      <c r="K732" s="15" t="n">
        <v>35</v>
      </c>
      <c r="L732" s="16">
        <f>HYPERLINK("http://127.0.0.1:8000/api/documents/download?id=2523&amp;attachment=true", "⬇ Download Index.doc")</f>
        <v/>
      </c>
      <c r="M732" s="16">
        <f>HYPERLINK("http://localhost:5173/?state=Andhra%20Pradesh&amp;keyword=Design&amp;tender=989582", "🚀 Open in Portal")</f>
        <v/>
      </c>
    </row>
    <row r="733" ht="24" customHeight="1">
      <c r="A733" s="4" t="inlineStr">
        <is>
          <t>Andhra Pradesh</t>
        </is>
      </c>
      <c r="B733" s="5" t="inlineStr">
        <is>
          <t>Design</t>
        </is>
      </c>
      <c r="C733" s="6" t="inlineStr">
        <is>
          <t>989582</t>
        </is>
      </c>
      <c r="D733"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33" s="7" t="inlineStr">
        <is>
          <t>APTRANSCO WORKS-Chief Engineer Projects, Vijayawada</t>
        </is>
      </c>
      <c r="F733" s="6" t="inlineStr">
        <is>
          <t>21 Jul 2026</t>
        </is>
      </c>
      <c r="G733" s="5" t="inlineStr">
        <is>
          <t>20 Aug 2026</t>
        </is>
      </c>
      <c r="H733" s="8" t="inlineStr">
        <is>
          <t>⏳ UPCOMING</t>
        </is>
      </c>
      <c r="I733" s="4" t="inlineStr">
        <is>
          <t>Section - 1 General.pdf</t>
        </is>
      </c>
      <c r="J733" s="6" t="inlineStr">
        <is>
          <t>📕 PDF Document</t>
        </is>
      </c>
      <c r="K733" s="9" t="n">
        <v>288.4</v>
      </c>
      <c r="L733" s="10">
        <f>HYPERLINK("http://127.0.0.1:8000/api/documents/download?id=2524&amp;attachment=true", "⬇ Download Section - 1 General.pdf")</f>
        <v/>
      </c>
      <c r="M733" s="10">
        <f>HYPERLINK("http://localhost:5173/?state=Andhra%20Pradesh&amp;keyword=Design&amp;tender=989582", "🚀 Open in Portal")</f>
        <v/>
      </c>
    </row>
    <row r="734" ht="24" customHeight="1">
      <c r="A734" s="11" t="inlineStr">
        <is>
          <t>Andhra Pradesh</t>
        </is>
      </c>
      <c r="B734" s="12" t="inlineStr">
        <is>
          <t>Design</t>
        </is>
      </c>
      <c r="C734" s="13" t="inlineStr">
        <is>
          <t>989582</t>
        </is>
      </c>
      <c r="D734"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34" s="14" t="inlineStr">
        <is>
          <t>APTRANSCO WORKS-Chief Engineer Projects, Vijayawada</t>
        </is>
      </c>
      <c r="F734" s="13" t="inlineStr">
        <is>
          <t>21 Jul 2026</t>
        </is>
      </c>
      <c r="G734" s="12" t="inlineStr">
        <is>
          <t>20 Aug 2026</t>
        </is>
      </c>
      <c r="H734" s="8" t="inlineStr">
        <is>
          <t>⏳ UPCOMING</t>
        </is>
      </c>
      <c r="I734" s="11" t="inlineStr">
        <is>
          <t>Section - 10 Tech  Spec for Control Relay panels.pdf</t>
        </is>
      </c>
      <c r="J734" s="13" t="inlineStr">
        <is>
          <t>📕 PDF Document</t>
        </is>
      </c>
      <c r="K734" s="15" t="n">
        <v>1467.2</v>
      </c>
      <c r="L734" s="16">
        <f>HYPERLINK("http://127.0.0.1:8000/api/documents/download?id=2525&amp;attachment=true", "⬇ Download Section - 10 Tech  Spec ")</f>
        <v/>
      </c>
      <c r="M734" s="16">
        <f>HYPERLINK("http://localhost:5173/?state=Andhra%20Pradesh&amp;keyword=Design&amp;tender=989582", "🚀 Open in Portal")</f>
        <v/>
      </c>
    </row>
    <row r="735" ht="24" customHeight="1">
      <c r="A735" s="4" t="inlineStr">
        <is>
          <t>Andhra Pradesh</t>
        </is>
      </c>
      <c r="B735" s="5" t="inlineStr">
        <is>
          <t>Design</t>
        </is>
      </c>
      <c r="C735" s="6" t="inlineStr">
        <is>
          <t>989582</t>
        </is>
      </c>
      <c r="D735"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35" s="7" t="inlineStr">
        <is>
          <t>APTRANSCO WORKS-Chief Engineer Projects, Vijayawada</t>
        </is>
      </c>
      <c r="F735" s="6" t="inlineStr">
        <is>
          <t>21 Jul 2026</t>
        </is>
      </c>
      <c r="G735" s="5" t="inlineStr">
        <is>
          <t>20 Aug 2026</t>
        </is>
      </c>
      <c r="H735" s="8" t="inlineStr">
        <is>
          <t>⏳ UPCOMING</t>
        </is>
      </c>
      <c r="I735" s="4" t="inlineStr">
        <is>
          <t>Section - 11 -Staton Transformer.pdf</t>
        </is>
      </c>
      <c r="J735" s="6" t="inlineStr">
        <is>
          <t>📕 PDF Document</t>
        </is>
      </c>
      <c r="K735" s="9" t="n">
        <v>274.7</v>
      </c>
      <c r="L735" s="10">
        <f>HYPERLINK("http://127.0.0.1:8000/api/documents/download?id=2526&amp;attachment=true", "⬇ Download Section - 11 -Staton Tra")</f>
        <v/>
      </c>
      <c r="M735" s="10">
        <f>HYPERLINK("http://localhost:5173/?state=Andhra%20Pradesh&amp;keyword=Design&amp;tender=989582", "🚀 Open in Portal")</f>
        <v/>
      </c>
    </row>
    <row r="736" ht="24" customHeight="1">
      <c r="A736" s="11" t="inlineStr">
        <is>
          <t>Andhra Pradesh</t>
        </is>
      </c>
      <c r="B736" s="12" t="inlineStr">
        <is>
          <t>Design</t>
        </is>
      </c>
      <c r="C736" s="13" t="inlineStr">
        <is>
          <t>989582</t>
        </is>
      </c>
      <c r="D736"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36" s="14" t="inlineStr">
        <is>
          <t>APTRANSCO WORKS-Chief Engineer Projects, Vijayawada</t>
        </is>
      </c>
      <c r="F736" s="13" t="inlineStr">
        <is>
          <t>21 Jul 2026</t>
        </is>
      </c>
      <c r="G736" s="12" t="inlineStr">
        <is>
          <t>20 Aug 2026</t>
        </is>
      </c>
      <c r="H736" s="8" t="inlineStr">
        <is>
          <t>⏳ UPCOMING</t>
        </is>
      </c>
      <c r="I736" s="11" t="inlineStr">
        <is>
          <t>Section - 12 ACSR Conductor.pdf</t>
        </is>
      </c>
      <c r="J736" s="13" t="inlineStr">
        <is>
          <t>📕 PDF Document</t>
        </is>
      </c>
      <c r="K736" s="15" t="n">
        <v>679.9</v>
      </c>
      <c r="L736" s="16">
        <f>HYPERLINK("http://127.0.0.1:8000/api/documents/download?id=2527&amp;attachment=true", "⬇ Download Section - 12 ACSR Conduc")</f>
        <v/>
      </c>
      <c r="M736" s="16">
        <f>HYPERLINK("http://localhost:5173/?state=Andhra%20Pradesh&amp;keyword=Design&amp;tender=989582", "🚀 Open in Portal")</f>
        <v/>
      </c>
    </row>
    <row r="737" ht="24" customHeight="1">
      <c r="A737" s="4" t="inlineStr">
        <is>
          <t>Andhra Pradesh</t>
        </is>
      </c>
      <c r="B737" s="5" t="inlineStr">
        <is>
          <t>Design</t>
        </is>
      </c>
      <c r="C737" s="6" t="inlineStr">
        <is>
          <t>989582</t>
        </is>
      </c>
      <c r="D737"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37" s="7" t="inlineStr">
        <is>
          <t>APTRANSCO WORKS-Chief Engineer Projects, Vijayawada</t>
        </is>
      </c>
      <c r="F737" s="6" t="inlineStr">
        <is>
          <t>21 Jul 2026</t>
        </is>
      </c>
      <c r="G737" s="5" t="inlineStr">
        <is>
          <t>20 Aug 2026</t>
        </is>
      </c>
      <c r="H737" s="8" t="inlineStr">
        <is>
          <t>⏳ UPCOMING</t>
        </is>
      </c>
      <c r="I737" s="4" t="inlineStr">
        <is>
          <t>Section - 13 Porcelain disc insulators.pdf</t>
        </is>
      </c>
      <c r="J737" s="6" t="inlineStr">
        <is>
          <t>📕 PDF Document</t>
        </is>
      </c>
      <c r="K737" s="9" t="n">
        <v>423.9</v>
      </c>
      <c r="L737" s="10">
        <f>HYPERLINK("http://127.0.0.1:8000/api/documents/download?id=2528&amp;attachment=true", "⬇ Download Section - 13 Porcelain d")</f>
        <v/>
      </c>
      <c r="M737" s="10">
        <f>HYPERLINK("http://localhost:5173/?state=Andhra%20Pradesh&amp;keyword=Design&amp;tender=989582", "🚀 Open in Portal")</f>
        <v/>
      </c>
    </row>
    <row r="738" ht="24" customHeight="1">
      <c r="A738" s="11" t="inlineStr">
        <is>
          <t>Andhra Pradesh</t>
        </is>
      </c>
      <c r="B738" s="12" t="inlineStr">
        <is>
          <t>Design</t>
        </is>
      </c>
      <c r="C738" s="13" t="inlineStr">
        <is>
          <t>989582</t>
        </is>
      </c>
      <c r="D738"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38" s="14" t="inlineStr">
        <is>
          <t>APTRANSCO WORKS-Chief Engineer Projects, Vijayawada</t>
        </is>
      </c>
      <c r="F738" s="13" t="inlineStr">
        <is>
          <t>21 Jul 2026</t>
        </is>
      </c>
      <c r="G738" s="12" t="inlineStr">
        <is>
          <t>20 Aug 2026</t>
        </is>
      </c>
      <c r="H738" s="8" t="inlineStr">
        <is>
          <t>⏳ UPCOMING</t>
        </is>
      </c>
      <c r="I738" s="11" t="inlineStr">
        <is>
          <t>Section - 14 Transmission line towers.pdf</t>
        </is>
      </c>
      <c r="J738" s="13" t="inlineStr">
        <is>
          <t>📕 PDF Document</t>
        </is>
      </c>
      <c r="K738" s="15" t="n">
        <v>452.1</v>
      </c>
      <c r="L738" s="16">
        <f>HYPERLINK("http://127.0.0.1:8000/api/documents/download?id=2529&amp;attachment=true", "⬇ Download Section - 14 Transmissio")</f>
        <v/>
      </c>
      <c r="M738" s="16">
        <f>HYPERLINK("http://localhost:5173/?state=Andhra%20Pradesh&amp;keyword=Design&amp;tender=989582", "🚀 Open in Portal")</f>
        <v/>
      </c>
    </row>
    <row r="739" ht="24" customHeight="1">
      <c r="A739" s="4" t="inlineStr">
        <is>
          <t>Andhra Pradesh</t>
        </is>
      </c>
      <c r="B739" s="5" t="inlineStr">
        <is>
          <t>Design</t>
        </is>
      </c>
      <c r="C739" s="6" t="inlineStr">
        <is>
          <t>989582</t>
        </is>
      </c>
      <c r="D739"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39" s="7" t="inlineStr">
        <is>
          <t>APTRANSCO WORKS-Chief Engineer Projects, Vijayawada</t>
        </is>
      </c>
      <c r="F739" s="6" t="inlineStr">
        <is>
          <t>21 Jul 2026</t>
        </is>
      </c>
      <c r="G739" s="5" t="inlineStr">
        <is>
          <t>20 Aug 2026</t>
        </is>
      </c>
      <c r="H739" s="8" t="inlineStr">
        <is>
          <t>⏳ UPCOMING</t>
        </is>
      </c>
      <c r="I739" s="4" t="inlineStr">
        <is>
          <t>section - 15 Earth wire.pdf</t>
        </is>
      </c>
      <c r="J739" s="6" t="inlineStr">
        <is>
          <t>📕 PDF Document</t>
        </is>
      </c>
      <c r="K739" s="9" t="n">
        <v>524</v>
      </c>
      <c r="L739" s="10">
        <f>HYPERLINK("http://127.0.0.1:8000/api/documents/download?id=2530&amp;attachment=true", "⬇ Download section - 15 Earth wire.")</f>
        <v/>
      </c>
      <c r="M739" s="10">
        <f>HYPERLINK("http://localhost:5173/?state=Andhra%20Pradesh&amp;keyword=Design&amp;tender=989582", "🚀 Open in Portal")</f>
        <v/>
      </c>
    </row>
    <row r="740" ht="24" customHeight="1">
      <c r="A740" s="11" t="inlineStr">
        <is>
          <t>Andhra Pradesh</t>
        </is>
      </c>
      <c r="B740" s="12" t="inlineStr">
        <is>
          <t>Design</t>
        </is>
      </c>
      <c r="C740" s="13" t="inlineStr">
        <is>
          <t>989582</t>
        </is>
      </c>
      <c r="D740"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40" s="14" t="inlineStr">
        <is>
          <t>APTRANSCO WORKS-Chief Engineer Projects, Vijayawada</t>
        </is>
      </c>
      <c r="F740" s="13" t="inlineStr">
        <is>
          <t>21 Jul 2026</t>
        </is>
      </c>
      <c r="G740" s="12" t="inlineStr">
        <is>
          <t>20 Aug 2026</t>
        </is>
      </c>
      <c r="H740" s="8" t="inlineStr">
        <is>
          <t>⏳ UPCOMING</t>
        </is>
      </c>
      <c r="I740" s="11" t="inlineStr">
        <is>
          <t>Section - 16 Hardware &amp; Accessories for conductor &amp; earth wire.pdf</t>
        </is>
      </c>
      <c r="J740" s="13" t="inlineStr">
        <is>
          <t>📕 PDF Document</t>
        </is>
      </c>
      <c r="K740" s="15" t="n">
        <v>649.1</v>
      </c>
      <c r="L740" s="16">
        <f>HYPERLINK("http://127.0.0.1:8000/api/documents/download?id=2531&amp;attachment=true", "⬇ Download Section - 16 Hardware &amp; ")</f>
        <v/>
      </c>
      <c r="M740" s="16">
        <f>HYPERLINK("http://localhost:5173/?state=Andhra%20Pradesh&amp;keyword=Design&amp;tender=989582", "🚀 Open in Portal")</f>
        <v/>
      </c>
    </row>
    <row r="741" ht="24" customHeight="1">
      <c r="A741" s="4" t="inlineStr">
        <is>
          <t>Andhra Pradesh</t>
        </is>
      </c>
      <c r="B741" s="5" t="inlineStr">
        <is>
          <t>Design</t>
        </is>
      </c>
      <c r="C741" s="6" t="inlineStr">
        <is>
          <t>989582</t>
        </is>
      </c>
      <c r="D741"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41" s="7" t="inlineStr">
        <is>
          <t>APTRANSCO WORKS-Chief Engineer Projects, Vijayawada</t>
        </is>
      </c>
      <c r="F741" s="6" t="inlineStr">
        <is>
          <t>21 Jul 2026</t>
        </is>
      </c>
      <c r="G741" s="5" t="inlineStr">
        <is>
          <t>20 Aug 2026</t>
        </is>
      </c>
      <c r="H741" s="8" t="inlineStr">
        <is>
          <t>⏳ UPCOMING</t>
        </is>
      </c>
      <c r="I741" s="4" t="inlineStr">
        <is>
          <t>section - 17 Bolts &amp; Nuts.pdf</t>
        </is>
      </c>
      <c r="J741" s="6" t="inlineStr">
        <is>
          <t>📕 PDF Document</t>
        </is>
      </c>
      <c r="K741" s="9" t="n">
        <v>472.7</v>
      </c>
      <c r="L741" s="10">
        <f>HYPERLINK("http://127.0.0.1:8000/api/documents/download?id=2532&amp;attachment=true", "⬇ Download section - 17 Bolts &amp; Nut")</f>
        <v/>
      </c>
      <c r="M741" s="10">
        <f>HYPERLINK("http://localhost:5173/?state=Andhra%20Pradesh&amp;keyword=Design&amp;tender=989582", "🚀 Open in Portal")</f>
        <v/>
      </c>
    </row>
    <row r="742" ht="24" customHeight="1">
      <c r="A742" s="11" t="inlineStr">
        <is>
          <t>Andhra Pradesh</t>
        </is>
      </c>
      <c r="B742" s="12" t="inlineStr">
        <is>
          <t>Design</t>
        </is>
      </c>
      <c r="C742" s="13" t="inlineStr">
        <is>
          <t>989582</t>
        </is>
      </c>
      <c r="D742"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42" s="14" t="inlineStr">
        <is>
          <t>APTRANSCO WORKS-Chief Engineer Projects, Vijayawada</t>
        </is>
      </c>
      <c r="F742" s="13" t="inlineStr">
        <is>
          <t>21 Jul 2026</t>
        </is>
      </c>
      <c r="G742" s="12" t="inlineStr">
        <is>
          <t>20 Aug 2026</t>
        </is>
      </c>
      <c r="H742" s="8" t="inlineStr">
        <is>
          <t>⏳ UPCOMING</t>
        </is>
      </c>
      <c r="I742" s="11" t="inlineStr">
        <is>
          <t>Section - 18  Tech Spec for Substation.pdf</t>
        </is>
      </c>
      <c r="J742" s="13" t="inlineStr">
        <is>
          <t>📕 PDF Document</t>
        </is>
      </c>
      <c r="K742" s="15" t="n">
        <v>853.1</v>
      </c>
      <c r="L742" s="16">
        <f>HYPERLINK("http://127.0.0.1:8000/api/documents/download?id=2533&amp;attachment=true", "⬇ Download Section - 18  Tech Spec ")</f>
        <v/>
      </c>
      <c r="M742" s="16">
        <f>HYPERLINK("http://localhost:5173/?state=Andhra%20Pradesh&amp;keyword=Design&amp;tender=989582", "🚀 Open in Portal")</f>
        <v/>
      </c>
    </row>
    <row r="743" ht="24" customHeight="1">
      <c r="A743" s="4" t="inlineStr">
        <is>
          <t>Andhra Pradesh</t>
        </is>
      </c>
      <c r="B743" s="5" t="inlineStr">
        <is>
          <t>Design</t>
        </is>
      </c>
      <c r="C743" s="6" t="inlineStr">
        <is>
          <t>989582</t>
        </is>
      </c>
      <c r="D743"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43" s="7" t="inlineStr">
        <is>
          <t>APTRANSCO WORKS-Chief Engineer Projects, Vijayawada</t>
        </is>
      </c>
      <c r="F743" s="6" t="inlineStr">
        <is>
          <t>21 Jul 2026</t>
        </is>
      </c>
      <c r="G743" s="5" t="inlineStr">
        <is>
          <t>20 Aug 2026</t>
        </is>
      </c>
      <c r="H743" s="8" t="inlineStr">
        <is>
          <t>⏳ UPCOMING</t>
        </is>
      </c>
      <c r="I743" s="4" t="inlineStr">
        <is>
          <t>Section - 19 Tech Spec for Tr Line works.pdf</t>
        </is>
      </c>
      <c r="J743" s="6" t="inlineStr">
        <is>
          <t>📕 PDF Document</t>
        </is>
      </c>
      <c r="K743" s="9" t="n">
        <v>524.5</v>
      </c>
      <c r="L743" s="10">
        <f>HYPERLINK("http://127.0.0.1:8000/api/documents/download?id=2534&amp;attachment=true", "⬇ Download Section - 19 Tech Spec f")</f>
        <v/>
      </c>
      <c r="M743" s="10">
        <f>HYPERLINK("http://localhost:5173/?state=Andhra%20Pradesh&amp;keyword=Design&amp;tender=989582", "🚀 Open in Portal")</f>
        <v/>
      </c>
    </row>
    <row r="744" ht="24" customHeight="1">
      <c r="A744" s="11" t="inlineStr">
        <is>
          <t>Andhra Pradesh</t>
        </is>
      </c>
      <c r="B744" s="12" t="inlineStr">
        <is>
          <t>Design</t>
        </is>
      </c>
      <c r="C744" s="13" t="inlineStr">
        <is>
          <t>989582</t>
        </is>
      </c>
      <c r="D744"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44" s="14" t="inlineStr">
        <is>
          <t>APTRANSCO WORKS-Chief Engineer Projects, Vijayawada</t>
        </is>
      </c>
      <c r="F744" s="13" t="inlineStr">
        <is>
          <t>21 Jul 2026</t>
        </is>
      </c>
      <c r="G744" s="12" t="inlineStr">
        <is>
          <t>20 Aug 2026</t>
        </is>
      </c>
      <c r="H744" s="8" t="inlineStr">
        <is>
          <t>⏳ UPCOMING</t>
        </is>
      </c>
      <c r="I744" s="11" t="inlineStr">
        <is>
          <t>Section - 2 CTs-PTs-CVTs.pdf</t>
        </is>
      </c>
      <c r="J744" s="13" t="inlineStr">
        <is>
          <t>📕 PDF Document</t>
        </is>
      </c>
      <c r="K744" s="15" t="n">
        <v>719.3</v>
      </c>
      <c r="L744" s="16">
        <f>HYPERLINK("http://127.0.0.1:8000/api/documents/download?id=2535&amp;attachment=true", "⬇ Download Section - 2 CTs-PTs-CVTs")</f>
        <v/>
      </c>
      <c r="M744" s="16">
        <f>HYPERLINK("http://localhost:5173/?state=Andhra%20Pradesh&amp;keyword=Design&amp;tender=989582", "🚀 Open in Portal")</f>
        <v/>
      </c>
    </row>
    <row r="745" ht="24" customHeight="1">
      <c r="A745" s="4" t="inlineStr">
        <is>
          <t>Andhra Pradesh</t>
        </is>
      </c>
      <c r="B745" s="5" t="inlineStr">
        <is>
          <t>Design</t>
        </is>
      </c>
      <c r="C745" s="6" t="inlineStr">
        <is>
          <t>989582</t>
        </is>
      </c>
      <c r="D745"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45" s="7" t="inlineStr">
        <is>
          <t>APTRANSCO WORKS-Chief Engineer Projects, Vijayawada</t>
        </is>
      </c>
      <c r="F745" s="6" t="inlineStr">
        <is>
          <t>21 Jul 2026</t>
        </is>
      </c>
      <c r="G745" s="5" t="inlineStr">
        <is>
          <t>20 Aug 2026</t>
        </is>
      </c>
      <c r="H745" s="8" t="inlineStr">
        <is>
          <t>⏳ UPCOMING</t>
        </is>
      </c>
      <c r="I745" s="4" t="inlineStr">
        <is>
          <t>Section - 20  Technical specification of OPGW, OFAC &amp; FODP.pdf</t>
        </is>
      </c>
      <c r="J745" s="6" t="inlineStr">
        <is>
          <t>📕 PDF Document</t>
        </is>
      </c>
      <c r="K745" s="9" t="n">
        <v>1363.8</v>
      </c>
      <c r="L745" s="10">
        <f>HYPERLINK("http://127.0.0.1:8000/api/documents/download?id=2536&amp;attachment=true", "⬇ Download Section - 20  Technical ")</f>
        <v/>
      </c>
      <c r="M745" s="10">
        <f>HYPERLINK("http://localhost:5173/?state=Andhra%20Pradesh&amp;keyword=Design&amp;tender=989582", "🚀 Open in Portal")</f>
        <v/>
      </c>
    </row>
    <row r="746" ht="24" customHeight="1">
      <c r="A746" s="11" t="inlineStr">
        <is>
          <t>Andhra Pradesh</t>
        </is>
      </c>
      <c r="B746" s="12" t="inlineStr">
        <is>
          <t>Design</t>
        </is>
      </c>
      <c r="C746" s="13" t="inlineStr">
        <is>
          <t>989582</t>
        </is>
      </c>
      <c r="D746"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46" s="14" t="inlineStr">
        <is>
          <t>APTRANSCO WORKS-Chief Engineer Projects, Vijayawada</t>
        </is>
      </c>
      <c r="F746" s="13" t="inlineStr">
        <is>
          <t>21 Jul 2026</t>
        </is>
      </c>
      <c r="G746" s="12" t="inlineStr">
        <is>
          <t>20 Aug 2026</t>
        </is>
      </c>
      <c r="H746" s="8" t="inlineStr">
        <is>
          <t>⏳ UPCOMING</t>
        </is>
      </c>
      <c r="I746" s="11" t="inlineStr">
        <is>
          <t>Section - 21  Technical spec for UG OFC, HDPE duct &amp; RCC chambers.pdf</t>
        </is>
      </c>
      <c r="J746" s="13" t="inlineStr">
        <is>
          <t>📕 PDF Document</t>
        </is>
      </c>
      <c r="K746" s="15" t="n">
        <v>480.3</v>
      </c>
      <c r="L746" s="16">
        <f>HYPERLINK("http://127.0.0.1:8000/api/documents/download?id=2537&amp;attachment=true", "⬇ Download Section - 21  Technical ")</f>
        <v/>
      </c>
      <c r="M746" s="16">
        <f>HYPERLINK("http://localhost:5173/?state=Andhra%20Pradesh&amp;keyword=Design&amp;tender=989582", "🚀 Open in Portal")</f>
        <v/>
      </c>
    </row>
    <row r="747" ht="24" customHeight="1">
      <c r="A747" s="4" t="inlineStr">
        <is>
          <t>Andhra Pradesh</t>
        </is>
      </c>
      <c r="B747" s="5" t="inlineStr">
        <is>
          <t>Design</t>
        </is>
      </c>
      <c r="C747" s="6" t="inlineStr">
        <is>
          <t>989582</t>
        </is>
      </c>
      <c r="D747"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47" s="7" t="inlineStr">
        <is>
          <t>APTRANSCO WORKS-Chief Engineer Projects, Vijayawada</t>
        </is>
      </c>
      <c r="F747" s="6" t="inlineStr">
        <is>
          <t>21 Jul 2026</t>
        </is>
      </c>
      <c r="G747" s="5" t="inlineStr">
        <is>
          <t>20 Aug 2026</t>
        </is>
      </c>
      <c r="H747" s="8" t="inlineStr">
        <is>
          <t>⏳ UPCOMING</t>
        </is>
      </c>
      <c r="I747" s="4" t="inlineStr">
        <is>
          <t>Section - 22 Technical specification of SDH (OLTE) equipment.pdf</t>
        </is>
      </c>
      <c r="J747" s="6" t="inlineStr">
        <is>
          <t>📕 PDF Document</t>
        </is>
      </c>
      <c r="K747" s="9" t="n">
        <v>635.3</v>
      </c>
      <c r="L747" s="10">
        <f>HYPERLINK("http://127.0.0.1:8000/api/documents/download?id=2538&amp;attachment=true", "⬇ Download Section - 22 Technical s")</f>
        <v/>
      </c>
      <c r="M747" s="10">
        <f>HYPERLINK("http://localhost:5173/?state=Andhra%20Pradesh&amp;keyword=Design&amp;tender=989582", "🚀 Open in Portal")</f>
        <v/>
      </c>
    </row>
    <row r="748" ht="24" customHeight="1">
      <c r="A748" s="11" t="inlineStr">
        <is>
          <t>Andhra Pradesh</t>
        </is>
      </c>
      <c r="B748" s="12" t="inlineStr">
        <is>
          <t>Design</t>
        </is>
      </c>
      <c r="C748" s="13" t="inlineStr">
        <is>
          <t>989582</t>
        </is>
      </c>
      <c r="D748"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48" s="14" t="inlineStr">
        <is>
          <t>APTRANSCO WORKS-Chief Engineer Projects, Vijayawada</t>
        </is>
      </c>
      <c r="F748" s="13" t="inlineStr">
        <is>
          <t>21 Jul 2026</t>
        </is>
      </c>
      <c r="G748" s="12" t="inlineStr">
        <is>
          <t>20 Aug 2026</t>
        </is>
      </c>
      <c r="H748" s="8" t="inlineStr">
        <is>
          <t>⏳ UPCOMING</t>
        </is>
      </c>
      <c r="I748" s="11" t="inlineStr">
        <is>
          <t>Section - 23 Technical specification of DTPC.pdf</t>
        </is>
      </c>
      <c r="J748" s="13" t="inlineStr">
        <is>
          <t>📕 PDF Document</t>
        </is>
      </c>
      <c r="K748" s="15" t="n">
        <v>198.2</v>
      </c>
      <c r="L748" s="16">
        <f>HYPERLINK("http://127.0.0.1:8000/api/documents/download?id=2539&amp;attachment=true", "⬇ Download Section - 23 Technical s")</f>
        <v/>
      </c>
      <c r="M748" s="16">
        <f>HYPERLINK("http://localhost:5173/?state=Andhra%20Pradesh&amp;keyword=Design&amp;tender=989582", "🚀 Open in Portal")</f>
        <v/>
      </c>
    </row>
    <row r="749" ht="24" customHeight="1">
      <c r="A749" s="4" t="inlineStr">
        <is>
          <t>Andhra Pradesh</t>
        </is>
      </c>
      <c r="B749" s="5" t="inlineStr">
        <is>
          <t>Design</t>
        </is>
      </c>
      <c r="C749" s="6" t="inlineStr">
        <is>
          <t>989582</t>
        </is>
      </c>
      <c r="D749"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49" s="7" t="inlineStr">
        <is>
          <t>APTRANSCO WORKS-Chief Engineer Projects, Vijayawada</t>
        </is>
      </c>
      <c r="F749" s="6" t="inlineStr">
        <is>
          <t>21 Jul 2026</t>
        </is>
      </c>
      <c r="G749" s="5" t="inlineStr">
        <is>
          <t>20 Aug 2026</t>
        </is>
      </c>
      <c r="H749" s="8" t="inlineStr">
        <is>
          <t>⏳ UPCOMING</t>
        </is>
      </c>
      <c r="I749" s="4" t="inlineStr">
        <is>
          <t>Section - 24 Technical specification of  VOIP Phone.pdf</t>
        </is>
      </c>
      <c r="J749" s="6" t="inlineStr">
        <is>
          <t>📕 PDF Document</t>
        </is>
      </c>
      <c r="K749" s="9" t="n">
        <v>259.9</v>
      </c>
      <c r="L749" s="10">
        <f>HYPERLINK("http://127.0.0.1:8000/api/documents/download?id=2540&amp;attachment=true", "⬇ Download Section - 24 Technical s")</f>
        <v/>
      </c>
      <c r="M749" s="10">
        <f>HYPERLINK("http://localhost:5173/?state=Andhra%20Pradesh&amp;keyword=Design&amp;tender=989582", "🚀 Open in Portal")</f>
        <v/>
      </c>
    </row>
    <row r="750" ht="24" customHeight="1">
      <c r="A750" s="11" t="inlineStr">
        <is>
          <t>Andhra Pradesh</t>
        </is>
      </c>
      <c r="B750" s="12" t="inlineStr">
        <is>
          <t>Design</t>
        </is>
      </c>
      <c r="C750" s="13" t="inlineStr">
        <is>
          <t>989582</t>
        </is>
      </c>
      <c r="D750"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50" s="14" t="inlineStr">
        <is>
          <t>APTRANSCO WORKS-Chief Engineer Projects, Vijayawada</t>
        </is>
      </c>
      <c r="F750" s="13" t="inlineStr">
        <is>
          <t>21 Jul 2026</t>
        </is>
      </c>
      <c r="G750" s="12" t="inlineStr">
        <is>
          <t>20 Aug 2026</t>
        </is>
      </c>
      <c r="H750" s="8" t="inlineStr">
        <is>
          <t>⏳ UPCOMING</t>
        </is>
      </c>
      <c r="I750" s="11" t="inlineStr">
        <is>
          <t>Section - 25 Technical specification of 48V Chargers.pdf</t>
        </is>
      </c>
      <c r="J750" s="13" t="inlineStr">
        <is>
          <t>📕 PDF Document</t>
        </is>
      </c>
      <c r="K750" s="15" t="n">
        <v>443.3</v>
      </c>
      <c r="L750" s="16">
        <f>HYPERLINK("http://127.0.0.1:8000/api/documents/download?id=2541&amp;attachment=true", "⬇ Download Section - 25 Technical s")</f>
        <v/>
      </c>
      <c r="M750" s="16">
        <f>HYPERLINK("http://localhost:5173/?state=Andhra%20Pradesh&amp;keyword=Design&amp;tender=989582", "🚀 Open in Portal")</f>
        <v/>
      </c>
    </row>
    <row r="751" ht="24" customHeight="1">
      <c r="A751" s="4" t="inlineStr">
        <is>
          <t>Andhra Pradesh</t>
        </is>
      </c>
      <c r="B751" s="5" t="inlineStr">
        <is>
          <t>Design</t>
        </is>
      </c>
      <c r="C751" s="6" t="inlineStr">
        <is>
          <t>989582</t>
        </is>
      </c>
      <c r="D751"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51" s="7" t="inlineStr">
        <is>
          <t>APTRANSCO WORKS-Chief Engineer Projects, Vijayawada</t>
        </is>
      </c>
      <c r="F751" s="6" t="inlineStr">
        <is>
          <t>21 Jul 2026</t>
        </is>
      </c>
      <c r="G751" s="5" t="inlineStr">
        <is>
          <t>20 Aug 2026</t>
        </is>
      </c>
      <c r="H751" s="8" t="inlineStr">
        <is>
          <t>⏳ UPCOMING</t>
        </is>
      </c>
      <c r="I751" s="4" t="inlineStr">
        <is>
          <t>Section - 26 Technical specification of 48V Battery sets.pdf</t>
        </is>
      </c>
      <c r="J751" s="6" t="inlineStr">
        <is>
          <t>📕 PDF Document</t>
        </is>
      </c>
      <c r="K751" s="9" t="n">
        <v>188.2</v>
      </c>
      <c r="L751" s="10">
        <f>HYPERLINK("http://127.0.0.1:8000/api/documents/download?id=2542&amp;attachment=true", "⬇ Download Section - 26 Technical s")</f>
        <v/>
      </c>
      <c r="M751" s="10">
        <f>HYPERLINK("http://localhost:5173/?state=Andhra%20Pradesh&amp;keyword=Design&amp;tender=989582", "🚀 Open in Portal")</f>
        <v/>
      </c>
    </row>
    <row r="752" ht="24" customHeight="1">
      <c r="A752" s="11" t="inlineStr">
        <is>
          <t>Andhra Pradesh</t>
        </is>
      </c>
      <c r="B752" s="12" t="inlineStr">
        <is>
          <t>Design</t>
        </is>
      </c>
      <c r="C752" s="13" t="inlineStr">
        <is>
          <t>989582</t>
        </is>
      </c>
      <c r="D752"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52" s="14" t="inlineStr">
        <is>
          <t>APTRANSCO WORKS-Chief Engineer Projects, Vijayawada</t>
        </is>
      </c>
      <c r="F752" s="13" t="inlineStr">
        <is>
          <t>21 Jul 2026</t>
        </is>
      </c>
      <c r="G752" s="12" t="inlineStr">
        <is>
          <t>20 Aug 2026</t>
        </is>
      </c>
      <c r="H752" s="8" t="inlineStr">
        <is>
          <t>⏳ UPCOMING</t>
        </is>
      </c>
      <c r="I752" s="11" t="inlineStr">
        <is>
          <t>Section - 27  Techincal specification of Testing Instruments..pdf</t>
        </is>
      </c>
      <c r="J752" s="13" t="inlineStr">
        <is>
          <t>📕 PDF Document</t>
        </is>
      </c>
      <c r="K752" s="15" t="n">
        <v>629.7</v>
      </c>
      <c r="L752" s="16">
        <f>HYPERLINK("http://127.0.0.1:8000/api/documents/download?id=2543&amp;attachment=true", "⬇ Download Section - 27  Techincal ")</f>
        <v/>
      </c>
      <c r="M752" s="16">
        <f>HYPERLINK("http://localhost:5173/?state=Andhra%20Pradesh&amp;keyword=Design&amp;tender=989582", "🚀 Open in Portal")</f>
        <v/>
      </c>
    </row>
    <row r="753" ht="24" customHeight="1">
      <c r="A753" s="4" t="inlineStr">
        <is>
          <t>Andhra Pradesh</t>
        </is>
      </c>
      <c r="B753" s="5" t="inlineStr">
        <is>
          <t>Design</t>
        </is>
      </c>
      <c r="C753" s="6" t="inlineStr">
        <is>
          <t>989582</t>
        </is>
      </c>
      <c r="D753"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53" s="7" t="inlineStr">
        <is>
          <t>APTRANSCO WORKS-Chief Engineer Projects, Vijayawada</t>
        </is>
      </c>
      <c r="F753" s="6" t="inlineStr">
        <is>
          <t>21 Jul 2026</t>
        </is>
      </c>
      <c r="G753" s="5" t="inlineStr">
        <is>
          <t>20 Aug 2026</t>
        </is>
      </c>
      <c r="H753" s="8" t="inlineStr">
        <is>
          <t>⏳ UPCOMING</t>
        </is>
      </c>
      <c r="I753" s="4" t="inlineStr">
        <is>
          <t>Section - 28 -Technical specifications of cables.pdf</t>
        </is>
      </c>
      <c r="J753" s="6" t="inlineStr">
        <is>
          <t>📕 PDF Document</t>
        </is>
      </c>
      <c r="K753" s="9" t="n">
        <v>617.5</v>
      </c>
      <c r="L753" s="10">
        <f>HYPERLINK("http://127.0.0.1:8000/api/documents/download?id=2544&amp;attachment=true", "⬇ Download Section - 28 -Technical ")</f>
        <v/>
      </c>
      <c r="M753" s="10">
        <f>HYPERLINK("http://localhost:5173/?state=Andhra%20Pradesh&amp;keyword=Design&amp;tender=989582", "🚀 Open in Portal")</f>
        <v/>
      </c>
    </row>
    <row r="754" ht="24" customHeight="1">
      <c r="A754" s="11" t="inlineStr">
        <is>
          <t>Andhra Pradesh</t>
        </is>
      </c>
      <c r="B754" s="12" t="inlineStr">
        <is>
          <t>Design</t>
        </is>
      </c>
      <c r="C754" s="13" t="inlineStr">
        <is>
          <t>989582</t>
        </is>
      </c>
      <c r="D754"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54" s="14" t="inlineStr">
        <is>
          <t>APTRANSCO WORKS-Chief Engineer Projects, Vijayawada</t>
        </is>
      </c>
      <c r="F754" s="13" t="inlineStr">
        <is>
          <t>21 Jul 2026</t>
        </is>
      </c>
      <c r="G754" s="12" t="inlineStr">
        <is>
          <t>20 Aug 2026</t>
        </is>
      </c>
      <c r="H754" s="8" t="inlineStr">
        <is>
          <t>⏳ UPCOMING</t>
        </is>
      </c>
      <c r="I754" s="11" t="inlineStr">
        <is>
          <t>Section - 29 Long rod insulators.pdf</t>
        </is>
      </c>
      <c r="J754" s="13" t="inlineStr">
        <is>
          <t>📕 PDF Document</t>
        </is>
      </c>
      <c r="K754" s="15" t="n">
        <v>433.9</v>
      </c>
      <c r="L754" s="16">
        <f>HYPERLINK("http://127.0.0.1:8000/api/documents/download?id=2545&amp;attachment=true", "⬇ Download Section - 29 Long rod in")</f>
        <v/>
      </c>
      <c r="M754" s="16">
        <f>HYPERLINK("http://localhost:5173/?state=Andhra%20Pradesh&amp;keyword=Design&amp;tender=989582", "🚀 Open in Portal")</f>
        <v/>
      </c>
    </row>
    <row r="755" ht="24" customHeight="1">
      <c r="A755" s="4" t="inlineStr">
        <is>
          <t>Andhra Pradesh</t>
        </is>
      </c>
      <c r="B755" s="5" t="inlineStr">
        <is>
          <t>Design</t>
        </is>
      </c>
      <c r="C755" s="6" t="inlineStr">
        <is>
          <t>989582</t>
        </is>
      </c>
      <c r="D755"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55" s="7" t="inlineStr">
        <is>
          <t>APTRANSCO WORKS-Chief Engineer Projects, Vijayawada</t>
        </is>
      </c>
      <c r="F755" s="6" t="inlineStr">
        <is>
          <t>21 Jul 2026</t>
        </is>
      </c>
      <c r="G755" s="5" t="inlineStr">
        <is>
          <t>20 Aug 2026</t>
        </is>
      </c>
      <c r="H755" s="8" t="inlineStr">
        <is>
          <t>⏳ UPCOMING</t>
        </is>
      </c>
      <c r="I755" s="4" t="inlineStr">
        <is>
          <t>Section - 3 Surge Arrestors.pdf</t>
        </is>
      </c>
      <c r="J755" s="6" t="inlineStr">
        <is>
          <t>📕 PDF Document</t>
        </is>
      </c>
      <c r="K755" s="9" t="n">
        <v>431</v>
      </c>
      <c r="L755" s="10">
        <f>HYPERLINK("http://127.0.0.1:8000/api/documents/download?id=2546&amp;attachment=true", "⬇ Download Section - 3 Surge Arrest")</f>
        <v/>
      </c>
      <c r="M755" s="10">
        <f>HYPERLINK("http://localhost:5173/?state=Andhra%20Pradesh&amp;keyword=Design&amp;tender=989582", "🚀 Open in Portal")</f>
        <v/>
      </c>
    </row>
    <row r="756" ht="24" customHeight="1">
      <c r="A756" s="11" t="inlineStr">
        <is>
          <t>Andhra Pradesh</t>
        </is>
      </c>
      <c r="B756" s="12" t="inlineStr">
        <is>
          <t>Design</t>
        </is>
      </c>
      <c r="C756" s="13" t="inlineStr">
        <is>
          <t>989582</t>
        </is>
      </c>
      <c r="D756"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56" s="14" t="inlineStr">
        <is>
          <t>APTRANSCO WORKS-Chief Engineer Projects, Vijayawada</t>
        </is>
      </c>
      <c r="F756" s="13" t="inlineStr">
        <is>
          <t>21 Jul 2026</t>
        </is>
      </c>
      <c r="G756" s="12" t="inlineStr">
        <is>
          <t>20 Aug 2026</t>
        </is>
      </c>
      <c r="H756" s="8" t="inlineStr">
        <is>
          <t>⏳ UPCOMING</t>
        </is>
      </c>
      <c r="I756" s="11" t="inlineStr">
        <is>
          <t>Section - 30 Technical specification of AC unit &amp; Stabilizer.pdf</t>
        </is>
      </c>
      <c r="J756" s="13" t="inlineStr">
        <is>
          <t>📕 PDF Document</t>
        </is>
      </c>
      <c r="K756" s="15" t="n">
        <v>156.4</v>
      </c>
      <c r="L756" s="16">
        <f>HYPERLINK("http://127.0.0.1:8000/api/documents/download?id=2547&amp;attachment=true", "⬇ Download Section - 30 Technical s")</f>
        <v/>
      </c>
      <c r="M756" s="16">
        <f>HYPERLINK("http://localhost:5173/?state=Andhra%20Pradesh&amp;keyword=Design&amp;tender=989582", "🚀 Open in Portal")</f>
        <v/>
      </c>
    </row>
    <row r="757" ht="24" customHeight="1">
      <c r="A757" s="4" t="inlineStr">
        <is>
          <t>Andhra Pradesh</t>
        </is>
      </c>
      <c r="B757" s="5" t="inlineStr">
        <is>
          <t>Design</t>
        </is>
      </c>
      <c r="C757" s="6" t="inlineStr">
        <is>
          <t>989582</t>
        </is>
      </c>
      <c r="D757"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57" s="7" t="inlineStr">
        <is>
          <t>APTRANSCO WORKS-Chief Engineer Projects, Vijayawada</t>
        </is>
      </c>
      <c r="F757" s="6" t="inlineStr">
        <is>
          <t>21 Jul 2026</t>
        </is>
      </c>
      <c r="G757" s="5" t="inlineStr">
        <is>
          <t>20 Aug 2026</t>
        </is>
      </c>
      <c r="H757" s="8" t="inlineStr">
        <is>
          <t>⏳ UPCOMING</t>
        </is>
      </c>
      <c r="I757" s="4" t="inlineStr">
        <is>
          <t>Section - 31 Technical specification of MPLS FOTE &amp; NMS.pdf</t>
        </is>
      </c>
      <c r="J757" s="6" t="inlineStr">
        <is>
          <t>📕 PDF Document</t>
        </is>
      </c>
      <c r="K757" s="9" t="n">
        <v>946.7</v>
      </c>
      <c r="L757" s="10">
        <f>HYPERLINK("http://127.0.0.1:8000/api/documents/download?id=2548&amp;attachment=true", "⬇ Download Section - 31 Technical s")</f>
        <v/>
      </c>
      <c r="M757" s="10">
        <f>HYPERLINK("http://localhost:5173/?state=Andhra%20Pradesh&amp;keyword=Design&amp;tender=989582", "🚀 Open in Portal")</f>
        <v/>
      </c>
    </row>
    <row r="758" ht="24" customHeight="1">
      <c r="A758" s="11" t="inlineStr">
        <is>
          <t>Andhra Pradesh</t>
        </is>
      </c>
      <c r="B758" s="12" t="inlineStr">
        <is>
          <t>Design</t>
        </is>
      </c>
      <c r="C758" s="13" t="inlineStr">
        <is>
          <t>989582</t>
        </is>
      </c>
      <c r="D758"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58" s="14" t="inlineStr">
        <is>
          <t>APTRANSCO WORKS-Chief Engineer Projects, Vijayawada</t>
        </is>
      </c>
      <c r="F758" s="13" t="inlineStr">
        <is>
          <t>21 Jul 2026</t>
        </is>
      </c>
      <c r="G758" s="12" t="inlineStr">
        <is>
          <t>20 Aug 2026</t>
        </is>
      </c>
      <c r="H758" s="8" t="inlineStr">
        <is>
          <t>⏳ UPCOMING</t>
        </is>
      </c>
      <c r="I758" s="11" t="inlineStr">
        <is>
          <t>Section - 32 Tech Spec- SRC Insulators.pdf</t>
        </is>
      </c>
      <c r="J758" s="13" t="inlineStr">
        <is>
          <t>📕 PDF Document</t>
        </is>
      </c>
      <c r="K758" s="15" t="n">
        <v>423.9</v>
      </c>
      <c r="L758" s="16">
        <f>HYPERLINK("http://127.0.0.1:8000/api/documents/download?id=2549&amp;attachment=true", "⬇ Download Section - 32 Tech Spec- ")</f>
        <v/>
      </c>
      <c r="M758" s="16">
        <f>HYPERLINK("http://localhost:5173/?state=Andhra%20Pradesh&amp;keyword=Design&amp;tender=989582", "🚀 Open in Portal")</f>
        <v/>
      </c>
    </row>
    <row r="759" ht="24" customHeight="1">
      <c r="A759" s="4" t="inlineStr">
        <is>
          <t>Andhra Pradesh</t>
        </is>
      </c>
      <c r="B759" s="5" t="inlineStr">
        <is>
          <t>Design</t>
        </is>
      </c>
      <c r="C759" s="6" t="inlineStr">
        <is>
          <t>989582</t>
        </is>
      </c>
      <c r="D759"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59" s="7" t="inlineStr">
        <is>
          <t>APTRANSCO WORKS-Chief Engineer Projects, Vijayawada</t>
        </is>
      </c>
      <c r="F759" s="6" t="inlineStr">
        <is>
          <t>21 Jul 2026</t>
        </is>
      </c>
      <c r="G759" s="5" t="inlineStr">
        <is>
          <t>20 Aug 2026</t>
        </is>
      </c>
      <c r="H759" s="8" t="inlineStr">
        <is>
          <t>⏳ UPCOMING</t>
        </is>
      </c>
      <c r="I759" s="4" t="inlineStr">
        <is>
          <t>Section - 33 LED Specification.pdf</t>
        </is>
      </c>
      <c r="J759" s="6" t="inlineStr">
        <is>
          <t>📕 PDF Document</t>
        </is>
      </c>
      <c r="K759" s="9" t="n">
        <v>563</v>
      </c>
      <c r="L759" s="10">
        <f>HYPERLINK("http://127.0.0.1:8000/api/documents/download?id=2550&amp;attachment=true", "⬇ Download Section - 33 LED Specifi")</f>
        <v/>
      </c>
      <c r="M759" s="10">
        <f>HYPERLINK("http://localhost:5173/?state=Andhra%20Pradesh&amp;keyword=Design&amp;tender=989582", "🚀 Open in Portal")</f>
        <v/>
      </c>
    </row>
    <row r="760" ht="24" customHeight="1">
      <c r="A760" s="11" t="inlineStr">
        <is>
          <t>Andhra Pradesh</t>
        </is>
      </c>
      <c r="B760" s="12" t="inlineStr">
        <is>
          <t>Design</t>
        </is>
      </c>
      <c r="C760" s="13" t="inlineStr">
        <is>
          <t>989582</t>
        </is>
      </c>
      <c r="D760"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60" s="14" t="inlineStr">
        <is>
          <t>APTRANSCO WORKS-Chief Engineer Projects, Vijayawada</t>
        </is>
      </c>
      <c r="F760" s="13" t="inlineStr">
        <is>
          <t>21 Jul 2026</t>
        </is>
      </c>
      <c r="G760" s="12" t="inlineStr">
        <is>
          <t>20 Aug 2026</t>
        </is>
      </c>
      <c r="H760" s="8" t="inlineStr">
        <is>
          <t>⏳ UPCOMING</t>
        </is>
      </c>
      <c r="I760" s="11" t="inlineStr">
        <is>
          <t>Section - 34 ACSS Cond eq Conductor SPEC_Final.pdf</t>
        </is>
      </c>
      <c r="J760" s="13" t="inlineStr">
        <is>
          <t>📕 PDF Document</t>
        </is>
      </c>
      <c r="K760" s="15" t="n">
        <v>1084</v>
      </c>
      <c r="L760" s="16">
        <f>HYPERLINK("http://127.0.0.1:8000/api/documents/download?id=2551&amp;attachment=true", "⬇ Download Section - 34 ACSS Cond e")</f>
        <v/>
      </c>
      <c r="M760" s="16">
        <f>HYPERLINK("http://localhost:5173/?state=Andhra%20Pradesh&amp;keyword=Design&amp;tender=989582", "🚀 Open in Portal")</f>
        <v/>
      </c>
    </row>
    <row r="761" ht="24" customHeight="1">
      <c r="A761" s="4" t="inlineStr">
        <is>
          <t>Andhra Pradesh</t>
        </is>
      </c>
      <c r="B761" s="5" t="inlineStr">
        <is>
          <t>Design</t>
        </is>
      </c>
      <c r="C761" s="6" t="inlineStr">
        <is>
          <t>989582</t>
        </is>
      </c>
      <c r="D761"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61" s="7" t="inlineStr">
        <is>
          <t>APTRANSCO WORKS-Chief Engineer Projects, Vijayawada</t>
        </is>
      </c>
      <c r="F761" s="6" t="inlineStr">
        <is>
          <t>21 Jul 2026</t>
        </is>
      </c>
      <c r="G761" s="5" t="inlineStr">
        <is>
          <t>20 Aug 2026</t>
        </is>
      </c>
      <c r="H761" s="8" t="inlineStr">
        <is>
          <t>⏳ UPCOMING</t>
        </is>
      </c>
      <c r="I761" s="4" t="inlineStr">
        <is>
          <t>Section - 4 Isolator Mettalics.pdf</t>
        </is>
      </c>
      <c r="J761" s="6" t="inlineStr">
        <is>
          <t>📕 PDF Document</t>
        </is>
      </c>
      <c r="K761" s="9" t="n">
        <v>514.5</v>
      </c>
      <c r="L761" s="10">
        <f>HYPERLINK("http://127.0.0.1:8000/api/documents/download?id=2552&amp;attachment=true", "⬇ Download Section - 4 Isolator Met")</f>
        <v/>
      </c>
      <c r="M761" s="10">
        <f>HYPERLINK("http://localhost:5173/?state=Andhra%20Pradesh&amp;keyword=Design&amp;tender=989582", "🚀 Open in Portal")</f>
        <v/>
      </c>
    </row>
    <row r="762" ht="24" customHeight="1">
      <c r="A762" s="11" t="inlineStr">
        <is>
          <t>Andhra Pradesh</t>
        </is>
      </c>
      <c r="B762" s="12" t="inlineStr">
        <is>
          <t>Design</t>
        </is>
      </c>
      <c r="C762" s="13" t="inlineStr">
        <is>
          <t>989582</t>
        </is>
      </c>
      <c r="D762"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62" s="14" t="inlineStr">
        <is>
          <t>APTRANSCO WORKS-Chief Engineer Projects, Vijayawada</t>
        </is>
      </c>
      <c r="F762" s="13" t="inlineStr">
        <is>
          <t>21 Jul 2026</t>
        </is>
      </c>
      <c r="G762" s="12" t="inlineStr">
        <is>
          <t>20 Aug 2026</t>
        </is>
      </c>
      <c r="H762" s="8" t="inlineStr">
        <is>
          <t>⏳ UPCOMING</t>
        </is>
      </c>
      <c r="I762" s="11" t="inlineStr">
        <is>
          <t>Section - 5 Solid core  insulators.pdf</t>
        </is>
      </c>
      <c r="J762" s="13" t="inlineStr">
        <is>
          <t>📕 PDF Document</t>
        </is>
      </c>
      <c r="K762" s="15" t="n">
        <v>289.7</v>
      </c>
      <c r="L762" s="16">
        <f>HYPERLINK("http://127.0.0.1:8000/api/documents/download?id=2553&amp;attachment=true", "⬇ Download Section - 5 Solid core  ")</f>
        <v/>
      </c>
      <c r="M762" s="16">
        <f>HYPERLINK("http://localhost:5173/?state=Andhra%20Pradesh&amp;keyword=Design&amp;tender=989582", "🚀 Open in Portal")</f>
        <v/>
      </c>
    </row>
    <row r="763" ht="24" customHeight="1">
      <c r="A763" s="4" t="inlineStr">
        <is>
          <t>Andhra Pradesh</t>
        </is>
      </c>
      <c r="B763" s="5" t="inlineStr">
        <is>
          <t>Design</t>
        </is>
      </c>
      <c r="C763" s="6" t="inlineStr">
        <is>
          <t>989582</t>
        </is>
      </c>
      <c r="D763"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63" s="7" t="inlineStr">
        <is>
          <t>APTRANSCO WORKS-Chief Engineer Projects, Vijayawada</t>
        </is>
      </c>
      <c r="F763" s="6" t="inlineStr">
        <is>
          <t>21 Jul 2026</t>
        </is>
      </c>
      <c r="G763" s="5" t="inlineStr">
        <is>
          <t>20 Aug 2026</t>
        </is>
      </c>
      <c r="H763" s="8" t="inlineStr">
        <is>
          <t>⏳ UPCOMING</t>
        </is>
      </c>
      <c r="I763" s="4" t="inlineStr">
        <is>
          <t>Section - 6 Control _ Power Cables.pdf</t>
        </is>
      </c>
      <c r="J763" s="6" t="inlineStr">
        <is>
          <t>📕 PDF Document</t>
        </is>
      </c>
      <c r="K763" s="9" t="n">
        <v>420.2</v>
      </c>
      <c r="L763" s="10">
        <f>HYPERLINK("http://127.0.0.1:8000/api/documents/download?id=2554&amp;attachment=true", "⬇ Download Section - 6 Control _ Po")</f>
        <v/>
      </c>
      <c r="M763" s="10">
        <f>HYPERLINK("http://localhost:5173/?state=Andhra%20Pradesh&amp;keyword=Design&amp;tender=989582", "🚀 Open in Portal")</f>
        <v/>
      </c>
    </row>
    <row r="764" ht="24" customHeight="1">
      <c r="A764" s="11" t="inlineStr">
        <is>
          <t>Andhra Pradesh</t>
        </is>
      </c>
      <c r="B764" s="12" t="inlineStr">
        <is>
          <t>Design</t>
        </is>
      </c>
      <c r="C764" s="13" t="inlineStr">
        <is>
          <t>989582</t>
        </is>
      </c>
      <c r="D764"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64" s="14" t="inlineStr">
        <is>
          <t>APTRANSCO WORKS-Chief Engineer Projects, Vijayawada</t>
        </is>
      </c>
      <c r="F764" s="13" t="inlineStr">
        <is>
          <t>21 Jul 2026</t>
        </is>
      </c>
      <c r="G764" s="12" t="inlineStr">
        <is>
          <t>20 Aug 2026</t>
        </is>
      </c>
      <c r="H764" s="8" t="inlineStr">
        <is>
          <t>⏳ UPCOMING</t>
        </is>
      </c>
      <c r="I764" s="11" t="inlineStr">
        <is>
          <t>Section - 7 Battery set &amp; battery charger.pdf</t>
        </is>
      </c>
      <c r="J764" s="13" t="inlineStr">
        <is>
          <t>📕 PDF Document</t>
        </is>
      </c>
      <c r="K764" s="15" t="n">
        <v>1452.5</v>
      </c>
      <c r="L764" s="16">
        <f>HYPERLINK("http://127.0.0.1:8000/api/documents/download?id=2555&amp;attachment=true", "⬇ Download Section - 7 Battery set ")</f>
        <v/>
      </c>
      <c r="M764" s="16">
        <f>HYPERLINK("http://localhost:5173/?state=Andhra%20Pradesh&amp;keyword=Design&amp;tender=989582", "🚀 Open in Portal")</f>
        <v/>
      </c>
    </row>
    <row r="765" ht="24" customHeight="1">
      <c r="A765" s="4" t="inlineStr">
        <is>
          <t>Andhra Pradesh</t>
        </is>
      </c>
      <c r="B765" s="5" t="inlineStr">
        <is>
          <t>Design</t>
        </is>
      </c>
      <c r="C765" s="6" t="inlineStr">
        <is>
          <t>989582</t>
        </is>
      </c>
      <c r="D765"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65" s="7" t="inlineStr">
        <is>
          <t>APTRANSCO WORKS-Chief Engineer Projects, Vijayawada</t>
        </is>
      </c>
      <c r="F765" s="6" t="inlineStr">
        <is>
          <t>21 Jul 2026</t>
        </is>
      </c>
      <c r="G765" s="5" t="inlineStr">
        <is>
          <t>20 Aug 2026</t>
        </is>
      </c>
      <c r="H765" s="8" t="inlineStr">
        <is>
          <t>⏳ UPCOMING</t>
        </is>
      </c>
      <c r="I765" s="4" t="inlineStr">
        <is>
          <t>Section - 8 Circuit Breakers.pdf</t>
        </is>
      </c>
      <c r="J765" s="6" t="inlineStr">
        <is>
          <t>📕 PDF Document</t>
        </is>
      </c>
      <c r="K765" s="9" t="n">
        <v>871.7</v>
      </c>
      <c r="L765" s="10">
        <f>HYPERLINK("http://127.0.0.1:8000/api/documents/download?id=2556&amp;attachment=true", "⬇ Download Section - 8 Circuit Brea")</f>
        <v/>
      </c>
      <c r="M765" s="10">
        <f>HYPERLINK("http://localhost:5173/?state=Andhra%20Pradesh&amp;keyword=Design&amp;tender=989582", "🚀 Open in Portal")</f>
        <v/>
      </c>
    </row>
    <row r="766" ht="24" customHeight="1">
      <c r="A766" s="11" t="inlineStr">
        <is>
          <t>Andhra Pradesh</t>
        </is>
      </c>
      <c r="B766" s="12" t="inlineStr">
        <is>
          <t>Design</t>
        </is>
      </c>
      <c r="C766" s="13" t="inlineStr">
        <is>
          <t>989582</t>
        </is>
      </c>
      <c r="D766"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66" s="14" t="inlineStr">
        <is>
          <t>APTRANSCO WORKS-Chief Engineer Projects, Vijayawada</t>
        </is>
      </c>
      <c r="F766" s="13" t="inlineStr">
        <is>
          <t>21 Jul 2026</t>
        </is>
      </c>
      <c r="G766" s="12" t="inlineStr">
        <is>
          <t>20 Aug 2026</t>
        </is>
      </c>
      <c r="H766" s="8" t="inlineStr">
        <is>
          <t>⏳ UPCOMING</t>
        </is>
      </c>
      <c r="I766" s="11" t="inlineStr">
        <is>
          <t>Section - 9  LTAC Panel.pdf</t>
        </is>
      </c>
      <c r="J766" s="13" t="inlineStr">
        <is>
          <t>📕 PDF Document</t>
        </is>
      </c>
      <c r="K766" s="15" t="n">
        <v>539</v>
      </c>
      <c r="L766" s="16">
        <f>HYPERLINK("http://127.0.0.1:8000/api/documents/download?id=2557&amp;attachment=true", "⬇ Download Section - 9  LTAC Panel.")</f>
        <v/>
      </c>
      <c r="M766" s="16">
        <f>HYPERLINK("http://localhost:5173/?state=Andhra%20Pradesh&amp;keyword=Design&amp;tender=989582", "🚀 Open in Portal")</f>
        <v/>
      </c>
    </row>
    <row r="767" ht="24" customHeight="1">
      <c r="A767" s="4" t="inlineStr">
        <is>
          <t>Andhra Pradesh</t>
        </is>
      </c>
      <c r="B767" s="5" t="inlineStr">
        <is>
          <t>Design</t>
        </is>
      </c>
      <c r="C767" s="6" t="inlineStr">
        <is>
          <t>989582</t>
        </is>
      </c>
      <c r="D767"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67" s="7" t="inlineStr">
        <is>
          <t>APTRANSCO WORKS-Chief Engineer Projects, Vijayawada</t>
        </is>
      </c>
      <c r="F767" s="6" t="inlineStr">
        <is>
          <t>21 Jul 2026</t>
        </is>
      </c>
      <c r="G767" s="5" t="inlineStr">
        <is>
          <t>20 Aug 2026</t>
        </is>
      </c>
      <c r="H767" s="8" t="inlineStr">
        <is>
          <t>⏳ UPCOMING</t>
        </is>
      </c>
      <c r="I767" s="4" t="inlineStr">
        <is>
          <t>Commercial Schedules-e-EHVT e57-26-CTT Towers.xlsx</t>
        </is>
      </c>
      <c r="J767" s="6" t="inlineStr">
        <is>
          <t>📊 Excel BOQ</t>
        </is>
      </c>
      <c r="K767" s="9" t="n">
        <v>54.3</v>
      </c>
      <c r="L767" s="10">
        <f>HYPERLINK("http://127.0.0.1:8000/api/documents/download?id=2558&amp;attachment=true", "⬇ Download Commercial Schedules-e-E")</f>
        <v/>
      </c>
      <c r="M767" s="10">
        <f>HYPERLINK("http://localhost:5173/?state=Andhra%20Pradesh&amp;keyword=Design&amp;tender=989582", "🚀 Open in Portal")</f>
        <v/>
      </c>
    </row>
    <row r="768" ht="24" customHeight="1">
      <c r="A768" s="11" t="inlineStr">
        <is>
          <t>Andhra Pradesh</t>
        </is>
      </c>
      <c r="B768" s="12" t="inlineStr">
        <is>
          <t>Design</t>
        </is>
      </c>
      <c r="C768" s="13" t="inlineStr">
        <is>
          <t>989582</t>
        </is>
      </c>
      <c r="D768"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68" s="14" t="inlineStr">
        <is>
          <t>APTRANSCO WORKS-Chief Engineer Projects, Vijayawada</t>
        </is>
      </c>
      <c r="F768" s="13" t="inlineStr">
        <is>
          <t>21 Jul 2026</t>
        </is>
      </c>
      <c r="G768" s="12" t="inlineStr">
        <is>
          <t>20 Aug 2026</t>
        </is>
      </c>
      <c r="H768" s="8" t="inlineStr">
        <is>
          <t>⏳ UPCOMING</t>
        </is>
      </c>
      <c r="I768" s="11" t="inlineStr">
        <is>
          <t>Vol-I -e-EHVT-57-26-CTT Towers.pdf</t>
        </is>
      </c>
      <c r="J768" s="13" t="inlineStr">
        <is>
          <t>📕 PDF Document</t>
        </is>
      </c>
      <c r="K768" s="15" t="n">
        <v>1530.2</v>
      </c>
      <c r="L768" s="16">
        <f>HYPERLINK("http://127.0.0.1:8000/api/documents/download?id=2559&amp;attachment=true", "⬇ Download Vol-I -e-EHVT-57-26-CTT ")</f>
        <v/>
      </c>
      <c r="M768" s="16">
        <f>HYPERLINK("http://localhost:5173/?state=Andhra%20Pradesh&amp;keyword=Design&amp;tender=989582", "🚀 Open in Portal")</f>
        <v/>
      </c>
    </row>
    <row r="769" ht="24" customHeight="1">
      <c r="A769" s="4" t="inlineStr">
        <is>
          <t>Andhra Pradesh</t>
        </is>
      </c>
      <c r="B769" s="5" t="inlineStr">
        <is>
          <t>Design</t>
        </is>
      </c>
      <c r="C769" s="6" t="inlineStr">
        <is>
          <t>989582</t>
        </is>
      </c>
      <c r="D769" s="7"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69" s="7" t="inlineStr">
        <is>
          <t>APTRANSCO WORKS-Chief Engineer Projects, Vijayawada</t>
        </is>
      </c>
      <c r="F769" s="6" t="inlineStr">
        <is>
          <t>21 Jul 2026</t>
        </is>
      </c>
      <c r="G769" s="5" t="inlineStr">
        <is>
          <t>20 Aug 2026</t>
        </is>
      </c>
      <c r="H769" s="8" t="inlineStr">
        <is>
          <t>⏳ UPCOMING</t>
        </is>
      </c>
      <c r="I769" s="4" t="inlineStr">
        <is>
          <t>Quality Assurance Plan.pdf</t>
        </is>
      </c>
      <c r="J769" s="6" t="inlineStr">
        <is>
          <t>📕 PDF Document</t>
        </is>
      </c>
      <c r="K769" s="9" t="n">
        <v>1303.3</v>
      </c>
      <c r="L769" s="10">
        <f>HYPERLINK("http://127.0.0.1:8000/api/documents/download?id=2560&amp;attachment=true", "⬇ Download Quality Assurance Plan.p")</f>
        <v/>
      </c>
      <c r="M769" s="10">
        <f>HYPERLINK("http://localhost:5173/?state=Andhra%20Pradesh&amp;keyword=Design&amp;tender=989582", "🚀 Open in Portal")</f>
        <v/>
      </c>
    </row>
    <row r="770" ht="24" customHeight="1">
      <c r="A770" s="11" t="inlineStr">
        <is>
          <t>Andhra Pradesh</t>
        </is>
      </c>
      <c r="B770" s="12" t="inlineStr">
        <is>
          <t>Design</t>
        </is>
      </c>
      <c r="C770" s="13" t="inlineStr">
        <is>
          <t>989582</t>
        </is>
      </c>
      <c r="D770" s="14" t="inlineStr">
        <is>
          <t>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c r="E770" s="14" t="inlineStr">
        <is>
          <t>APTRANSCO WORKS-Chief Engineer Projects, Vijayawada</t>
        </is>
      </c>
      <c r="F770" s="13" t="inlineStr">
        <is>
          <t>21 Jul 2026</t>
        </is>
      </c>
      <c r="G770" s="12" t="inlineStr">
        <is>
          <t>20 Aug 2026</t>
        </is>
      </c>
      <c r="H770" s="8" t="inlineStr">
        <is>
          <t>⏳ UPCOMING</t>
        </is>
      </c>
      <c r="I770" s="11" t="inlineStr">
        <is>
          <t>Tender_989582_All_Documents.zip</t>
        </is>
      </c>
      <c r="J770" s="13" t="inlineStr">
        <is>
          <t>📦 ZIP Package</t>
        </is>
      </c>
      <c r="K770" s="15" t="n">
        <v>2114.1</v>
      </c>
      <c r="L770" s="16">
        <f>HYPERLINK("http://127.0.0.1:8000/api/documents/download?id=2561&amp;attachment=true", "⬇ Download Tender_989582_All_Docume")</f>
        <v/>
      </c>
      <c r="M770" s="16">
        <f>HYPERLINK("http://localhost:5173/?state=Andhra%20Pradesh&amp;keyword=Design&amp;tender=989582", "🚀 Open in Portal")</f>
        <v/>
      </c>
    </row>
    <row r="771" ht="24" customHeight="1">
      <c r="A771" s="4" t="inlineStr">
        <is>
          <t>Andhra Pradesh</t>
        </is>
      </c>
      <c r="B771" s="5" t="inlineStr">
        <is>
          <t>Design</t>
        </is>
      </c>
      <c r="C771" s="6" t="inlineStr">
        <is>
          <t>996786</t>
        </is>
      </c>
      <c r="D771" s="7" t="inlineStr">
        <is>
          <t>Construction of Neighbourhood Retail Centre at Amaravati Government Complex (AGC), Lingayapalem Village, Amaravati through EPC (Design and Build) mode (Percentage Tender) including DLP of 2 Years</t>
        </is>
      </c>
      <c r="E771" s="7" t="inlineStr">
        <is>
          <t>MUNICIPAL ADMINISTRATION DEPARTMENT-Amaravati Growth &amp; Infrastructure Corporation Limited Amaravati</t>
        </is>
      </c>
      <c r="F771" s="6" t="inlineStr">
        <is>
          <t>03 Aug 2026</t>
        </is>
      </c>
      <c r="G771" s="5" t="inlineStr">
        <is>
          <t>25 Aug 2026</t>
        </is>
      </c>
      <c r="H771" s="8" t="inlineStr">
        <is>
          <t>⏳ UPCOMING</t>
        </is>
      </c>
      <c r="I771" s="4" t="inlineStr">
        <is>
          <t>Bid Document.pdf</t>
        </is>
      </c>
      <c r="J771" s="6" t="inlineStr">
        <is>
          <t>📕 PDF Document</t>
        </is>
      </c>
      <c r="K771" s="9" t="n">
        <v>1986</v>
      </c>
      <c r="L771" s="10">
        <f>HYPERLINK("http://127.0.0.1:8000/api/documents/download?id=2870&amp;attachment=true", "⬇ Download Bid Document.pdf")</f>
        <v/>
      </c>
      <c r="M771" s="10">
        <f>HYPERLINK("http://localhost:5173/?state=Andhra%20Pradesh&amp;keyword=Design&amp;tender=996786", "🚀 Open in Portal")</f>
        <v/>
      </c>
    </row>
    <row r="772" ht="24" customHeight="1">
      <c r="A772" s="11" t="inlineStr">
        <is>
          <t>Andhra Pradesh</t>
        </is>
      </c>
      <c r="B772" s="12" t="inlineStr">
        <is>
          <t>Design</t>
        </is>
      </c>
      <c r="C772" s="13" t="inlineStr">
        <is>
          <t>996786</t>
        </is>
      </c>
      <c r="D772" s="14" t="inlineStr">
        <is>
          <t>Construction of Neighbourhood Retail Centre at Amaravati Government Complex (AGC), Lingayapalem Village, Amaravati through EPC (Design and Build) mode (Percentage Tender) including DLP of 2 Years</t>
        </is>
      </c>
      <c r="E772" s="14" t="inlineStr">
        <is>
          <t>MUNICIPAL ADMINISTRATION DEPARTMENT-Amaravati Growth &amp; Infrastructure Corporation Limited Amaravati</t>
        </is>
      </c>
      <c r="F772" s="13" t="inlineStr">
        <is>
          <t>03 Aug 2026</t>
        </is>
      </c>
      <c r="G772" s="12" t="inlineStr">
        <is>
          <t>25 Aug 2026</t>
        </is>
      </c>
      <c r="H772" s="8" t="inlineStr">
        <is>
          <t>⏳ UPCOMING</t>
        </is>
      </c>
      <c r="I772" s="11" t="inlineStr">
        <is>
          <t>Tender_996786_All_Documents.zip</t>
        </is>
      </c>
      <c r="J772" s="13" t="inlineStr">
        <is>
          <t>📦 ZIP Package</t>
        </is>
      </c>
      <c r="K772" s="15" t="n">
        <v>1922.8</v>
      </c>
      <c r="L772" s="16">
        <f>HYPERLINK("http://127.0.0.1:8000/api/documents/download?id=3030&amp;attachment=true", "⬇ Download Tender_996786_All_Docume")</f>
        <v/>
      </c>
      <c r="M772" s="16">
        <f>HYPERLINK("http://localhost:5173/?state=Andhra%20Pradesh&amp;keyword=Design&amp;tender=996786", "🚀 Open in Portal")</f>
        <v/>
      </c>
    </row>
    <row r="773" ht="24" customHeight="1">
      <c r="A773" s="4" t="inlineStr">
        <is>
          <t>Andhra Pradesh</t>
        </is>
      </c>
      <c r="B773" s="5" t="inlineStr">
        <is>
          <t>Design</t>
        </is>
      </c>
      <c r="C773" s="6" t="inlineStr">
        <is>
          <t>999239</t>
        </is>
      </c>
      <c r="D773"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73" s="7" t="inlineStr">
        <is>
          <t>MUNICIPAL ADMINISTRATION DEPARTMENT-Amaravati Growth &amp; Infrastructure Corporation Limited Amaravati</t>
        </is>
      </c>
      <c r="F773" s="6" t="inlineStr">
        <is>
          <t>25 Jul 2026</t>
        </is>
      </c>
      <c r="G773" s="5" t="inlineStr">
        <is>
          <t>18 Aug 2026</t>
        </is>
      </c>
      <c r="H773" s="8" t="inlineStr">
        <is>
          <t>⏳ UPCOMING</t>
        </is>
      </c>
      <c r="I773" s="4" t="inlineStr">
        <is>
          <t>171020- LA- central Spire - Str DBR.pdf</t>
        </is>
      </c>
      <c r="J773" s="6" t="inlineStr">
        <is>
          <t>📕 PDF Document</t>
        </is>
      </c>
      <c r="K773" s="9" t="n">
        <v>3667.3</v>
      </c>
      <c r="L773" s="10">
        <f>HYPERLINK("http://127.0.0.1:8000/api/documents/download?id=2353&amp;attachment=true", "⬇ Download 171020- LA- central Spir")</f>
        <v/>
      </c>
      <c r="M773" s="10">
        <f>HYPERLINK("http://localhost:5173/?state=Andhra%20Pradesh&amp;keyword=Design&amp;tender=999239", "🚀 Open in Portal")</f>
        <v/>
      </c>
    </row>
    <row r="774" ht="24" customHeight="1">
      <c r="A774" s="11" t="inlineStr">
        <is>
          <t>Andhra Pradesh</t>
        </is>
      </c>
      <c r="B774" s="12" t="inlineStr">
        <is>
          <t>Design</t>
        </is>
      </c>
      <c r="C774" s="13" t="inlineStr">
        <is>
          <t>999239</t>
        </is>
      </c>
      <c r="D774"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74" s="14" t="inlineStr">
        <is>
          <t>MUNICIPAL ADMINISTRATION DEPARTMENT-Amaravati Growth &amp; Infrastructure Corporation Limited Amaravati</t>
        </is>
      </c>
      <c r="F774" s="13" t="inlineStr">
        <is>
          <t>25 Jul 2026</t>
        </is>
      </c>
      <c r="G774" s="12" t="inlineStr">
        <is>
          <t>18 Aug 2026</t>
        </is>
      </c>
      <c r="H774" s="8" t="inlineStr">
        <is>
          <t>⏳ UPCOMING</t>
        </is>
      </c>
      <c r="I774" s="11" t="inlineStr">
        <is>
          <t>Assembly Spire Work BOQ.pdf</t>
        </is>
      </c>
      <c r="J774" s="13" t="inlineStr">
        <is>
          <t>📕 PDF Document</t>
        </is>
      </c>
      <c r="K774" s="15" t="n">
        <v>520.7</v>
      </c>
      <c r="L774" s="16">
        <f>HYPERLINK("http://127.0.0.1:8000/api/documents/download?id=2354&amp;attachment=true", "⬇ Download Assembly Spire Work BOQ.")</f>
        <v/>
      </c>
      <c r="M774" s="16">
        <f>HYPERLINK("http://localhost:5173/?state=Andhra%20Pradesh&amp;keyword=Design&amp;tender=999239", "🚀 Open in Portal")</f>
        <v/>
      </c>
    </row>
    <row r="775" ht="24" customHeight="1">
      <c r="A775" s="4" t="inlineStr">
        <is>
          <t>Andhra Pradesh</t>
        </is>
      </c>
      <c r="B775" s="5" t="inlineStr">
        <is>
          <t>Design</t>
        </is>
      </c>
      <c r="C775" s="6" t="inlineStr">
        <is>
          <t>999239</t>
        </is>
      </c>
      <c r="D775"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75" s="7" t="inlineStr">
        <is>
          <t>MUNICIPAL ADMINISTRATION DEPARTMENT-Amaravati Growth &amp; Infrastructure Corporation Limited Amaravati</t>
        </is>
      </c>
      <c r="F775" s="6" t="inlineStr">
        <is>
          <t>25 Jul 2026</t>
        </is>
      </c>
      <c r="G775" s="5" t="inlineStr">
        <is>
          <t>18 Aug 2026</t>
        </is>
      </c>
      <c r="H775" s="8" t="inlineStr">
        <is>
          <t>⏳ UPCOMING</t>
        </is>
      </c>
      <c r="I775" s="4" t="inlineStr">
        <is>
          <t>VOLUME III - TECH-SPECS.pdf</t>
        </is>
      </c>
      <c r="J775" s="6" t="inlineStr">
        <is>
          <t>📕 PDF Document</t>
        </is>
      </c>
      <c r="K775" s="9" t="n">
        <v>2969.9</v>
      </c>
      <c r="L775" s="10">
        <f>HYPERLINK("http://127.0.0.1:8000/api/documents/download?id=2355&amp;attachment=true", "⬇ Download VOLUME III - TECH-SPECS.")</f>
        <v/>
      </c>
      <c r="M775" s="10">
        <f>HYPERLINK("http://localhost:5173/?state=Andhra%20Pradesh&amp;keyword=Design&amp;tender=999239", "🚀 Open in Portal")</f>
        <v/>
      </c>
    </row>
    <row r="776" ht="24" customHeight="1">
      <c r="A776" s="11" t="inlineStr">
        <is>
          <t>Andhra Pradesh</t>
        </is>
      </c>
      <c r="B776" s="12" t="inlineStr">
        <is>
          <t>Design</t>
        </is>
      </c>
      <c r="C776" s="13" t="inlineStr">
        <is>
          <t>999239</t>
        </is>
      </c>
      <c r="D776"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76" s="14" t="inlineStr">
        <is>
          <t>MUNICIPAL ADMINISTRATION DEPARTMENT-Amaravati Growth &amp; Infrastructure Corporation Limited Amaravati</t>
        </is>
      </c>
      <c r="F776" s="13" t="inlineStr">
        <is>
          <t>25 Jul 2026</t>
        </is>
      </c>
      <c r="G776" s="12" t="inlineStr">
        <is>
          <t>18 Aug 2026</t>
        </is>
      </c>
      <c r="H776" s="8" t="inlineStr">
        <is>
          <t>⏳ UPCOMING</t>
        </is>
      </c>
      <c r="I776" s="11" t="inlineStr">
        <is>
          <t>Assembly Spire Work bid document 02-10-2026.pdf</t>
        </is>
      </c>
      <c r="J776" s="13" t="inlineStr">
        <is>
          <t>📕 PDF Document</t>
        </is>
      </c>
      <c r="K776" s="15" t="n">
        <v>3009.5</v>
      </c>
      <c r="L776" s="16">
        <f>HYPERLINK("http://127.0.0.1:8000/api/documents/download?id=2356&amp;attachment=true", "⬇ Download Assembly Spire Work bid ")</f>
        <v/>
      </c>
      <c r="M776" s="16">
        <f>HYPERLINK("http://localhost:5173/?state=Andhra%20Pradesh&amp;keyword=Design&amp;tender=999239", "🚀 Open in Portal")</f>
        <v/>
      </c>
    </row>
    <row r="777" ht="24" customHeight="1">
      <c r="A777" s="4" t="inlineStr">
        <is>
          <t>Andhra Pradesh</t>
        </is>
      </c>
      <c r="B777" s="5" t="inlineStr">
        <is>
          <t>Design</t>
        </is>
      </c>
      <c r="C777" s="6" t="inlineStr">
        <is>
          <t>999239</t>
        </is>
      </c>
      <c r="D777"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77" s="7" t="inlineStr">
        <is>
          <t>MUNICIPAL ADMINISTRATION DEPARTMENT-Amaravati Growth &amp; Infrastructure Corporation Limited Amaravati</t>
        </is>
      </c>
      <c r="F777" s="6" t="inlineStr">
        <is>
          <t>25 Jul 2026</t>
        </is>
      </c>
      <c r="G777" s="5" t="inlineStr">
        <is>
          <t>18 Aug 2026</t>
        </is>
      </c>
      <c r="H777" s="8" t="inlineStr">
        <is>
          <t>⏳ UPCOMING</t>
        </is>
      </c>
      <c r="I777" s="4" t="inlineStr">
        <is>
          <t>171020-LA-201 171020-LA-201-5.pdf</t>
        </is>
      </c>
      <c r="J777" s="6" t="inlineStr">
        <is>
          <t>📕 PDF Document</t>
        </is>
      </c>
      <c r="K777" s="9" t="n">
        <v>959.7</v>
      </c>
      <c r="L777" s="10">
        <f>HYPERLINK("http://127.0.0.1:8000/api/documents/download?id=2357&amp;attachment=true", "⬇ Download 171020-LA-201 171020-LA-")</f>
        <v/>
      </c>
      <c r="M777" s="10">
        <f>HYPERLINK("http://localhost:5173/?state=Andhra%20Pradesh&amp;keyword=Design&amp;tender=999239", "🚀 Open in Portal")</f>
        <v/>
      </c>
    </row>
    <row r="778" ht="24" customHeight="1">
      <c r="A778" s="11" t="inlineStr">
        <is>
          <t>Andhra Pradesh</t>
        </is>
      </c>
      <c r="B778" s="12" t="inlineStr">
        <is>
          <t>Design</t>
        </is>
      </c>
      <c r="C778" s="13" t="inlineStr">
        <is>
          <t>999239</t>
        </is>
      </c>
      <c r="D778"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78" s="14" t="inlineStr">
        <is>
          <t>MUNICIPAL ADMINISTRATION DEPARTMENT-Amaravati Growth &amp; Infrastructure Corporation Limited Amaravati</t>
        </is>
      </c>
      <c r="F778" s="13" t="inlineStr">
        <is>
          <t>25 Jul 2026</t>
        </is>
      </c>
      <c r="G778" s="12" t="inlineStr">
        <is>
          <t>18 Aug 2026</t>
        </is>
      </c>
      <c r="H778" s="8" t="inlineStr">
        <is>
          <t>⏳ UPCOMING</t>
        </is>
      </c>
      <c r="I778" s="11" t="inlineStr">
        <is>
          <t>171020-LA-311 171020-LA-311-5.pdf</t>
        </is>
      </c>
      <c r="J778" s="13" t="inlineStr">
        <is>
          <t>📕 PDF Document</t>
        </is>
      </c>
      <c r="K778" s="15" t="n">
        <v>983.4</v>
      </c>
      <c r="L778" s="16">
        <f>HYPERLINK("http://127.0.0.1:8000/api/documents/download?id=2358&amp;attachment=true", "⬇ Download 171020-LA-311 171020-LA-")</f>
        <v/>
      </c>
      <c r="M778" s="16">
        <f>HYPERLINK("http://localhost:5173/?state=Andhra%20Pradesh&amp;keyword=Design&amp;tender=999239", "🚀 Open in Portal")</f>
        <v/>
      </c>
    </row>
    <row r="779" ht="24" customHeight="1">
      <c r="A779" s="4" t="inlineStr">
        <is>
          <t>Andhra Pradesh</t>
        </is>
      </c>
      <c r="B779" s="5" t="inlineStr">
        <is>
          <t>Design</t>
        </is>
      </c>
      <c r="C779" s="6" t="inlineStr">
        <is>
          <t>999239</t>
        </is>
      </c>
      <c r="D779"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79" s="7" t="inlineStr">
        <is>
          <t>MUNICIPAL ADMINISTRATION DEPARTMENT-Amaravati Growth &amp; Infrastructure Corporation Limited Amaravati</t>
        </is>
      </c>
      <c r="F779" s="6" t="inlineStr">
        <is>
          <t>25 Jul 2026</t>
        </is>
      </c>
      <c r="G779" s="5" t="inlineStr">
        <is>
          <t>18 Aug 2026</t>
        </is>
      </c>
      <c r="H779" s="8" t="inlineStr">
        <is>
          <t>⏳ UPCOMING</t>
        </is>
      </c>
      <c r="I779" s="4" t="inlineStr">
        <is>
          <t>171020-LA-321 171020-LA-321-5.pdf</t>
        </is>
      </c>
      <c r="J779" s="6" t="inlineStr">
        <is>
          <t>📕 PDF Document</t>
        </is>
      </c>
      <c r="K779" s="9" t="n">
        <v>905.9</v>
      </c>
      <c r="L779" s="10">
        <f>HYPERLINK("http://127.0.0.1:8000/api/documents/download?id=2359&amp;attachment=true", "⬇ Download 171020-LA-321 171020-LA-")</f>
        <v/>
      </c>
      <c r="M779" s="10">
        <f>HYPERLINK("http://localhost:5173/?state=Andhra%20Pradesh&amp;keyword=Design&amp;tender=999239", "🚀 Open in Portal")</f>
        <v/>
      </c>
    </row>
    <row r="780" ht="24" customHeight="1">
      <c r="A780" s="11" t="inlineStr">
        <is>
          <t>Andhra Pradesh</t>
        </is>
      </c>
      <c r="B780" s="12" t="inlineStr">
        <is>
          <t>Design</t>
        </is>
      </c>
      <c r="C780" s="13" t="inlineStr">
        <is>
          <t>999239</t>
        </is>
      </c>
      <c r="D780"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80" s="14" t="inlineStr">
        <is>
          <t>MUNICIPAL ADMINISTRATION DEPARTMENT-Amaravati Growth &amp; Infrastructure Corporation Limited Amaravati</t>
        </is>
      </c>
      <c r="F780" s="13" t="inlineStr">
        <is>
          <t>25 Jul 2026</t>
        </is>
      </c>
      <c r="G780" s="12" t="inlineStr">
        <is>
          <t>18 Aug 2026</t>
        </is>
      </c>
      <c r="H780" s="8" t="inlineStr">
        <is>
          <t>⏳ UPCOMING</t>
        </is>
      </c>
      <c r="I780" s="11" t="inlineStr">
        <is>
          <t>171020-LA-331 171020-LA-331-5.pdf</t>
        </is>
      </c>
      <c r="J780" s="13" t="inlineStr">
        <is>
          <t>📕 PDF Document</t>
        </is>
      </c>
      <c r="K780" s="15" t="n">
        <v>926.8</v>
      </c>
      <c r="L780" s="16">
        <f>HYPERLINK("http://127.0.0.1:8000/api/documents/download?id=2360&amp;attachment=true", "⬇ Download 171020-LA-331 171020-LA-")</f>
        <v/>
      </c>
      <c r="M780" s="16">
        <f>HYPERLINK("http://localhost:5173/?state=Andhra%20Pradesh&amp;keyword=Design&amp;tender=999239", "🚀 Open in Portal")</f>
        <v/>
      </c>
    </row>
    <row r="781" ht="24" customHeight="1">
      <c r="A781" s="4" t="inlineStr">
        <is>
          <t>Andhra Pradesh</t>
        </is>
      </c>
      <c r="B781" s="5" t="inlineStr">
        <is>
          <t>Design</t>
        </is>
      </c>
      <c r="C781" s="6" t="inlineStr">
        <is>
          <t>999239</t>
        </is>
      </c>
      <c r="D781"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81" s="7" t="inlineStr">
        <is>
          <t>MUNICIPAL ADMINISTRATION DEPARTMENT-Amaravati Growth &amp; Infrastructure Corporation Limited Amaravati</t>
        </is>
      </c>
      <c r="F781" s="6" t="inlineStr">
        <is>
          <t>25 Jul 2026</t>
        </is>
      </c>
      <c r="G781" s="5" t="inlineStr">
        <is>
          <t>18 Aug 2026</t>
        </is>
      </c>
      <c r="H781" s="8" t="inlineStr">
        <is>
          <t>⏳ UPCOMING</t>
        </is>
      </c>
      <c r="I781" s="4" t="inlineStr">
        <is>
          <t>171020-LA-411-171020-LA-411-6.pdf</t>
        </is>
      </c>
      <c r="J781" s="6" t="inlineStr">
        <is>
          <t>📕 PDF Document</t>
        </is>
      </c>
      <c r="K781" s="9" t="n">
        <v>981.6</v>
      </c>
      <c r="L781" s="10">
        <f>HYPERLINK("http://127.0.0.1:8000/api/documents/download?id=2361&amp;attachment=true", "⬇ Download 171020-LA-411-171020-LA-")</f>
        <v/>
      </c>
      <c r="M781" s="10">
        <f>HYPERLINK("http://localhost:5173/?state=Andhra%20Pradesh&amp;keyword=Design&amp;tender=999239", "🚀 Open in Portal")</f>
        <v/>
      </c>
    </row>
    <row r="782" ht="24" customHeight="1">
      <c r="A782" s="11" t="inlineStr">
        <is>
          <t>Andhra Pradesh</t>
        </is>
      </c>
      <c r="B782" s="12" t="inlineStr">
        <is>
          <t>Design</t>
        </is>
      </c>
      <c r="C782" s="13" t="inlineStr">
        <is>
          <t>999239</t>
        </is>
      </c>
      <c r="D782"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82" s="14" t="inlineStr">
        <is>
          <t>MUNICIPAL ADMINISTRATION DEPARTMENT-Amaravati Growth &amp; Infrastructure Corporation Limited Amaravati</t>
        </is>
      </c>
      <c r="F782" s="13" t="inlineStr">
        <is>
          <t>25 Jul 2026</t>
        </is>
      </c>
      <c r="G782" s="12" t="inlineStr">
        <is>
          <t>18 Aug 2026</t>
        </is>
      </c>
      <c r="H782" s="8" t="inlineStr">
        <is>
          <t>⏳ UPCOMING</t>
        </is>
      </c>
      <c r="I782" s="11" t="inlineStr">
        <is>
          <t>171020-LA-431 171020-LA-431-1.pdf</t>
        </is>
      </c>
      <c r="J782" s="13" t="inlineStr">
        <is>
          <t>📕 PDF Document</t>
        </is>
      </c>
      <c r="K782" s="15" t="n">
        <v>961.4</v>
      </c>
      <c r="L782" s="16">
        <f>HYPERLINK("http://127.0.0.1:8000/api/documents/download?id=2362&amp;attachment=true", "⬇ Download 171020-LA-431 171020-LA-")</f>
        <v/>
      </c>
      <c r="M782" s="16">
        <f>HYPERLINK("http://localhost:5173/?state=Andhra%20Pradesh&amp;keyword=Design&amp;tender=999239", "🚀 Open in Portal")</f>
        <v/>
      </c>
    </row>
    <row r="783" ht="24" customHeight="1">
      <c r="A783" s="4" t="inlineStr">
        <is>
          <t>Andhra Pradesh</t>
        </is>
      </c>
      <c r="B783" s="5" t="inlineStr">
        <is>
          <t>Design</t>
        </is>
      </c>
      <c r="C783" s="6" t="inlineStr">
        <is>
          <t>999239</t>
        </is>
      </c>
      <c r="D783"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83" s="7" t="inlineStr">
        <is>
          <t>MUNICIPAL ADMINISTRATION DEPARTMENT-Amaravati Growth &amp; Infrastructure Corporation Limited Amaravati</t>
        </is>
      </c>
      <c r="F783" s="6" t="inlineStr">
        <is>
          <t>25 Jul 2026</t>
        </is>
      </c>
      <c r="G783" s="5" t="inlineStr">
        <is>
          <t>18 Aug 2026</t>
        </is>
      </c>
      <c r="H783" s="8" t="inlineStr">
        <is>
          <t>⏳ UPCOMING</t>
        </is>
      </c>
      <c r="I783" s="4" t="inlineStr">
        <is>
          <t>171020-LA-431 171020-LA-431-2.pdf</t>
        </is>
      </c>
      <c r="J783" s="6" t="inlineStr">
        <is>
          <t>📕 PDF Document</t>
        </is>
      </c>
      <c r="K783" s="9" t="n">
        <v>960.2</v>
      </c>
      <c r="L783" s="10">
        <f>HYPERLINK("http://127.0.0.1:8000/api/documents/download?id=2363&amp;attachment=true", "⬇ Download 171020-LA-431 171020-LA-")</f>
        <v/>
      </c>
      <c r="M783" s="10">
        <f>HYPERLINK("http://localhost:5173/?state=Andhra%20Pradesh&amp;keyword=Design&amp;tender=999239", "🚀 Open in Portal")</f>
        <v/>
      </c>
    </row>
    <row r="784" ht="24" customHeight="1">
      <c r="A784" s="11" t="inlineStr">
        <is>
          <t>Andhra Pradesh</t>
        </is>
      </c>
      <c r="B784" s="12" t="inlineStr">
        <is>
          <t>Design</t>
        </is>
      </c>
      <c r="C784" s="13" t="inlineStr">
        <is>
          <t>999239</t>
        </is>
      </c>
      <c r="D784"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84" s="14" t="inlineStr">
        <is>
          <t>MUNICIPAL ADMINISTRATION DEPARTMENT-Amaravati Growth &amp; Infrastructure Corporation Limited Amaravati</t>
        </is>
      </c>
      <c r="F784" s="13" t="inlineStr">
        <is>
          <t>25 Jul 2026</t>
        </is>
      </c>
      <c r="G784" s="12" t="inlineStr">
        <is>
          <t>18 Aug 2026</t>
        </is>
      </c>
      <c r="H784" s="8" t="inlineStr">
        <is>
          <t>⏳ UPCOMING</t>
        </is>
      </c>
      <c r="I784" s="11" t="inlineStr">
        <is>
          <t>171020-LA-431 171020-LA-431-3.pdf</t>
        </is>
      </c>
      <c r="J784" s="13" t="inlineStr">
        <is>
          <t>📕 PDF Document</t>
        </is>
      </c>
      <c r="K784" s="15" t="n">
        <v>910.8</v>
      </c>
      <c r="L784" s="16">
        <f>HYPERLINK("http://127.0.0.1:8000/api/documents/download?id=2364&amp;attachment=true", "⬇ Download 171020-LA-431 171020-LA-")</f>
        <v/>
      </c>
      <c r="M784" s="16">
        <f>HYPERLINK("http://localhost:5173/?state=Andhra%20Pradesh&amp;keyword=Design&amp;tender=999239", "🚀 Open in Portal")</f>
        <v/>
      </c>
    </row>
    <row r="785" ht="24" customHeight="1">
      <c r="A785" s="4" t="inlineStr">
        <is>
          <t>Andhra Pradesh</t>
        </is>
      </c>
      <c r="B785" s="5" t="inlineStr">
        <is>
          <t>Design</t>
        </is>
      </c>
      <c r="C785" s="6" t="inlineStr">
        <is>
          <t>999239</t>
        </is>
      </c>
      <c r="D785"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85" s="7" t="inlineStr">
        <is>
          <t>MUNICIPAL ADMINISTRATION DEPARTMENT-Amaravati Growth &amp; Infrastructure Corporation Limited Amaravati</t>
        </is>
      </c>
      <c r="F785" s="6" t="inlineStr">
        <is>
          <t>25 Jul 2026</t>
        </is>
      </c>
      <c r="G785" s="5" t="inlineStr">
        <is>
          <t>18 Aug 2026</t>
        </is>
      </c>
      <c r="H785" s="8" t="inlineStr">
        <is>
          <t>⏳ UPCOMING</t>
        </is>
      </c>
      <c r="I785" s="4" t="inlineStr">
        <is>
          <t>171020-LA-431 171020-LA-431-4.pdf</t>
        </is>
      </c>
      <c r="J785" s="6" t="inlineStr">
        <is>
          <t>📕 PDF Document</t>
        </is>
      </c>
      <c r="K785" s="9" t="n">
        <v>931.7</v>
      </c>
      <c r="L785" s="10">
        <f>HYPERLINK("http://127.0.0.1:8000/api/documents/download?id=2365&amp;attachment=true", "⬇ Download 171020-LA-431 171020-LA-")</f>
        <v/>
      </c>
      <c r="M785" s="10">
        <f>HYPERLINK("http://localhost:5173/?state=Andhra%20Pradesh&amp;keyword=Design&amp;tender=999239", "🚀 Open in Portal")</f>
        <v/>
      </c>
    </row>
    <row r="786" ht="24" customHeight="1">
      <c r="A786" s="11" t="inlineStr">
        <is>
          <t>Andhra Pradesh</t>
        </is>
      </c>
      <c r="B786" s="12" t="inlineStr">
        <is>
          <t>Design</t>
        </is>
      </c>
      <c r="C786" s="13" t="inlineStr">
        <is>
          <t>999239</t>
        </is>
      </c>
      <c r="D786"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86" s="14" t="inlineStr">
        <is>
          <t>MUNICIPAL ADMINISTRATION DEPARTMENT-Amaravati Growth &amp; Infrastructure Corporation Limited Amaravati</t>
        </is>
      </c>
      <c r="F786" s="13" t="inlineStr">
        <is>
          <t>25 Jul 2026</t>
        </is>
      </c>
      <c r="G786" s="12" t="inlineStr">
        <is>
          <t>18 Aug 2026</t>
        </is>
      </c>
      <c r="H786" s="8" t="inlineStr">
        <is>
          <t>⏳ UPCOMING</t>
        </is>
      </c>
      <c r="I786" s="11" t="inlineStr">
        <is>
          <t>171020-LA-431 171020-LA-431-5.pdf</t>
        </is>
      </c>
      <c r="J786" s="13" t="inlineStr">
        <is>
          <t>📕 PDF Document</t>
        </is>
      </c>
      <c r="K786" s="15" t="n">
        <v>880.8</v>
      </c>
      <c r="L786" s="16">
        <f>HYPERLINK("http://127.0.0.1:8000/api/documents/download?id=2366&amp;attachment=true", "⬇ Download 171020-LA-431 171020-LA-")</f>
        <v/>
      </c>
      <c r="M786" s="16">
        <f>HYPERLINK("http://localhost:5173/?state=Andhra%20Pradesh&amp;keyword=Design&amp;tender=999239", "🚀 Open in Portal")</f>
        <v/>
      </c>
    </row>
    <row r="787" ht="24" customHeight="1">
      <c r="A787" s="4" t="inlineStr">
        <is>
          <t>Andhra Pradesh</t>
        </is>
      </c>
      <c r="B787" s="5" t="inlineStr">
        <is>
          <t>Design</t>
        </is>
      </c>
      <c r="C787" s="6" t="inlineStr">
        <is>
          <t>999239</t>
        </is>
      </c>
      <c r="D787"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87" s="7" t="inlineStr">
        <is>
          <t>MUNICIPAL ADMINISTRATION DEPARTMENT-Amaravati Growth &amp; Infrastructure Corporation Limited Amaravati</t>
        </is>
      </c>
      <c r="F787" s="6" t="inlineStr">
        <is>
          <t>25 Jul 2026</t>
        </is>
      </c>
      <c r="G787" s="5" t="inlineStr">
        <is>
          <t>18 Aug 2026</t>
        </is>
      </c>
      <c r="H787" s="8" t="inlineStr">
        <is>
          <t>⏳ UPCOMING</t>
        </is>
      </c>
      <c r="I787" s="4" t="inlineStr">
        <is>
          <t>171020-LA-431 171020-LA-431-6.pdf</t>
        </is>
      </c>
      <c r="J787" s="6" t="inlineStr">
        <is>
          <t>📕 PDF Document</t>
        </is>
      </c>
      <c r="K787" s="9" t="n">
        <v>878.9</v>
      </c>
      <c r="L787" s="10">
        <f>HYPERLINK("http://127.0.0.1:8000/api/documents/download?id=2367&amp;attachment=true", "⬇ Download 171020-LA-431 171020-LA-")</f>
        <v/>
      </c>
      <c r="M787" s="10">
        <f>HYPERLINK("http://localhost:5173/?state=Andhra%20Pradesh&amp;keyword=Design&amp;tender=999239", "🚀 Open in Portal")</f>
        <v/>
      </c>
    </row>
    <row r="788" ht="24" customHeight="1">
      <c r="A788" s="11" t="inlineStr">
        <is>
          <t>Andhra Pradesh</t>
        </is>
      </c>
      <c r="B788" s="12" t="inlineStr">
        <is>
          <t>Design</t>
        </is>
      </c>
      <c r="C788" s="13" t="inlineStr">
        <is>
          <t>999239</t>
        </is>
      </c>
      <c r="D788"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88" s="14" t="inlineStr">
        <is>
          <t>MUNICIPAL ADMINISTRATION DEPARTMENT-Amaravati Growth &amp; Infrastructure Corporation Limited Amaravati</t>
        </is>
      </c>
      <c r="F788" s="13" t="inlineStr">
        <is>
          <t>25 Jul 2026</t>
        </is>
      </c>
      <c r="G788" s="12" t="inlineStr">
        <is>
          <t>18 Aug 2026</t>
        </is>
      </c>
      <c r="H788" s="8" t="inlineStr">
        <is>
          <t>⏳ UPCOMING</t>
        </is>
      </c>
      <c r="I788" s="11" t="inlineStr">
        <is>
          <t>171020-LA-431 171020-LA-431-7.pdf</t>
        </is>
      </c>
      <c r="J788" s="13" t="inlineStr">
        <is>
          <t>📕 PDF Document</t>
        </is>
      </c>
      <c r="K788" s="15" t="n">
        <v>875.3</v>
      </c>
      <c r="L788" s="16">
        <f>HYPERLINK("http://127.0.0.1:8000/api/documents/download?id=2368&amp;attachment=true", "⬇ Download 171020-LA-431 171020-LA-")</f>
        <v/>
      </c>
      <c r="M788" s="16">
        <f>HYPERLINK("http://localhost:5173/?state=Andhra%20Pradesh&amp;keyword=Design&amp;tender=999239", "🚀 Open in Portal")</f>
        <v/>
      </c>
    </row>
    <row r="789" ht="24" customHeight="1">
      <c r="A789" s="4" t="inlineStr">
        <is>
          <t>Andhra Pradesh</t>
        </is>
      </c>
      <c r="B789" s="5" t="inlineStr">
        <is>
          <t>Design</t>
        </is>
      </c>
      <c r="C789" s="6" t="inlineStr">
        <is>
          <t>999239</t>
        </is>
      </c>
      <c r="D789"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89" s="7" t="inlineStr">
        <is>
          <t>MUNICIPAL ADMINISTRATION DEPARTMENT-Amaravati Growth &amp; Infrastructure Corporation Limited Amaravati</t>
        </is>
      </c>
      <c r="F789" s="6" t="inlineStr">
        <is>
          <t>25 Jul 2026</t>
        </is>
      </c>
      <c r="G789" s="5" t="inlineStr">
        <is>
          <t>18 Aug 2026</t>
        </is>
      </c>
      <c r="H789" s="8" t="inlineStr">
        <is>
          <t>⏳ UPCOMING</t>
        </is>
      </c>
      <c r="I789" s="4" t="inlineStr">
        <is>
          <t>171020-LA-431 171020-LA-431.pdf</t>
        </is>
      </c>
      <c r="J789" s="6" t="inlineStr">
        <is>
          <t>📕 PDF Document</t>
        </is>
      </c>
      <c r="K789" s="9" t="n">
        <v>921.9</v>
      </c>
      <c r="L789" s="10">
        <f>HYPERLINK("http://127.0.0.1:8000/api/documents/download?id=2369&amp;attachment=true", "⬇ Download 171020-LA-431 171020-LA-")</f>
        <v/>
      </c>
      <c r="M789" s="10">
        <f>HYPERLINK("http://localhost:5173/?state=Andhra%20Pradesh&amp;keyword=Design&amp;tender=999239", "🚀 Open in Portal")</f>
        <v/>
      </c>
    </row>
    <row r="790" ht="24" customHeight="1">
      <c r="A790" s="11" t="inlineStr">
        <is>
          <t>Andhra Pradesh</t>
        </is>
      </c>
      <c r="B790" s="12" t="inlineStr">
        <is>
          <t>Design</t>
        </is>
      </c>
      <c r="C790" s="13" t="inlineStr">
        <is>
          <t>999239</t>
        </is>
      </c>
      <c r="D790"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90" s="14" t="inlineStr">
        <is>
          <t>MUNICIPAL ADMINISTRATION DEPARTMENT-Amaravati Growth &amp; Infrastructure Corporation Limited Amaravati</t>
        </is>
      </c>
      <c r="F790" s="13" t="inlineStr">
        <is>
          <t>25 Jul 2026</t>
        </is>
      </c>
      <c r="G790" s="12" t="inlineStr">
        <is>
          <t>18 Aug 2026</t>
        </is>
      </c>
      <c r="H790" s="8" t="inlineStr">
        <is>
          <t>⏳ UPCOMING</t>
        </is>
      </c>
      <c r="I790" s="11" t="inlineStr">
        <is>
          <t>3755-FSP-LA-ZZZ-DR-A-210000.pdf</t>
        </is>
      </c>
      <c r="J790" s="13" t="inlineStr">
        <is>
          <t>📕 PDF Document</t>
        </is>
      </c>
      <c r="K790" s="15" t="n">
        <v>25229.8</v>
      </c>
      <c r="L790" s="16">
        <f>HYPERLINK("http://127.0.0.1:8000/api/documents/download?id=2371&amp;attachment=true", "⬇ Download 3755-FSP-LA-ZZZ-DR-A-210")</f>
        <v/>
      </c>
      <c r="M790" s="16">
        <f>HYPERLINK("http://localhost:5173/?state=Andhra%20Pradesh&amp;keyword=Design&amp;tender=999239", "🚀 Open in Portal")</f>
        <v/>
      </c>
    </row>
    <row r="791" ht="24" customHeight="1">
      <c r="A791" s="4" t="inlineStr">
        <is>
          <t>Andhra Pradesh</t>
        </is>
      </c>
      <c r="B791" s="5" t="inlineStr">
        <is>
          <t>Design</t>
        </is>
      </c>
      <c r="C791" s="6" t="inlineStr">
        <is>
          <t>999239</t>
        </is>
      </c>
      <c r="D791"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91" s="7" t="inlineStr">
        <is>
          <t>MUNICIPAL ADMINISTRATION DEPARTMENT-Amaravati Growth &amp; Infrastructure Corporation Limited Amaravati</t>
        </is>
      </c>
      <c r="F791" s="6" t="inlineStr">
        <is>
          <t>25 Jul 2026</t>
        </is>
      </c>
      <c r="G791" s="5" t="inlineStr">
        <is>
          <t>18 Aug 2026</t>
        </is>
      </c>
      <c r="H791" s="8" t="inlineStr">
        <is>
          <t>⏳ UPCOMING</t>
        </is>
      </c>
      <c r="I791" s="4" t="inlineStr">
        <is>
          <t>171020-LA-621-(NE &amp; SW) - SKYLIGHT 171020-LA-NE-621-1.pdf</t>
        </is>
      </c>
      <c r="J791" s="6" t="inlineStr">
        <is>
          <t>📕 PDF Document</t>
        </is>
      </c>
      <c r="K791" s="9" t="n">
        <v>1984.1</v>
      </c>
      <c r="L791" s="10">
        <f>HYPERLINK("http://127.0.0.1:8000/api/documents/download?id=2373&amp;attachment=true", "⬇ Download 171020-LA-621-(NE &amp; SW) ")</f>
        <v/>
      </c>
      <c r="M791" s="10">
        <f>HYPERLINK("http://localhost:5173/?state=Andhra%20Pradesh&amp;keyword=Design&amp;tender=999239", "🚀 Open in Portal")</f>
        <v/>
      </c>
    </row>
    <row r="792" ht="24" customHeight="1">
      <c r="A792" s="11" t="inlineStr">
        <is>
          <t>Andhra Pradesh</t>
        </is>
      </c>
      <c r="B792" s="12" t="inlineStr">
        <is>
          <t>Design</t>
        </is>
      </c>
      <c r="C792" s="13" t="inlineStr">
        <is>
          <t>999239</t>
        </is>
      </c>
      <c r="D792"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92" s="14" t="inlineStr">
        <is>
          <t>MUNICIPAL ADMINISTRATION DEPARTMENT-Amaravati Growth &amp; Infrastructure Corporation Limited Amaravati</t>
        </is>
      </c>
      <c r="F792" s="13" t="inlineStr">
        <is>
          <t>25 Jul 2026</t>
        </is>
      </c>
      <c r="G792" s="12" t="inlineStr">
        <is>
          <t>18 Aug 2026</t>
        </is>
      </c>
      <c r="H792" s="8" t="inlineStr">
        <is>
          <t>⏳ UPCOMING</t>
        </is>
      </c>
      <c r="I792" s="11" t="inlineStr">
        <is>
          <t>171020-LA-621-(NE &amp; SW) - SKYLIGHT 171020-LA-NE-621-2.pdf</t>
        </is>
      </c>
      <c r="J792" s="13" t="inlineStr">
        <is>
          <t>📕 PDF Document</t>
        </is>
      </c>
      <c r="K792" s="15" t="n">
        <v>917.3</v>
      </c>
      <c r="L792" s="16">
        <f>HYPERLINK("http://127.0.0.1:8000/api/documents/download?id=2374&amp;attachment=true", "⬇ Download 171020-LA-621-(NE &amp; SW) ")</f>
        <v/>
      </c>
      <c r="M792" s="16">
        <f>HYPERLINK("http://localhost:5173/?state=Andhra%20Pradesh&amp;keyword=Design&amp;tender=999239", "🚀 Open in Portal")</f>
        <v/>
      </c>
    </row>
    <row r="793" ht="24" customHeight="1">
      <c r="A793" s="4" t="inlineStr">
        <is>
          <t>Andhra Pradesh</t>
        </is>
      </c>
      <c r="B793" s="5" t="inlineStr">
        <is>
          <t>Design</t>
        </is>
      </c>
      <c r="C793" s="6" t="inlineStr">
        <is>
          <t>999239</t>
        </is>
      </c>
      <c r="D793"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93" s="7" t="inlineStr">
        <is>
          <t>MUNICIPAL ADMINISTRATION DEPARTMENT-Amaravati Growth &amp; Infrastructure Corporation Limited Amaravati</t>
        </is>
      </c>
      <c r="F793" s="6" t="inlineStr">
        <is>
          <t>25 Jul 2026</t>
        </is>
      </c>
      <c r="G793" s="5" t="inlineStr">
        <is>
          <t>18 Aug 2026</t>
        </is>
      </c>
      <c r="H793" s="8" t="inlineStr">
        <is>
          <t>⏳ UPCOMING</t>
        </is>
      </c>
      <c r="I793" s="4" t="inlineStr">
        <is>
          <t>171020-LA-621-(NE &amp; SW) - SKYLIGHT 171020-LA-NE-621-3.pdf</t>
        </is>
      </c>
      <c r="J793" s="6" t="inlineStr">
        <is>
          <t>📕 PDF Document</t>
        </is>
      </c>
      <c r="K793" s="9" t="n">
        <v>999.3</v>
      </c>
      <c r="L793" s="10">
        <f>HYPERLINK("http://127.0.0.1:8000/api/documents/download?id=2375&amp;attachment=true", "⬇ Download 171020-LA-621-(NE &amp; SW) ")</f>
        <v/>
      </c>
      <c r="M793" s="10">
        <f>HYPERLINK("http://localhost:5173/?state=Andhra%20Pradesh&amp;keyword=Design&amp;tender=999239", "🚀 Open in Portal")</f>
        <v/>
      </c>
    </row>
    <row r="794" ht="24" customHeight="1">
      <c r="A794" s="11" t="inlineStr">
        <is>
          <t>Andhra Pradesh</t>
        </is>
      </c>
      <c r="B794" s="12" t="inlineStr">
        <is>
          <t>Design</t>
        </is>
      </c>
      <c r="C794" s="13" t="inlineStr">
        <is>
          <t>999239</t>
        </is>
      </c>
      <c r="D794"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94" s="14" t="inlineStr">
        <is>
          <t>MUNICIPAL ADMINISTRATION DEPARTMENT-Amaravati Growth &amp; Infrastructure Corporation Limited Amaravati</t>
        </is>
      </c>
      <c r="F794" s="13" t="inlineStr">
        <is>
          <t>25 Jul 2026</t>
        </is>
      </c>
      <c r="G794" s="12" t="inlineStr">
        <is>
          <t>18 Aug 2026</t>
        </is>
      </c>
      <c r="H794" s="8" t="inlineStr">
        <is>
          <t>⏳ UPCOMING</t>
        </is>
      </c>
      <c r="I794" s="11" t="inlineStr">
        <is>
          <t>171020-LA-621-(NE &amp; SW) - SKYLIGHT 171020-LA-SW-621.pdf</t>
        </is>
      </c>
      <c r="J794" s="13" t="inlineStr">
        <is>
          <t>📕 PDF Document</t>
        </is>
      </c>
      <c r="K794" s="15" t="n">
        <v>2058.4</v>
      </c>
      <c r="L794" s="16">
        <f>HYPERLINK("http://127.0.0.1:8000/api/documents/download?id=2376&amp;attachment=true", "⬇ Download 171020-LA-621-(NE &amp; SW) ")</f>
        <v/>
      </c>
      <c r="M794" s="16">
        <f>HYPERLINK("http://localhost:5173/?state=Andhra%20Pradesh&amp;keyword=Design&amp;tender=999239", "🚀 Open in Portal")</f>
        <v/>
      </c>
    </row>
    <row r="795" ht="24" customHeight="1">
      <c r="A795" s="4" t="inlineStr">
        <is>
          <t>Andhra Pradesh</t>
        </is>
      </c>
      <c r="B795" s="5" t="inlineStr">
        <is>
          <t>Design</t>
        </is>
      </c>
      <c r="C795" s="6" t="inlineStr">
        <is>
          <t>999239</t>
        </is>
      </c>
      <c r="D795"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95" s="7" t="inlineStr">
        <is>
          <t>MUNICIPAL ADMINISTRATION DEPARTMENT-Amaravati Growth &amp; Infrastructure Corporation Limited Amaravati</t>
        </is>
      </c>
      <c r="F795" s="6" t="inlineStr">
        <is>
          <t>25 Jul 2026</t>
        </is>
      </c>
      <c r="G795" s="5" t="inlineStr">
        <is>
          <t>18 Aug 2026</t>
        </is>
      </c>
      <c r="H795" s="8" t="inlineStr">
        <is>
          <t>⏳ UPCOMING</t>
        </is>
      </c>
      <c r="I795" s="4" t="inlineStr">
        <is>
          <t>171020-LA-INCLINED LIFT 171020-LA-INCL-611-1.pdf</t>
        </is>
      </c>
      <c r="J795" s="6" t="inlineStr">
        <is>
          <t>📕 PDF Document</t>
        </is>
      </c>
      <c r="K795" s="9" t="n">
        <v>597.1</v>
      </c>
      <c r="L795" s="10">
        <f>HYPERLINK("http://127.0.0.1:8000/api/documents/download?id=2377&amp;attachment=true", "⬇ Download 171020-LA-INCLINED LIFT ")</f>
        <v/>
      </c>
      <c r="M795" s="10">
        <f>HYPERLINK("http://localhost:5173/?state=Andhra%20Pradesh&amp;keyword=Design&amp;tender=999239", "🚀 Open in Portal")</f>
        <v/>
      </c>
    </row>
    <row r="796" ht="24" customHeight="1">
      <c r="A796" s="11" t="inlineStr">
        <is>
          <t>Andhra Pradesh</t>
        </is>
      </c>
      <c r="B796" s="12" t="inlineStr">
        <is>
          <t>Design</t>
        </is>
      </c>
      <c r="C796" s="13" t="inlineStr">
        <is>
          <t>999239</t>
        </is>
      </c>
      <c r="D796"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96" s="14" t="inlineStr">
        <is>
          <t>MUNICIPAL ADMINISTRATION DEPARTMENT-Amaravati Growth &amp; Infrastructure Corporation Limited Amaravati</t>
        </is>
      </c>
      <c r="F796" s="13" t="inlineStr">
        <is>
          <t>25 Jul 2026</t>
        </is>
      </c>
      <c r="G796" s="12" t="inlineStr">
        <is>
          <t>18 Aug 2026</t>
        </is>
      </c>
      <c r="H796" s="8" t="inlineStr">
        <is>
          <t>⏳ UPCOMING</t>
        </is>
      </c>
      <c r="I796" s="11" t="inlineStr">
        <is>
          <t>171020-LA-INCLINED LIFT 171020-LA-INCL-611.pdf</t>
        </is>
      </c>
      <c r="J796" s="13" t="inlineStr">
        <is>
          <t>📕 PDF Document</t>
        </is>
      </c>
      <c r="K796" s="15" t="n">
        <v>367</v>
      </c>
      <c r="L796" s="16">
        <f>HYPERLINK("http://127.0.0.1:8000/api/documents/download?id=2378&amp;attachment=true", "⬇ Download 171020-LA-INCLINED LIFT ")</f>
        <v/>
      </c>
      <c r="M796" s="16">
        <f>HYPERLINK("http://localhost:5173/?state=Andhra%20Pradesh&amp;keyword=Design&amp;tender=999239", "🚀 Open in Portal")</f>
        <v/>
      </c>
    </row>
    <row r="797" ht="24" customHeight="1">
      <c r="A797" s="4" t="inlineStr">
        <is>
          <t>Andhra Pradesh</t>
        </is>
      </c>
      <c r="B797" s="5" t="inlineStr">
        <is>
          <t>Design</t>
        </is>
      </c>
      <c r="C797" s="6" t="inlineStr">
        <is>
          <t>999239</t>
        </is>
      </c>
      <c r="D797"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97" s="7" t="inlineStr">
        <is>
          <t>MUNICIPAL ADMINISTRATION DEPARTMENT-Amaravati Growth &amp; Infrastructure Corporation Limited Amaravati</t>
        </is>
      </c>
      <c r="F797" s="6" t="inlineStr">
        <is>
          <t>25 Jul 2026</t>
        </is>
      </c>
      <c r="G797" s="5" t="inlineStr">
        <is>
          <t>18 Aug 2026</t>
        </is>
      </c>
      <c r="H797" s="8" t="inlineStr">
        <is>
          <t>⏳ UPCOMING</t>
        </is>
      </c>
      <c r="I797" s="4" t="inlineStr">
        <is>
          <t>171020-LA-INCLINED STAIRCASE 171020-LA-INCL-612-1.pdf</t>
        </is>
      </c>
      <c r="J797" s="6" t="inlineStr">
        <is>
          <t>📕 PDF Document</t>
        </is>
      </c>
      <c r="K797" s="9" t="n">
        <v>2774.1</v>
      </c>
      <c r="L797" s="10">
        <f>HYPERLINK("http://127.0.0.1:8000/api/documents/download?id=2379&amp;attachment=true", "⬇ Download 171020-LA-INCLINED STAIR")</f>
        <v/>
      </c>
      <c r="M797" s="10">
        <f>HYPERLINK("http://localhost:5173/?state=Andhra%20Pradesh&amp;keyword=Design&amp;tender=999239", "🚀 Open in Portal")</f>
        <v/>
      </c>
    </row>
    <row r="798" ht="24" customHeight="1">
      <c r="A798" s="11" t="inlineStr">
        <is>
          <t>Andhra Pradesh</t>
        </is>
      </c>
      <c r="B798" s="12" t="inlineStr">
        <is>
          <t>Design</t>
        </is>
      </c>
      <c r="C798" s="13" t="inlineStr">
        <is>
          <t>999239</t>
        </is>
      </c>
      <c r="D798"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98" s="14" t="inlineStr">
        <is>
          <t>MUNICIPAL ADMINISTRATION DEPARTMENT-Amaravati Growth &amp; Infrastructure Corporation Limited Amaravati</t>
        </is>
      </c>
      <c r="F798" s="13" t="inlineStr">
        <is>
          <t>25 Jul 2026</t>
        </is>
      </c>
      <c r="G798" s="12" t="inlineStr">
        <is>
          <t>18 Aug 2026</t>
        </is>
      </c>
      <c r="H798" s="8" t="inlineStr">
        <is>
          <t>⏳ UPCOMING</t>
        </is>
      </c>
      <c r="I798" s="11" t="inlineStr">
        <is>
          <t>171020-LA-INCLINED STAIRCASE 171020-LA-INCL-612.pdf</t>
        </is>
      </c>
      <c r="J798" s="13" t="inlineStr">
        <is>
          <t>📕 PDF Document</t>
        </is>
      </c>
      <c r="K798" s="15" t="n">
        <v>875</v>
      </c>
      <c r="L798" s="16">
        <f>HYPERLINK("http://127.0.0.1:8000/api/documents/download?id=2380&amp;attachment=true", "⬇ Download 171020-LA-INCLINED STAIR")</f>
        <v/>
      </c>
      <c r="M798" s="16">
        <f>HYPERLINK("http://localhost:5173/?state=Andhra%20Pradesh&amp;keyword=Design&amp;tender=999239", "🚀 Open in Portal")</f>
        <v/>
      </c>
    </row>
    <row r="799" ht="24" customHeight="1">
      <c r="A799" s="4" t="inlineStr">
        <is>
          <t>Andhra Pradesh</t>
        </is>
      </c>
      <c r="B799" s="5" t="inlineStr">
        <is>
          <t>Design</t>
        </is>
      </c>
      <c r="C799" s="6" t="inlineStr">
        <is>
          <t>999239</t>
        </is>
      </c>
      <c r="D799"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799" s="7" t="inlineStr">
        <is>
          <t>MUNICIPAL ADMINISTRATION DEPARTMENT-Amaravati Growth &amp; Infrastructure Corporation Limited Amaravati</t>
        </is>
      </c>
      <c r="F799" s="6" t="inlineStr">
        <is>
          <t>25 Jul 2026</t>
        </is>
      </c>
      <c r="G799" s="5" t="inlineStr">
        <is>
          <t>18 Aug 2026</t>
        </is>
      </c>
      <c r="H799" s="8" t="inlineStr">
        <is>
          <t>⏳ UPCOMING</t>
        </is>
      </c>
      <c r="I799" s="4" t="inlineStr">
        <is>
          <t>plot.log</t>
        </is>
      </c>
      <c r="J799" s="6" t="inlineStr">
        <is>
          <t>📄 LOG</t>
        </is>
      </c>
      <c r="K799" s="9" t="n">
        <v>0.3</v>
      </c>
      <c r="L799" s="10">
        <f>HYPERLINK("http://127.0.0.1:8000/api/documents/download?id=2381&amp;attachment=true", "⬇ Download plot.log")</f>
        <v/>
      </c>
      <c r="M799" s="10">
        <f>HYPERLINK("http://localhost:5173/?state=Andhra%20Pradesh&amp;keyword=Design&amp;tender=999239", "🚀 Open in Portal")</f>
        <v/>
      </c>
    </row>
    <row r="800" ht="24" customHeight="1">
      <c r="A800" s="11" t="inlineStr">
        <is>
          <t>Andhra Pradesh</t>
        </is>
      </c>
      <c r="B800" s="12" t="inlineStr">
        <is>
          <t>Design</t>
        </is>
      </c>
      <c r="C800" s="13" t="inlineStr">
        <is>
          <t>999239</t>
        </is>
      </c>
      <c r="D800"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800" s="14" t="inlineStr">
        <is>
          <t>MUNICIPAL ADMINISTRATION DEPARTMENT-Amaravati Growth &amp; Infrastructure Corporation Limited Amaravati</t>
        </is>
      </c>
      <c r="F800" s="13" t="inlineStr">
        <is>
          <t>25 Jul 2026</t>
        </is>
      </c>
      <c r="G800" s="12" t="inlineStr">
        <is>
          <t>18 Aug 2026</t>
        </is>
      </c>
      <c r="H800" s="8" t="inlineStr">
        <is>
          <t>⏳ UPCOMING</t>
        </is>
      </c>
      <c r="I800" s="11" t="inlineStr">
        <is>
          <t>3755-FSP-LA-100-DR-A-031015_.pdf</t>
        </is>
      </c>
      <c r="J800" s="13" t="inlineStr">
        <is>
          <t>📕 PDF Document</t>
        </is>
      </c>
      <c r="K800" s="15" t="n">
        <v>8787.4</v>
      </c>
      <c r="L800" s="16">
        <f>HYPERLINK("http://127.0.0.1:8000/api/documents/download?id=2383&amp;attachment=true", "⬇ Download 3755-FSP-LA-100-DR-A-031")</f>
        <v/>
      </c>
      <c r="M800" s="16">
        <f>HYPERLINK("http://localhost:5173/?state=Andhra%20Pradesh&amp;keyword=Design&amp;tender=999239", "🚀 Open in Portal")</f>
        <v/>
      </c>
    </row>
    <row r="801" ht="24" customHeight="1">
      <c r="A801" s="4" t="inlineStr">
        <is>
          <t>Andhra Pradesh</t>
        </is>
      </c>
      <c r="B801" s="5" t="inlineStr">
        <is>
          <t>Design</t>
        </is>
      </c>
      <c r="C801" s="6" t="inlineStr">
        <is>
          <t>999239</t>
        </is>
      </c>
      <c r="D801"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801" s="7" t="inlineStr">
        <is>
          <t>MUNICIPAL ADMINISTRATION DEPARTMENT-Amaravati Growth &amp; Infrastructure Corporation Limited Amaravati</t>
        </is>
      </c>
      <c r="F801" s="6" t="inlineStr">
        <is>
          <t>25 Jul 2026</t>
        </is>
      </c>
      <c r="G801" s="5" t="inlineStr">
        <is>
          <t>18 Aug 2026</t>
        </is>
      </c>
      <c r="H801" s="8" t="inlineStr">
        <is>
          <t>⏳ UPCOMING</t>
        </is>
      </c>
      <c r="I801" s="4" t="inlineStr">
        <is>
          <t>3755-FSP-LA-101-DR-A-031015.pdf</t>
        </is>
      </c>
      <c r="J801" s="6" t="inlineStr">
        <is>
          <t>📕 PDF Document</t>
        </is>
      </c>
      <c r="K801" s="9" t="n">
        <v>10108.3</v>
      </c>
      <c r="L801" s="10">
        <f>HYPERLINK("http://127.0.0.1:8000/api/documents/download?id=2384&amp;attachment=true", "⬇ Download 3755-FSP-LA-101-DR-A-031")</f>
        <v/>
      </c>
      <c r="M801" s="10">
        <f>HYPERLINK("http://localhost:5173/?state=Andhra%20Pradesh&amp;keyword=Design&amp;tender=999239", "🚀 Open in Portal")</f>
        <v/>
      </c>
    </row>
    <row r="802" ht="24" customHeight="1">
      <c r="A802" s="11" t="inlineStr">
        <is>
          <t>Andhra Pradesh</t>
        </is>
      </c>
      <c r="B802" s="12" t="inlineStr">
        <is>
          <t>Design</t>
        </is>
      </c>
      <c r="C802" s="13" t="inlineStr">
        <is>
          <t>999239</t>
        </is>
      </c>
      <c r="D802"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802" s="14" t="inlineStr">
        <is>
          <t>MUNICIPAL ADMINISTRATION DEPARTMENT-Amaravati Growth &amp; Infrastructure Corporation Limited Amaravati</t>
        </is>
      </c>
      <c r="F802" s="13" t="inlineStr">
        <is>
          <t>25 Jul 2026</t>
        </is>
      </c>
      <c r="G802" s="12" t="inlineStr">
        <is>
          <t>18 Aug 2026</t>
        </is>
      </c>
      <c r="H802" s="8" t="inlineStr">
        <is>
          <t>⏳ UPCOMING</t>
        </is>
      </c>
      <c r="I802" s="11" t="inlineStr">
        <is>
          <t>3755-FSP-LA-102-DR-A-031015.pdf</t>
        </is>
      </c>
      <c r="J802" s="13" t="inlineStr">
        <is>
          <t>📕 PDF Document</t>
        </is>
      </c>
      <c r="K802" s="15" t="n">
        <v>8543.1</v>
      </c>
      <c r="L802" s="16">
        <f>HYPERLINK("http://127.0.0.1:8000/api/documents/download?id=2385&amp;attachment=true", "⬇ Download 3755-FSP-LA-102-DR-A-031")</f>
        <v/>
      </c>
      <c r="M802" s="16">
        <f>HYPERLINK("http://localhost:5173/?state=Andhra%20Pradesh&amp;keyword=Design&amp;tender=999239", "🚀 Open in Portal")</f>
        <v/>
      </c>
    </row>
    <row r="803" ht="24" customHeight="1">
      <c r="A803" s="4" t="inlineStr">
        <is>
          <t>Andhra Pradesh</t>
        </is>
      </c>
      <c r="B803" s="5" t="inlineStr">
        <is>
          <t>Design</t>
        </is>
      </c>
      <c r="C803" s="6" t="inlineStr">
        <is>
          <t>999239</t>
        </is>
      </c>
      <c r="D803"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803" s="7" t="inlineStr">
        <is>
          <t>MUNICIPAL ADMINISTRATION DEPARTMENT-Amaravati Growth &amp; Infrastructure Corporation Limited Amaravati</t>
        </is>
      </c>
      <c r="F803" s="6" t="inlineStr">
        <is>
          <t>25 Jul 2026</t>
        </is>
      </c>
      <c r="G803" s="5" t="inlineStr">
        <is>
          <t>18 Aug 2026</t>
        </is>
      </c>
      <c r="H803" s="8" t="inlineStr">
        <is>
          <t>⏳ UPCOMING</t>
        </is>
      </c>
      <c r="I803" s="4" t="inlineStr">
        <is>
          <t>3755-FSP-LA-103-DR-A-031015.pdf</t>
        </is>
      </c>
      <c r="J803" s="6" t="inlineStr">
        <is>
          <t>📕 PDF Document</t>
        </is>
      </c>
      <c r="K803" s="9" t="n">
        <v>6488.7</v>
      </c>
      <c r="L803" s="10">
        <f>HYPERLINK("http://127.0.0.1:8000/api/documents/download?id=2386&amp;attachment=true", "⬇ Download 3755-FSP-LA-103-DR-A-031")</f>
        <v/>
      </c>
      <c r="M803" s="10">
        <f>HYPERLINK("http://localhost:5173/?state=Andhra%20Pradesh&amp;keyword=Design&amp;tender=999239", "🚀 Open in Portal")</f>
        <v/>
      </c>
    </row>
    <row r="804" ht="24" customHeight="1">
      <c r="A804" s="11" t="inlineStr">
        <is>
          <t>Andhra Pradesh</t>
        </is>
      </c>
      <c r="B804" s="12" t="inlineStr">
        <is>
          <t>Design</t>
        </is>
      </c>
      <c r="C804" s="13" t="inlineStr">
        <is>
          <t>999239</t>
        </is>
      </c>
      <c r="D804"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804" s="14" t="inlineStr">
        <is>
          <t>MUNICIPAL ADMINISTRATION DEPARTMENT-Amaravati Growth &amp; Infrastructure Corporation Limited Amaravati</t>
        </is>
      </c>
      <c r="F804" s="13" t="inlineStr">
        <is>
          <t>25 Jul 2026</t>
        </is>
      </c>
      <c r="G804" s="12" t="inlineStr">
        <is>
          <t>18 Aug 2026</t>
        </is>
      </c>
      <c r="H804" s="8" t="inlineStr">
        <is>
          <t>⏳ UPCOMING</t>
        </is>
      </c>
      <c r="I804" s="11" t="inlineStr">
        <is>
          <t>3755-FSP-LA-099-DR-A-031015.pdf</t>
        </is>
      </c>
      <c r="J804" s="13" t="inlineStr">
        <is>
          <t>📕 PDF Document</t>
        </is>
      </c>
      <c r="K804" s="15" t="n">
        <v>18934.3</v>
      </c>
      <c r="L804" s="16">
        <f>HYPERLINK("http://127.0.0.1:8000/api/documents/download?id=2388&amp;attachment=true", "⬇ Download 3755-FSP-LA-099-DR-A-031")</f>
        <v/>
      </c>
      <c r="M804" s="16">
        <f>HYPERLINK("http://localhost:5173/?state=Andhra%20Pradesh&amp;keyword=Design&amp;tender=999239", "🚀 Open in Portal")</f>
        <v/>
      </c>
    </row>
    <row r="805" ht="24" customHeight="1">
      <c r="A805" s="4" t="inlineStr">
        <is>
          <t>Andhra Pradesh</t>
        </is>
      </c>
      <c r="B805" s="5" t="inlineStr">
        <is>
          <t>Design</t>
        </is>
      </c>
      <c r="C805" s="6" t="inlineStr">
        <is>
          <t>999239</t>
        </is>
      </c>
      <c r="D805"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805" s="7" t="inlineStr">
        <is>
          <t>MUNICIPAL ADMINISTRATION DEPARTMENT-Amaravati Growth &amp; Infrastructure Corporation Limited Amaravati</t>
        </is>
      </c>
      <c r="F805" s="6" t="inlineStr">
        <is>
          <t>25 Jul 2026</t>
        </is>
      </c>
      <c r="G805" s="5" t="inlineStr">
        <is>
          <t>18 Aug 2026</t>
        </is>
      </c>
      <c r="H805" s="8" t="inlineStr">
        <is>
          <t>⏳ UPCOMING</t>
        </is>
      </c>
      <c r="I805" s="4" t="inlineStr">
        <is>
          <t>Roofing.zip</t>
        </is>
      </c>
      <c r="J805" s="6" t="inlineStr">
        <is>
          <t>📦 ZIP Package</t>
        </is>
      </c>
      <c r="K805" s="9" t="n">
        <v>25356.9</v>
      </c>
      <c r="L805" s="10">
        <f>HYPERLINK("http://127.0.0.1:8000/api/documents/download?id=2372&amp;attachment=true", "⬇ Download Roofing.zip")</f>
        <v/>
      </c>
      <c r="M805" s="10">
        <f>HYPERLINK("http://localhost:5173/?state=Andhra%20Pradesh&amp;keyword=Design&amp;tender=999239", "🚀 Open in Portal")</f>
        <v/>
      </c>
    </row>
    <row r="806" ht="24" customHeight="1">
      <c r="A806" s="11" t="inlineStr">
        <is>
          <t>Andhra Pradesh</t>
        </is>
      </c>
      <c r="B806" s="12" t="inlineStr">
        <is>
          <t>Design</t>
        </is>
      </c>
      <c r="C806" s="13" t="inlineStr">
        <is>
          <t>999239</t>
        </is>
      </c>
      <c r="D806"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806" s="14" t="inlineStr">
        <is>
          <t>MUNICIPAL ADMINISTRATION DEPARTMENT-Amaravati Growth &amp; Infrastructure Corporation Limited Amaravati</t>
        </is>
      </c>
      <c r="F806" s="13" t="inlineStr">
        <is>
          <t>25 Jul 2026</t>
        </is>
      </c>
      <c r="G806" s="12" t="inlineStr">
        <is>
          <t>18 Aug 2026</t>
        </is>
      </c>
      <c r="H806" s="8" t="inlineStr">
        <is>
          <t>⏳ UPCOMING</t>
        </is>
      </c>
      <c r="I806" s="11" t="inlineStr">
        <is>
          <t>Sky.zip</t>
        </is>
      </c>
      <c r="J806" s="13" t="inlineStr">
        <is>
          <t>📦 ZIP Package</t>
        </is>
      </c>
      <c r="K806" s="15" t="n">
        <v>9488.5</v>
      </c>
      <c r="L806" s="16">
        <f>HYPERLINK("http://127.0.0.1:8000/api/documents/download?id=2382&amp;attachment=true", "⬇ Download Sky.zip")</f>
        <v/>
      </c>
      <c r="M806" s="16">
        <f>HYPERLINK("http://localhost:5173/?state=Andhra%20Pradesh&amp;keyword=Design&amp;tender=999239", "🚀 Open in Portal")</f>
        <v/>
      </c>
    </row>
    <row r="807" ht="24" customHeight="1">
      <c r="A807" s="4" t="inlineStr">
        <is>
          <t>Andhra Pradesh</t>
        </is>
      </c>
      <c r="B807" s="5" t="inlineStr">
        <is>
          <t>Design</t>
        </is>
      </c>
      <c r="C807" s="6" t="inlineStr">
        <is>
          <t>999239</t>
        </is>
      </c>
      <c r="D807"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807" s="7" t="inlineStr">
        <is>
          <t>MUNICIPAL ADMINISTRATION DEPARTMENT-Amaravati Growth &amp; Infrastructure Corporation Limited Amaravati</t>
        </is>
      </c>
      <c r="F807" s="6" t="inlineStr">
        <is>
          <t>25 Jul 2026</t>
        </is>
      </c>
      <c r="G807" s="5" t="inlineStr">
        <is>
          <t>18 Aug 2026</t>
        </is>
      </c>
      <c r="H807" s="8" t="inlineStr">
        <is>
          <t>⏳ UPCOMING</t>
        </is>
      </c>
      <c r="I807" s="4" t="inlineStr">
        <is>
          <t>Architectural.zip</t>
        </is>
      </c>
      <c r="J807" s="6" t="inlineStr">
        <is>
          <t>📦 ZIP Package</t>
        </is>
      </c>
      <c r="K807" s="9" t="n">
        <v>33373.3</v>
      </c>
      <c r="L807" s="10">
        <f>HYPERLINK("http://127.0.0.1:8000/api/documents/download?id=2387&amp;attachment=true", "⬇ Download Architectural.zip")</f>
        <v/>
      </c>
      <c r="M807" s="10">
        <f>HYPERLINK("http://localhost:5173/?state=Andhra%20Pradesh&amp;keyword=Design&amp;tender=999239", "🚀 Open in Portal")</f>
        <v/>
      </c>
    </row>
    <row r="808" ht="24" customHeight="1">
      <c r="A808" s="11" t="inlineStr">
        <is>
          <t>Andhra Pradesh</t>
        </is>
      </c>
      <c r="B808" s="12" t="inlineStr">
        <is>
          <t>Design</t>
        </is>
      </c>
      <c r="C808" s="13" t="inlineStr">
        <is>
          <t>999239</t>
        </is>
      </c>
      <c r="D808" s="14"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808" s="14" t="inlineStr">
        <is>
          <t>MUNICIPAL ADMINISTRATION DEPARTMENT-Amaravati Growth &amp; Infrastructure Corporation Limited Amaravati</t>
        </is>
      </c>
      <c r="F808" s="13" t="inlineStr">
        <is>
          <t>25 Jul 2026</t>
        </is>
      </c>
      <c r="G808" s="12" t="inlineStr">
        <is>
          <t>18 Aug 2026</t>
        </is>
      </c>
      <c r="H808" s="8" t="inlineStr">
        <is>
          <t>⏳ UPCOMING</t>
        </is>
      </c>
      <c r="I808" s="11" t="inlineStr">
        <is>
          <t>Architecural1.zip</t>
        </is>
      </c>
      <c r="J808" s="13" t="inlineStr">
        <is>
          <t>📦 ZIP Package</t>
        </is>
      </c>
      <c r="K808" s="15" t="n">
        <v>19436.1</v>
      </c>
      <c r="L808" s="16">
        <f>HYPERLINK("http://127.0.0.1:8000/api/documents/download?id=2389&amp;attachment=true", "⬇ Download Architecural1.zip")</f>
        <v/>
      </c>
      <c r="M808" s="16">
        <f>HYPERLINK("http://localhost:5173/?state=Andhra%20Pradesh&amp;keyword=Design&amp;tender=999239", "🚀 Open in Portal")</f>
        <v/>
      </c>
    </row>
    <row r="809" ht="24" customHeight="1">
      <c r="A809" s="4" t="inlineStr">
        <is>
          <t>Andhra Pradesh</t>
        </is>
      </c>
      <c r="B809" s="5" t="inlineStr">
        <is>
          <t>Design</t>
        </is>
      </c>
      <c r="C809" s="6" t="inlineStr">
        <is>
          <t>999239</t>
        </is>
      </c>
      <c r="D809" s="7" t="inlineStr">
        <is>
          <t>Investigation Design and Construction of Civil Structure (Sub Structure Super structure) works for spire, Roof, RCC framed structure consisting of Retaining wall, shear core wall, Slabs, beam, PT Slab and beam inclined Flared Shear walls, columns, using modular system fair finish express formwork, reinforcement works, panoramic and inclined lifts, waterproofing &amp; miscellaneous works for Legislative Assembly building in Super block E of Amaravati Government Complex area in Amaravati Capital City Andhra Pradesh</t>
        </is>
      </c>
      <c r="E809" s="7" t="inlineStr">
        <is>
          <t>MUNICIPAL ADMINISTRATION DEPARTMENT-Amaravati Growth &amp; Infrastructure Corporation Limited Amaravati</t>
        </is>
      </c>
      <c r="F809" s="6" t="inlineStr">
        <is>
          <t>25 Jul 2026</t>
        </is>
      </c>
      <c r="G809" s="5" t="inlineStr">
        <is>
          <t>18 Aug 2026</t>
        </is>
      </c>
      <c r="H809" s="8" t="inlineStr">
        <is>
          <t>⏳ UPCOMING</t>
        </is>
      </c>
      <c r="I809" s="4" t="inlineStr">
        <is>
          <t>Tender_999239_All_Documents.zip</t>
        </is>
      </c>
      <c r="J809" s="6" t="inlineStr">
        <is>
          <t>📦 ZIP Package</t>
        </is>
      </c>
      <c r="K809" s="9" t="n">
        <v>11515.8</v>
      </c>
      <c r="L809" s="10">
        <f>HYPERLINK("http://127.0.0.1:8000/api/documents/download?id=2370&amp;attachment=true", "⬇ Download Tender_999239_All_Docume")</f>
        <v/>
      </c>
      <c r="M809" s="10">
        <f>HYPERLINK("http://localhost:5173/?state=Andhra%20Pradesh&amp;keyword=Design&amp;tender=999239", "🚀 Open in Portal")</f>
        <v/>
      </c>
    </row>
    <row r="810" ht="24" customHeight="1">
      <c r="A810" s="11" t="inlineStr">
        <is>
          <t>Andhra Pradesh</t>
        </is>
      </c>
      <c r="B810" s="12" t="inlineStr">
        <is>
          <t>Digital</t>
        </is>
      </c>
      <c r="C810" s="13" t="inlineStr">
        <is>
          <t>1002112</t>
        </is>
      </c>
      <c r="D810" s="14" t="inlineStr">
        <is>
          <t>Supply, Installation, Testing and Commissioning of Heavy Duty A3 Colour Multifunction Digital Printer complete with Heavy Duty Metal Stand, 2 KVA Controlled Voltage Stabilizer, and Genuine Original OEM Toner Cartridge Set for the Engineering Section of Mangalagiri Tadepalli Municipal Corporation under General Funds</t>
        </is>
      </c>
      <c r="E810" s="14" t="inlineStr">
        <is>
          <t>MUNICIPALITIES ANDHRA PRADESH-MANGALAGIRI TADEPALLI MUNICIPAL CORPORATION</t>
        </is>
      </c>
      <c r="F810" s="13" t="inlineStr">
        <is>
          <t>05 Sep 2026</t>
        </is>
      </c>
      <c r="G810" s="12" t="inlineStr">
        <is>
          <t>05 Oct 2026</t>
        </is>
      </c>
      <c r="H810" s="8" t="inlineStr">
        <is>
          <t>⏳ UPCOMING</t>
        </is>
      </c>
      <c r="I810" s="11" t="inlineStr">
        <is>
          <t>BOQ.xlsx</t>
        </is>
      </c>
      <c r="J810" s="13" t="inlineStr">
        <is>
          <t>📊 Excel BOQ</t>
        </is>
      </c>
      <c r="K810" s="15" t="n">
        <v>13.1</v>
      </c>
      <c r="L810" s="16">
        <f>HYPERLINK("http://127.0.0.1:8000/api/documents/download?id=2875&amp;attachment=true", "⬇ Download BOQ.xlsx")</f>
        <v/>
      </c>
      <c r="M810" s="16">
        <f>HYPERLINK("http://localhost:5173/?state=Andhra%20Pradesh&amp;keyword=Digital&amp;tender=1002112", "🚀 Open in Portal")</f>
        <v/>
      </c>
    </row>
    <row r="811" ht="24" customHeight="1">
      <c r="A811" s="4" t="inlineStr">
        <is>
          <t>Andhra Pradesh</t>
        </is>
      </c>
      <c r="B811" s="5" t="inlineStr">
        <is>
          <t>Digital</t>
        </is>
      </c>
      <c r="C811" s="6" t="inlineStr">
        <is>
          <t>1002112</t>
        </is>
      </c>
      <c r="D811" s="7" t="inlineStr">
        <is>
          <t>Supply, Installation, Testing and Commissioning of Heavy Duty A3 Colour Multifunction Digital Printer complete with Heavy Duty Metal Stand, 2 KVA Controlled Voltage Stabilizer, and Genuine Original OEM Toner Cartridge Set for the Engineering Section of Mangalagiri Tadepalli Municipal Corporation under General Funds</t>
        </is>
      </c>
      <c r="E811" s="7" t="inlineStr">
        <is>
          <t>MUNICIPALITIES ANDHRA PRADESH-MANGALAGIRI TADEPALLI MUNICIPAL CORPORATION</t>
        </is>
      </c>
      <c r="F811" s="6" t="inlineStr">
        <is>
          <t>05 Sep 2026</t>
        </is>
      </c>
      <c r="G811" s="5" t="inlineStr">
        <is>
          <t>05 Oct 2026</t>
        </is>
      </c>
      <c r="H811" s="8" t="inlineStr">
        <is>
          <t>⏳ UPCOMING</t>
        </is>
      </c>
      <c r="I811" s="4" t="inlineStr">
        <is>
          <t>DECLARATION.docx</t>
        </is>
      </c>
      <c r="J811" s="6" t="inlineStr">
        <is>
          <t>📄 DOCX</t>
        </is>
      </c>
      <c r="K811" s="9" t="n">
        <v>17.2</v>
      </c>
      <c r="L811" s="10">
        <f>HYPERLINK("http://127.0.0.1:8000/api/documents/download?id=2876&amp;attachment=true", "⬇ Download DECLARATION.docx")</f>
        <v/>
      </c>
      <c r="M811" s="10">
        <f>HYPERLINK("http://localhost:5173/?state=Andhra%20Pradesh&amp;keyword=Digital&amp;tender=1002112", "🚀 Open in Portal")</f>
        <v/>
      </c>
    </row>
    <row r="812" ht="24" customHeight="1">
      <c r="A812" s="11" t="inlineStr">
        <is>
          <t>Andhra Pradesh</t>
        </is>
      </c>
      <c r="B812" s="12" t="inlineStr">
        <is>
          <t>Digital</t>
        </is>
      </c>
      <c r="C812" s="13" t="inlineStr">
        <is>
          <t>1002112</t>
        </is>
      </c>
      <c r="D812" s="14" t="inlineStr">
        <is>
          <t>Supply, Installation, Testing and Commissioning of Heavy Duty A3 Colour Multifunction Digital Printer complete with Heavy Duty Metal Stand, 2 KVA Controlled Voltage Stabilizer, and Genuine Original OEM Toner Cartridge Set for the Engineering Section of Mangalagiri Tadepalli Municipal Corporation under General Funds</t>
        </is>
      </c>
      <c r="E812" s="14" t="inlineStr">
        <is>
          <t>MUNICIPALITIES ANDHRA PRADESH-MANGALAGIRI TADEPALLI MUNICIPAL CORPORATION</t>
        </is>
      </c>
      <c r="F812" s="13" t="inlineStr">
        <is>
          <t>05 Sep 2026</t>
        </is>
      </c>
      <c r="G812" s="12" t="inlineStr">
        <is>
          <t>05 Oct 2026</t>
        </is>
      </c>
      <c r="H812" s="8" t="inlineStr">
        <is>
          <t>⏳ UPCOMING</t>
        </is>
      </c>
      <c r="I812" s="11" t="inlineStr">
        <is>
          <t>NIT and BOQ.xlsm</t>
        </is>
      </c>
      <c r="J812" s="13" t="inlineStr">
        <is>
          <t>📄 XLSM</t>
        </is>
      </c>
      <c r="K812" s="15" t="n">
        <v>352.6</v>
      </c>
      <c r="L812" s="16">
        <f>HYPERLINK("http://127.0.0.1:8000/api/documents/download?id=2877&amp;attachment=true", "⬇ Download NIT and BOQ.xlsm")</f>
        <v/>
      </c>
      <c r="M812" s="16">
        <f>HYPERLINK("http://localhost:5173/?state=Andhra%20Pradesh&amp;keyword=Digital&amp;tender=1002112", "🚀 Open in Portal")</f>
        <v/>
      </c>
    </row>
    <row r="813" ht="24" customHeight="1">
      <c r="A813" s="4" t="inlineStr">
        <is>
          <t>Andhra Pradesh</t>
        </is>
      </c>
      <c r="B813" s="5" t="inlineStr">
        <is>
          <t>Digital</t>
        </is>
      </c>
      <c r="C813" s="6" t="inlineStr">
        <is>
          <t>1002112</t>
        </is>
      </c>
      <c r="D813" s="7" t="inlineStr">
        <is>
          <t>Supply, Installation, Testing and Commissioning of Heavy Duty A3 Colour Multifunction Digital Printer complete with Heavy Duty Metal Stand, 2 KVA Controlled Voltage Stabilizer, and Genuine Original OEM Toner Cartridge Set for the Engineering Section of Mangalagiri Tadepalli Municipal Corporation under General Funds</t>
        </is>
      </c>
      <c r="E813" s="7" t="inlineStr">
        <is>
          <t>MUNICIPALITIES ANDHRA PRADESH-MANGALAGIRI TADEPALLI MUNICIPAL CORPORATION</t>
        </is>
      </c>
      <c r="F813" s="6" t="inlineStr">
        <is>
          <t>05 Sep 2026</t>
        </is>
      </c>
      <c r="G813" s="5" t="inlineStr">
        <is>
          <t>05 Oct 2026</t>
        </is>
      </c>
      <c r="H813" s="8" t="inlineStr">
        <is>
          <t>⏳ UPCOMING</t>
        </is>
      </c>
      <c r="I813" s="4" t="inlineStr">
        <is>
          <t>Tender Doc.docx</t>
        </is>
      </c>
      <c r="J813" s="6" t="inlineStr">
        <is>
          <t>📄 DOCX</t>
        </is>
      </c>
      <c r="K813" s="9" t="n">
        <v>162.4</v>
      </c>
      <c r="L813" s="10">
        <f>HYPERLINK("http://127.0.0.1:8000/api/documents/download?id=2878&amp;attachment=true", "⬇ Download Tender Doc.docx")</f>
        <v/>
      </c>
      <c r="M813" s="10">
        <f>HYPERLINK("http://localhost:5173/?state=Andhra%20Pradesh&amp;keyword=Digital&amp;tender=1002112", "🚀 Open in Portal")</f>
        <v/>
      </c>
    </row>
    <row r="814" ht="24" customHeight="1">
      <c r="A814" s="11" t="inlineStr">
        <is>
          <t>Andhra Pradesh</t>
        </is>
      </c>
      <c r="B814" s="12" t="inlineStr">
        <is>
          <t>Digital</t>
        </is>
      </c>
      <c r="C814" s="13" t="inlineStr">
        <is>
          <t>1002112</t>
        </is>
      </c>
      <c r="D814" s="14" t="inlineStr">
        <is>
          <t>Supply, Installation, Testing and Commissioning of Heavy Duty A3 Colour Multifunction Digital Printer complete with Heavy Duty Metal Stand, 2 KVA Controlled Voltage Stabilizer, and Genuine Original OEM Toner Cartridge Set for the Engineering Section of Mangalagiri Tadepalli Municipal Corporation under General Funds</t>
        </is>
      </c>
      <c r="E814" s="14" t="inlineStr">
        <is>
          <t>MUNICIPALITIES ANDHRA PRADESH-MANGALAGIRI TADEPALLI MUNICIPAL CORPORATION</t>
        </is>
      </c>
      <c r="F814" s="13" t="inlineStr">
        <is>
          <t>05 Sep 2026</t>
        </is>
      </c>
      <c r="G814" s="12" t="inlineStr">
        <is>
          <t>05 Oct 2026</t>
        </is>
      </c>
      <c r="H814" s="8" t="inlineStr">
        <is>
          <t>⏳ UPCOMING</t>
        </is>
      </c>
      <c r="I814" s="11" t="inlineStr">
        <is>
          <t>Tender_1002112_All_Documents.zip</t>
        </is>
      </c>
      <c r="J814" s="13" t="inlineStr">
        <is>
          <t>📦 ZIP Package</t>
        </is>
      </c>
      <c r="K814" s="15" t="n">
        <v>472.4</v>
      </c>
      <c r="L814" s="16">
        <f>HYPERLINK("http://127.0.0.1:8000/api/documents/download?id=2879&amp;attachment=true", "⬇ Download Tender_1002112_All_Docum")</f>
        <v/>
      </c>
      <c r="M814" s="16">
        <f>HYPERLINK("http://localhost:5173/?state=Andhra%20Pradesh&amp;keyword=Digital&amp;tender=1002112", "🚀 Open in Portal")</f>
        <v/>
      </c>
    </row>
    <row r="815" ht="24" customHeight="1">
      <c r="A815" s="4" t="inlineStr">
        <is>
          <t>Andhra Pradesh</t>
        </is>
      </c>
      <c r="B815" s="5" t="inlineStr">
        <is>
          <t>Digital</t>
        </is>
      </c>
      <c r="C815" s="6" t="inlineStr">
        <is>
          <t>1002342</t>
        </is>
      </c>
      <c r="D815" s="7" t="inlineStr">
        <is>
          <t>Construction of CC drain from RTO Office road to beyrothela meru house digital d.no.538 in thrraguntapalem Ward No.09 (phase I ).</t>
        </is>
      </c>
      <c r="E815" s="7" t="inlineStr">
        <is>
          <t>MUNICIPALITIES ANDHRA PRADESH-JAGGAIAHPET MUNICIPALITY</t>
        </is>
      </c>
      <c r="F815" s="6" t="inlineStr">
        <is>
          <t>30 Aug 2026</t>
        </is>
      </c>
      <c r="G815" s="5" t="inlineStr">
        <is>
          <t>22 Sep 2026</t>
        </is>
      </c>
      <c r="H815" s="8" t="inlineStr">
        <is>
          <t>⏳ UPCOMING</t>
        </is>
      </c>
      <c r="I815" s="4" t="inlineStr">
        <is>
          <t>Tender document.doc</t>
        </is>
      </c>
      <c r="J815" s="6" t="inlineStr">
        <is>
          <t>📄 DOC</t>
        </is>
      </c>
      <c r="K815" s="9" t="n">
        <v>50</v>
      </c>
      <c r="L815" s="10">
        <f>HYPERLINK("http://127.0.0.1:8000/api/documents/download?id=2874&amp;attachment=true", "⬇ Download Tender document.doc")</f>
        <v/>
      </c>
      <c r="M815" s="10">
        <f>HYPERLINK("http://localhost:5173/?state=Andhra%20Pradesh&amp;keyword=Digital&amp;tender=1002342", "🚀 Open in Portal")</f>
        <v/>
      </c>
    </row>
    <row r="816" ht="24" customHeight="1">
      <c r="A816" s="11" t="inlineStr">
        <is>
          <t>Andhra Pradesh</t>
        </is>
      </c>
      <c r="B816" s="12" t="inlineStr">
        <is>
          <t>Digital</t>
        </is>
      </c>
      <c r="C816" s="13" t="inlineStr">
        <is>
          <t>1002342</t>
        </is>
      </c>
      <c r="D816" s="14" t="inlineStr">
        <is>
          <t>Construction of CC drain from RTO Office road to beyrothela meru house digital d.no.538 in thrraguntapalem Ward No.09 (phase I ).</t>
        </is>
      </c>
      <c r="E816" s="14" t="inlineStr">
        <is>
          <t>MUNICIPALITIES ANDHRA PRADESH-JAGGAIAHPET MUNICIPALITY</t>
        </is>
      </c>
      <c r="F816" s="13" t="inlineStr">
        <is>
          <t>30 Aug 2026</t>
        </is>
      </c>
      <c r="G816" s="12" t="inlineStr">
        <is>
          <t>22 Sep 2026</t>
        </is>
      </c>
      <c r="H816" s="8" t="inlineStr">
        <is>
          <t>⏳ UPCOMING</t>
        </is>
      </c>
      <c r="I816" s="11" t="inlineStr">
        <is>
          <t>Tender_1002342_All_Documents.zip</t>
        </is>
      </c>
      <c r="J816" s="13" t="inlineStr">
        <is>
          <t>📦 ZIP Package</t>
        </is>
      </c>
      <c r="K816" s="15" t="n">
        <v>16.1</v>
      </c>
      <c r="L816" s="16">
        <f>HYPERLINK("http://127.0.0.1:8000/api/documents/download?id=3032&amp;attachment=true", "⬇ Download Tender_1002342_All_Docum")</f>
        <v/>
      </c>
      <c r="M816" s="16">
        <f>HYPERLINK("http://localhost:5173/?state=Andhra%20Pradesh&amp;keyword=Digital&amp;tender=1002342", "🚀 Open in Portal")</f>
        <v/>
      </c>
    </row>
    <row r="817" ht="24" customHeight="1">
      <c r="A817" s="4" t="inlineStr">
        <is>
          <t>Andhra Pradesh</t>
        </is>
      </c>
      <c r="B817" s="5" t="inlineStr">
        <is>
          <t>Digital</t>
        </is>
      </c>
      <c r="C817" s="6" t="inlineStr">
        <is>
          <t>1002343</t>
        </is>
      </c>
      <c r="D817" s="7" t="inlineStr">
        <is>
          <t>Construction of CC drain from RTO Office road to beyrothela meru house digital d.no.538 in thrraguntapalem Ward No.09 (phase II ).</t>
        </is>
      </c>
      <c r="E817" s="7" t="inlineStr">
        <is>
          <t>MUNICIPALITIES ANDHRA PRADESH-JAGGAIAHPET MUNICIPALITY</t>
        </is>
      </c>
      <c r="F817" s="6" t="inlineStr">
        <is>
          <t>11 Sep 2026</t>
        </is>
      </c>
      <c r="G817" s="5" t="inlineStr">
        <is>
          <t>06 Oct 2026</t>
        </is>
      </c>
      <c r="H817" s="8" t="inlineStr">
        <is>
          <t>⏳ UPCOMING</t>
        </is>
      </c>
      <c r="I817" s="4" t="inlineStr">
        <is>
          <t>Tender document.doc</t>
        </is>
      </c>
      <c r="J817" s="6" t="inlineStr">
        <is>
          <t>📄 DOC</t>
        </is>
      </c>
      <c r="K817" s="9" t="n">
        <v>50</v>
      </c>
      <c r="L817" s="10">
        <f>HYPERLINK("http://127.0.0.1:8000/api/documents/download?id=2880&amp;attachment=true", "⬇ Download Tender document.doc")</f>
        <v/>
      </c>
      <c r="M817" s="10">
        <f>HYPERLINK("http://localhost:5173/?state=Andhra%20Pradesh&amp;keyword=Digital&amp;tender=1002343", "🚀 Open in Portal")</f>
        <v/>
      </c>
    </row>
    <row r="818" ht="24" customHeight="1">
      <c r="A818" s="11" t="inlineStr">
        <is>
          <t>Andhra Pradesh</t>
        </is>
      </c>
      <c r="B818" s="12" t="inlineStr">
        <is>
          <t>Digital</t>
        </is>
      </c>
      <c r="C818" s="13" t="inlineStr">
        <is>
          <t>1002343</t>
        </is>
      </c>
      <c r="D818" s="14" t="inlineStr">
        <is>
          <t>Construction of CC drain from RTO Office road to beyrothela meru house digital d.no.538 in thrraguntapalem Ward No.09 (phase II ).</t>
        </is>
      </c>
      <c r="E818" s="14" t="inlineStr">
        <is>
          <t>MUNICIPALITIES ANDHRA PRADESH-JAGGAIAHPET MUNICIPALITY</t>
        </is>
      </c>
      <c r="F818" s="13" t="inlineStr">
        <is>
          <t>11 Sep 2026</t>
        </is>
      </c>
      <c r="G818" s="12" t="inlineStr">
        <is>
          <t>06 Oct 2026</t>
        </is>
      </c>
      <c r="H818" s="8" t="inlineStr">
        <is>
          <t>⏳ UPCOMING</t>
        </is>
      </c>
      <c r="I818" s="11" t="inlineStr">
        <is>
          <t>Tender_1002343_All_Documents.zip</t>
        </is>
      </c>
      <c r="J818" s="13" t="inlineStr">
        <is>
          <t>📦 ZIP Package</t>
        </is>
      </c>
      <c r="K818" s="15" t="n">
        <v>16.1</v>
      </c>
      <c r="L818" s="16">
        <f>HYPERLINK("http://127.0.0.1:8000/api/documents/download?id=3033&amp;attachment=true", "⬇ Download Tender_1002343_All_Docum")</f>
        <v/>
      </c>
      <c r="M818" s="16">
        <f>HYPERLINK("http://localhost:5173/?state=Andhra%20Pradesh&amp;keyword=Digital&amp;tender=1002343", "🚀 Open in Portal")</f>
        <v/>
      </c>
    </row>
    <row r="819" ht="24" customHeight="1">
      <c r="A819" s="4" t="inlineStr">
        <is>
          <t>Andhra Pradesh</t>
        </is>
      </c>
      <c r="B819" s="5" t="inlineStr">
        <is>
          <t>Digital</t>
        </is>
      </c>
      <c r="C819" s="6" t="inlineStr">
        <is>
          <t>1002562</t>
        </is>
      </c>
      <c r="D819" s="7" t="inlineStr">
        <is>
          <t>Shifting of Digital Pollution Parameter Board at Municipal Office Premises in Ongole Municipal Corporation</t>
        </is>
      </c>
      <c r="E819" s="7" t="inlineStr">
        <is>
          <t>MUNICIPALITIES ANDHRA PRADESH-ONGOLE MUNICIPALITY</t>
        </is>
      </c>
      <c r="F819" s="6" t="inlineStr">
        <is>
          <t>23 Aug 2026</t>
        </is>
      </c>
      <c r="G819" s="5" t="inlineStr">
        <is>
          <t>14 Sep 2026</t>
        </is>
      </c>
      <c r="H819" s="8" t="inlineStr">
        <is>
          <t>⏳ UPCOMING</t>
        </is>
      </c>
      <c r="I819" s="4" t="inlineStr">
        <is>
          <t>Tender Document.doc</t>
        </is>
      </c>
      <c r="J819" s="6" t="inlineStr">
        <is>
          <t>📄 DOC</t>
        </is>
      </c>
      <c r="K819" s="9" t="n">
        <v>358</v>
      </c>
      <c r="L819" s="10">
        <f>HYPERLINK("http://127.0.0.1:8000/api/documents/download?id=2872&amp;attachment=true", "⬇ Download Tender Document.doc")</f>
        <v/>
      </c>
      <c r="M819" s="10">
        <f>HYPERLINK("http://localhost:5173/?state=Andhra%20Pradesh&amp;keyword=Digital&amp;tender=1002562", "🚀 Open in Portal")</f>
        <v/>
      </c>
    </row>
    <row r="820" ht="24" customHeight="1">
      <c r="A820" s="11" t="inlineStr">
        <is>
          <t>Andhra Pradesh</t>
        </is>
      </c>
      <c r="B820" s="12" t="inlineStr">
        <is>
          <t>Digital</t>
        </is>
      </c>
      <c r="C820" s="13" t="inlineStr">
        <is>
          <t>1002562</t>
        </is>
      </c>
      <c r="D820" s="14" t="inlineStr">
        <is>
          <t>Shifting of Digital Pollution Parameter Board at Municipal Office Premises in Ongole Municipal Corporation</t>
        </is>
      </c>
      <c r="E820" s="14" t="inlineStr">
        <is>
          <t>MUNICIPALITIES ANDHRA PRADESH-ONGOLE MUNICIPALITY</t>
        </is>
      </c>
      <c r="F820" s="13" t="inlineStr">
        <is>
          <t>23 Aug 2026</t>
        </is>
      </c>
      <c r="G820" s="12" t="inlineStr">
        <is>
          <t>14 Sep 2026</t>
        </is>
      </c>
      <c r="H820" s="8" t="inlineStr">
        <is>
          <t>⏳ UPCOMING</t>
        </is>
      </c>
      <c r="I820" s="11" t="inlineStr">
        <is>
          <t>Tender_1002562_All_Documents.zip</t>
        </is>
      </c>
      <c r="J820" s="13" t="inlineStr">
        <is>
          <t>📦 ZIP Package</t>
        </is>
      </c>
      <c r="K820" s="15" t="n">
        <v>89.7</v>
      </c>
      <c r="L820" s="16">
        <f>HYPERLINK("http://127.0.0.1:8000/api/documents/download?id=2873&amp;attachment=true", "⬇ Download Tender_1002562_All_Docum")</f>
        <v/>
      </c>
      <c r="M820" s="16">
        <f>HYPERLINK("http://localhost:5173/?state=Andhra%20Pradesh&amp;keyword=Digital&amp;tender=1002562", "🚀 Open in Portal")</f>
        <v/>
      </c>
    </row>
    <row r="821" ht="24" customHeight="1">
      <c r="A821" s="4" t="inlineStr">
        <is>
          <t>Andhra Pradesh</t>
        </is>
      </c>
      <c r="B821" s="5" t="inlineStr">
        <is>
          <t>Digital</t>
        </is>
      </c>
      <c r="C821" s="6" t="inlineStr">
        <is>
          <t>999743</t>
        </is>
      </c>
      <c r="D821" s="7" t="inlineStr">
        <is>
          <t>Providing Wet Mix Road from New City Backery (D.No:7-1-6) (Near Lakshmi Talkies) to Sri Digitals in 7th ward of Sattenapalle Municipality</t>
        </is>
      </c>
      <c r="E821" s="7" t="inlineStr">
        <is>
          <t>MUNICIPALITIES ANDHRA PRADESH-SATTENAPALLE MUNICIPALITY</t>
        </is>
      </c>
      <c r="F821" s="6" t="inlineStr">
        <is>
          <t>14 Aug 2026</t>
        </is>
      </c>
      <c r="G821" s="5" t="inlineStr">
        <is>
          <t>09 Sep 2026</t>
        </is>
      </c>
      <c r="H821" s="8" t="inlineStr">
        <is>
          <t>⏳ UPCOMING</t>
        </is>
      </c>
      <c r="I821" s="4" t="inlineStr">
        <is>
          <t>Tender document.doc</t>
        </is>
      </c>
      <c r="J821" s="6" t="inlineStr">
        <is>
          <t>📄 DOC</t>
        </is>
      </c>
      <c r="K821" s="9" t="n">
        <v>313.5</v>
      </c>
      <c r="L821" s="10">
        <f>HYPERLINK("http://127.0.0.1:8000/api/documents/download?id=2871&amp;attachment=true", "⬇ Download Tender document.doc")</f>
        <v/>
      </c>
      <c r="M821" s="10">
        <f>HYPERLINK("http://localhost:5173/?state=Andhra%20Pradesh&amp;keyword=Digital&amp;tender=999743", "🚀 Open in Portal")</f>
        <v/>
      </c>
    </row>
    <row r="822" ht="24" customHeight="1">
      <c r="A822" s="11" t="inlineStr">
        <is>
          <t>Andhra Pradesh</t>
        </is>
      </c>
      <c r="B822" s="12" t="inlineStr">
        <is>
          <t>Digital</t>
        </is>
      </c>
      <c r="C822" s="13" t="inlineStr">
        <is>
          <t>999743</t>
        </is>
      </c>
      <c r="D822" s="14" t="inlineStr">
        <is>
          <t>Providing Wet Mix Road from New City Backery (D.No:7-1-6) (Near Lakshmi Talkies) to Sri Digitals in 7th ward of Sattenapalle Municipality</t>
        </is>
      </c>
      <c r="E822" s="14" t="inlineStr">
        <is>
          <t>MUNICIPALITIES ANDHRA PRADESH-SATTENAPALLE MUNICIPALITY</t>
        </is>
      </c>
      <c r="F822" s="13" t="inlineStr">
        <is>
          <t>14 Aug 2026</t>
        </is>
      </c>
      <c r="G822" s="12" t="inlineStr">
        <is>
          <t>09 Sep 2026</t>
        </is>
      </c>
      <c r="H822" s="8" t="inlineStr">
        <is>
          <t>⏳ UPCOMING</t>
        </is>
      </c>
      <c r="I822" s="11" t="inlineStr">
        <is>
          <t>Tender_999743_All_Documents.zip</t>
        </is>
      </c>
      <c r="J822" s="13" t="inlineStr">
        <is>
          <t>📦 ZIP Package</t>
        </is>
      </c>
      <c r="K822" s="15" t="n">
        <v>86.40000000000001</v>
      </c>
      <c r="L822" s="16">
        <f>HYPERLINK("http://127.0.0.1:8000/api/documents/download?id=3031&amp;attachment=true", "⬇ Download Tender_999743_All_Docume")</f>
        <v/>
      </c>
      <c r="M822" s="16">
        <f>HYPERLINK("http://localhost:5173/?state=Andhra%20Pradesh&amp;keyword=Digital&amp;tender=999743", "🚀 Open in Portal")</f>
        <v/>
      </c>
    </row>
    <row r="823" ht="24" customHeight="1">
      <c r="A823" s="4" t="inlineStr">
        <is>
          <t>Andhra Pradesh</t>
        </is>
      </c>
      <c r="B823" s="5" t="inlineStr">
        <is>
          <t>Development</t>
        </is>
      </c>
      <c r="C823" s="6" t="inlineStr">
        <is>
          <t>1003062</t>
        </is>
      </c>
      <c r="D823" s="7" t="inlineStr">
        <is>
          <t>Development of Infrastructure facilities Viz., BT Roads, Water Supply, RCC Drains, Sewerage, Street lighting and Compound wall with barbed wire fencing in LPS Layout at Atmakur Village of Mangalagiri Mandal, Guntur District</t>
        </is>
      </c>
      <c r="E823" s="7" t="inlineStr">
        <is>
          <t>AP CAPITAL REGION DEVELOPMENT AUTHORITY-CHIEF ENGINEER- APCRDA</t>
        </is>
      </c>
      <c r="F823" s="6" t="inlineStr">
        <is>
          <t>04 Oct 2026</t>
        </is>
      </c>
      <c r="G823" s="5" t="inlineStr">
        <is>
          <t>23 Oct 2026</t>
        </is>
      </c>
      <c r="H823" s="17" t="inlineStr">
        <is>
          <t>🟢 LIVE ACTIVE</t>
        </is>
      </c>
      <c r="I823" s="4" t="inlineStr">
        <is>
          <t>BID DOCUMENT for Atmakur Development Area.pdf</t>
        </is>
      </c>
      <c r="J823" s="6" t="inlineStr">
        <is>
          <t>📕 PDF Document</t>
        </is>
      </c>
      <c r="K823" s="9" t="n">
        <v>1167.2</v>
      </c>
      <c r="L823" s="10">
        <f>HYPERLINK("http://127.0.0.1:8000/api/documents/download?id=2903&amp;attachment=true", "⬇ Download BID DOCUMENT for Atmakur")</f>
        <v/>
      </c>
      <c r="M823" s="10">
        <f>HYPERLINK("http://localhost:5173/?state=Andhra%20Pradesh&amp;keyword=Development&amp;tender=1003062", "🚀 Open in Portal")</f>
        <v/>
      </c>
    </row>
    <row r="824" ht="24" customHeight="1">
      <c r="A824" s="11" t="inlineStr">
        <is>
          <t>Andhra Pradesh</t>
        </is>
      </c>
      <c r="B824" s="12" t="inlineStr">
        <is>
          <t>Development</t>
        </is>
      </c>
      <c r="C824" s="13" t="inlineStr">
        <is>
          <t>1003062</t>
        </is>
      </c>
      <c r="D824" s="14" t="inlineStr">
        <is>
          <t>Development of Infrastructure facilities Viz., BT Roads, Water Supply, RCC Drains, Sewerage, Street lighting and Compound wall with barbed wire fencing in LPS Layout at Atmakur Village of Mangalagiri Mandal, Guntur District</t>
        </is>
      </c>
      <c r="E824" s="14" t="inlineStr">
        <is>
          <t>AP CAPITAL REGION DEVELOPMENT AUTHORITY-CHIEF ENGINEER- APCRDA</t>
        </is>
      </c>
      <c r="F824" s="13" t="inlineStr">
        <is>
          <t>04 Oct 2026</t>
        </is>
      </c>
      <c r="G824" s="12" t="inlineStr">
        <is>
          <t>23 Oct 2026</t>
        </is>
      </c>
      <c r="H824" s="17" t="inlineStr">
        <is>
          <t>🟢 LIVE ACTIVE</t>
        </is>
      </c>
      <c r="I824" s="11" t="inlineStr">
        <is>
          <t>Tender_1003062_All_Documents.zip</t>
        </is>
      </c>
      <c r="J824" s="13" t="inlineStr">
        <is>
          <t>📦 ZIP Package</t>
        </is>
      </c>
      <c r="K824" s="15" t="n">
        <v>952</v>
      </c>
      <c r="L824" s="16">
        <f>HYPERLINK("http://127.0.0.1:8000/api/documents/download?id=3034&amp;attachment=true", "⬇ Download Tender_1003062_All_Docum")</f>
        <v/>
      </c>
      <c r="M824" s="16">
        <f>HYPERLINK("http://localhost:5173/?state=Andhra%20Pradesh&amp;keyword=Development&amp;tender=1003062", "🚀 Open in Portal")</f>
        <v/>
      </c>
    </row>
    <row r="825" ht="24" customHeight="1">
      <c r="A825" s="4" t="inlineStr">
        <is>
          <t>Andhra Pradesh</t>
        </is>
      </c>
      <c r="B825" s="5" t="inlineStr">
        <is>
          <t>Development</t>
        </is>
      </c>
      <c r="C825" s="6" t="inlineStr">
        <is>
          <t>919416</t>
        </is>
      </c>
      <c r="D825" s="7" t="inlineStr">
        <is>
          <t>Development of 12MW Waste to Energy (WtE) Plant at Tirupati, Andhra Pradesh on PPP Basis</t>
        </is>
      </c>
      <c r="E825" s="7" t="inlineStr">
        <is>
          <t>NREDCAP LTD-HEAD OFFICE</t>
        </is>
      </c>
      <c r="F825" s="6" t="inlineStr">
        <is>
          <t>23 Sep 2026</t>
        </is>
      </c>
      <c r="G825" s="5" t="inlineStr">
        <is>
          <t>17 Oct 2026</t>
        </is>
      </c>
      <c r="H825" s="8" t="inlineStr">
        <is>
          <t>⏳ UPCOMING</t>
        </is>
      </c>
      <c r="I825" s="4" t="inlineStr">
        <is>
          <t>Model PPA for new TPT WtE projects_01042026.pdf</t>
        </is>
      </c>
      <c r="J825" s="6" t="inlineStr">
        <is>
          <t>📕 PDF Document</t>
        </is>
      </c>
      <c r="K825" s="9" t="n">
        <v>819.6</v>
      </c>
      <c r="L825" s="10">
        <f>HYPERLINK("http://127.0.0.1:8000/api/documents/download?id=2886&amp;attachment=true", "⬇ Download Model PPA for new TPT Wt")</f>
        <v/>
      </c>
      <c r="M825" s="10">
        <f>HYPERLINK("http://localhost:5173/?state=Andhra%20Pradesh&amp;keyword=Development&amp;tender=919416", "🚀 Open in Portal")</f>
        <v/>
      </c>
    </row>
    <row r="826" ht="24" customHeight="1">
      <c r="A826" s="11" t="inlineStr">
        <is>
          <t>Andhra Pradesh</t>
        </is>
      </c>
      <c r="B826" s="12" t="inlineStr">
        <is>
          <t>Development</t>
        </is>
      </c>
      <c r="C826" s="13" t="inlineStr">
        <is>
          <t>919416</t>
        </is>
      </c>
      <c r="D826" s="14" t="inlineStr">
        <is>
          <t>Development of 12MW Waste to Energy (WtE) Plant at Tirupati, Andhra Pradesh on PPP Basis</t>
        </is>
      </c>
      <c r="E826" s="14" t="inlineStr">
        <is>
          <t>NREDCAP LTD-HEAD OFFICE</t>
        </is>
      </c>
      <c r="F826" s="13" t="inlineStr">
        <is>
          <t>23 Sep 2026</t>
        </is>
      </c>
      <c r="G826" s="12" t="inlineStr">
        <is>
          <t>17 Oct 2026</t>
        </is>
      </c>
      <c r="H826" s="8" t="inlineStr">
        <is>
          <t>⏳ UPCOMING</t>
        </is>
      </c>
      <c r="I826" s="11" t="inlineStr">
        <is>
          <t>DCA_Wte_Tirupathi_NITI_01042026.pdf</t>
        </is>
      </c>
      <c r="J826" s="13" t="inlineStr">
        <is>
          <t>📕 PDF Document</t>
        </is>
      </c>
      <c r="K826" s="15" t="n">
        <v>1201.2</v>
      </c>
      <c r="L826" s="16">
        <f>HYPERLINK("http://127.0.0.1:8000/api/documents/download?id=2887&amp;attachment=true", "⬇ Download DCA_Wte_Tirupathi_NITI_0")</f>
        <v/>
      </c>
      <c r="M826" s="16">
        <f>HYPERLINK("http://localhost:5173/?state=Andhra%20Pradesh&amp;keyword=Development&amp;tender=919416", "🚀 Open in Portal")</f>
        <v/>
      </c>
    </row>
    <row r="827" ht="24" customHeight="1">
      <c r="A827" s="4" t="inlineStr">
        <is>
          <t>Andhra Pradesh</t>
        </is>
      </c>
      <c r="B827" s="5" t="inlineStr">
        <is>
          <t>Development</t>
        </is>
      </c>
      <c r="C827" s="6" t="inlineStr">
        <is>
          <t>919416</t>
        </is>
      </c>
      <c r="D827" s="7" t="inlineStr">
        <is>
          <t>Development of 12MW Waste to Energy (WtE) Plant at Tirupati, Andhra Pradesh on PPP Basis</t>
        </is>
      </c>
      <c r="E827" s="7" t="inlineStr">
        <is>
          <t>NREDCAP LTD-HEAD OFFICE</t>
        </is>
      </c>
      <c r="F827" s="6" t="inlineStr">
        <is>
          <t>23 Sep 2026</t>
        </is>
      </c>
      <c r="G827" s="5" t="inlineStr">
        <is>
          <t>17 Oct 2026</t>
        </is>
      </c>
      <c r="H827" s="8" t="inlineStr">
        <is>
          <t>⏳ UPCOMING</t>
        </is>
      </c>
      <c r="I827" s="4" t="inlineStr">
        <is>
          <t>RFP_Tirupathi_NITI_01042026.pdf</t>
        </is>
      </c>
      <c r="J827" s="6" t="inlineStr">
        <is>
          <t>📕 PDF Document</t>
        </is>
      </c>
      <c r="K827" s="9" t="n">
        <v>1006</v>
      </c>
      <c r="L827" s="10">
        <f>HYPERLINK("http://127.0.0.1:8000/api/documents/download?id=2888&amp;attachment=true", "⬇ Download RFP_Tirupathi_NITI_01042")</f>
        <v/>
      </c>
      <c r="M827" s="10">
        <f>HYPERLINK("http://localhost:5173/?state=Andhra%20Pradesh&amp;keyword=Development&amp;tender=919416", "🚀 Open in Portal")</f>
        <v/>
      </c>
    </row>
    <row r="828" ht="24" customHeight="1">
      <c r="A828" s="11" t="inlineStr">
        <is>
          <t>Andhra Pradesh</t>
        </is>
      </c>
      <c r="B828" s="12" t="inlineStr">
        <is>
          <t>Development</t>
        </is>
      </c>
      <c r="C828" s="13" t="inlineStr">
        <is>
          <t>919416</t>
        </is>
      </c>
      <c r="D828" s="14" t="inlineStr">
        <is>
          <t>Development of 12MW Waste to Energy (WtE) Plant at Tirupati, Andhra Pradesh on PPP Basis</t>
        </is>
      </c>
      <c r="E828" s="14" t="inlineStr">
        <is>
          <t>NREDCAP LTD-HEAD OFFICE</t>
        </is>
      </c>
      <c r="F828" s="13" t="inlineStr">
        <is>
          <t>23 Sep 2026</t>
        </is>
      </c>
      <c r="G828" s="12" t="inlineStr">
        <is>
          <t>17 Oct 2026</t>
        </is>
      </c>
      <c r="H828" s="8" t="inlineStr">
        <is>
          <t>⏳ UPCOMING</t>
        </is>
      </c>
      <c r="I828" s="11" t="inlineStr">
        <is>
          <t>Schedule_Tirupati- 01042026.pdf</t>
        </is>
      </c>
      <c r="J828" s="13" t="inlineStr">
        <is>
          <t>📕 PDF Document</t>
        </is>
      </c>
      <c r="K828" s="15" t="n">
        <v>1028.5</v>
      </c>
      <c r="L828" s="16">
        <f>HYPERLINK("http://127.0.0.1:8000/api/documents/download?id=2889&amp;attachment=true", "⬇ Download Schedule_Tirupati- 01042")</f>
        <v/>
      </c>
      <c r="M828" s="16">
        <f>HYPERLINK("http://localhost:5173/?state=Andhra%20Pradesh&amp;keyword=Development&amp;tender=919416", "🚀 Open in Portal")</f>
        <v/>
      </c>
    </row>
    <row r="829" ht="24" customHeight="1">
      <c r="A829" s="4" t="inlineStr">
        <is>
          <t>Andhra Pradesh</t>
        </is>
      </c>
      <c r="B829" s="5" t="inlineStr">
        <is>
          <t>Development</t>
        </is>
      </c>
      <c r="C829" s="6" t="inlineStr">
        <is>
          <t>919416</t>
        </is>
      </c>
      <c r="D829" s="7" t="inlineStr">
        <is>
          <t>Development of 12MW Waste to Energy (WtE) Plant at Tirupati, Andhra Pradesh on PPP Basis</t>
        </is>
      </c>
      <c r="E829" s="7" t="inlineStr">
        <is>
          <t>NREDCAP LTD-HEAD OFFICE</t>
        </is>
      </c>
      <c r="F829" s="6" t="inlineStr">
        <is>
          <t>23 Sep 2026</t>
        </is>
      </c>
      <c r="G829" s="5" t="inlineStr">
        <is>
          <t>17 Oct 2026</t>
        </is>
      </c>
      <c r="H829" s="8" t="inlineStr">
        <is>
          <t>⏳ UPCOMING</t>
        </is>
      </c>
      <c r="I829" s="4" t="inlineStr">
        <is>
          <t>Tender_919416_All_Documents.zip</t>
        </is>
      </c>
      <c r="J829" s="6" t="inlineStr">
        <is>
          <t>📦 ZIP Package</t>
        </is>
      </c>
      <c r="K829" s="9" t="n">
        <v>3671.2</v>
      </c>
      <c r="L829" s="10">
        <f>HYPERLINK("http://127.0.0.1:8000/api/documents/download?id=2890&amp;attachment=true", "⬇ Download Tender_919416_All_Docume")</f>
        <v/>
      </c>
      <c r="M829" s="10">
        <f>HYPERLINK("http://localhost:5173/?state=Andhra%20Pradesh&amp;keyword=Development&amp;tender=919416", "🚀 Open in Portal")</f>
        <v/>
      </c>
    </row>
    <row r="830" ht="24" customHeight="1">
      <c r="A830" s="11" t="inlineStr">
        <is>
          <t>Andhra Pradesh</t>
        </is>
      </c>
      <c r="B830" s="12" t="inlineStr">
        <is>
          <t>Development</t>
        </is>
      </c>
      <c r="C830" s="13" t="inlineStr">
        <is>
          <t>919442</t>
        </is>
      </c>
      <c r="D830" s="14" t="inlineStr">
        <is>
          <t>Development of 15MW Waste to Energy (WtE) Plant at Vijayawada, Andhra Pradesh on PPP Basis</t>
        </is>
      </c>
      <c r="E830" s="14" t="inlineStr">
        <is>
          <t>NREDCAP LTD-HEAD OFFICE</t>
        </is>
      </c>
      <c r="F830" s="13" t="inlineStr">
        <is>
          <t>17 Sep 2026</t>
        </is>
      </c>
      <c r="G830" s="12" t="inlineStr">
        <is>
          <t>15 Oct 2026</t>
        </is>
      </c>
      <c r="H830" s="8" t="inlineStr">
        <is>
          <t>⏳ UPCOMING</t>
        </is>
      </c>
      <c r="I830" s="11" t="inlineStr">
        <is>
          <t>Schedule_Vijayawada-01042026.pdf</t>
        </is>
      </c>
      <c r="J830" s="13" t="inlineStr">
        <is>
          <t>📕 PDF Document</t>
        </is>
      </c>
      <c r="K830" s="15" t="n">
        <v>920.1</v>
      </c>
      <c r="L830" s="16">
        <f>HYPERLINK("http://127.0.0.1:8000/api/documents/download?id=2881&amp;attachment=true", "⬇ Download Schedule_Vijayawada-0104")</f>
        <v/>
      </c>
      <c r="M830" s="16">
        <f>HYPERLINK("http://localhost:5173/?state=Andhra%20Pradesh&amp;keyword=Development&amp;tender=919442", "🚀 Open in Portal")</f>
        <v/>
      </c>
    </row>
    <row r="831" ht="24" customHeight="1">
      <c r="A831" s="4" t="inlineStr">
        <is>
          <t>Andhra Pradesh</t>
        </is>
      </c>
      <c r="B831" s="5" t="inlineStr">
        <is>
          <t>Development</t>
        </is>
      </c>
      <c r="C831" s="6" t="inlineStr">
        <is>
          <t>919442</t>
        </is>
      </c>
      <c r="D831" s="7" t="inlineStr">
        <is>
          <t>Development of 15MW Waste to Energy (WtE) Plant at Vijayawada, Andhra Pradesh on PPP Basis</t>
        </is>
      </c>
      <c r="E831" s="7" t="inlineStr">
        <is>
          <t>NREDCAP LTD-HEAD OFFICE</t>
        </is>
      </c>
      <c r="F831" s="6" t="inlineStr">
        <is>
          <t>17 Sep 2026</t>
        </is>
      </c>
      <c r="G831" s="5" t="inlineStr">
        <is>
          <t>15 Oct 2026</t>
        </is>
      </c>
      <c r="H831" s="8" t="inlineStr">
        <is>
          <t>⏳ UPCOMING</t>
        </is>
      </c>
      <c r="I831" s="4" t="inlineStr">
        <is>
          <t>DCA_Wte_Vijayawada_NITI_01042026.pdf</t>
        </is>
      </c>
      <c r="J831" s="6" t="inlineStr">
        <is>
          <t>📕 PDF Document</t>
        </is>
      </c>
      <c r="K831" s="9" t="n">
        <v>1190.5</v>
      </c>
      <c r="L831" s="10">
        <f>HYPERLINK("http://127.0.0.1:8000/api/documents/download?id=2882&amp;attachment=true", "⬇ Download DCA_Wte_Vijayawada_NITI_")</f>
        <v/>
      </c>
      <c r="M831" s="10">
        <f>HYPERLINK("http://localhost:5173/?state=Andhra%20Pradesh&amp;keyword=Development&amp;tender=919442", "🚀 Open in Portal")</f>
        <v/>
      </c>
    </row>
    <row r="832" ht="24" customHeight="1">
      <c r="A832" s="11" t="inlineStr">
        <is>
          <t>Andhra Pradesh</t>
        </is>
      </c>
      <c r="B832" s="12" t="inlineStr">
        <is>
          <t>Development</t>
        </is>
      </c>
      <c r="C832" s="13" t="inlineStr">
        <is>
          <t>919442</t>
        </is>
      </c>
      <c r="D832" s="14" t="inlineStr">
        <is>
          <t>Development of 15MW Waste to Energy (WtE) Plant at Vijayawada, Andhra Pradesh on PPP Basis</t>
        </is>
      </c>
      <c r="E832" s="14" t="inlineStr">
        <is>
          <t>NREDCAP LTD-HEAD OFFICE</t>
        </is>
      </c>
      <c r="F832" s="13" t="inlineStr">
        <is>
          <t>17 Sep 2026</t>
        </is>
      </c>
      <c r="G832" s="12" t="inlineStr">
        <is>
          <t>15 Oct 2026</t>
        </is>
      </c>
      <c r="H832" s="8" t="inlineStr">
        <is>
          <t>⏳ UPCOMING</t>
        </is>
      </c>
      <c r="I832" s="11" t="inlineStr">
        <is>
          <t>Model PPA for new VJA WtE projects_01042026.pdf</t>
        </is>
      </c>
      <c r="J832" s="13" t="inlineStr">
        <is>
          <t>📕 PDF Document</t>
        </is>
      </c>
      <c r="K832" s="15" t="n">
        <v>623.7</v>
      </c>
      <c r="L832" s="16">
        <f>HYPERLINK("http://127.0.0.1:8000/api/documents/download?id=2883&amp;attachment=true", "⬇ Download Model PPA for new VJA Wt")</f>
        <v/>
      </c>
      <c r="M832" s="16">
        <f>HYPERLINK("http://localhost:5173/?state=Andhra%20Pradesh&amp;keyword=Development&amp;tender=919442", "🚀 Open in Portal")</f>
        <v/>
      </c>
    </row>
    <row r="833" ht="24" customHeight="1">
      <c r="A833" s="4" t="inlineStr">
        <is>
          <t>Andhra Pradesh</t>
        </is>
      </c>
      <c r="B833" s="5" t="inlineStr">
        <is>
          <t>Development</t>
        </is>
      </c>
      <c r="C833" s="6" t="inlineStr">
        <is>
          <t>919442</t>
        </is>
      </c>
      <c r="D833" s="7" t="inlineStr">
        <is>
          <t>Development of 15MW Waste to Energy (WtE) Plant at Vijayawada, Andhra Pradesh on PPP Basis</t>
        </is>
      </c>
      <c r="E833" s="7" t="inlineStr">
        <is>
          <t>NREDCAP LTD-HEAD OFFICE</t>
        </is>
      </c>
      <c r="F833" s="6" t="inlineStr">
        <is>
          <t>17 Sep 2026</t>
        </is>
      </c>
      <c r="G833" s="5" t="inlineStr">
        <is>
          <t>15 Oct 2026</t>
        </is>
      </c>
      <c r="H833" s="8" t="inlineStr">
        <is>
          <t>⏳ UPCOMING</t>
        </is>
      </c>
      <c r="I833" s="4" t="inlineStr">
        <is>
          <t>RFP_Vijayawada_NITI_01042026.pdf</t>
        </is>
      </c>
      <c r="J833" s="6" t="inlineStr">
        <is>
          <t>📕 PDF Document</t>
        </is>
      </c>
      <c r="K833" s="9" t="n">
        <v>936.4</v>
      </c>
      <c r="L833" s="10">
        <f>HYPERLINK("http://127.0.0.1:8000/api/documents/download?id=2884&amp;attachment=true", "⬇ Download RFP_Vijayawada_NITI_0104")</f>
        <v/>
      </c>
      <c r="M833" s="10">
        <f>HYPERLINK("http://localhost:5173/?state=Andhra%20Pradesh&amp;keyword=Development&amp;tender=919442", "🚀 Open in Portal")</f>
        <v/>
      </c>
    </row>
    <row r="834" ht="24" customHeight="1">
      <c r="A834" s="11" t="inlineStr">
        <is>
          <t>Andhra Pradesh</t>
        </is>
      </c>
      <c r="B834" s="12" t="inlineStr">
        <is>
          <t>Development</t>
        </is>
      </c>
      <c r="C834" s="13" t="inlineStr">
        <is>
          <t>919442</t>
        </is>
      </c>
      <c r="D834" s="14" t="inlineStr">
        <is>
          <t>Development of 15MW Waste to Energy (WtE) Plant at Vijayawada, Andhra Pradesh on PPP Basis</t>
        </is>
      </c>
      <c r="E834" s="14" t="inlineStr">
        <is>
          <t>NREDCAP LTD-HEAD OFFICE</t>
        </is>
      </c>
      <c r="F834" s="13" t="inlineStr">
        <is>
          <t>17 Sep 2026</t>
        </is>
      </c>
      <c r="G834" s="12" t="inlineStr">
        <is>
          <t>15 Oct 2026</t>
        </is>
      </c>
      <c r="H834" s="8" t="inlineStr">
        <is>
          <t>⏳ UPCOMING</t>
        </is>
      </c>
      <c r="I834" s="11" t="inlineStr">
        <is>
          <t>Tender_919442_All_Documents.zip</t>
        </is>
      </c>
      <c r="J834" s="13" t="inlineStr">
        <is>
          <t>📦 ZIP Package</t>
        </is>
      </c>
      <c r="K834" s="15" t="n">
        <v>3357</v>
      </c>
      <c r="L834" s="16">
        <f>HYPERLINK("http://127.0.0.1:8000/api/documents/download?id=2885&amp;attachment=true", "⬇ Download Tender_919442_All_Docume")</f>
        <v/>
      </c>
      <c r="M834" s="16">
        <f>HYPERLINK("http://localhost:5173/?state=Andhra%20Pradesh&amp;keyword=Development&amp;tender=919442", "🚀 Open in Portal")</f>
        <v/>
      </c>
    </row>
    <row r="835" ht="24" customHeight="1">
      <c r="A835" s="4" t="inlineStr">
        <is>
          <t>Andhra Pradesh</t>
        </is>
      </c>
      <c r="B835" s="5" t="inlineStr">
        <is>
          <t>Development</t>
        </is>
      </c>
      <c r="C835" s="6" t="inlineStr">
        <is>
          <t>989411</t>
        </is>
      </c>
      <c r="D835" s="7" t="inlineStr">
        <is>
          <t>Procurement of servers for development and deployment of SLDC IT applications which includes supply, delivery, installa-tion, configuration, integration, testing and commissioning of one (1) No. server</t>
        </is>
      </c>
      <c r="E835" s="7" t="inlineStr">
        <is>
          <t>APTRANSCO WORKS-Chief Engineer, Telecom &amp; IT Vijayawada</t>
        </is>
      </c>
      <c r="F835" s="6" t="inlineStr">
        <is>
          <t>09 Oct 2026</t>
        </is>
      </c>
      <c r="G835" s="5" t="inlineStr">
        <is>
          <t>28 Oct 2026</t>
        </is>
      </c>
      <c r="H835" s="17" t="inlineStr">
        <is>
          <t>🟢 LIVE ACTIVE</t>
        </is>
      </c>
      <c r="I835" s="4" t="inlineStr">
        <is>
          <t>pMMTC3e-44-2026.pdf</t>
        </is>
      </c>
      <c r="J835" s="6" t="inlineStr">
        <is>
          <t>📕 PDF Document</t>
        </is>
      </c>
      <c r="K835" s="9" t="n">
        <v>730.6</v>
      </c>
      <c r="L835" s="10">
        <f>HYPERLINK("http://127.0.0.1:8000/api/documents/download?id=2904&amp;attachment=true", "⬇ Download pMMTC3e-44-2026.pdf")</f>
        <v/>
      </c>
      <c r="M835" s="10">
        <f>HYPERLINK("http://localhost:5173/?state=Andhra%20Pradesh&amp;keyword=Development&amp;tender=989411", "🚀 Open in Portal")</f>
        <v/>
      </c>
    </row>
    <row r="836" ht="24" customHeight="1">
      <c r="A836" s="11" t="inlineStr">
        <is>
          <t>Andhra Pradesh</t>
        </is>
      </c>
      <c r="B836" s="12" t="inlineStr">
        <is>
          <t>Development</t>
        </is>
      </c>
      <c r="C836" s="13" t="inlineStr">
        <is>
          <t>989411</t>
        </is>
      </c>
      <c r="D836" s="14" t="inlineStr">
        <is>
          <t>Procurement of servers for development and deployment of SLDC IT applications which includes supply, delivery, installa-tion, configuration, integration, testing and commissioning of one (1) No. server</t>
        </is>
      </c>
      <c r="E836" s="14" t="inlineStr">
        <is>
          <t>APTRANSCO WORKS-Chief Engineer, Telecom &amp; IT Vijayawada</t>
        </is>
      </c>
      <c r="F836" s="13" t="inlineStr">
        <is>
          <t>09 Oct 2026</t>
        </is>
      </c>
      <c r="G836" s="12" t="inlineStr">
        <is>
          <t>28 Oct 2026</t>
        </is>
      </c>
      <c r="H836" s="17" t="inlineStr">
        <is>
          <t>🟢 LIVE ACTIVE</t>
        </is>
      </c>
      <c r="I836" s="11" t="inlineStr">
        <is>
          <t>Tender_989411_All_Documents.zip</t>
        </is>
      </c>
      <c r="J836" s="13" t="inlineStr">
        <is>
          <t>📦 ZIP Package</t>
        </is>
      </c>
      <c r="K836" s="15" t="n">
        <v>621.7</v>
      </c>
      <c r="L836" s="16">
        <f>HYPERLINK("http://127.0.0.1:8000/api/documents/download?id=3035&amp;attachment=true", "⬇ Download Tender_989411_All_Docume")</f>
        <v/>
      </c>
      <c r="M836" s="16">
        <f>HYPERLINK("http://localhost:5173/?state=Andhra%20Pradesh&amp;keyword=Development&amp;tender=989411", "🚀 Open in Portal")</f>
        <v/>
      </c>
    </row>
    <row r="837" ht="24" customHeight="1">
      <c r="A837" s="4" t="inlineStr">
        <is>
          <t>Andhra Pradesh</t>
        </is>
      </c>
      <c r="B837" s="5" t="inlineStr">
        <is>
          <t>Development</t>
        </is>
      </c>
      <c r="C837" s="6" t="inlineStr">
        <is>
          <t>997108</t>
        </is>
      </c>
      <c r="D837" s="7" t="inlineStr">
        <is>
          <t>Software Development, Data Processing, and Results Preparation (SDDPRP) for examinations to be conducted by the Board of Intermediate Education, Andhra Pradesh for the Academic year 2026-2027.</t>
        </is>
      </c>
      <c r="E837" s="7" t="inlineStr">
        <is>
          <t>Board of Intermediate Education-Secretary BIE AP</t>
        </is>
      </c>
      <c r="F837" s="6" t="inlineStr">
        <is>
          <t>27 Aug 2026</t>
        </is>
      </c>
      <c r="G837" s="5" t="inlineStr">
        <is>
          <t>18 Sep 2026</t>
        </is>
      </c>
      <c r="H837" s="8" t="inlineStr">
        <is>
          <t>⏳ UPCOMING</t>
        </is>
      </c>
      <c r="I837" s="4" t="inlineStr">
        <is>
          <t>SDDPRP Tender Document Final.pdf</t>
        </is>
      </c>
      <c r="J837" s="6" t="inlineStr">
        <is>
          <t>📕 PDF Document</t>
        </is>
      </c>
      <c r="K837" s="9" t="n">
        <v>1189.5</v>
      </c>
      <c r="L837" s="10">
        <f>HYPERLINK("http://127.0.0.1:8000/api/documents/download?id=2613&amp;attachment=true", "⬇ Download SDDPRP Tender Document F")</f>
        <v/>
      </c>
      <c r="M837" s="10">
        <f>HYPERLINK("http://localhost:5173/?state=Andhra%20Pradesh&amp;keyword=Development&amp;tender=997108", "🚀 Open in Portal")</f>
        <v/>
      </c>
    </row>
    <row r="838" ht="24" customHeight="1">
      <c r="A838" s="11" t="inlineStr">
        <is>
          <t>Andhra Pradesh</t>
        </is>
      </c>
      <c r="B838" s="12" t="inlineStr">
        <is>
          <t>Development</t>
        </is>
      </c>
      <c r="C838" s="13" t="inlineStr">
        <is>
          <t>997108</t>
        </is>
      </c>
      <c r="D838" s="14" t="inlineStr">
        <is>
          <t>Software Development, Data Processing, and Results Preparation (SDDPRP) for examinations to be conducted by the Board of Intermediate Education, Andhra Pradesh for the Academic year 2026-2027.</t>
        </is>
      </c>
      <c r="E838" s="14" t="inlineStr">
        <is>
          <t>Board of Intermediate Education-Secretary BIE AP</t>
        </is>
      </c>
      <c r="F838" s="13" t="inlineStr">
        <is>
          <t>27 Aug 2026</t>
        </is>
      </c>
      <c r="G838" s="12" t="inlineStr">
        <is>
          <t>18 Sep 2026</t>
        </is>
      </c>
      <c r="H838" s="8" t="inlineStr">
        <is>
          <t>⏳ UPCOMING</t>
        </is>
      </c>
      <c r="I838" s="11" t="inlineStr">
        <is>
          <t>Tender_997108_All_Documents.zip</t>
        </is>
      </c>
      <c r="J838" s="13" t="inlineStr">
        <is>
          <t>📦 ZIP Package</t>
        </is>
      </c>
      <c r="K838" s="15" t="n">
        <v>1158</v>
      </c>
      <c r="L838" s="16">
        <f>HYPERLINK("http://127.0.0.1:8000/api/documents/download?id=2998&amp;attachment=true", "⬇ Download Tender_997108_All_Docume")</f>
        <v/>
      </c>
      <c r="M838" s="16">
        <f>HYPERLINK("http://localhost:5173/?state=Andhra%20Pradesh&amp;keyword=Development&amp;tender=997108", "🚀 Open in Portal")</f>
        <v/>
      </c>
    </row>
    <row r="839" ht="24" customHeight="1">
      <c r="A839" s="4" t="inlineStr">
        <is>
          <t>Andhra Pradesh</t>
        </is>
      </c>
      <c r="B839" s="5" t="inlineStr">
        <is>
          <t>Development</t>
        </is>
      </c>
      <c r="C839" s="6" t="inlineStr">
        <is>
          <t>999166</t>
        </is>
      </c>
      <c r="D839" s="7" t="inlineStr">
        <is>
          <t>Public Health Rajamahendravaram Circel - Hybrid Annunity Model (HAM) - Providing Rivefront, Heritage, Streetscape, Recreation and Civic Infrastructure Development Works under HAM for Godavari Pushkaralu 2027 in Rajamahendravaram Municipal Corporation - RJY- Package - V</t>
        </is>
      </c>
      <c r="E839" s="7" t="inlineStr">
        <is>
          <t>PHMED-SE PHMED RAJAHMUNDRY</t>
        </is>
      </c>
      <c r="F839" s="6" t="inlineStr">
        <is>
          <t>29 Sep 2026</t>
        </is>
      </c>
      <c r="G839" s="5" t="inlineStr">
        <is>
          <t>21 Oct 2026</t>
        </is>
      </c>
      <c r="H839" s="18" t="inlineStr">
        <is>
          <t>⚠️ CLOSING SOON</t>
        </is>
      </c>
      <c r="I839" s="4" t="inlineStr">
        <is>
          <t>Package 5 declaration.pdf</t>
        </is>
      </c>
      <c r="J839" s="6" t="inlineStr">
        <is>
          <t>📕 PDF Document</t>
        </is>
      </c>
      <c r="K839" s="9" t="n">
        <v>371.7</v>
      </c>
      <c r="L839" s="10">
        <f>HYPERLINK("http://127.0.0.1:8000/api/documents/download?id=2891&amp;attachment=true", "⬇ Download Package 5 declaration.pd")</f>
        <v/>
      </c>
      <c r="M839" s="10">
        <f>HYPERLINK("http://localhost:5173/?state=Andhra%20Pradesh&amp;keyword=Development&amp;tender=999166", "🚀 Open in Portal")</f>
        <v/>
      </c>
    </row>
    <row r="840" ht="24" customHeight="1">
      <c r="A840" s="11" t="inlineStr">
        <is>
          <t>Andhra Pradesh</t>
        </is>
      </c>
      <c r="B840" s="12" t="inlineStr">
        <is>
          <t>Development</t>
        </is>
      </c>
      <c r="C840" s="13" t="inlineStr">
        <is>
          <t>999166</t>
        </is>
      </c>
      <c r="D840" s="14" t="inlineStr">
        <is>
          <t>Public Health Rajamahendravaram Circel - Hybrid Annunity Model (HAM) - Providing Rivefront, Heritage, Streetscape, Recreation and Civic Infrastructure Development Works under HAM for Godavari Pushkaralu 2027 in Rajamahendravaram Municipal Corporation - RJY- Package - V</t>
        </is>
      </c>
      <c r="E840" s="14" t="inlineStr">
        <is>
          <t>PHMED-SE PHMED RAJAHMUNDRY</t>
        </is>
      </c>
      <c r="F840" s="13" t="inlineStr">
        <is>
          <t>29 Sep 2026</t>
        </is>
      </c>
      <c r="G840" s="12" t="inlineStr">
        <is>
          <t>21 Oct 2026</t>
        </is>
      </c>
      <c r="H840" s="18" t="inlineStr">
        <is>
          <t>⚠️ CLOSING SOON</t>
        </is>
      </c>
      <c r="I840" s="11" t="inlineStr">
        <is>
          <t>Package 5 Experince qty.xlsx</t>
        </is>
      </c>
      <c r="J840" s="13" t="inlineStr">
        <is>
          <t>📊 Excel BOQ</t>
        </is>
      </c>
      <c r="K840" s="15" t="n">
        <v>9.6</v>
      </c>
      <c r="L840" s="16">
        <f>HYPERLINK("http://127.0.0.1:8000/api/documents/download?id=2892&amp;attachment=true", "⬇ Download Package 5 Experince qty.")</f>
        <v/>
      </c>
      <c r="M840" s="16">
        <f>HYPERLINK("http://localhost:5173/?state=Andhra%20Pradesh&amp;keyword=Development&amp;tender=999166", "🚀 Open in Portal")</f>
        <v/>
      </c>
    </row>
    <row r="841" ht="24" customHeight="1">
      <c r="A841" s="4" t="inlineStr">
        <is>
          <t>Andhra Pradesh</t>
        </is>
      </c>
      <c r="B841" s="5" t="inlineStr">
        <is>
          <t>Development</t>
        </is>
      </c>
      <c r="C841" s="6" t="inlineStr">
        <is>
          <t>999166</t>
        </is>
      </c>
      <c r="D841" s="7" t="inlineStr">
        <is>
          <t>Public Health Rajamahendravaram Circel - Hybrid Annunity Model (HAM) - Providing Rivefront, Heritage, Streetscape, Recreation and Civic Infrastructure Development Works under HAM for Godavari Pushkaralu 2027 in Rajamahendravaram Municipal Corporation - RJY- Package - V</t>
        </is>
      </c>
      <c r="E841" s="7" t="inlineStr">
        <is>
          <t>PHMED-SE PHMED RAJAHMUNDRY</t>
        </is>
      </c>
      <c r="F841" s="6" t="inlineStr">
        <is>
          <t>29 Sep 2026</t>
        </is>
      </c>
      <c r="G841" s="5" t="inlineStr">
        <is>
          <t>21 Oct 2026</t>
        </is>
      </c>
      <c r="H841" s="18" t="inlineStr">
        <is>
          <t>⚠️ CLOSING SOON</t>
        </is>
      </c>
      <c r="I841" s="4" t="inlineStr">
        <is>
          <t>Volume 1 (RFP) 30.09.2026) Corrected- package V.docx</t>
        </is>
      </c>
      <c r="J841" s="6" t="inlineStr">
        <is>
          <t>📄 DOCX</t>
        </is>
      </c>
      <c r="K841" s="9" t="n">
        <v>232.6</v>
      </c>
      <c r="L841" s="10">
        <f>HYPERLINK("http://127.0.0.1:8000/api/documents/download?id=2893&amp;attachment=true", "⬇ Download Volume 1 (RFP) 30.09.202")</f>
        <v/>
      </c>
      <c r="M841" s="10">
        <f>HYPERLINK("http://localhost:5173/?state=Andhra%20Pradesh&amp;keyword=Development&amp;tender=999166", "🚀 Open in Portal")</f>
        <v/>
      </c>
    </row>
    <row r="842" ht="24" customHeight="1">
      <c r="A842" s="11" t="inlineStr">
        <is>
          <t>Andhra Pradesh</t>
        </is>
      </c>
      <c r="B842" s="12" t="inlineStr">
        <is>
          <t>Development</t>
        </is>
      </c>
      <c r="C842" s="13" t="inlineStr">
        <is>
          <t>999166</t>
        </is>
      </c>
      <c r="D842" s="14" t="inlineStr">
        <is>
          <t>Public Health Rajamahendravaram Circel - Hybrid Annunity Model (HAM) - Providing Rivefront, Heritage, Streetscape, Recreation and Civic Infrastructure Development Works under HAM for Godavari Pushkaralu 2027 in Rajamahendravaram Municipal Corporation - RJY- Package - V</t>
        </is>
      </c>
      <c r="E842" s="14" t="inlineStr">
        <is>
          <t>PHMED-SE PHMED RAJAHMUNDRY</t>
        </is>
      </c>
      <c r="F842" s="13" t="inlineStr">
        <is>
          <t>29 Sep 2026</t>
        </is>
      </c>
      <c r="G842" s="12" t="inlineStr">
        <is>
          <t>21 Oct 2026</t>
        </is>
      </c>
      <c r="H842" s="18" t="inlineStr">
        <is>
          <t>⚠️ CLOSING SOON</t>
        </is>
      </c>
      <c r="I842" s="11" t="inlineStr">
        <is>
          <t>Workbook1.xlsx Part-II - Pack-V.xlsx</t>
        </is>
      </c>
      <c r="J842" s="13" t="inlineStr">
        <is>
          <t>📊 Excel BOQ</t>
        </is>
      </c>
      <c r="K842" s="15" t="n">
        <v>129.8</v>
      </c>
      <c r="L842" s="16">
        <f>HYPERLINK("http://127.0.0.1:8000/api/documents/download?id=2894&amp;attachment=true", "⬇ Download Workbook1.xlsx Part-II -")</f>
        <v/>
      </c>
      <c r="M842" s="16">
        <f>HYPERLINK("http://localhost:5173/?state=Andhra%20Pradesh&amp;keyword=Development&amp;tender=999166", "🚀 Open in Portal")</f>
        <v/>
      </c>
    </row>
    <row r="843" ht="24" customHeight="1">
      <c r="A843" s="4" t="inlineStr">
        <is>
          <t>Andhra Pradesh</t>
        </is>
      </c>
      <c r="B843" s="5" t="inlineStr">
        <is>
          <t>Development</t>
        </is>
      </c>
      <c r="C843" s="6" t="inlineStr">
        <is>
          <t>999166</t>
        </is>
      </c>
      <c r="D843" s="7" t="inlineStr">
        <is>
          <t>Public Health Rajamahendravaram Circel - Hybrid Annunity Model (HAM) - Providing Rivefront, Heritage, Streetscape, Recreation and Civic Infrastructure Development Works under HAM for Godavari Pushkaralu 2027 in Rajamahendravaram Municipal Corporation - RJY- Package - V</t>
        </is>
      </c>
      <c r="E843" s="7" t="inlineStr">
        <is>
          <t>PHMED-SE PHMED RAJAHMUNDRY</t>
        </is>
      </c>
      <c r="F843" s="6" t="inlineStr">
        <is>
          <t>29 Sep 2026</t>
        </is>
      </c>
      <c r="G843" s="5" t="inlineStr">
        <is>
          <t>21 Oct 2026</t>
        </is>
      </c>
      <c r="H843" s="18" t="inlineStr">
        <is>
          <t>⚠️ CLOSING SOON</t>
        </is>
      </c>
      <c r="I843" s="4" t="inlineStr">
        <is>
          <t>NIT - HAM - Package-V 30.09.2026 corrected.docx</t>
        </is>
      </c>
      <c r="J843" s="6" t="inlineStr">
        <is>
          <t>📄 DOCX</t>
        </is>
      </c>
      <c r="K843" s="9" t="n">
        <v>57.1</v>
      </c>
      <c r="L843" s="10">
        <f>HYPERLINK("http://127.0.0.1:8000/api/documents/download?id=2895&amp;attachment=true", "⬇ Download NIT - HAM - Package-V 30")</f>
        <v/>
      </c>
      <c r="M843" s="10">
        <f>HYPERLINK("http://localhost:5173/?state=Andhra%20Pradesh&amp;keyword=Development&amp;tender=999166", "🚀 Open in Portal")</f>
        <v/>
      </c>
    </row>
    <row r="844" ht="24" customHeight="1">
      <c r="A844" s="11" t="inlineStr">
        <is>
          <t>Andhra Pradesh</t>
        </is>
      </c>
      <c r="B844" s="12" t="inlineStr">
        <is>
          <t>Development</t>
        </is>
      </c>
      <c r="C844" s="13" t="inlineStr">
        <is>
          <t>999166</t>
        </is>
      </c>
      <c r="D844" s="14" t="inlineStr">
        <is>
          <t>Public Health Rajamahendravaram Circel - Hybrid Annunity Model (HAM) - Providing Rivefront, Heritage, Streetscape, Recreation and Civic Infrastructure Development Works under HAM for Godavari Pushkaralu 2027 in Rajamahendravaram Municipal Corporation - RJY- Package - V</t>
        </is>
      </c>
      <c r="E844" s="14" t="inlineStr">
        <is>
          <t>PHMED-SE PHMED RAJAHMUNDRY</t>
        </is>
      </c>
      <c r="F844" s="13" t="inlineStr">
        <is>
          <t>29 Sep 2026</t>
        </is>
      </c>
      <c r="G844" s="12" t="inlineStr">
        <is>
          <t>21 Oct 2026</t>
        </is>
      </c>
      <c r="H844" s="18" t="inlineStr">
        <is>
          <t>⚠️ CLOSING SOON</t>
        </is>
      </c>
      <c r="I844" s="11" t="inlineStr">
        <is>
          <t>HAM Document Volume 2 (DCA) 30.09.2026 Corrected.docx</t>
        </is>
      </c>
      <c r="J844" s="13" t="inlineStr">
        <is>
          <t>📄 DOCX</t>
        </is>
      </c>
      <c r="K844" s="15" t="n">
        <v>226.4</v>
      </c>
      <c r="L844" s="16">
        <f>HYPERLINK("http://127.0.0.1:8000/api/documents/download?id=2896&amp;attachment=true", "⬇ Download HAM Document Volume 2 (D")</f>
        <v/>
      </c>
      <c r="M844" s="16">
        <f>HYPERLINK("http://localhost:5173/?state=Andhra%20Pradesh&amp;keyword=Development&amp;tender=999166", "🚀 Open in Portal")</f>
        <v/>
      </c>
    </row>
    <row r="845" ht="24" customHeight="1">
      <c r="A845" s="4" t="inlineStr">
        <is>
          <t>Andhra Pradesh</t>
        </is>
      </c>
      <c r="B845" s="5" t="inlineStr">
        <is>
          <t>Development</t>
        </is>
      </c>
      <c r="C845" s="6" t="inlineStr">
        <is>
          <t>999166</t>
        </is>
      </c>
      <c r="D845" s="7" t="inlineStr">
        <is>
          <t>Public Health Rajamahendravaram Circel - Hybrid Annunity Model (HAM) - Providing Rivefront, Heritage, Streetscape, Recreation and Civic Infrastructure Development Works under HAM for Godavari Pushkaralu 2027 in Rajamahendravaram Municipal Corporation - RJY- Package - V</t>
        </is>
      </c>
      <c r="E845" s="7" t="inlineStr">
        <is>
          <t>PHMED-SE PHMED RAJAHMUNDRY</t>
        </is>
      </c>
      <c r="F845" s="6" t="inlineStr">
        <is>
          <t>29 Sep 2026</t>
        </is>
      </c>
      <c r="G845" s="5" t="inlineStr">
        <is>
          <t>21 Oct 2026</t>
        </is>
      </c>
      <c r="H845" s="18" t="inlineStr">
        <is>
          <t>⚠️ CLOSING SOON</t>
        </is>
      </c>
      <c r="I845" s="4" t="inlineStr">
        <is>
          <t>HAM Document Volume 3 (Schedules) 30.09.2026 Corrected.docx</t>
        </is>
      </c>
      <c r="J845" s="6" t="inlineStr">
        <is>
          <t>📄 DOCX</t>
        </is>
      </c>
      <c r="K845" s="9" t="n">
        <v>331</v>
      </c>
      <c r="L845" s="10">
        <f>HYPERLINK("http://127.0.0.1:8000/api/documents/download?id=2897&amp;attachment=true", "⬇ Download HAM Document Volume 3 (S")</f>
        <v/>
      </c>
      <c r="M845" s="10">
        <f>HYPERLINK("http://localhost:5173/?state=Andhra%20Pradesh&amp;keyword=Development&amp;tender=999166", "🚀 Open in Portal")</f>
        <v/>
      </c>
    </row>
    <row r="846" ht="24" customHeight="1">
      <c r="A846" s="11" t="inlineStr">
        <is>
          <t>Andhra Pradesh</t>
        </is>
      </c>
      <c r="B846" s="12" t="inlineStr">
        <is>
          <t>Development</t>
        </is>
      </c>
      <c r="C846" s="13" t="inlineStr">
        <is>
          <t>999166</t>
        </is>
      </c>
      <c r="D846" s="14" t="inlineStr">
        <is>
          <t>Public Health Rajamahendravaram Circel - Hybrid Annunity Model (HAM) - Providing Rivefront, Heritage, Streetscape, Recreation and Civic Infrastructure Development Works under HAM for Godavari Pushkaralu 2027 in Rajamahendravaram Municipal Corporation - RJY- Package - V</t>
        </is>
      </c>
      <c r="E846" s="14" t="inlineStr">
        <is>
          <t>PHMED-SE PHMED RAJAHMUNDRY</t>
        </is>
      </c>
      <c r="F846" s="13" t="inlineStr">
        <is>
          <t>29 Sep 2026</t>
        </is>
      </c>
      <c r="G846" s="12" t="inlineStr">
        <is>
          <t>21 Oct 2026</t>
        </is>
      </c>
      <c r="H846" s="18" t="inlineStr">
        <is>
          <t>⚠️ CLOSING SOON</t>
        </is>
      </c>
      <c r="I846" s="11" t="inlineStr">
        <is>
          <t>DECLARATION - Package - V.docx</t>
        </is>
      </c>
      <c r="J846" s="13" t="inlineStr">
        <is>
          <t>📄 DOCX</t>
        </is>
      </c>
      <c r="K846" s="15" t="n">
        <v>17.3</v>
      </c>
      <c r="L846" s="16">
        <f>HYPERLINK("http://127.0.0.1:8000/api/documents/download?id=2898&amp;attachment=true", "⬇ Download DECLARATION - Package - ")</f>
        <v/>
      </c>
      <c r="M846" s="16">
        <f>HYPERLINK("http://localhost:5173/?state=Andhra%20Pradesh&amp;keyword=Development&amp;tender=999166", "🚀 Open in Portal")</f>
        <v/>
      </c>
    </row>
    <row r="847" ht="24" customHeight="1">
      <c r="A847" s="4" t="inlineStr">
        <is>
          <t>Andhra Pradesh</t>
        </is>
      </c>
      <c r="B847" s="5" t="inlineStr">
        <is>
          <t>Development</t>
        </is>
      </c>
      <c r="C847" s="6" t="inlineStr">
        <is>
          <t>999166</t>
        </is>
      </c>
      <c r="D847" s="7" t="inlineStr">
        <is>
          <t>Public Health Rajamahendravaram Circel - Hybrid Annunity Model (HAM) - Providing Rivefront, Heritage, Streetscape, Recreation and Civic Infrastructure Development Works under HAM for Godavari Pushkaralu 2027 in Rajamahendravaram Municipal Corporation - RJY- Package - V</t>
        </is>
      </c>
      <c r="E847" s="7" t="inlineStr">
        <is>
          <t>PHMED-SE PHMED RAJAHMUNDRY</t>
        </is>
      </c>
      <c r="F847" s="6" t="inlineStr">
        <is>
          <t>29 Sep 2026</t>
        </is>
      </c>
      <c r="G847" s="5" t="inlineStr">
        <is>
          <t>21 Oct 2026</t>
        </is>
      </c>
      <c r="H847" s="18" t="inlineStr">
        <is>
          <t>⚠️ CLOSING SOON</t>
        </is>
      </c>
      <c r="I847" s="4" t="inlineStr">
        <is>
          <t>Estimate_Special_Projects_RJY_29092026.xlsx</t>
        </is>
      </c>
      <c r="J847" s="6" t="inlineStr">
        <is>
          <t>📊 Excel BOQ</t>
        </is>
      </c>
      <c r="K847" s="9" t="n">
        <v>5320.9</v>
      </c>
      <c r="L847" s="10">
        <f>HYPERLINK("http://127.0.0.1:8000/api/documents/download?id=2899&amp;attachment=true", "⬇ Download Estimate_Special_Project")</f>
        <v/>
      </c>
      <c r="M847" s="10">
        <f>HYPERLINK("http://localhost:5173/?state=Andhra%20Pradesh&amp;keyword=Development&amp;tender=999166", "🚀 Open in Portal")</f>
        <v/>
      </c>
    </row>
    <row r="848" ht="24" customHeight="1">
      <c r="A848" s="11" t="inlineStr">
        <is>
          <t>Andhra Pradesh</t>
        </is>
      </c>
      <c r="B848" s="12" t="inlineStr">
        <is>
          <t>Development</t>
        </is>
      </c>
      <c r="C848" s="13" t="inlineStr">
        <is>
          <t>999166</t>
        </is>
      </c>
      <c r="D848" s="14" t="inlineStr">
        <is>
          <t>Public Health Rajamahendravaram Circel - Hybrid Annunity Model (HAM) - Providing Rivefront, Heritage, Streetscape, Recreation and Civic Infrastructure Development Works under HAM for Godavari Pushkaralu 2027 in Rajamahendravaram Municipal Corporation - RJY- Package - V</t>
        </is>
      </c>
      <c r="E848" s="14" t="inlineStr">
        <is>
          <t>PHMED-SE PHMED RAJAHMUNDRY</t>
        </is>
      </c>
      <c r="F848" s="13" t="inlineStr">
        <is>
          <t>29 Sep 2026</t>
        </is>
      </c>
      <c r="G848" s="12" t="inlineStr">
        <is>
          <t>21 Oct 2026</t>
        </is>
      </c>
      <c r="H848" s="18" t="inlineStr">
        <is>
          <t>⚠️ CLOSING SOON</t>
        </is>
      </c>
      <c r="I848" s="11" t="inlineStr">
        <is>
          <t>Package 5 BOQ 1.xlsx</t>
        </is>
      </c>
      <c r="J848" s="13" t="inlineStr">
        <is>
          <t>📊 Excel BOQ</t>
        </is>
      </c>
      <c r="K848" s="15" t="n">
        <v>129.6</v>
      </c>
      <c r="L848" s="16">
        <f>HYPERLINK("http://127.0.0.1:8000/api/documents/download?id=2900&amp;attachment=true", "⬇ Download Package 5 BOQ 1.xlsx")</f>
        <v/>
      </c>
      <c r="M848" s="16">
        <f>HYPERLINK("http://localhost:5173/?state=Andhra%20Pradesh&amp;keyword=Development&amp;tender=999166", "🚀 Open in Portal")</f>
        <v/>
      </c>
    </row>
    <row r="849" ht="24" customHeight="1">
      <c r="A849" s="4" t="inlineStr">
        <is>
          <t>Andhra Pradesh</t>
        </is>
      </c>
      <c r="B849" s="5" t="inlineStr">
        <is>
          <t>Development</t>
        </is>
      </c>
      <c r="C849" s="6" t="inlineStr">
        <is>
          <t>999166</t>
        </is>
      </c>
      <c r="D849" s="7" t="inlineStr">
        <is>
          <t>Public Health Rajamahendravaram Circel - Hybrid Annunity Model (HAM) - Providing Rivefront, Heritage, Streetscape, Recreation and Civic Infrastructure Development Works under HAM for Godavari Pushkaralu 2027 in Rajamahendravaram Municipal Corporation - RJY- Package - V</t>
        </is>
      </c>
      <c r="E849" s="7" t="inlineStr">
        <is>
          <t>PHMED-SE PHMED RAJAHMUNDRY</t>
        </is>
      </c>
      <c r="F849" s="6" t="inlineStr">
        <is>
          <t>29 Sep 2026</t>
        </is>
      </c>
      <c r="G849" s="5" t="inlineStr">
        <is>
          <t>21 Oct 2026</t>
        </is>
      </c>
      <c r="H849" s="18" t="inlineStr">
        <is>
          <t>⚠️ CLOSING SOON</t>
        </is>
      </c>
      <c r="I849" s="4" t="inlineStr">
        <is>
          <t>Package 5 BOQ 2.xlsx</t>
        </is>
      </c>
      <c r="J849" s="6" t="inlineStr">
        <is>
          <t>📊 Excel BOQ</t>
        </is>
      </c>
      <c r="K849" s="9" t="n">
        <v>127.8</v>
      </c>
      <c r="L849" s="10">
        <f>HYPERLINK("http://127.0.0.1:8000/api/documents/download?id=2901&amp;attachment=true", "⬇ Download Package 5 BOQ 2.xlsx")</f>
        <v/>
      </c>
      <c r="M849" s="10">
        <f>HYPERLINK("http://localhost:5173/?state=Andhra%20Pradesh&amp;keyword=Development&amp;tender=999166", "🚀 Open in Portal")</f>
        <v/>
      </c>
    </row>
    <row r="850" ht="24" customHeight="1">
      <c r="A850" s="11" t="inlineStr">
        <is>
          <t>Andhra Pradesh</t>
        </is>
      </c>
      <c r="B850" s="12" t="inlineStr">
        <is>
          <t>Development</t>
        </is>
      </c>
      <c r="C850" s="13" t="inlineStr">
        <is>
          <t>999166</t>
        </is>
      </c>
      <c r="D850" s="14" t="inlineStr">
        <is>
          <t>Public Health Rajamahendravaram Circel - Hybrid Annunity Model (HAM) - Providing Rivefront, Heritage, Streetscape, Recreation and Civic Infrastructure Development Works under HAM for Godavari Pushkaralu 2027 in Rajamahendravaram Municipal Corporation - RJY- Package - V</t>
        </is>
      </c>
      <c r="E850" s="14" t="inlineStr">
        <is>
          <t>PHMED-SE PHMED RAJAHMUNDRY</t>
        </is>
      </c>
      <c r="F850" s="13" t="inlineStr">
        <is>
          <t>29 Sep 2026</t>
        </is>
      </c>
      <c r="G850" s="12" t="inlineStr">
        <is>
          <t>21 Oct 2026</t>
        </is>
      </c>
      <c r="H850" s="18" t="inlineStr">
        <is>
          <t>⚠️ CLOSING SOON</t>
        </is>
      </c>
      <c r="I850" s="11" t="inlineStr">
        <is>
          <t>Tender_999166_All_Documents.zip</t>
        </is>
      </c>
      <c r="J850" s="13" t="inlineStr">
        <is>
          <t>📦 ZIP Package</t>
        </is>
      </c>
      <c r="K850" s="15" t="n">
        <v>5418.9</v>
      </c>
      <c r="L850" s="16">
        <f>HYPERLINK("http://127.0.0.1:8000/api/documents/download?id=2902&amp;attachment=true", "⬇ Download Tender_999166_All_Docume")</f>
        <v/>
      </c>
      <c r="M850" s="16">
        <f>HYPERLINK("http://localhost:5173/?state=Andhra%20Pradesh&amp;keyword=Development&amp;tender=999166", "🚀 Open in Portal")</f>
        <v/>
      </c>
    </row>
    <row r="851" ht="24" customHeight="1">
      <c r="A851" s="4" t="inlineStr">
        <is>
          <t>Andhra Pradesh</t>
        </is>
      </c>
      <c r="B851" s="5" t="inlineStr">
        <is>
          <t>Empanelment</t>
        </is>
      </c>
      <c r="C851" s="6" t="inlineStr">
        <is>
          <t>2026_AND_4171221_14</t>
        </is>
      </c>
      <c r="D851" s="7" t="inlineStr">
        <is>
          <t>Empanelment-Based Empanelment of Specialized Geospatial &amp; AI Solutions Consulting Agencies</t>
        </is>
      </c>
      <c r="E851" s="7" t="inlineStr">
        <is>
          <t>STATE ELECTRONICS DEVELOPMENT CORPORATION</t>
        </is>
      </c>
      <c r="F851" s="6" t="inlineStr">
        <is>
          <t>30 Jul 2026</t>
        </is>
      </c>
      <c r="G851" s="5" t="inlineStr">
        <is>
          <t>27 Aug 2026</t>
        </is>
      </c>
      <c r="H851" s="8" t="inlineStr">
        <is>
          <t>⏳ UPCOMING</t>
        </is>
      </c>
      <c r="I851" s="4" t="inlineStr">
        <is>
          <t>Tendernotice_2026_AND_4171221_14.pdf</t>
        </is>
      </c>
      <c r="J851" s="6" t="inlineStr">
        <is>
          <t>📕 PDF Document</t>
        </is>
      </c>
      <c r="K851" s="9" t="n">
        <v>17.9</v>
      </c>
      <c r="L851" s="10">
        <f>HYPERLINK("http://127.0.0.1:8000/api/documents/download?id=3197&amp;attachment=true", "⬇ Download Tendernotice_2026_AND_41")</f>
        <v/>
      </c>
      <c r="M851" s="10">
        <f>HYPERLINK("http://localhost:5173/?state=Andhra%20Pradesh&amp;keyword=Empanelment&amp;tender=2026_AND_4171221_14", "🚀 Open in Portal")</f>
        <v/>
      </c>
    </row>
    <row r="852" ht="24" customHeight="1">
      <c r="A852" s="11" t="inlineStr">
        <is>
          <t>Andhra Pradesh</t>
        </is>
      </c>
      <c r="B852" s="12" t="inlineStr">
        <is>
          <t>Empanelment</t>
        </is>
      </c>
      <c r="C852" s="13" t="inlineStr">
        <is>
          <t>2026_AND_4171221_14</t>
        </is>
      </c>
      <c r="D852" s="14" t="inlineStr">
        <is>
          <t>Empanelment-Based Empanelment of Specialized Geospatial &amp; AI Solutions Consulting Agencies</t>
        </is>
      </c>
      <c r="E852" s="14" t="inlineStr">
        <is>
          <t>STATE ELECTRONICS DEVELOPMENT CORPORATION</t>
        </is>
      </c>
      <c r="F852" s="13" t="inlineStr">
        <is>
          <t>30 Jul 2026</t>
        </is>
      </c>
      <c r="G852" s="12" t="inlineStr">
        <is>
          <t>27 Aug 2026</t>
        </is>
      </c>
      <c r="H852" s="8" t="inlineStr">
        <is>
          <t>⏳ UPCOMING</t>
        </is>
      </c>
      <c r="I852" s="11" t="inlineStr">
        <is>
          <t>Technical_RFP_Specification_Empanelment.pdf</t>
        </is>
      </c>
      <c r="J852" s="13" t="inlineStr">
        <is>
          <t>📕 PDF Document</t>
        </is>
      </c>
      <c r="K852" s="15" t="n">
        <v>18</v>
      </c>
      <c r="L852" s="16">
        <f>HYPERLINK("http://127.0.0.1:8000/api/documents/download?id=3198&amp;attachment=true", "⬇ Download Technical_RFP_Specificat")</f>
        <v/>
      </c>
      <c r="M852" s="16">
        <f>HYPERLINK("http://localhost:5173/?state=Andhra%20Pradesh&amp;keyword=Empanelment&amp;tender=2026_AND_4171221_14", "🚀 Open in Portal")</f>
        <v/>
      </c>
    </row>
    <row r="853" ht="24" customHeight="1">
      <c r="A853" s="4" t="inlineStr">
        <is>
          <t>Andhra Pradesh</t>
        </is>
      </c>
      <c r="B853" s="5" t="inlineStr">
        <is>
          <t>Empanelment</t>
        </is>
      </c>
      <c r="C853" s="6" t="inlineStr">
        <is>
          <t>2026_AND_4171221_14</t>
        </is>
      </c>
      <c r="D853" s="7" t="inlineStr">
        <is>
          <t>Empanelment-Based Empanelment of Specialized Geospatial &amp; AI Solutions Consulting Agencies</t>
        </is>
      </c>
      <c r="E853" s="7" t="inlineStr">
        <is>
          <t>STATE ELECTRONICS DEVELOPMENT CORPORATION</t>
        </is>
      </c>
      <c r="F853" s="6" t="inlineStr">
        <is>
          <t>30 Jul 2026</t>
        </is>
      </c>
      <c r="G853" s="5" t="inlineStr">
        <is>
          <t>27 Aug 2026</t>
        </is>
      </c>
      <c r="H853" s="8" t="inlineStr">
        <is>
          <t>⏳ UPCOMING</t>
        </is>
      </c>
      <c r="I853" s="4" t="inlineStr">
        <is>
          <t>BOQ_Financial_Schedule_2026_AND_4171221_14.xlsx</t>
        </is>
      </c>
      <c r="J853" s="6" t="inlineStr">
        <is>
          <t>📊 Excel BOQ</t>
        </is>
      </c>
      <c r="K853" s="9" t="n">
        <v>2.5</v>
      </c>
      <c r="L853" s="10">
        <f>HYPERLINK("http://127.0.0.1:8000/api/documents/download?id=3199&amp;attachment=true", "⬇ Download BOQ_Financial_Schedule_2")</f>
        <v/>
      </c>
      <c r="M853" s="10">
        <f>HYPERLINK("http://localhost:5173/?state=Andhra%20Pradesh&amp;keyword=Empanelment&amp;tender=2026_AND_4171221_14", "🚀 Open in Portal")</f>
        <v/>
      </c>
    </row>
    <row r="854" ht="24" customHeight="1">
      <c r="A854" s="11" t="inlineStr">
        <is>
          <t>Andhra Pradesh</t>
        </is>
      </c>
      <c r="B854" s="12" t="inlineStr">
        <is>
          <t>Empanelment</t>
        </is>
      </c>
      <c r="C854" s="13" t="inlineStr">
        <is>
          <t>2026_AND_4171221_14</t>
        </is>
      </c>
      <c r="D854" s="14" t="inlineStr">
        <is>
          <t>Empanelment-Based Empanelment of Specialized Geospatial &amp; AI Solutions Consulting Agencies</t>
        </is>
      </c>
      <c r="E854" s="14" t="inlineStr">
        <is>
          <t>STATE ELECTRONICS DEVELOPMENT CORPORATION</t>
        </is>
      </c>
      <c r="F854" s="13" t="inlineStr">
        <is>
          <t>30 Jul 2026</t>
        </is>
      </c>
      <c r="G854" s="12" t="inlineStr">
        <is>
          <t>27 Aug 2026</t>
        </is>
      </c>
      <c r="H854" s="8" t="inlineStr">
        <is>
          <t>⏳ UPCOMING</t>
        </is>
      </c>
      <c r="I854" s="11" t="inlineStr">
        <is>
          <t>Tender_2026_AND_4171221_14_All_Documents.zip</t>
        </is>
      </c>
      <c r="J854" s="13" t="inlineStr">
        <is>
          <t>📦 ZIP Package</t>
        </is>
      </c>
      <c r="K854" s="15" t="n">
        <v>45</v>
      </c>
      <c r="L854" s="16">
        <f>HYPERLINK("https://tender.apeprocurement.gov.in/tender/2026_AND_4171221_14", "⬇ Download Tender_2026_AND_4171221_")</f>
        <v/>
      </c>
      <c r="M854" s="16">
        <f>HYPERLINK("http://localhost:5173/?state=Andhra%20Pradesh&amp;keyword=Empanelment&amp;tender=2026_AND_4171221_14", "🚀 Open in Portal")</f>
        <v/>
      </c>
    </row>
    <row r="855" ht="24" customHeight="1">
      <c r="A855" s="4" t="inlineStr">
        <is>
          <t>Arunachal Pradesh</t>
        </is>
      </c>
      <c r="B855" s="5" t="inlineStr">
        <is>
          <t>GIS</t>
        </is>
      </c>
      <c r="C855" s="6" t="inlineStr">
        <is>
          <t>2026_ARU_3836320_17</t>
        </is>
      </c>
      <c r="D855" s="7" t="inlineStr">
        <is>
          <t>GIS-Based Drone LiDAR Survey &amp; Web GIS Geodatabase Integration for Smart Infrastructure</t>
        </is>
      </c>
      <c r="E855" s="7" t="inlineStr">
        <is>
          <t>DIRECTORATE OF MUNICIPAL URBAN INFRASTRUCTURE</t>
        </is>
      </c>
      <c r="F855" s="6" t="inlineStr">
        <is>
          <t>11 Aug 2026</t>
        </is>
      </c>
      <c r="G855" s="5" t="inlineStr">
        <is>
          <t>04 Sep 2026</t>
        </is>
      </c>
      <c r="H855" s="8" t="inlineStr">
        <is>
          <t>⏳ UPCOMING</t>
        </is>
      </c>
      <c r="I855" s="4" t="inlineStr">
        <is>
          <t>Tendernotice_2026_ARU_3836320_17.pdf</t>
        </is>
      </c>
      <c r="J855" s="6" t="inlineStr">
        <is>
          <t>📕 PDF Document</t>
        </is>
      </c>
      <c r="K855" s="9" t="n">
        <v>17.9</v>
      </c>
      <c r="L855" s="10">
        <f>HYPERLINK("http://127.0.0.1:8000/api/documents/download?id=3301&amp;attachment=true", "⬇ Download Tendernotice_2026_ARU_38")</f>
        <v/>
      </c>
      <c r="M855" s="10">
        <f>HYPERLINK("http://localhost:5173/?state=Arunachal%20Pradesh&amp;keyword=GIS&amp;tender=2026_ARU_3836320_17", "🚀 Open in Portal")</f>
        <v/>
      </c>
    </row>
    <row r="856" ht="24" customHeight="1">
      <c r="A856" s="11" t="inlineStr">
        <is>
          <t>Arunachal Pradesh</t>
        </is>
      </c>
      <c r="B856" s="12" t="inlineStr">
        <is>
          <t>GIS</t>
        </is>
      </c>
      <c r="C856" s="13" t="inlineStr">
        <is>
          <t>2026_ARU_3836320_17</t>
        </is>
      </c>
      <c r="D856" s="14" t="inlineStr">
        <is>
          <t>GIS-Based Drone LiDAR Survey &amp; Web GIS Geodatabase Integration for Smart Infrastructure</t>
        </is>
      </c>
      <c r="E856" s="14" t="inlineStr">
        <is>
          <t>DIRECTORATE OF MUNICIPAL URBAN INFRASTRUCTURE</t>
        </is>
      </c>
      <c r="F856" s="13" t="inlineStr">
        <is>
          <t>11 Aug 2026</t>
        </is>
      </c>
      <c r="G856" s="12" t="inlineStr">
        <is>
          <t>04 Sep 2026</t>
        </is>
      </c>
      <c r="H856" s="8" t="inlineStr">
        <is>
          <t>⏳ UPCOMING</t>
        </is>
      </c>
      <c r="I856" s="11" t="inlineStr">
        <is>
          <t>Technical_RFP_Specification_GIS.pdf</t>
        </is>
      </c>
      <c r="J856" s="13" t="inlineStr">
        <is>
          <t>📕 PDF Document</t>
        </is>
      </c>
      <c r="K856" s="15" t="n">
        <v>18</v>
      </c>
      <c r="L856" s="16">
        <f>HYPERLINK("http://127.0.0.1:8000/api/documents/download?id=3302&amp;attachment=true", "⬇ Download Technical_RFP_Specificat")</f>
        <v/>
      </c>
      <c r="M856" s="16">
        <f>HYPERLINK("http://localhost:5173/?state=Arunachal%20Pradesh&amp;keyword=GIS&amp;tender=2026_ARU_3836320_17", "🚀 Open in Portal")</f>
        <v/>
      </c>
    </row>
    <row r="857" ht="24" customHeight="1">
      <c r="A857" s="4" t="inlineStr">
        <is>
          <t>Arunachal Pradesh</t>
        </is>
      </c>
      <c r="B857" s="5" t="inlineStr">
        <is>
          <t>GIS</t>
        </is>
      </c>
      <c r="C857" s="6" t="inlineStr">
        <is>
          <t>2026_ARU_3836320_17</t>
        </is>
      </c>
      <c r="D857" s="7" t="inlineStr">
        <is>
          <t>GIS-Based Drone LiDAR Survey &amp; Web GIS Geodatabase Integration for Smart Infrastructure</t>
        </is>
      </c>
      <c r="E857" s="7" t="inlineStr">
        <is>
          <t>DIRECTORATE OF MUNICIPAL URBAN INFRASTRUCTURE</t>
        </is>
      </c>
      <c r="F857" s="6" t="inlineStr">
        <is>
          <t>11 Aug 2026</t>
        </is>
      </c>
      <c r="G857" s="5" t="inlineStr">
        <is>
          <t>04 Sep 2026</t>
        </is>
      </c>
      <c r="H857" s="8" t="inlineStr">
        <is>
          <t>⏳ UPCOMING</t>
        </is>
      </c>
      <c r="I857" s="4" t="inlineStr">
        <is>
          <t>BOQ_Financial_Schedule_2026_ARU_3836320_17.xlsx</t>
        </is>
      </c>
      <c r="J857" s="6" t="inlineStr">
        <is>
          <t>📊 Excel BOQ</t>
        </is>
      </c>
      <c r="K857" s="9" t="n">
        <v>2.5</v>
      </c>
      <c r="L857" s="10">
        <f>HYPERLINK("http://127.0.0.1:8000/api/documents/download?id=3303&amp;attachment=true", "⬇ Download BOQ_Financial_Schedule_2")</f>
        <v/>
      </c>
      <c r="M857" s="10">
        <f>HYPERLINK("http://localhost:5173/?state=Arunachal%20Pradesh&amp;keyword=GIS&amp;tender=2026_ARU_3836320_17", "🚀 Open in Portal")</f>
        <v/>
      </c>
    </row>
    <row r="858" ht="24" customHeight="1">
      <c r="A858" s="11" t="inlineStr">
        <is>
          <t>Arunachal Pradesh</t>
        </is>
      </c>
      <c r="B858" s="12" t="inlineStr">
        <is>
          <t>GIS</t>
        </is>
      </c>
      <c r="C858" s="13" t="inlineStr">
        <is>
          <t>2026_ARU_3836320_17</t>
        </is>
      </c>
      <c r="D858" s="14" t="inlineStr">
        <is>
          <t>GIS-Based Drone LiDAR Survey &amp; Web GIS Geodatabase Integration for Smart Infrastructure</t>
        </is>
      </c>
      <c r="E858" s="14" t="inlineStr">
        <is>
          <t>DIRECTORATE OF MUNICIPAL URBAN INFRASTRUCTURE</t>
        </is>
      </c>
      <c r="F858" s="13" t="inlineStr">
        <is>
          <t>11 Aug 2026</t>
        </is>
      </c>
      <c r="G858" s="12" t="inlineStr">
        <is>
          <t>04 Sep 2026</t>
        </is>
      </c>
      <c r="H858" s="8" t="inlineStr">
        <is>
          <t>⏳ UPCOMING</t>
        </is>
      </c>
      <c r="I858" s="11" t="inlineStr">
        <is>
          <t>Tender_2026_ARU_3836320_17_All_Documents.zip</t>
        </is>
      </c>
      <c r="J858" s="13" t="inlineStr">
        <is>
          <t>📦 ZIP Package</t>
        </is>
      </c>
      <c r="K858" s="15" t="n">
        <v>45</v>
      </c>
      <c r="L858" s="16">
        <f>HYPERLINK("https://arunachaltenders.gov.in/tender/2026_ARU_3836320_17", "⬇ Download Tender_2026_ARU_3836320_")</f>
        <v/>
      </c>
      <c r="M858" s="16">
        <f>HYPERLINK("http://localhost:5173/?state=Arunachal%20Pradesh&amp;keyword=GIS&amp;tender=2026_ARU_3836320_17", "🚀 Open in Portal")</f>
        <v/>
      </c>
    </row>
    <row r="859" ht="24" customHeight="1">
      <c r="A859" s="4" t="inlineStr">
        <is>
          <t>Arunachal Pradesh</t>
        </is>
      </c>
      <c r="B859" s="5" t="inlineStr">
        <is>
          <t>GIS</t>
        </is>
      </c>
      <c r="C859" s="6" t="inlineStr">
        <is>
          <t>ARUN-IT-2026-0812</t>
        </is>
      </c>
      <c r="D859" s="7" t="inlineStr">
        <is>
          <t>High Altitude Border Forest Canopy &amp; Wildlife GIS Mapping using LiDAR &amp; Satellite Data</t>
        </is>
      </c>
      <c r="E859" s="7" t="inlineStr">
        <is>
          <t>DEPARTMENT OF ENVIRONMENT &amp; FORESTS-Itanagar</t>
        </is>
      </c>
      <c r="F859" s="6" t="inlineStr">
        <is>
          <t>22 Jul 2026</t>
        </is>
      </c>
      <c r="G859" s="5" t="inlineStr">
        <is>
          <t>15 Aug 2026</t>
        </is>
      </c>
      <c r="H859" s="8" t="inlineStr">
        <is>
          <t>⏳ UPCOMING</t>
        </is>
      </c>
      <c r="I859" s="4" t="inlineStr">
        <is>
          <t>Arunachal_LiDAR_Forest_GIS_RFP.pdf</t>
        </is>
      </c>
      <c r="J859" s="6" t="inlineStr">
        <is>
          <t>📕 PDF Document</t>
        </is>
      </c>
      <c r="K859" s="9" t="n">
        <v>17.9</v>
      </c>
      <c r="L859" s="10">
        <f>HYPERLINK("http://127.0.0.1:8000/api/documents/download?id=2827&amp;attachment=true", "⬇ Download Arunachal_LiDAR_Forest_G")</f>
        <v/>
      </c>
      <c r="M859" s="10">
        <f>HYPERLINK("http://localhost:5173/?state=Arunachal%20Pradesh&amp;keyword=GIS&amp;tender=ARUN-IT-2026-0812", "🚀 Open in Portal")</f>
        <v/>
      </c>
    </row>
    <row r="860" ht="24" customHeight="1">
      <c r="A860" s="11" t="inlineStr">
        <is>
          <t>Arunachal Pradesh</t>
        </is>
      </c>
      <c r="B860" s="12" t="inlineStr">
        <is>
          <t>GIS</t>
        </is>
      </c>
      <c r="C860" s="13" t="inlineStr">
        <is>
          <t>ARUN-IT-2026-0812</t>
        </is>
      </c>
      <c r="D860" s="14" t="inlineStr">
        <is>
          <t>High Altitude Border Forest Canopy &amp; Wildlife GIS Mapping using LiDAR &amp; Satellite Data</t>
        </is>
      </c>
      <c r="E860" s="14" t="inlineStr">
        <is>
          <t>DEPARTMENT OF ENVIRONMENT &amp; FORESTS-Itanagar</t>
        </is>
      </c>
      <c r="F860" s="13" t="inlineStr">
        <is>
          <t>22 Jul 2026</t>
        </is>
      </c>
      <c r="G860" s="12" t="inlineStr">
        <is>
          <t>15 Aug 2026</t>
        </is>
      </c>
      <c r="H860" s="8" t="inlineStr">
        <is>
          <t>⏳ UPCOMING</t>
        </is>
      </c>
      <c r="I860" s="11" t="inlineStr">
        <is>
          <t>Flight_Permit_Guidelines_MHA.pdf</t>
        </is>
      </c>
      <c r="J860" s="13" t="inlineStr">
        <is>
          <t>📕 PDF Document</t>
        </is>
      </c>
      <c r="K860" s="15" t="n">
        <v>17.9</v>
      </c>
      <c r="L860" s="16">
        <f>HYPERLINK("http://127.0.0.1:8000/api/documents/download?id=2828&amp;attachment=true", "⬇ Download Flight_Permit_Guidelines")</f>
        <v/>
      </c>
      <c r="M860" s="16">
        <f>HYPERLINK("http://localhost:5173/?state=Arunachal%20Pradesh&amp;keyword=GIS&amp;tender=ARUN-IT-2026-0812", "🚀 Open in Portal")</f>
        <v/>
      </c>
    </row>
    <row r="861" ht="24" customHeight="1">
      <c r="A861" s="4" t="inlineStr">
        <is>
          <t>Arunachal Pradesh</t>
        </is>
      </c>
      <c r="B861" s="5" t="inlineStr">
        <is>
          <t>GIS</t>
        </is>
      </c>
      <c r="C861" s="6" t="inlineStr">
        <is>
          <t>ARUN-IT-2026-0812</t>
        </is>
      </c>
      <c r="D861" s="7" t="inlineStr">
        <is>
          <t>High Altitude Border Forest Canopy &amp; Wildlife GIS Mapping using LiDAR &amp; Satellite Data</t>
        </is>
      </c>
      <c r="E861" s="7" t="inlineStr">
        <is>
          <t>DEPARTMENT OF ENVIRONMENT &amp; FORESTS-Itanagar</t>
        </is>
      </c>
      <c r="F861" s="6" t="inlineStr">
        <is>
          <t>22 Jul 2026</t>
        </is>
      </c>
      <c r="G861" s="5" t="inlineStr">
        <is>
          <t>15 Aug 2026</t>
        </is>
      </c>
      <c r="H861" s="8" t="inlineStr">
        <is>
          <t>⏳ UPCOMING</t>
        </is>
      </c>
      <c r="I861" s="4" t="inlineStr">
        <is>
          <t>LiDAR_Classification_Specs.pdf</t>
        </is>
      </c>
      <c r="J861" s="6" t="inlineStr">
        <is>
          <t>📕 PDF Document</t>
        </is>
      </c>
      <c r="K861" s="9" t="n">
        <v>17.9</v>
      </c>
      <c r="L861" s="10">
        <f>HYPERLINK("http://127.0.0.1:8000/api/documents/download?id=2829&amp;attachment=true", "⬇ Download LiDAR_Classification_Spe")</f>
        <v/>
      </c>
      <c r="M861" s="10">
        <f>HYPERLINK("http://localhost:5173/?state=Arunachal%20Pradesh&amp;keyword=GIS&amp;tender=ARUN-IT-2026-0812", "🚀 Open in Portal")</f>
        <v/>
      </c>
    </row>
    <row r="862" ht="24" customHeight="1">
      <c r="A862" s="11" t="inlineStr">
        <is>
          <t>Arunachal Pradesh</t>
        </is>
      </c>
      <c r="B862" s="12" t="inlineStr">
        <is>
          <t>GIS</t>
        </is>
      </c>
      <c r="C862" s="13" t="inlineStr">
        <is>
          <t>ARUN-IT-2026-0812</t>
        </is>
      </c>
      <c r="D862" s="14" t="inlineStr">
        <is>
          <t>High Altitude Border Forest Canopy &amp; Wildlife GIS Mapping using LiDAR &amp; Satellite Data</t>
        </is>
      </c>
      <c r="E862" s="14" t="inlineStr">
        <is>
          <t>DEPARTMENT OF ENVIRONMENT &amp; FORESTS-Itanagar</t>
        </is>
      </c>
      <c r="F862" s="13" t="inlineStr">
        <is>
          <t>22 Jul 2026</t>
        </is>
      </c>
      <c r="G862" s="12" t="inlineStr">
        <is>
          <t>15 Aug 2026</t>
        </is>
      </c>
      <c r="H862" s="8" t="inlineStr">
        <is>
          <t>⏳ UPCOMING</t>
        </is>
      </c>
      <c r="I862" s="11" t="inlineStr">
        <is>
          <t>Tender_ARUN-IT-2026-0812_All_Documents.zip</t>
        </is>
      </c>
      <c r="J862" s="13" t="inlineStr">
        <is>
          <t>📦 ZIP Package</t>
        </is>
      </c>
      <c r="K862" s="15" t="n">
        <v>27.8</v>
      </c>
      <c r="L862" s="16">
        <f>HYPERLINK("http://127.0.0.1:8000/api/documents/download?id=3017&amp;attachment=true", "⬇ Download Tender_ARUN-IT-2026-0812")</f>
        <v/>
      </c>
      <c r="M862" s="16">
        <f>HYPERLINK("http://localhost:5173/?state=Arunachal%20Pradesh&amp;keyword=GIS&amp;tender=ARUN-IT-2026-0812", "🚀 Open in Portal")</f>
        <v/>
      </c>
    </row>
    <row r="863" ht="24" customHeight="1">
      <c r="A863" s="4" t="inlineStr">
        <is>
          <t>Arunachal Pradesh</t>
        </is>
      </c>
      <c r="B863" s="5" t="inlineStr">
        <is>
          <t>ICT</t>
        </is>
      </c>
      <c r="C863" s="6" t="inlineStr">
        <is>
          <t>2026_ARU_3001399_13</t>
        </is>
      </c>
      <c r="D863" s="7" t="inlineStr">
        <is>
          <t>ICT-Based Cloud Data Center Modernization &amp; Statewide Integrated Video Command Analytics</t>
        </is>
      </c>
      <c r="E863" s="7" t="inlineStr">
        <is>
          <t>DEPARTMENT OF INFORMATION TECHNOLOGY &amp; e-GOVERNANCE</t>
        </is>
      </c>
      <c r="F863" s="6" t="inlineStr">
        <is>
          <t>15 Oct 2026</t>
        </is>
      </c>
      <c r="G863" s="5" t="inlineStr">
        <is>
          <t>14 Nov 2026</t>
        </is>
      </c>
      <c r="H863" s="17" t="inlineStr">
        <is>
          <t>🟢 LIVE ACTIVE</t>
        </is>
      </c>
      <c r="I863" s="4" t="inlineStr">
        <is>
          <t>Tendernotice_2026_ARU_3001399_13.pdf</t>
        </is>
      </c>
      <c r="J863" s="6" t="inlineStr">
        <is>
          <t>📕 PDF Document</t>
        </is>
      </c>
      <c r="K863" s="9" t="n">
        <v>18</v>
      </c>
      <c r="L863" s="10">
        <f>HYPERLINK("http://127.0.0.1:8000/api/documents/download?id=3289&amp;attachment=true", "⬇ Download Tendernotice_2026_ARU_30")</f>
        <v/>
      </c>
      <c r="M863" s="10">
        <f>HYPERLINK("http://localhost:5173/?state=Arunachal%20Pradesh&amp;keyword=ICT&amp;tender=2026_ARU_3001399_13", "🚀 Open in Portal")</f>
        <v/>
      </c>
    </row>
    <row r="864" ht="24" customHeight="1">
      <c r="A864" s="11" t="inlineStr">
        <is>
          <t>Arunachal Pradesh</t>
        </is>
      </c>
      <c r="B864" s="12" t="inlineStr">
        <is>
          <t>ICT</t>
        </is>
      </c>
      <c r="C864" s="13" t="inlineStr">
        <is>
          <t>2026_ARU_3001399_13</t>
        </is>
      </c>
      <c r="D864" s="14" t="inlineStr">
        <is>
          <t>ICT-Based Cloud Data Center Modernization &amp; Statewide Integrated Video Command Analytics</t>
        </is>
      </c>
      <c r="E864" s="14" t="inlineStr">
        <is>
          <t>DEPARTMENT OF INFORMATION TECHNOLOGY &amp; e-GOVERNANCE</t>
        </is>
      </c>
      <c r="F864" s="13" t="inlineStr">
        <is>
          <t>15 Oct 2026</t>
        </is>
      </c>
      <c r="G864" s="12" t="inlineStr">
        <is>
          <t>14 Nov 2026</t>
        </is>
      </c>
      <c r="H864" s="17" t="inlineStr">
        <is>
          <t>🟢 LIVE ACTIVE</t>
        </is>
      </c>
      <c r="I864" s="11" t="inlineStr">
        <is>
          <t>Technical_RFP_Specification_ICT.pdf</t>
        </is>
      </c>
      <c r="J864" s="13" t="inlineStr">
        <is>
          <t>📕 PDF Document</t>
        </is>
      </c>
      <c r="K864" s="15" t="n">
        <v>18</v>
      </c>
      <c r="L864" s="16">
        <f>HYPERLINK("http://127.0.0.1:8000/api/documents/download?id=3290&amp;attachment=true", "⬇ Download Technical_RFP_Specificat")</f>
        <v/>
      </c>
      <c r="M864" s="16">
        <f>HYPERLINK("http://localhost:5173/?state=Arunachal%20Pradesh&amp;keyword=ICT&amp;tender=2026_ARU_3001399_13", "🚀 Open in Portal")</f>
        <v/>
      </c>
    </row>
    <row r="865" ht="24" customHeight="1">
      <c r="A865" s="4" t="inlineStr">
        <is>
          <t>Arunachal Pradesh</t>
        </is>
      </c>
      <c r="B865" s="5" t="inlineStr">
        <is>
          <t>ICT</t>
        </is>
      </c>
      <c r="C865" s="6" t="inlineStr">
        <is>
          <t>2026_ARU_3001399_13</t>
        </is>
      </c>
      <c r="D865" s="7" t="inlineStr">
        <is>
          <t>ICT-Based Cloud Data Center Modernization &amp; Statewide Integrated Video Command Analytics</t>
        </is>
      </c>
      <c r="E865" s="7" t="inlineStr">
        <is>
          <t>DEPARTMENT OF INFORMATION TECHNOLOGY &amp; e-GOVERNANCE</t>
        </is>
      </c>
      <c r="F865" s="6" t="inlineStr">
        <is>
          <t>15 Oct 2026</t>
        </is>
      </c>
      <c r="G865" s="5" t="inlineStr">
        <is>
          <t>14 Nov 2026</t>
        </is>
      </c>
      <c r="H865" s="17" t="inlineStr">
        <is>
          <t>🟢 LIVE ACTIVE</t>
        </is>
      </c>
      <c r="I865" s="4" t="inlineStr">
        <is>
          <t>BOQ_Financial_Schedule_2026_ARU_3001399_13.xlsx</t>
        </is>
      </c>
      <c r="J865" s="6" t="inlineStr">
        <is>
          <t>📊 Excel BOQ</t>
        </is>
      </c>
      <c r="K865" s="9" t="n">
        <v>2.5</v>
      </c>
      <c r="L865" s="10">
        <f>HYPERLINK("http://127.0.0.1:8000/api/documents/download?id=3291&amp;attachment=true", "⬇ Download BOQ_Financial_Schedule_2")</f>
        <v/>
      </c>
      <c r="M865" s="10">
        <f>HYPERLINK("http://localhost:5173/?state=Arunachal%20Pradesh&amp;keyword=ICT&amp;tender=2026_ARU_3001399_13", "🚀 Open in Portal")</f>
        <v/>
      </c>
    </row>
    <row r="866" ht="24" customHeight="1">
      <c r="A866" s="11" t="inlineStr">
        <is>
          <t>Arunachal Pradesh</t>
        </is>
      </c>
      <c r="B866" s="12" t="inlineStr">
        <is>
          <t>ICT</t>
        </is>
      </c>
      <c r="C866" s="13" t="inlineStr">
        <is>
          <t>2026_ARU_3001399_13</t>
        </is>
      </c>
      <c r="D866" s="14" t="inlineStr">
        <is>
          <t>ICT-Based Cloud Data Center Modernization &amp; Statewide Integrated Video Command Analytics</t>
        </is>
      </c>
      <c r="E866" s="14" t="inlineStr">
        <is>
          <t>DEPARTMENT OF INFORMATION TECHNOLOGY &amp; e-GOVERNANCE</t>
        </is>
      </c>
      <c r="F866" s="13" t="inlineStr">
        <is>
          <t>15 Oct 2026</t>
        </is>
      </c>
      <c r="G866" s="12" t="inlineStr">
        <is>
          <t>14 Nov 2026</t>
        </is>
      </c>
      <c r="H866" s="17" t="inlineStr">
        <is>
          <t>🟢 LIVE ACTIVE</t>
        </is>
      </c>
      <c r="I866" s="11" t="inlineStr">
        <is>
          <t>Tender_2026_ARU_3001399_13_All_Documents.zip</t>
        </is>
      </c>
      <c r="J866" s="13" t="inlineStr">
        <is>
          <t>📦 ZIP Package</t>
        </is>
      </c>
      <c r="K866" s="15" t="n">
        <v>45</v>
      </c>
      <c r="L866" s="16">
        <f>HYPERLINK("https://arunachaltenders.gov.in/tender/2026_ARU_3001399_13", "⬇ Download Tender_2026_ARU_3001399_")</f>
        <v/>
      </c>
      <c r="M866" s="16">
        <f>HYPERLINK("http://localhost:5173/?state=Arunachal%20Pradesh&amp;keyword=ICT&amp;tender=2026_ARU_3001399_13", "🚀 Open in Portal")</f>
        <v/>
      </c>
    </row>
    <row r="867" ht="24" customHeight="1">
      <c r="A867" s="4" t="inlineStr">
        <is>
          <t>Arunachal Pradesh</t>
        </is>
      </c>
      <c r="B867" s="5" t="inlineStr">
        <is>
          <t>ICT</t>
        </is>
      </c>
      <c r="C867" s="6" t="inlineStr">
        <is>
          <t>2026_PWDAP_3714_1</t>
        </is>
      </c>
      <c r="D867" s="7" t="inlineStr">
        <is>
          <t>[Construction of approach road from Lasum Patte to Namorah in Pakke Kessang District]</t>
        </is>
      </c>
      <c r="E867" s="7" t="inlineStr">
        <is>
          <t>Arunachal Pradesh Public Works &amp; Technology Department</t>
        </is>
      </c>
      <c r="F867" s="6" t="inlineStr">
        <is>
          <t>24 Aug 2026</t>
        </is>
      </c>
      <c r="G867" s="5" t="inlineStr">
        <is>
          <t>16 Sep 2026</t>
        </is>
      </c>
      <c r="H867" s="8" t="inlineStr">
        <is>
          <t>⏳ UPCOMING</t>
        </is>
      </c>
      <c r="I867" s="4" t="inlineStr">
        <is>
          <t>Tendernotice_1.pdf</t>
        </is>
      </c>
      <c r="J867" s="6" t="inlineStr">
        <is>
          <t>📕 PDF Document</t>
        </is>
      </c>
      <c r="K867" s="9" t="n">
        <v>17.9</v>
      </c>
      <c r="L867" s="10">
        <f>HYPERLINK("http://127.0.0.1:8000/api/documents/download?id=2346&amp;attachment=true", "⬇ Download Tendernotice_1.pdf")</f>
        <v/>
      </c>
      <c r="M867" s="10">
        <f>HYPERLINK("http://localhost:5173/?state=Arunachal%20Pradesh&amp;keyword=ICT&amp;tender=2026_PWDAP_3714_1", "🚀 Open in Portal")</f>
        <v/>
      </c>
    </row>
    <row r="868" ht="24" customHeight="1">
      <c r="A868" s="11" t="inlineStr">
        <is>
          <t>Arunachal Pradesh</t>
        </is>
      </c>
      <c r="B868" s="12" t="inlineStr">
        <is>
          <t>ICT</t>
        </is>
      </c>
      <c r="C868" s="13" t="inlineStr">
        <is>
          <t>2026_PWDAP_3714_1</t>
        </is>
      </c>
      <c r="D868" s="14" t="inlineStr">
        <is>
          <t>[Construction of approach road from Lasum Patte to Namorah in Pakke Kessang District]</t>
        </is>
      </c>
      <c r="E868" s="14" t="inlineStr">
        <is>
          <t>Arunachal Pradesh Public Works &amp; Technology Department</t>
        </is>
      </c>
      <c r="F868" s="13" t="inlineStr">
        <is>
          <t>24 Aug 2026</t>
        </is>
      </c>
      <c r="G868" s="12" t="inlineStr">
        <is>
          <t>16 Sep 2026</t>
        </is>
      </c>
      <c r="H868" s="8" t="inlineStr">
        <is>
          <t>⏳ UPCOMING</t>
        </is>
      </c>
      <c r="I868" s="11" t="inlineStr">
        <is>
          <t>eNIT_CRIF_Lasum_Patte.pdf</t>
        </is>
      </c>
      <c r="J868" s="13" t="inlineStr">
        <is>
          <t>📕 PDF Document</t>
        </is>
      </c>
      <c r="K868" s="15" t="n">
        <v>17.9</v>
      </c>
      <c r="L868" s="16">
        <f>HYPERLINK("http://127.0.0.1:8000/api/documents/download?id=2347&amp;attachment=true", "⬇ Download eNIT_CRIF_Lasum_Patte.pd")</f>
        <v/>
      </c>
      <c r="M868" s="16">
        <f>HYPERLINK("http://localhost:5173/?state=Arunachal%20Pradesh&amp;keyword=ICT&amp;tender=2026_PWDAP_3714_1", "🚀 Open in Portal")</f>
        <v/>
      </c>
    </row>
    <row r="869" ht="24" customHeight="1">
      <c r="A869" s="4" t="inlineStr">
        <is>
          <t>Arunachal Pradesh</t>
        </is>
      </c>
      <c r="B869" s="5" t="inlineStr">
        <is>
          <t>ICT</t>
        </is>
      </c>
      <c r="C869" s="6" t="inlineStr">
        <is>
          <t>2026_PWDAP_3714_1</t>
        </is>
      </c>
      <c r="D869" s="7" t="inlineStr">
        <is>
          <t>[Construction of approach road from Lasum Patte to Namorah in Pakke Kessang District]</t>
        </is>
      </c>
      <c r="E869" s="7" t="inlineStr">
        <is>
          <t>Arunachal Pradesh Public Works &amp; Technology Department</t>
        </is>
      </c>
      <c r="F869" s="6" t="inlineStr">
        <is>
          <t>24 Aug 2026</t>
        </is>
      </c>
      <c r="G869" s="5" t="inlineStr">
        <is>
          <t>16 Sep 2026</t>
        </is>
      </c>
      <c r="H869" s="8" t="inlineStr">
        <is>
          <t>⏳ UPCOMING</t>
        </is>
      </c>
      <c r="I869" s="4" t="inlineStr">
        <is>
          <t>BOQ_3968.xls</t>
        </is>
      </c>
      <c r="J869" s="6" t="inlineStr">
        <is>
          <t>📊 Excel BOQ</t>
        </is>
      </c>
      <c r="K869" s="9" t="n">
        <v>2.5</v>
      </c>
      <c r="L869" s="10">
        <f>HYPERLINK("http://127.0.0.1:8000/api/documents/download?id=2348&amp;attachment=true", "⬇ Download BOQ_3968.xls")</f>
        <v/>
      </c>
      <c r="M869" s="10">
        <f>HYPERLINK("http://localhost:5173/?state=Arunachal%20Pradesh&amp;keyword=ICT&amp;tender=2026_PWDAP_3714_1", "🚀 Open in Portal")</f>
        <v/>
      </c>
    </row>
    <row r="870" ht="24" customHeight="1">
      <c r="A870" s="11" t="inlineStr">
        <is>
          <t>Arunachal Pradesh</t>
        </is>
      </c>
      <c r="B870" s="12" t="inlineStr">
        <is>
          <t>ICT</t>
        </is>
      </c>
      <c r="C870" s="13" t="inlineStr">
        <is>
          <t>2026_PWDAP_3714_1</t>
        </is>
      </c>
      <c r="D870" s="14" t="inlineStr">
        <is>
          <t>[Construction of approach road from Lasum Patte to Namorah in Pakke Kessang District]</t>
        </is>
      </c>
      <c r="E870" s="14" t="inlineStr">
        <is>
          <t>Arunachal Pradesh Public Works &amp; Technology Department</t>
        </is>
      </c>
      <c r="F870" s="13" t="inlineStr">
        <is>
          <t>24 Aug 2026</t>
        </is>
      </c>
      <c r="G870" s="12" t="inlineStr">
        <is>
          <t>16 Sep 2026</t>
        </is>
      </c>
      <c r="H870" s="8" t="inlineStr">
        <is>
          <t>⏳ UPCOMING</t>
        </is>
      </c>
      <c r="I870" s="11" t="inlineStr">
        <is>
          <t>Tender_2026_PWDAP_3714_1_All_Documents.zip</t>
        </is>
      </c>
      <c r="J870" s="13" t="inlineStr">
        <is>
          <t>📦 ZIP Package</t>
        </is>
      </c>
      <c r="K870" s="15" t="n">
        <v>20.9</v>
      </c>
      <c r="L870" s="16">
        <f>HYPERLINK("http://127.0.0.1:8000/api/documents/download?id=2349&amp;attachment=true", "⬇ Download Tender_2026_PWDAP_3714_1")</f>
        <v/>
      </c>
      <c r="M870" s="16">
        <f>HYPERLINK("http://localhost:5173/?state=Arunachal%20Pradesh&amp;keyword=ICT&amp;tender=2026_PWDAP_3714_1", "🚀 Open in Portal")</f>
        <v/>
      </c>
    </row>
    <row r="871" ht="24" customHeight="1">
      <c r="A871" s="4" t="inlineStr">
        <is>
          <t>Arunachal Pradesh</t>
        </is>
      </c>
      <c r="B871" s="5" t="inlineStr">
        <is>
          <t>ICT</t>
        </is>
      </c>
      <c r="C871" s="6" t="inlineStr">
        <is>
          <t>2026_PWDAP_3717_1</t>
        </is>
      </c>
      <c r="D871" s="7" t="inlineStr">
        <is>
          <t>[C/o Mini Secretariat at Seijosa in Pakke Kessang District.]</t>
        </is>
      </c>
      <c r="E871" s="7" t="inlineStr">
        <is>
          <t>Arunachal Pradesh Public Works &amp; Technology Department</t>
        </is>
      </c>
      <c r="F871" s="6" t="inlineStr">
        <is>
          <t>26 Jul 2026</t>
        </is>
      </c>
      <c r="G871" s="5" t="inlineStr">
        <is>
          <t>24 Aug 2026</t>
        </is>
      </c>
      <c r="H871" s="8" t="inlineStr">
        <is>
          <t>⏳ UPCOMING</t>
        </is>
      </c>
      <c r="I871" s="4" t="inlineStr">
        <is>
          <t>Tendernotice_1.pdf</t>
        </is>
      </c>
      <c r="J871" s="6" t="inlineStr">
        <is>
          <t>📕 PDF Document</t>
        </is>
      </c>
      <c r="K871" s="9" t="n">
        <v>17.9</v>
      </c>
      <c r="L871" s="10">
        <f>HYPERLINK("http://127.0.0.1:8000/api/documents/download?id=2342&amp;attachment=true", "⬇ Download Tendernotice_1.pdf")</f>
        <v/>
      </c>
      <c r="M871" s="10">
        <f>HYPERLINK("http://localhost:5173/?state=Arunachal%20Pradesh&amp;keyword=ICT&amp;tender=2026_PWDAP_3717_1", "🚀 Open in Portal")</f>
        <v/>
      </c>
    </row>
    <row r="872" ht="24" customHeight="1">
      <c r="A872" s="11" t="inlineStr">
        <is>
          <t>Arunachal Pradesh</t>
        </is>
      </c>
      <c r="B872" s="12" t="inlineStr">
        <is>
          <t>ICT</t>
        </is>
      </c>
      <c r="C872" s="13" t="inlineStr">
        <is>
          <t>2026_PWDAP_3717_1</t>
        </is>
      </c>
      <c r="D872" s="14" t="inlineStr">
        <is>
          <t>[C/o Mini Secretariat at Seijosa in Pakke Kessang District.]</t>
        </is>
      </c>
      <c r="E872" s="14" t="inlineStr">
        <is>
          <t>Arunachal Pradesh Public Works &amp; Technology Department</t>
        </is>
      </c>
      <c r="F872" s="13" t="inlineStr">
        <is>
          <t>26 Jul 2026</t>
        </is>
      </c>
      <c r="G872" s="12" t="inlineStr">
        <is>
          <t>24 Aug 2026</t>
        </is>
      </c>
      <c r="H872" s="8" t="inlineStr">
        <is>
          <t>⏳ UPCOMING</t>
        </is>
      </c>
      <c r="I872" s="11" t="inlineStr">
        <is>
          <t>NIT_MiniSecretariat.pdf</t>
        </is>
      </c>
      <c r="J872" s="13" t="inlineStr">
        <is>
          <t>📕 PDF Document</t>
        </is>
      </c>
      <c r="K872" s="15" t="n">
        <v>17.9</v>
      </c>
      <c r="L872" s="16">
        <f>HYPERLINK("http://127.0.0.1:8000/api/documents/download?id=2343&amp;attachment=true", "⬇ Download NIT_MiniSecretariat.pdf")</f>
        <v/>
      </c>
      <c r="M872" s="16">
        <f>HYPERLINK("http://localhost:5173/?state=Arunachal%20Pradesh&amp;keyword=ICT&amp;tender=2026_PWDAP_3717_1", "🚀 Open in Portal")</f>
        <v/>
      </c>
    </row>
    <row r="873" ht="24" customHeight="1">
      <c r="A873" s="4" t="inlineStr">
        <is>
          <t>Arunachal Pradesh</t>
        </is>
      </c>
      <c r="B873" s="5" t="inlineStr">
        <is>
          <t>ICT</t>
        </is>
      </c>
      <c r="C873" s="6" t="inlineStr">
        <is>
          <t>2026_PWDAP_3717_1</t>
        </is>
      </c>
      <c r="D873" s="7" t="inlineStr">
        <is>
          <t>[C/o Mini Secretariat at Seijosa in Pakke Kessang District.]</t>
        </is>
      </c>
      <c r="E873" s="7" t="inlineStr">
        <is>
          <t>Arunachal Pradesh Public Works &amp; Technology Department</t>
        </is>
      </c>
      <c r="F873" s="6" t="inlineStr">
        <is>
          <t>26 Jul 2026</t>
        </is>
      </c>
      <c r="G873" s="5" t="inlineStr">
        <is>
          <t>24 Aug 2026</t>
        </is>
      </c>
      <c r="H873" s="8" t="inlineStr">
        <is>
          <t>⏳ UPCOMING</t>
        </is>
      </c>
      <c r="I873" s="4" t="inlineStr">
        <is>
          <t>BOQ_3971.xls</t>
        </is>
      </c>
      <c r="J873" s="6" t="inlineStr">
        <is>
          <t>📊 Excel BOQ</t>
        </is>
      </c>
      <c r="K873" s="9" t="n">
        <v>2.4</v>
      </c>
      <c r="L873" s="10">
        <f>HYPERLINK("http://127.0.0.1:8000/api/documents/download?id=2344&amp;attachment=true", "⬇ Download BOQ_3971.xls")</f>
        <v/>
      </c>
      <c r="M873" s="10">
        <f>HYPERLINK("http://localhost:5173/?state=Arunachal%20Pradesh&amp;keyword=ICT&amp;tender=2026_PWDAP_3717_1", "🚀 Open in Portal")</f>
        <v/>
      </c>
    </row>
    <row r="874" ht="24" customHeight="1">
      <c r="A874" s="11" t="inlineStr">
        <is>
          <t>Arunachal Pradesh</t>
        </is>
      </c>
      <c r="B874" s="12" t="inlineStr">
        <is>
          <t>ICT</t>
        </is>
      </c>
      <c r="C874" s="13" t="inlineStr">
        <is>
          <t>2026_PWDAP_3717_1</t>
        </is>
      </c>
      <c r="D874" s="14" t="inlineStr">
        <is>
          <t>[C/o Mini Secretariat at Seijosa in Pakke Kessang District.]</t>
        </is>
      </c>
      <c r="E874" s="14" t="inlineStr">
        <is>
          <t>Arunachal Pradesh Public Works &amp; Technology Department</t>
        </is>
      </c>
      <c r="F874" s="13" t="inlineStr">
        <is>
          <t>26 Jul 2026</t>
        </is>
      </c>
      <c r="G874" s="12" t="inlineStr">
        <is>
          <t>24 Aug 2026</t>
        </is>
      </c>
      <c r="H874" s="8" t="inlineStr">
        <is>
          <t>⏳ UPCOMING</t>
        </is>
      </c>
      <c r="I874" s="11" t="inlineStr">
        <is>
          <t>Tender_2026_PWDAP_3717_1_All_Documents.zip</t>
        </is>
      </c>
      <c r="J874" s="13" t="inlineStr">
        <is>
          <t>📦 ZIP Package</t>
        </is>
      </c>
      <c r="K874" s="15" t="n">
        <v>20.9</v>
      </c>
      <c r="L874" s="16">
        <f>HYPERLINK("http://127.0.0.1:8000/api/documents/download?id=2345&amp;attachment=true", "⬇ Download Tender_2026_PWDAP_3717_1")</f>
        <v/>
      </c>
      <c r="M874" s="16">
        <f>HYPERLINK("http://localhost:5173/?state=Arunachal%20Pradesh&amp;keyword=ICT&amp;tender=2026_PWDAP_3717_1", "🚀 Open in Portal")</f>
        <v/>
      </c>
    </row>
    <row r="875" ht="24" customHeight="1">
      <c r="A875" s="4" t="inlineStr">
        <is>
          <t>Arunachal Pradesh</t>
        </is>
      </c>
      <c r="B875" s="5" t="inlineStr">
        <is>
          <t>ICT</t>
        </is>
      </c>
      <c r="C875" s="6" t="inlineStr">
        <is>
          <t>2026_TPULB_3706_1</t>
        </is>
      </c>
      <c r="D875" s="7" t="inlineStr">
        <is>
          <t>[RFP FOR SELECTION OF OPERATOR FOR O AND M OF PASIGHAT READING ROOM AND COWORKING HUB]</t>
        </is>
      </c>
      <c r="E875" s="7" t="inlineStr">
        <is>
          <t>Arunachal Pradesh Public Works &amp; Technology Department</t>
        </is>
      </c>
      <c r="F875" s="6" t="inlineStr">
        <is>
          <t>22 Sep 2026</t>
        </is>
      </c>
      <c r="G875" s="5" t="inlineStr">
        <is>
          <t>16 Oct 2026</t>
        </is>
      </c>
      <c r="H875" s="8" t="inlineStr">
        <is>
          <t>⏳ UPCOMING</t>
        </is>
      </c>
      <c r="I875" s="4" t="inlineStr">
        <is>
          <t>Tendernotice_1.pdf</t>
        </is>
      </c>
      <c r="J875" s="6" t="inlineStr">
        <is>
          <t>📕 PDF Document</t>
        </is>
      </c>
      <c r="K875" s="9" t="n">
        <v>17.9</v>
      </c>
      <c r="L875" s="10">
        <f>HYPERLINK("http://127.0.0.1:8000/api/documents/download?id=2350&amp;attachment=true", "⬇ Download Tendernotice_1.pdf")</f>
        <v/>
      </c>
      <c r="M875" s="10">
        <f>HYPERLINK("http://localhost:5173/?state=Arunachal%20Pradesh&amp;keyword=ICT&amp;tender=2026_TPULB_3706_1", "🚀 Open in Portal")</f>
        <v/>
      </c>
    </row>
    <row r="876" ht="24" customHeight="1">
      <c r="A876" s="11" t="inlineStr">
        <is>
          <t>Arunachal Pradesh</t>
        </is>
      </c>
      <c r="B876" s="12" t="inlineStr">
        <is>
          <t>ICT</t>
        </is>
      </c>
      <c r="C876" s="13" t="inlineStr">
        <is>
          <t>2026_TPULB_3706_1</t>
        </is>
      </c>
      <c r="D876" s="14" t="inlineStr">
        <is>
          <t>[RFP FOR SELECTION OF OPERATOR FOR O AND M OF PASIGHAT READING ROOM AND COWORKING HUB]</t>
        </is>
      </c>
      <c r="E876" s="14" t="inlineStr">
        <is>
          <t>Arunachal Pradesh Public Works &amp; Technology Department</t>
        </is>
      </c>
      <c r="F876" s="13" t="inlineStr">
        <is>
          <t>22 Sep 2026</t>
        </is>
      </c>
      <c r="G876" s="12" t="inlineStr">
        <is>
          <t>16 Oct 2026</t>
        </is>
      </c>
      <c r="H876" s="8" t="inlineStr">
        <is>
          <t>⏳ UPCOMING</t>
        </is>
      </c>
      <c r="I876" s="11" t="inlineStr">
        <is>
          <t>BOQ_3956.xls</t>
        </is>
      </c>
      <c r="J876" s="13" t="inlineStr">
        <is>
          <t>📊 Excel BOQ</t>
        </is>
      </c>
      <c r="K876" s="15" t="n">
        <v>2.5</v>
      </c>
      <c r="L876" s="16">
        <f>HYPERLINK("http://127.0.0.1:8000/api/documents/download?id=2351&amp;attachment=true", "⬇ Download BOQ_3956.xls")</f>
        <v/>
      </c>
      <c r="M876" s="16">
        <f>HYPERLINK("http://localhost:5173/?state=Arunachal%20Pradesh&amp;keyword=ICT&amp;tender=2026_TPULB_3706_1", "🚀 Open in Portal")</f>
        <v/>
      </c>
    </row>
    <row r="877" ht="24" customHeight="1">
      <c r="A877" s="4" t="inlineStr">
        <is>
          <t>Arunachal Pradesh</t>
        </is>
      </c>
      <c r="B877" s="5" t="inlineStr">
        <is>
          <t>ICT</t>
        </is>
      </c>
      <c r="C877" s="6" t="inlineStr">
        <is>
          <t>2026_TPULB_3706_1</t>
        </is>
      </c>
      <c r="D877" s="7" t="inlineStr">
        <is>
          <t>[RFP FOR SELECTION OF OPERATOR FOR O AND M OF PASIGHAT READING ROOM AND COWORKING HUB]</t>
        </is>
      </c>
      <c r="E877" s="7" t="inlineStr">
        <is>
          <t>Arunachal Pradesh Public Works &amp; Technology Department</t>
        </is>
      </c>
      <c r="F877" s="6" t="inlineStr">
        <is>
          <t>22 Sep 2026</t>
        </is>
      </c>
      <c r="G877" s="5" t="inlineStr">
        <is>
          <t>16 Oct 2026</t>
        </is>
      </c>
      <c r="H877" s="8" t="inlineStr">
        <is>
          <t>⏳ UPCOMING</t>
        </is>
      </c>
      <c r="I877" s="4" t="inlineStr">
        <is>
          <t>Tender_2026_TPULB_3706_1_All_Documents.zip</t>
        </is>
      </c>
      <c r="J877" s="6" t="inlineStr">
        <is>
          <t>📦 ZIP Package</t>
        </is>
      </c>
      <c r="K877" s="9" t="n">
        <v>11.6</v>
      </c>
      <c r="L877" s="10">
        <f>HYPERLINK("http://127.0.0.1:8000/api/documents/download?id=2352&amp;attachment=true", "⬇ Download Tender_2026_TPULB_3706_1")</f>
        <v/>
      </c>
      <c r="M877" s="10">
        <f>HYPERLINK("http://localhost:5173/?state=Arunachal%20Pradesh&amp;keyword=ICT&amp;tender=2026_TPULB_3706_1", "🚀 Open in Portal")</f>
        <v/>
      </c>
    </row>
    <row r="878" ht="24" customHeight="1">
      <c r="A878" s="11" t="inlineStr">
        <is>
          <t>Arunachal Pradesh</t>
        </is>
      </c>
      <c r="B878" s="12" t="inlineStr">
        <is>
          <t>ICT</t>
        </is>
      </c>
      <c r="C878" s="13" t="inlineStr">
        <is>
          <t>ARUN-HEALTH-2026-1190</t>
        </is>
      </c>
      <c r="D878" s="14" t="inlineStr">
        <is>
          <t>Deployment of Drone-based Medical Supply Delivery Network &amp; Tele-Health App</t>
        </is>
      </c>
      <c r="E878" s="14" t="inlineStr">
        <is>
          <t>HEALTH &amp; FAMILY WELFARE-Itanagar</t>
        </is>
      </c>
      <c r="F878" s="13" t="inlineStr">
        <is>
          <t>17 Sep 2026</t>
        </is>
      </c>
      <c r="G878" s="12" t="inlineStr">
        <is>
          <t>09 Oct 2026</t>
        </is>
      </c>
      <c r="H878" s="8" t="inlineStr">
        <is>
          <t>⏳ UPCOMING</t>
        </is>
      </c>
      <c r="I878" s="11" t="inlineStr">
        <is>
          <t>Medical_Drone_Delivery_RFP.pdf</t>
        </is>
      </c>
      <c r="J878" s="13" t="inlineStr">
        <is>
          <t>📕 PDF Document</t>
        </is>
      </c>
      <c r="K878" s="15" t="n">
        <v>17.9</v>
      </c>
      <c r="L878" s="16">
        <f>HYPERLINK("http://127.0.0.1:8000/api/documents/download?id=2832&amp;attachment=true", "⬇ Download Medical_Drone_Delivery_R")</f>
        <v/>
      </c>
      <c r="M878" s="16">
        <f>HYPERLINK("http://localhost:5173/?state=Arunachal%20Pradesh&amp;keyword=ICT&amp;tender=ARUN-HEALTH-2026-1190", "🚀 Open in Portal")</f>
        <v/>
      </c>
    </row>
    <row r="879" ht="24" customHeight="1">
      <c r="A879" s="4" t="inlineStr">
        <is>
          <t>Arunachal Pradesh</t>
        </is>
      </c>
      <c r="B879" s="5" t="inlineStr">
        <is>
          <t>ICT</t>
        </is>
      </c>
      <c r="C879" s="6" t="inlineStr">
        <is>
          <t>ARUN-HEALTH-2026-1190</t>
        </is>
      </c>
      <c r="D879" s="7" t="inlineStr">
        <is>
          <t>Deployment of Drone-based Medical Supply Delivery Network &amp; Tele-Health App</t>
        </is>
      </c>
      <c r="E879" s="7" t="inlineStr">
        <is>
          <t>HEALTH &amp; FAMILY WELFARE-Itanagar</t>
        </is>
      </c>
      <c r="F879" s="6" t="inlineStr">
        <is>
          <t>17 Sep 2026</t>
        </is>
      </c>
      <c r="G879" s="5" t="inlineStr">
        <is>
          <t>09 Oct 2026</t>
        </is>
      </c>
      <c r="H879" s="8" t="inlineStr">
        <is>
          <t>⏳ UPCOMING</t>
        </is>
      </c>
      <c r="I879" s="4" t="inlineStr">
        <is>
          <t>Cold_Chain_Payload_Specs.pdf</t>
        </is>
      </c>
      <c r="J879" s="6" t="inlineStr">
        <is>
          <t>📕 PDF Document</t>
        </is>
      </c>
      <c r="K879" s="9" t="n">
        <v>17.9</v>
      </c>
      <c r="L879" s="10">
        <f>HYPERLINK("http://127.0.0.1:8000/api/documents/download?id=2833&amp;attachment=true", "⬇ Download Cold_Chain_Payload_Specs")</f>
        <v/>
      </c>
      <c r="M879" s="10">
        <f>HYPERLINK("http://localhost:5173/?state=Arunachal%20Pradesh&amp;keyword=ICT&amp;tender=ARUN-HEALTH-2026-1190", "🚀 Open in Portal")</f>
        <v/>
      </c>
    </row>
    <row r="880" ht="24" customHeight="1">
      <c r="A880" s="11" t="inlineStr">
        <is>
          <t>Arunachal Pradesh</t>
        </is>
      </c>
      <c r="B880" s="12" t="inlineStr">
        <is>
          <t>ICT</t>
        </is>
      </c>
      <c r="C880" s="13" t="inlineStr">
        <is>
          <t>ARUN-HEALTH-2026-1190</t>
        </is>
      </c>
      <c r="D880" s="14" t="inlineStr">
        <is>
          <t>Deployment of Drone-based Medical Supply Delivery Network &amp; Tele-Health App</t>
        </is>
      </c>
      <c r="E880" s="14" t="inlineStr">
        <is>
          <t>HEALTH &amp; FAMILY WELFARE-Itanagar</t>
        </is>
      </c>
      <c r="F880" s="13" t="inlineStr">
        <is>
          <t>17 Sep 2026</t>
        </is>
      </c>
      <c r="G880" s="12" t="inlineStr">
        <is>
          <t>09 Oct 2026</t>
        </is>
      </c>
      <c r="H880" s="8" t="inlineStr">
        <is>
          <t>⏳ UPCOMING</t>
        </is>
      </c>
      <c r="I880" s="11" t="inlineStr">
        <is>
          <t>Tender_ARUN-HEALTH-2026-1190_All_Documents.zip</t>
        </is>
      </c>
      <c r="J880" s="13" t="inlineStr">
        <is>
          <t>📦 ZIP Package</t>
        </is>
      </c>
      <c r="K880" s="15" t="n">
        <v>18.8</v>
      </c>
      <c r="L880" s="16">
        <f>HYPERLINK("http://127.0.0.1:8000/api/documents/download?id=3019&amp;attachment=true", "⬇ Download Tender_ARUN-HEALTH-2026-")</f>
        <v/>
      </c>
      <c r="M880" s="16">
        <f>HYPERLINK("http://localhost:5173/?state=Arunachal%20Pradesh&amp;keyword=ICT&amp;tender=ARUN-HEALTH-2026-1190", "🚀 Open in Portal")</f>
        <v/>
      </c>
    </row>
    <row r="881" ht="24" customHeight="1">
      <c r="A881" s="4" t="inlineStr">
        <is>
          <t>Arunachal Pradesh</t>
        </is>
      </c>
      <c r="B881" s="5" t="inlineStr">
        <is>
          <t>Agriculture</t>
        </is>
      </c>
      <c r="C881" s="6" t="inlineStr">
        <is>
          <t>ARUN-AGRI-2026-4419</t>
        </is>
      </c>
      <c r="D881" s="7" t="inlineStr">
        <is>
          <t>Organic Agriculture Certification &amp; Geotagged Farmer Database Management System</t>
        </is>
      </c>
      <c r="E881" s="7" t="inlineStr">
        <is>
          <t>DEPARTMENT OF AGRICULTURE-Krishi Bhavan, Naharlagun</t>
        </is>
      </c>
      <c r="F881" s="6" t="inlineStr">
        <is>
          <t>20 Aug 2026</t>
        </is>
      </c>
      <c r="G881" s="5" t="inlineStr">
        <is>
          <t>16 Sep 2026</t>
        </is>
      </c>
      <c r="H881" s="8" t="inlineStr">
        <is>
          <t>⏳ UPCOMING</t>
        </is>
      </c>
      <c r="I881" s="4" t="inlineStr">
        <is>
          <t>Organic_Agri_Traceability_RFP.pdf</t>
        </is>
      </c>
      <c r="J881" s="6" t="inlineStr">
        <is>
          <t>📕 PDF Document</t>
        </is>
      </c>
      <c r="K881" s="9" t="n">
        <v>17.9</v>
      </c>
      <c r="L881" s="10">
        <f>HYPERLINK("http://127.0.0.1:8000/api/documents/download?id=2830&amp;attachment=true", "⬇ Download Organic_Agri_Traceabilit")</f>
        <v/>
      </c>
      <c r="M881" s="10">
        <f>HYPERLINK("http://localhost:5173/?state=Arunachal%20Pradesh&amp;keyword=Agriculture&amp;tender=ARUN-AGRI-2026-4419", "🚀 Open in Portal")</f>
        <v/>
      </c>
    </row>
    <row r="882" ht="24" customHeight="1">
      <c r="A882" s="11" t="inlineStr">
        <is>
          <t>Arunachal Pradesh</t>
        </is>
      </c>
      <c r="B882" s="12" t="inlineStr">
        <is>
          <t>Agriculture</t>
        </is>
      </c>
      <c r="C882" s="13" t="inlineStr">
        <is>
          <t>ARUN-AGRI-2026-4419</t>
        </is>
      </c>
      <c r="D882" s="14" t="inlineStr">
        <is>
          <t>Organic Agriculture Certification &amp; Geotagged Farmer Database Management System</t>
        </is>
      </c>
      <c r="E882" s="14" t="inlineStr">
        <is>
          <t>DEPARTMENT OF AGRICULTURE-Krishi Bhavan, Naharlagun</t>
        </is>
      </c>
      <c r="F882" s="13" t="inlineStr">
        <is>
          <t>20 Aug 2026</t>
        </is>
      </c>
      <c r="G882" s="12" t="inlineStr">
        <is>
          <t>16 Sep 2026</t>
        </is>
      </c>
      <c r="H882" s="8" t="inlineStr">
        <is>
          <t>⏳ UPCOMING</t>
        </is>
      </c>
      <c r="I882" s="11" t="inlineStr">
        <is>
          <t>Mobile_App_Field_Survey_Specs.pdf</t>
        </is>
      </c>
      <c r="J882" s="13" t="inlineStr">
        <is>
          <t>📕 PDF Document</t>
        </is>
      </c>
      <c r="K882" s="15" t="n">
        <v>17.9</v>
      </c>
      <c r="L882" s="16">
        <f>HYPERLINK("http://127.0.0.1:8000/api/documents/download?id=2831&amp;attachment=true", "⬇ Download Mobile_App_Field_Survey_")</f>
        <v/>
      </c>
      <c r="M882" s="16">
        <f>HYPERLINK("http://localhost:5173/?state=Arunachal%20Pradesh&amp;keyword=Agriculture&amp;tender=ARUN-AGRI-2026-4419", "🚀 Open in Portal")</f>
        <v/>
      </c>
    </row>
    <row r="883" ht="24" customHeight="1">
      <c r="A883" s="4" t="inlineStr">
        <is>
          <t>Arunachal Pradesh</t>
        </is>
      </c>
      <c r="B883" s="5" t="inlineStr">
        <is>
          <t>Agriculture</t>
        </is>
      </c>
      <c r="C883" s="6" t="inlineStr">
        <is>
          <t>ARUN-AGRI-2026-4419</t>
        </is>
      </c>
      <c r="D883" s="7" t="inlineStr">
        <is>
          <t>Organic Agriculture Certification &amp; Geotagged Farmer Database Management System</t>
        </is>
      </c>
      <c r="E883" s="7" t="inlineStr">
        <is>
          <t>DEPARTMENT OF AGRICULTURE-Krishi Bhavan, Naharlagun</t>
        </is>
      </c>
      <c r="F883" s="6" t="inlineStr">
        <is>
          <t>20 Aug 2026</t>
        </is>
      </c>
      <c r="G883" s="5" t="inlineStr">
        <is>
          <t>16 Sep 2026</t>
        </is>
      </c>
      <c r="H883" s="8" t="inlineStr">
        <is>
          <t>⏳ UPCOMING</t>
        </is>
      </c>
      <c r="I883" s="4" t="inlineStr">
        <is>
          <t>Tender_ARUN-AGRI-2026-4419_All_Documents.zip</t>
        </is>
      </c>
      <c r="J883" s="6" t="inlineStr">
        <is>
          <t>📦 ZIP Package</t>
        </is>
      </c>
      <c r="K883" s="9" t="n">
        <v>18.7</v>
      </c>
      <c r="L883" s="10">
        <f>HYPERLINK("http://127.0.0.1:8000/api/documents/download?id=3018&amp;attachment=true", "⬇ Download Tender_ARUN-AGRI-2026-44")</f>
        <v/>
      </c>
      <c r="M883" s="10">
        <f>HYPERLINK("http://localhost:5173/?state=Arunachal%20Pradesh&amp;keyword=Agriculture&amp;tender=ARUN-AGRI-2026-4419", "🚀 Open in Portal")</f>
        <v/>
      </c>
    </row>
    <row r="884" ht="24" customHeight="1">
      <c r="A884" s="11" t="inlineStr">
        <is>
          <t>Arunachal Pradesh</t>
        </is>
      </c>
      <c r="B884" s="12" t="inlineStr">
        <is>
          <t>Forest</t>
        </is>
      </c>
      <c r="C884" s="13" t="inlineStr">
        <is>
          <t>ARUN-IT-2026-0812</t>
        </is>
      </c>
      <c r="D884" s="14" t="inlineStr">
        <is>
          <t>High Altitude Border Forest Canopy &amp; Wildlife GIS Mapping using LiDAR &amp; Satellite Data</t>
        </is>
      </c>
      <c r="E884" s="14" t="inlineStr">
        <is>
          <t>DEPARTMENT OF ENVIRONMENT &amp; FORESTS-Itanagar</t>
        </is>
      </c>
      <c r="F884" s="13" t="inlineStr">
        <is>
          <t>22 Jul 2026</t>
        </is>
      </c>
      <c r="G884" s="12" t="inlineStr">
        <is>
          <t>15 Aug 2026</t>
        </is>
      </c>
      <c r="H884" s="8" t="inlineStr">
        <is>
          <t>⏳ UPCOMING</t>
        </is>
      </c>
      <c r="I884" s="11" t="inlineStr">
        <is>
          <t>Arunachal_LiDAR_Forest_GIS_RFP.pdf</t>
        </is>
      </c>
      <c r="J884" s="13" t="inlineStr">
        <is>
          <t>📕 PDF Document</t>
        </is>
      </c>
      <c r="K884" s="15" t="n">
        <v>17.9</v>
      </c>
      <c r="L884" s="16">
        <f>HYPERLINK("http://127.0.0.1:8000/api/documents/download?id=2827&amp;attachment=true", "⬇ Download Arunachal_LiDAR_Forest_G")</f>
        <v/>
      </c>
      <c r="M884" s="16">
        <f>HYPERLINK("http://localhost:5173/?state=Arunachal%20Pradesh&amp;keyword=Forest&amp;tender=ARUN-IT-2026-0812", "🚀 Open in Portal")</f>
        <v/>
      </c>
    </row>
    <row r="885" ht="24" customHeight="1">
      <c r="A885" s="4" t="inlineStr">
        <is>
          <t>Arunachal Pradesh</t>
        </is>
      </c>
      <c r="B885" s="5" t="inlineStr">
        <is>
          <t>Forest</t>
        </is>
      </c>
      <c r="C885" s="6" t="inlineStr">
        <is>
          <t>ARUN-IT-2026-0812</t>
        </is>
      </c>
      <c r="D885" s="7" t="inlineStr">
        <is>
          <t>High Altitude Border Forest Canopy &amp; Wildlife GIS Mapping using LiDAR &amp; Satellite Data</t>
        </is>
      </c>
      <c r="E885" s="7" t="inlineStr">
        <is>
          <t>DEPARTMENT OF ENVIRONMENT &amp; FORESTS-Itanagar</t>
        </is>
      </c>
      <c r="F885" s="6" t="inlineStr">
        <is>
          <t>22 Jul 2026</t>
        </is>
      </c>
      <c r="G885" s="5" t="inlineStr">
        <is>
          <t>15 Aug 2026</t>
        </is>
      </c>
      <c r="H885" s="8" t="inlineStr">
        <is>
          <t>⏳ UPCOMING</t>
        </is>
      </c>
      <c r="I885" s="4" t="inlineStr">
        <is>
          <t>Flight_Permit_Guidelines_MHA.pdf</t>
        </is>
      </c>
      <c r="J885" s="6" t="inlineStr">
        <is>
          <t>📕 PDF Document</t>
        </is>
      </c>
      <c r="K885" s="9" t="n">
        <v>17.9</v>
      </c>
      <c r="L885" s="10">
        <f>HYPERLINK("http://127.0.0.1:8000/api/documents/download?id=2828&amp;attachment=true", "⬇ Download Flight_Permit_Guidelines")</f>
        <v/>
      </c>
      <c r="M885" s="10">
        <f>HYPERLINK("http://localhost:5173/?state=Arunachal%20Pradesh&amp;keyword=Forest&amp;tender=ARUN-IT-2026-0812", "🚀 Open in Portal")</f>
        <v/>
      </c>
    </row>
    <row r="886" ht="24" customHeight="1">
      <c r="A886" s="11" t="inlineStr">
        <is>
          <t>Arunachal Pradesh</t>
        </is>
      </c>
      <c r="B886" s="12" t="inlineStr">
        <is>
          <t>Forest</t>
        </is>
      </c>
      <c r="C886" s="13" t="inlineStr">
        <is>
          <t>ARUN-IT-2026-0812</t>
        </is>
      </c>
      <c r="D886" s="14" t="inlineStr">
        <is>
          <t>High Altitude Border Forest Canopy &amp; Wildlife GIS Mapping using LiDAR &amp; Satellite Data</t>
        </is>
      </c>
      <c r="E886" s="14" t="inlineStr">
        <is>
          <t>DEPARTMENT OF ENVIRONMENT &amp; FORESTS-Itanagar</t>
        </is>
      </c>
      <c r="F886" s="13" t="inlineStr">
        <is>
          <t>22 Jul 2026</t>
        </is>
      </c>
      <c r="G886" s="12" t="inlineStr">
        <is>
          <t>15 Aug 2026</t>
        </is>
      </c>
      <c r="H886" s="8" t="inlineStr">
        <is>
          <t>⏳ UPCOMING</t>
        </is>
      </c>
      <c r="I886" s="11" t="inlineStr">
        <is>
          <t>LiDAR_Classification_Specs.pdf</t>
        </is>
      </c>
      <c r="J886" s="13" t="inlineStr">
        <is>
          <t>📕 PDF Document</t>
        </is>
      </c>
      <c r="K886" s="15" t="n">
        <v>17.9</v>
      </c>
      <c r="L886" s="16">
        <f>HYPERLINK("http://127.0.0.1:8000/api/documents/download?id=2829&amp;attachment=true", "⬇ Download LiDAR_Classification_Spe")</f>
        <v/>
      </c>
      <c r="M886" s="16">
        <f>HYPERLINK("http://localhost:5173/?state=Arunachal%20Pradesh&amp;keyword=Forest&amp;tender=ARUN-IT-2026-0812", "🚀 Open in Portal")</f>
        <v/>
      </c>
    </row>
    <row r="887" ht="24" customHeight="1">
      <c r="A887" s="4" t="inlineStr">
        <is>
          <t>Arunachal Pradesh</t>
        </is>
      </c>
      <c r="B887" s="5" t="inlineStr">
        <is>
          <t>Forest</t>
        </is>
      </c>
      <c r="C887" s="6" t="inlineStr">
        <is>
          <t>ARUN-IT-2026-0812</t>
        </is>
      </c>
      <c r="D887" s="7" t="inlineStr">
        <is>
          <t>High Altitude Border Forest Canopy &amp; Wildlife GIS Mapping using LiDAR &amp; Satellite Data</t>
        </is>
      </c>
      <c r="E887" s="7" t="inlineStr">
        <is>
          <t>DEPARTMENT OF ENVIRONMENT &amp; FORESTS-Itanagar</t>
        </is>
      </c>
      <c r="F887" s="6" t="inlineStr">
        <is>
          <t>22 Jul 2026</t>
        </is>
      </c>
      <c r="G887" s="5" t="inlineStr">
        <is>
          <t>15 Aug 2026</t>
        </is>
      </c>
      <c r="H887" s="8" t="inlineStr">
        <is>
          <t>⏳ UPCOMING</t>
        </is>
      </c>
      <c r="I887" s="4" t="inlineStr">
        <is>
          <t>Tender_ARUN-IT-2026-0812_All_Documents.zip</t>
        </is>
      </c>
      <c r="J887" s="6" t="inlineStr">
        <is>
          <t>📦 ZIP Package</t>
        </is>
      </c>
      <c r="K887" s="9" t="n">
        <v>27.8</v>
      </c>
      <c r="L887" s="10">
        <f>HYPERLINK("http://127.0.0.1:8000/api/documents/download?id=3017&amp;attachment=true", "⬇ Download Tender_ARUN-IT-2026-0812")</f>
        <v/>
      </c>
      <c r="M887" s="10">
        <f>HYPERLINK("http://localhost:5173/?state=Arunachal%20Pradesh&amp;keyword=Forest&amp;tender=ARUN-IT-2026-0812", "🚀 Open in Portal")</f>
        <v/>
      </c>
    </row>
    <row r="888" ht="24" customHeight="1">
      <c r="A888" s="11" t="inlineStr">
        <is>
          <t>Arunachal Pradesh</t>
        </is>
      </c>
      <c r="B888" s="12" t="inlineStr">
        <is>
          <t>Environment</t>
        </is>
      </c>
      <c r="C888" s="13" t="inlineStr">
        <is>
          <t>ARUN-IT-2026-0812</t>
        </is>
      </c>
      <c r="D888" s="14" t="inlineStr">
        <is>
          <t>High Altitude Border Forest Canopy &amp; Wildlife GIS Mapping using LiDAR &amp; Satellite Data</t>
        </is>
      </c>
      <c r="E888" s="14" t="inlineStr">
        <is>
          <t>DEPARTMENT OF ENVIRONMENT &amp; FORESTS-Itanagar</t>
        </is>
      </c>
      <c r="F888" s="13" t="inlineStr">
        <is>
          <t>22 Jul 2026</t>
        </is>
      </c>
      <c r="G888" s="12" t="inlineStr">
        <is>
          <t>15 Aug 2026</t>
        </is>
      </c>
      <c r="H888" s="8" t="inlineStr">
        <is>
          <t>⏳ UPCOMING</t>
        </is>
      </c>
      <c r="I888" s="11" t="inlineStr">
        <is>
          <t>Arunachal_LiDAR_Forest_GIS_RFP.pdf</t>
        </is>
      </c>
      <c r="J888" s="13" t="inlineStr">
        <is>
          <t>📕 PDF Document</t>
        </is>
      </c>
      <c r="K888" s="15" t="n">
        <v>17.9</v>
      </c>
      <c r="L888" s="16">
        <f>HYPERLINK("http://127.0.0.1:8000/api/documents/download?id=2827&amp;attachment=true", "⬇ Download Arunachal_LiDAR_Forest_G")</f>
        <v/>
      </c>
      <c r="M888" s="16">
        <f>HYPERLINK("http://localhost:5173/?state=Arunachal%20Pradesh&amp;keyword=Environment&amp;tender=ARUN-IT-2026-0812", "🚀 Open in Portal")</f>
        <v/>
      </c>
    </row>
    <row r="889" ht="24" customHeight="1">
      <c r="A889" s="4" t="inlineStr">
        <is>
          <t>Arunachal Pradesh</t>
        </is>
      </c>
      <c r="B889" s="5" t="inlineStr">
        <is>
          <t>Environment</t>
        </is>
      </c>
      <c r="C889" s="6" t="inlineStr">
        <is>
          <t>ARUN-IT-2026-0812</t>
        </is>
      </c>
      <c r="D889" s="7" t="inlineStr">
        <is>
          <t>High Altitude Border Forest Canopy &amp; Wildlife GIS Mapping using LiDAR &amp; Satellite Data</t>
        </is>
      </c>
      <c r="E889" s="7" t="inlineStr">
        <is>
          <t>DEPARTMENT OF ENVIRONMENT &amp; FORESTS-Itanagar</t>
        </is>
      </c>
      <c r="F889" s="6" t="inlineStr">
        <is>
          <t>22 Jul 2026</t>
        </is>
      </c>
      <c r="G889" s="5" t="inlineStr">
        <is>
          <t>15 Aug 2026</t>
        </is>
      </c>
      <c r="H889" s="8" t="inlineStr">
        <is>
          <t>⏳ UPCOMING</t>
        </is>
      </c>
      <c r="I889" s="4" t="inlineStr">
        <is>
          <t>Flight_Permit_Guidelines_MHA.pdf</t>
        </is>
      </c>
      <c r="J889" s="6" t="inlineStr">
        <is>
          <t>📕 PDF Document</t>
        </is>
      </c>
      <c r="K889" s="9" t="n">
        <v>17.9</v>
      </c>
      <c r="L889" s="10">
        <f>HYPERLINK("http://127.0.0.1:8000/api/documents/download?id=2828&amp;attachment=true", "⬇ Download Flight_Permit_Guidelines")</f>
        <v/>
      </c>
      <c r="M889" s="10">
        <f>HYPERLINK("http://localhost:5173/?state=Arunachal%20Pradesh&amp;keyword=Environment&amp;tender=ARUN-IT-2026-0812", "🚀 Open in Portal")</f>
        <v/>
      </c>
    </row>
    <row r="890" ht="24" customHeight="1">
      <c r="A890" s="11" t="inlineStr">
        <is>
          <t>Arunachal Pradesh</t>
        </is>
      </c>
      <c r="B890" s="12" t="inlineStr">
        <is>
          <t>Environment</t>
        </is>
      </c>
      <c r="C890" s="13" t="inlineStr">
        <is>
          <t>ARUN-IT-2026-0812</t>
        </is>
      </c>
      <c r="D890" s="14" t="inlineStr">
        <is>
          <t>High Altitude Border Forest Canopy &amp; Wildlife GIS Mapping using LiDAR &amp; Satellite Data</t>
        </is>
      </c>
      <c r="E890" s="14" t="inlineStr">
        <is>
          <t>DEPARTMENT OF ENVIRONMENT &amp; FORESTS-Itanagar</t>
        </is>
      </c>
      <c r="F890" s="13" t="inlineStr">
        <is>
          <t>22 Jul 2026</t>
        </is>
      </c>
      <c r="G890" s="12" t="inlineStr">
        <is>
          <t>15 Aug 2026</t>
        </is>
      </c>
      <c r="H890" s="8" t="inlineStr">
        <is>
          <t>⏳ UPCOMING</t>
        </is>
      </c>
      <c r="I890" s="11" t="inlineStr">
        <is>
          <t>LiDAR_Classification_Specs.pdf</t>
        </is>
      </c>
      <c r="J890" s="13" t="inlineStr">
        <is>
          <t>📕 PDF Document</t>
        </is>
      </c>
      <c r="K890" s="15" t="n">
        <v>17.9</v>
      </c>
      <c r="L890" s="16">
        <f>HYPERLINK("http://127.0.0.1:8000/api/documents/download?id=2829&amp;attachment=true", "⬇ Download LiDAR_Classification_Spe")</f>
        <v/>
      </c>
      <c r="M890" s="16">
        <f>HYPERLINK("http://localhost:5173/?state=Arunachal%20Pradesh&amp;keyword=Environment&amp;tender=ARUN-IT-2026-0812", "🚀 Open in Portal")</f>
        <v/>
      </c>
    </row>
    <row r="891" ht="24" customHeight="1">
      <c r="A891" s="4" t="inlineStr">
        <is>
          <t>Arunachal Pradesh</t>
        </is>
      </c>
      <c r="B891" s="5" t="inlineStr">
        <is>
          <t>Environment</t>
        </is>
      </c>
      <c r="C891" s="6" t="inlineStr">
        <is>
          <t>ARUN-IT-2026-0812</t>
        </is>
      </c>
      <c r="D891" s="7" t="inlineStr">
        <is>
          <t>High Altitude Border Forest Canopy &amp; Wildlife GIS Mapping using LiDAR &amp; Satellite Data</t>
        </is>
      </c>
      <c r="E891" s="7" t="inlineStr">
        <is>
          <t>DEPARTMENT OF ENVIRONMENT &amp; FORESTS-Itanagar</t>
        </is>
      </c>
      <c r="F891" s="6" t="inlineStr">
        <is>
          <t>22 Jul 2026</t>
        </is>
      </c>
      <c r="G891" s="5" t="inlineStr">
        <is>
          <t>15 Aug 2026</t>
        </is>
      </c>
      <c r="H891" s="8" t="inlineStr">
        <is>
          <t>⏳ UPCOMING</t>
        </is>
      </c>
      <c r="I891" s="4" t="inlineStr">
        <is>
          <t>Tender_ARUN-IT-2026-0812_All_Documents.zip</t>
        </is>
      </c>
      <c r="J891" s="6" t="inlineStr">
        <is>
          <t>📦 ZIP Package</t>
        </is>
      </c>
      <c r="K891" s="9" t="n">
        <v>27.8</v>
      </c>
      <c r="L891" s="10">
        <f>HYPERLINK("http://127.0.0.1:8000/api/documents/download?id=3017&amp;attachment=true", "⬇ Download Tender_ARUN-IT-2026-0812")</f>
        <v/>
      </c>
      <c r="M891" s="10">
        <f>HYPERLINK("http://localhost:5173/?state=Arunachal%20Pradesh&amp;keyword=Environment&amp;tender=ARUN-IT-2026-0812", "🚀 Open in Portal")</f>
        <v/>
      </c>
    </row>
    <row r="892" ht="24" customHeight="1">
      <c r="A892" s="11" t="inlineStr">
        <is>
          <t>Arunachal Pradesh</t>
        </is>
      </c>
      <c r="B892" s="12" t="inlineStr">
        <is>
          <t>Health</t>
        </is>
      </c>
      <c r="C892" s="13" t="inlineStr">
        <is>
          <t>ARUN-HEALTH-2026-1190</t>
        </is>
      </c>
      <c r="D892" s="14" t="inlineStr">
        <is>
          <t>Deployment of Drone-based Medical Supply Delivery Network &amp; Tele-Health App</t>
        </is>
      </c>
      <c r="E892" s="14" t="inlineStr">
        <is>
          <t>HEALTH &amp; FAMILY WELFARE-Itanagar</t>
        </is>
      </c>
      <c r="F892" s="13" t="inlineStr">
        <is>
          <t>17 Sep 2026</t>
        </is>
      </c>
      <c r="G892" s="12" t="inlineStr">
        <is>
          <t>09 Oct 2026</t>
        </is>
      </c>
      <c r="H892" s="8" t="inlineStr">
        <is>
          <t>⏳ UPCOMING</t>
        </is>
      </c>
      <c r="I892" s="11" t="inlineStr">
        <is>
          <t>Medical_Drone_Delivery_RFP.pdf</t>
        </is>
      </c>
      <c r="J892" s="13" t="inlineStr">
        <is>
          <t>📕 PDF Document</t>
        </is>
      </c>
      <c r="K892" s="15" t="n">
        <v>17.9</v>
      </c>
      <c r="L892" s="16">
        <f>HYPERLINK("http://127.0.0.1:8000/api/documents/download?id=2832&amp;attachment=true", "⬇ Download Medical_Drone_Delivery_R")</f>
        <v/>
      </c>
      <c r="M892" s="16">
        <f>HYPERLINK("http://localhost:5173/?state=Arunachal%20Pradesh&amp;keyword=Health&amp;tender=ARUN-HEALTH-2026-1190", "🚀 Open in Portal")</f>
        <v/>
      </c>
    </row>
    <row r="893" ht="24" customHeight="1">
      <c r="A893" s="4" t="inlineStr">
        <is>
          <t>Arunachal Pradesh</t>
        </is>
      </c>
      <c r="B893" s="5" t="inlineStr">
        <is>
          <t>Health</t>
        </is>
      </c>
      <c r="C893" s="6" t="inlineStr">
        <is>
          <t>ARUN-HEALTH-2026-1190</t>
        </is>
      </c>
      <c r="D893" s="7" t="inlineStr">
        <is>
          <t>Deployment of Drone-based Medical Supply Delivery Network &amp; Tele-Health App</t>
        </is>
      </c>
      <c r="E893" s="7" t="inlineStr">
        <is>
          <t>HEALTH &amp; FAMILY WELFARE-Itanagar</t>
        </is>
      </c>
      <c r="F893" s="6" t="inlineStr">
        <is>
          <t>17 Sep 2026</t>
        </is>
      </c>
      <c r="G893" s="5" t="inlineStr">
        <is>
          <t>09 Oct 2026</t>
        </is>
      </c>
      <c r="H893" s="8" t="inlineStr">
        <is>
          <t>⏳ UPCOMING</t>
        </is>
      </c>
      <c r="I893" s="4" t="inlineStr">
        <is>
          <t>Cold_Chain_Payload_Specs.pdf</t>
        </is>
      </c>
      <c r="J893" s="6" t="inlineStr">
        <is>
          <t>📕 PDF Document</t>
        </is>
      </c>
      <c r="K893" s="9" t="n">
        <v>17.9</v>
      </c>
      <c r="L893" s="10">
        <f>HYPERLINK("http://127.0.0.1:8000/api/documents/download?id=2833&amp;attachment=true", "⬇ Download Cold_Chain_Payload_Specs")</f>
        <v/>
      </c>
      <c r="M893" s="10">
        <f>HYPERLINK("http://localhost:5173/?state=Arunachal%20Pradesh&amp;keyword=Health&amp;tender=ARUN-HEALTH-2026-1190", "🚀 Open in Portal")</f>
        <v/>
      </c>
    </row>
    <row r="894" ht="24" customHeight="1">
      <c r="A894" s="11" t="inlineStr">
        <is>
          <t>Arunachal Pradesh</t>
        </is>
      </c>
      <c r="B894" s="12" t="inlineStr">
        <is>
          <t>Health</t>
        </is>
      </c>
      <c r="C894" s="13" t="inlineStr">
        <is>
          <t>ARUN-HEALTH-2026-1190</t>
        </is>
      </c>
      <c r="D894" s="14" t="inlineStr">
        <is>
          <t>Deployment of Drone-based Medical Supply Delivery Network &amp; Tele-Health App</t>
        </is>
      </c>
      <c r="E894" s="14" t="inlineStr">
        <is>
          <t>HEALTH &amp; FAMILY WELFARE-Itanagar</t>
        </is>
      </c>
      <c r="F894" s="13" t="inlineStr">
        <is>
          <t>17 Sep 2026</t>
        </is>
      </c>
      <c r="G894" s="12" t="inlineStr">
        <is>
          <t>09 Oct 2026</t>
        </is>
      </c>
      <c r="H894" s="8" t="inlineStr">
        <is>
          <t>⏳ UPCOMING</t>
        </is>
      </c>
      <c r="I894" s="11" t="inlineStr">
        <is>
          <t>Tender_ARUN-HEALTH-2026-1190_All_Documents.zip</t>
        </is>
      </c>
      <c r="J894" s="13" t="inlineStr">
        <is>
          <t>📦 ZIP Package</t>
        </is>
      </c>
      <c r="K894" s="15" t="n">
        <v>18.8</v>
      </c>
      <c r="L894" s="16">
        <f>HYPERLINK("http://127.0.0.1:8000/api/documents/download?id=3019&amp;attachment=true", "⬇ Download Tender_ARUN-HEALTH-2026-")</f>
        <v/>
      </c>
      <c r="M894" s="16">
        <f>HYPERLINK("http://localhost:5173/?state=Arunachal%20Pradesh&amp;keyword=Health&amp;tender=ARUN-HEALTH-2026-1190", "🚀 Open in Portal")</f>
        <v/>
      </c>
    </row>
    <row r="895" ht="24" customHeight="1">
      <c r="A895" s="4" t="inlineStr">
        <is>
          <t>Arunachal Pradesh</t>
        </is>
      </c>
      <c r="B895" s="5" t="inlineStr">
        <is>
          <t>Spatial</t>
        </is>
      </c>
      <c r="C895" s="6" t="inlineStr">
        <is>
          <t>ARUN-IT-2026-0812</t>
        </is>
      </c>
      <c r="D895" s="7" t="inlineStr">
        <is>
          <t>High Altitude Border Forest Canopy &amp; Wildlife GIS Mapping using LiDAR &amp; Satellite Data</t>
        </is>
      </c>
      <c r="E895" s="7" t="inlineStr">
        <is>
          <t>DEPARTMENT OF ENVIRONMENT &amp; FORESTS-Itanagar</t>
        </is>
      </c>
      <c r="F895" s="6" t="inlineStr">
        <is>
          <t>22 Jul 2026</t>
        </is>
      </c>
      <c r="G895" s="5" t="inlineStr">
        <is>
          <t>15 Aug 2026</t>
        </is>
      </c>
      <c r="H895" s="8" t="inlineStr">
        <is>
          <t>⏳ UPCOMING</t>
        </is>
      </c>
      <c r="I895" s="4" t="inlineStr">
        <is>
          <t>Arunachal_LiDAR_Forest_GIS_RFP.pdf</t>
        </is>
      </c>
      <c r="J895" s="6" t="inlineStr">
        <is>
          <t>📕 PDF Document</t>
        </is>
      </c>
      <c r="K895" s="9" t="n">
        <v>17.9</v>
      </c>
      <c r="L895" s="10">
        <f>HYPERLINK("http://127.0.0.1:8000/api/documents/download?id=2827&amp;attachment=true", "⬇ Download Arunachal_LiDAR_Forest_G")</f>
        <v/>
      </c>
      <c r="M895" s="10">
        <f>HYPERLINK("http://localhost:5173/?state=Arunachal%20Pradesh&amp;keyword=Spatial&amp;tender=ARUN-IT-2026-0812", "🚀 Open in Portal")</f>
        <v/>
      </c>
    </row>
    <row r="896" ht="24" customHeight="1">
      <c r="A896" s="11" t="inlineStr">
        <is>
          <t>Arunachal Pradesh</t>
        </is>
      </c>
      <c r="B896" s="12" t="inlineStr">
        <is>
          <t>Spatial</t>
        </is>
      </c>
      <c r="C896" s="13" t="inlineStr">
        <is>
          <t>ARUN-IT-2026-0812</t>
        </is>
      </c>
      <c r="D896" s="14" t="inlineStr">
        <is>
          <t>High Altitude Border Forest Canopy &amp; Wildlife GIS Mapping using LiDAR &amp; Satellite Data</t>
        </is>
      </c>
      <c r="E896" s="14" t="inlineStr">
        <is>
          <t>DEPARTMENT OF ENVIRONMENT &amp; FORESTS-Itanagar</t>
        </is>
      </c>
      <c r="F896" s="13" t="inlineStr">
        <is>
          <t>22 Jul 2026</t>
        </is>
      </c>
      <c r="G896" s="12" t="inlineStr">
        <is>
          <t>15 Aug 2026</t>
        </is>
      </c>
      <c r="H896" s="8" t="inlineStr">
        <is>
          <t>⏳ UPCOMING</t>
        </is>
      </c>
      <c r="I896" s="11" t="inlineStr">
        <is>
          <t>Flight_Permit_Guidelines_MHA.pdf</t>
        </is>
      </c>
      <c r="J896" s="13" t="inlineStr">
        <is>
          <t>📕 PDF Document</t>
        </is>
      </c>
      <c r="K896" s="15" t="n">
        <v>17.9</v>
      </c>
      <c r="L896" s="16">
        <f>HYPERLINK("http://127.0.0.1:8000/api/documents/download?id=2828&amp;attachment=true", "⬇ Download Flight_Permit_Guidelines")</f>
        <v/>
      </c>
      <c r="M896" s="16">
        <f>HYPERLINK("http://localhost:5173/?state=Arunachal%20Pradesh&amp;keyword=Spatial&amp;tender=ARUN-IT-2026-0812", "🚀 Open in Portal")</f>
        <v/>
      </c>
    </row>
    <row r="897" ht="24" customHeight="1">
      <c r="A897" s="4" t="inlineStr">
        <is>
          <t>Arunachal Pradesh</t>
        </is>
      </c>
      <c r="B897" s="5" t="inlineStr">
        <is>
          <t>Spatial</t>
        </is>
      </c>
      <c r="C897" s="6" t="inlineStr">
        <is>
          <t>ARUN-IT-2026-0812</t>
        </is>
      </c>
      <c r="D897" s="7" t="inlineStr">
        <is>
          <t>High Altitude Border Forest Canopy &amp; Wildlife GIS Mapping using LiDAR &amp; Satellite Data</t>
        </is>
      </c>
      <c r="E897" s="7" t="inlineStr">
        <is>
          <t>DEPARTMENT OF ENVIRONMENT &amp; FORESTS-Itanagar</t>
        </is>
      </c>
      <c r="F897" s="6" t="inlineStr">
        <is>
          <t>22 Jul 2026</t>
        </is>
      </c>
      <c r="G897" s="5" t="inlineStr">
        <is>
          <t>15 Aug 2026</t>
        </is>
      </c>
      <c r="H897" s="8" t="inlineStr">
        <is>
          <t>⏳ UPCOMING</t>
        </is>
      </c>
      <c r="I897" s="4" t="inlineStr">
        <is>
          <t>LiDAR_Classification_Specs.pdf</t>
        </is>
      </c>
      <c r="J897" s="6" t="inlineStr">
        <is>
          <t>📕 PDF Document</t>
        </is>
      </c>
      <c r="K897" s="9" t="n">
        <v>17.9</v>
      </c>
      <c r="L897" s="10">
        <f>HYPERLINK("http://127.0.0.1:8000/api/documents/download?id=2829&amp;attachment=true", "⬇ Download LiDAR_Classification_Spe")</f>
        <v/>
      </c>
      <c r="M897" s="10">
        <f>HYPERLINK("http://localhost:5173/?state=Arunachal%20Pradesh&amp;keyword=Spatial&amp;tender=ARUN-IT-2026-0812", "🚀 Open in Portal")</f>
        <v/>
      </c>
    </row>
    <row r="898" ht="24" customHeight="1">
      <c r="A898" s="11" t="inlineStr">
        <is>
          <t>Arunachal Pradesh</t>
        </is>
      </c>
      <c r="B898" s="12" t="inlineStr">
        <is>
          <t>Spatial</t>
        </is>
      </c>
      <c r="C898" s="13" t="inlineStr">
        <is>
          <t>ARUN-IT-2026-0812</t>
        </is>
      </c>
      <c r="D898" s="14" t="inlineStr">
        <is>
          <t>High Altitude Border Forest Canopy &amp; Wildlife GIS Mapping using LiDAR &amp; Satellite Data</t>
        </is>
      </c>
      <c r="E898" s="14" t="inlineStr">
        <is>
          <t>DEPARTMENT OF ENVIRONMENT &amp; FORESTS-Itanagar</t>
        </is>
      </c>
      <c r="F898" s="13" t="inlineStr">
        <is>
          <t>22 Jul 2026</t>
        </is>
      </c>
      <c r="G898" s="12" t="inlineStr">
        <is>
          <t>15 Aug 2026</t>
        </is>
      </c>
      <c r="H898" s="8" t="inlineStr">
        <is>
          <t>⏳ UPCOMING</t>
        </is>
      </c>
      <c r="I898" s="11" t="inlineStr">
        <is>
          <t>Tender_ARUN-IT-2026-0812_All_Documents.zip</t>
        </is>
      </c>
      <c r="J898" s="13" t="inlineStr">
        <is>
          <t>📦 ZIP Package</t>
        </is>
      </c>
      <c r="K898" s="15" t="n">
        <v>27.8</v>
      </c>
      <c r="L898" s="16">
        <f>HYPERLINK("http://127.0.0.1:8000/api/documents/download?id=3017&amp;attachment=true", "⬇ Download Tender_ARUN-IT-2026-0812")</f>
        <v/>
      </c>
      <c r="M898" s="16">
        <f>HYPERLINK("http://localhost:5173/?state=Arunachal%20Pradesh&amp;keyword=Spatial&amp;tender=ARUN-IT-2026-0812", "🚀 Open in Portal")</f>
        <v/>
      </c>
    </row>
    <row r="899" ht="24" customHeight="1">
      <c r="A899" s="4" t="inlineStr">
        <is>
          <t>Arunachal Pradesh</t>
        </is>
      </c>
      <c r="B899" s="5" t="inlineStr">
        <is>
          <t>MIS</t>
        </is>
      </c>
      <c r="C899" s="6" t="inlineStr">
        <is>
          <t>ARUN-AGRI-2026-4419</t>
        </is>
      </c>
      <c r="D899" s="7" t="inlineStr">
        <is>
          <t>Organic Agriculture Certification &amp; Geotagged Farmer Database Management System</t>
        </is>
      </c>
      <c r="E899" s="7" t="inlineStr">
        <is>
          <t>DEPARTMENT OF AGRICULTURE-Krishi Bhavan, Naharlagun</t>
        </is>
      </c>
      <c r="F899" s="6" t="inlineStr">
        <is>
          <t>20 Aug 2026</t>
        </is>
      </c>
      <c r="G899" s="5" t="inlineStr">
        <is>
          <t>16 Sep 2026</t>
        </is>
      </c>
      <c r="H899" s="8" t="inlineStr">
        <is>
          <t>⏳ UPCOMING</t>
        </is>
      </c>
      <c r="I899" s="4" t="inlineStr">
        <is>
          <t>Organic_Agri_Traceability_RFP.pdf</t>
        </is>
      </c>
      <c r="J899" s="6" t="inlineStr">
        <is>
          <t>📕 PDF Document</t>
        </is>
      </c>
      <c r="K899" s="9" t="n">
        <v>17.9</v>
      </c>
      <c r="L899" s="10">
        <f>HYPERLINK("http://127.0.0.1:8000/api/documents/download?id=2830&amp;attachment=true", "⬇ Download Organic_Agri_Traceabilit")</f>
        <v/>
      </c>
      <c r="M899" s="10">
        <f>HYPERLINK("http://localhost:5173/?state=Arunachal%20Pradesh&amp;keyword=MIS&amp;tender=ARUN-AGRI-2026-4419", "🚀 Open in Portal")</f>
        <v/>
      </c>
    </row>
    <row r="900" ht="24" customHeight="1">
      <c r="A900" s="11" t="inlineStr">
        <is>
          <t>Arunachal Pradesh</t>
        </is>
      </c>
      <c r="B900" s="12" t="inlineStr">
        <is>
          <t>MIS</t>
        </is>
      </c>
      <c r="C900" s="13" t="inlineStr">
        <is>
          <t>ARUN-AGRI-2026-4419</t>
        </is>
      </c>
      <c r="D900" s="14" t="inlineStr">
        <is>
          <t>Organic Agriculture Certification &amp; Geotagged Farmer Database Management System</t>
        </is>
      </c>
      <c r="E900" s="14" t="inlineStr">
        <is>
          <t>DEPARTMENT OF AGRICULTURE-Krishi Bhavan, Naharlagun</t>
        </is>
      </c>
      <c r="F900" s="13" t="inlineStr">
        <is>
          <t>20 Aug 2026</t>
        </is>
      </c>
      <c r="G900" s="12" t="inlineStr">
        <is>
          <t>16 Sep 2026</t>
        </is>
      </c>
      <c r="H900" s="8" t="inlineStr">
        <is>
          <t>⏳ UPCOMING</t>
        </is>
      </c>
      <c r="I900" s="11" t="inlineStr">
        <is>
          <t>Mobile_App_Field_Survey_Specs.pdf</t>
        </is>
      </c>
      <c r="J900" s="13" t="inlineStr">
        <is>
          <t>📕 PDF Document</t>
        </is>
      </c>
      <c r="K900" s="15" t="n">
        <v>17.9</v>
      </c>
      <c r="L900" s="16">
        <f>HYPERLINK("http://127.0.0.1:8000/api/documents/download?id=2831&amp;attachment=true", "⬇ Download Mobile_App_Field_Survey_")</f>
        <v/>
      </c>
      <c r="M900" s="16">
        <f>HYPERLINK("http://localhost:5173/?state=Arunachal%20Pradesh&amp;keyword=MIS&amp;tender=ARUN-AGRI-2026-4419", "🚀 Open in Portal")</f>
        <v/>
      </c>
    </row>
    <row r="901" ht="24" customHeight="1">
      <c r="A901" s="4" t="inlineStr">
        <is>
          <t>Arunachal Pradesh</t>
        </is>
      </c>
      <c r="B901" s="5" t="inlineStr">
        <is>
          <t>MIS</t>
        </is>
      </c>
      <c r="C901" s="6" t="inlineStr">
        <is>
          <t>ARUN-AGRI-2026-4419</t>
        </is>
      </c>
      <c r="D901" s="7" t="inlineStr">
        <is>
          <t>Organic Agriculture Certification &amp; Geotagged Farmer Database Management System</t>
        </is>
      </c>
      <c r="E901" s="7" t="inlineStr">
        <is>
          <t>DEPARTMENT OF AGRICULTURE-Krishi Bhavan, Naharlagun</t>
        </is>
      </c>
      <c r="F901" s="6" t="inlineStr">
        <is>
          <t>20 Aug 2026</t>
        </is>
      </c>
      <c r="G901" s="5" t="inlineStr">
        <is>
          <t>16 Sep 2026</t>
        </is>
      </c>
      <c r="H901" s="8" t="inlineStr">
        <is>
          <t>⏳ UPCOMING</t>
        </is>
      </c>
      <c r="I901" s="4" t="inlineStr">
        <is>
          <t>Tender_ARUN-AGRI-2026-4419_All_Documents.zip</t>
        </is>
      </c>
      <c r="J901" s="6" t="inlineStr">
        <is>
          <t>📦 ZIP Package</t>
        </is>
      </c>
      <c r="K901" s="9" t="n">
        <v>18.7</v>
      </c>
      <c r="L901" s="10">
        <f>HYPERLINK("http://127.0.0.1:8000/api/documents/download?id=3018&amp;attachment=true", "⬇ Download Tender_ARUN-AGRI-2026-44")</f>
        <v/>
      </c>
      <c r="M901" s="10">
        <f>HYPERLINK("http://localhost:5173/?state=Arunachal%20Pradesh&amp;keyword=MIS&amp;tender=ARUN-AGRI-2026-4419", "🚀 Open in Portal")</f>
        <v/>
      </c>
    </row>
    <row r="902" ht="24" customHeight="1">
      <c r="A902" s="11" t="inlineStr">
        <is>
          <t>Arunachal Pradesh</t>
        </is>
      </c>
      <c r="B902" s="12" t="inlineStr">
        <is>
          <t>Mobile Application</t>
        </is>
      </c>
      <c r="C902" s="13" t="inlineStr">
        <is>
          <t>ARUN-AGRI-2026-4419</t>
        </is>
      </c>
      <c r="D902" s="14" t="inlineStr">
        <is>
          <t>Organic Agriculture Certification &amp; Geotagged Farmer Database Management System</t>
        </is>
      </c>
      <c r="E902" s="14" t="inlineStr">
        <is>
          <t>DEPARTMENT OF AGRICULTURE-Krishi Bhavan, Naharlagun</t>
        </is>
      </c>
      <c r="F902" s="13" t="inlineStr">
        <is>
          <t>20 Aug 2026</t>
        </is>
      </c>
      <c r="G902" s="12" t="inlineStr">
        <is>
          <t>16 Sep 2026</t>
        </is>
      </c>
      <c r="H902" s="8" t="inlineStr">
        <is>
          <t>⏳ UPCOMING</t>
        </is>
      </c>
      <c r="I902" s="11" t="inlineStr">
        <is>
          <t>Organic_Agri_Traceability_RFP.pdf</t>
        </is>
      </c>
      <c r="J902" s="13" t="inlineStr">
        <is>
          <t>📕 PDF Document</t>
        </is>
      </c>
      <c r="K902" s="15" t="n">
        <v>17.9</v>
      </c>
      <c r="L902" s="16">
        <f>HYPERLINK("http://127.0.0.1:8000/api/documents/download?id=2830&amp;attachment=true", "⬇ Download Organic_Agri_Traceabilit")</f>
        <v/>
      </c>
      <c r="M902" s="16">
        <f>HYPERLINK("http://localhost:5173/?state=Arunachal%20Pradesh&amp;keyword=Mobile%20Application&amp;tender=ARUN-AGRI-2026-4419", "🚀 Open in Portal")</f>
        <v/>
      </c>
    </row>
    <row r="903" ht="24" customHeight="1">
      <c r="A903" s="4" t="inlineStr">
        <is>
          <t>Arunachal Pradesh</t>
        </is>
      </c>
      <c r="B903" s="5" t="inlineStr">
        <is>
          <t>Mobile Application</t>
        </is>
      </c>
      <c r="C903" s="6" t="inlineStr">
        <is>
          <t>ARUN-AGRI-2026-4419</t>
        </is>
      </c>
      <c r="D903" s="7" t="inlineStr">
        <is>
          <t>Organic Agriculture Certification &amp; Geotagged Farmer Database Management System</t>
        </is>
      </c>
      <c r="E903" s="7" t="inlineStr">
        <is>
          <t>DEPARTMENT OF AGRICULTURE-Krishi Bhavan, Naharlagun</t>
        </is>
      </c>
      <c r="F903" s="6" t="inlineStr">
        <is>
          <t>20 Aug 2026</t>
        </is>
      </c>
      <c r="G903" s="5" t="inlineStr">
        <is>
          <t>16 Sep 2026</t>
        </is>
      </c>
      <c r="H903" s="8" t="inlineStr">
        <is>
          <t>⏳ UPCOMING</t>
        </is>
      </c>
      <c r="I903" s="4" t="inlineStr">
        <is>
          <t>Mobile_App_Field_Survey_Specs.pdf</t>
        </is>
      </c>
      <c r="J903" s="6" t="inlineStr">
        <is>
          <t>📕 PDF Document</t>
        </is>
      </c>
      <c r="K903" s="9" t="n">
        <v>17.9</v>
      </c>
      <c r="L903" s="10">
        <f>HYPERLINK("http://127.0.0.1:8000/api/documents/download?id=2831&amp;attachment=true", "⬇ Download Mobile_App_Field_Survey_")</f>
        <v/>
      </c>
      <c r="M903" s="10">
        <f>HYPERLINK("http://localhost:5173/?state=Arunachal%20Pradesh&amp;keyword=Mobile%20Application&amp;tender=ARUN-AGRI-2026-4419", "🚀 Open in Portal")</f>
        <v/>
      </c>
    </row>
    <row r="904" ht="24" customHeight="1">
      <c r="A904" s="11" t="inlineStr">
        <is>
          <t>Arunachal Pradesh</t>
        </is>
      </c>
      <c r="B904" s="12" t="inlineStr">
        <is>
          <t>Mobile Application</t>
        </is>
      </c>
      <c r="C904" s="13" t="inlineStr">
        <is>
          <t>ARUN-AGRI-2026-4419</t>
        </is>
      </c>
      <c r="D904" s="14" t="inlineStr">
        <is>
          <t>Organic Agriculture Certification &amp; Geotagged Farmer Database Management System</t>
        </is>
      </c>
      <c r="E904" s="14" t="inlineStr">
        <is>
          <t>DEPARTMENT OF AGRICULTURE-Krishi Bhavan, Naharlagun</t>
        </is>
      </c>
      <c r="F904" s="13" t="inlineStr">
        <is>
          <t>20 Aug 2026</t>
        </is>
      </c>
      <c r="G904" s="12" t="inlineStr">
        <is>
          <t>16 Sep 2026</t>
        </is>
      </c>
      <c r="H904" s="8" t="inlineStr">
        <is>
          <t>⏳ UPCOMING</t>
        </is>
      </c>
      <c r="I904" s="11" t="inlineStr">
        <is>
          <t>Tender_ARUN-AGRI-2026-4419_All_Documents.zip</t>
        </is>
      </c>
      <c r="J904" s="13" t="inlineStr">
        <is>
          <t>📦 ZIP Package</t>
        </is>
      </c>
      <c r="K904" s="15" t="n">
        <v>18.7</v>
      </c>
      <c r="L904" s="16">
        <f>HYPERLINK("http://127.0.0.1:8000/api/documents/download?id=3018&amp;attachment=true", "⬇ Download Tender_ARUN-AGRI-2026-44")</f>
        <v/>
      </c>
      <c r="M904" s="16">
        <f>HYPERLINK("http://localhost:5173/?state=Arunachal%20Pradesh&amp;keyword=Mobile%20Application&amp;tender=ARUN-AGRI-2026-4419", "🚀 Open in Portal")</f>
        <v/>
      </c>
    </row>
    <row r="905" ht="24" customHeight="1">
      <c r="A905" s="4" t="inlineStr">
        <is>
          <t>Arunachal Pradesh</t>
        </is>
      </c>
      <c r="B905" s="5" t="inlineStr">
        <is>
          <t>Mobile Application</t>
        </is>
      </c>
      <c r="C905" s="6" t="inlineStr">
        <is>
          <t>ARUN-HEALTH-2026-1190</t>
        </is>
      </c>
      <c r="D905" s="7" t="inlineStr">
        <is>
          <t>Deployment of Drone-based Medical Supply Delivery Network &amp; Tele-Health App</t>
        </is>
      </c>
      <c r="E905" s="7" t="inlineStr">
        <is>
          <t>HEALTH &amp; FAMILY WELFARE-Itanagar</t>
        </is>
      </c>
      <c r="F905" s="6" t="inlineStr">
        <is>
          <t>17 Sep 2026</t>
        </is>
      </c>
      <c r="G905" s="5" t="inlineStr">
        <is>
          <t>09 Oct 2026</t>
        </is>
      </c>
      <c r="H905" s="8" t="inlineStr">
        <is>
          <t>⏳ UPCOMING</t>
        </is>
      </c>
      <c r="I905" s="4" t="inlineStr">
        <is>
          <t>Medical_Drone_Delivery_RFP.pdf</t>
        </is>
      </c>
      <c r="J905" s="6" t="inlineStr">
        <is>
          <t>📕 PDF Document</t>
        </is>
      </c>
      <c r="K905" s="9" t="n">
        <v>17.9</v>
      </c>
      <c r="L905" s="10">
        <f>HYPERLINK("http://127.0.0.1:8000/api/documents/download?id=2832&amp;attachment=true", "⬇ Download Medical_Drone_Delivery_R")</f>
        <v/>
      </c>
      <c r="M905" s="10">
        <f>HYPERLINK("http://localhost:5173/?state=Arunachal%20Pradesh&amp;keyword=Mobile%20Application&amp;tender=ARUN-HEALTH-2026-1190", "🚀 Open in Portal")</f>
        <v/>
      </c>
    </row>
    <row r="906" ht="24" customHeight="1">
      <c r="A906" s="11" t="inlineStr">
        <is>
          <t>Arunachal Pradesh</t>
        </is>
      </c>
      <c r="B906" s="12" t="inlineStr">
        <is>
          <t>Mobile Application</t>
        </is>
      </c>
      <c r="C906" s="13" t="inlineStr">
        <is>
          <t>ARUN-HEALTH-2026-1190</t>
        </is>
      </c>
      <c r="D906" s="14" t="inlineStr">
        <is>
          <t>Deployment of Drone-based Medical Supply Delivery Network &amp; Tele-Health App</t>
        </is>
      </c>
      <c r="E906" s="14" t="inlineStr">
        <is>
          <t>HEALTH &amp; FAMILY WELFARE-Itanagar</t>
        </is>
      </c>
      <c r="F906" s="13" t="inlineStr">
        <is>
          <t>17 Sep 2026</t>
        </is>
      </c>
      <c r="G906" s="12" t="inlineStr">
        <is>
          <t>09 Oct 2026</t>
        </is>
      </c>
      <c r="H906" s="8" t="inlineStr">
        <is>
          <t>⏳ UPCOMING</t>
        </is>
      </c>
      <c r="I906" s="11" t="inlineStr">
        <is>
          <t>Cold_Chain_Payload_Specs.pdf</t>
        </is>
      </c>
      <c r="J906" s="13" t="inlineStr">
        <is>
          <t>📕 PDF Document</t>
        </is>
      </c>
      <c r="K906" s="15" t="n">
        <v>17.9</v>
      </c>
      <c r="L906" s="16">
        <f>HYPERLINK("http://127.0.0.1:8000/api/documents/download?id=2833&amp;attachment=true", "⬇ Download Cold_Chain_Payload_Specs")</f>
        <v/>
      </c>
      <c r="M906" s="16">
        <f>HYPERLINK("http://localhost:5173/?state=Arunachal%20Pradesh&amp;keyword=Mobile%20Application&amp;tender=ARUN-HEALTH-2026-1190", "🚀 Open in Portal")</f>
        <v/>
      </c>
    </row>
    <row r="907" ht="24" customHeight="1">
      <c r="A907" s="4" t="inlineStr">
        <is>
          <t>Arunachal Pradesh</t>
        </is>
      </c>
      <c r="B907" s="5" t="inlineStr">
        <is>
          <t>Mobile Application</t>
        </is>
      </c>
      <c r="C907" s="6" t="inlineStr">
        <is>
          <t>ARUN-HEALTH-2026-1190</t>
        </is>
      </c>
      <c r="D907" s="7" t="inlineStr">
        <is>
          <t>Deployment of Drone-based Medical Supply Delivery Network &amp; Tele-Health App</t>
        </is>
      </c>
      <c r="E907" s="7" t="inlineStr">
        <is>
          <t>HEALTH &amp; FAMILY WELFARE-Itanagar</t>
        </is>
      </c>
      <c r="F907" s="6" t="inlineStr">
        <is>
          <t>17 Sep 2026</t>
        </is>
      </c>
      <c r="G907" s="5" t="inlineStr">
        <is>
          <t>09 Oct 2026</t>
        </is>
      </c>
      <c r="H907" s="8" t="inlineStr">
        <is>
          <t>⏳ UPCOMING</t>
        </is>
      </c>
      <c r="I907" s="4" t="inlineStr">
        <is>
          <t>Tender_ARUN-HEALTH-2026-1190_All_Documents.zip</t>
        </is>
      </c>
      <c r="J907" s="6" t="inlineStr">
        <is>
          <t>📦 ZIP Package</t>
        </is>
      </c>
      <c r="K907" s="9" t="n">
        <v>18.8</v>
      </c>
      <c r="L907" s="10">
        <f>HYPERLINK("http://127.0.0.1:8000/api/documents/download?id=3019&amp;attachment=true", "⬇ Download Tender_ARUN-HEALTH-2026-")</f>
        <v/>
      </c>
      <c r="M907" s="10">
        <f>HYPERLINK("http://localhost:5173/?state=Arunachal%20Pradesh&amp;keyword=Mobile%20Application&amp;tender=ARUN-HEALTH-2026-1190", "🚀 Open in Portal")</f>
        <v/>
      </c>
    </row>
    <row r="908" ht="24" customHeight="1">
      <c r="A908" s="11" t="inlineStr">
        <is>
          <t>Arunachal Pradesh</t>
        </is>
      </c>
      <c r="B908" s="12" t="inlineStr">
        <is>
          <t>Mapping</t>
        </is>
      </c>
      <c r="C908" s="13" t="inlineStr">
        <is>
          <t>2026_ARU_6188690_91</t>
        </is>
      </c>
      <c r="D908" s="14" t="inlineStr">
        <is>
          <t>Mapping-Based High Resolution Satellite Imagery Land Use &amp; Land Cover Spatial Mapping</t>
        </is>
      </c>
      <c r="E908" s="14" t="inlineStr">
        <is>
          <t>DEPARTMENT OF SCIENCE, TECHNOLOGY &amp; REMOTE SENSING</t>
        </is>
      </c>
      <c r="F908" s="13" t="inlineStr">
        <is>
          <t>29 Sep 2026</t>
        </is>
      </c>
      <c r="G908" s="12" t="inlineStr">
        <is>
          <t>08 Nov 2026</t>
        </is>
      </c>
      <c r="H908" s="17" t="inlineStr">
        <is>
          <t>🟢 LIVE ACTIVE</t>
        </is>
      </c>
      <c r="I908" s="11" t="inlineStr">
        <is>
          <t>Tendernotice_2026_ARU_6188690_91.pdf</t>
        </is>
      </c>
      <c r="J908" s="13" t="inlineStr">
        <is>
          <t>📕 PDF Document</t>
        </is>
      </c>
      <c r="K908" s="15" t="n">
        <v>7.7</v>
      </c>
      <c r="L908" s="16">
        <f>HYPERLINK("http://127.0.0.1:8000/api/documents/download?id=3465&amp;attachment=true", "⬇ Download Tendernotice_2026_ARU_61")</f>
        <v/>
      </c>
      <c r="M908" s="16">
        <f>HYPERLINK("http://localhost:5173/?state=Arunachal%20Pradesh&amp;keyword=Mapping&amp;tender=2026_ARU_6188690_91", "🚀 Open in Portal")</f>
        <v/>
      </c>
    </row>
    <row r="909" ht="24" customHeight="1">
      <c r="A909" s="4" t="inlineStr">
        <is>
          <t>Arunachal Pradesh</t>
        </is>
      </c>
      <c r="B909" s="5" t="inlineStr">
        <is>
          <t>Mapping</t>
        </is>
      </c>
      <c r="C909" s="6" t="inlineStr">
        <is>
          <t>2026_ARU_6188690_91</t>
        </is>
      </c>
      <c r="D909" s="7" t="inlineStr">
        <is>
          <t>Mapping-Based High Resolution Satellite Imagery Land Use &amp; Land Cover Spatial Mapping</t>
        </is>
      </c>
      <c r="E909" s="7" t="inlineStr">
        <is>
          <t>DEPARTMENT OF SCIENCE, TECHNOLOGY &amp; REMOTE SENSING</t>
        </is>
      </c>
      <c r="F909" s="6" t="inlineStr">
        <is>
          <t>29 Sep 2026</t>
        </is>
      </c>
      <c r="G909" s="5" t="inlineStr">
        <is>
          <t>08 Nov 2026</t>
        </is>
      </c>
      <c r="H909" s="17" t="inlineStr">
        <is>
          <t>🟢 LIVE ACTIVE</t>
        </is>
      </c>
      <c r="I909" s="4" t="inlineStr">
        <is>
          <t>Technical_RFP_Specification_Mapping.pdf</t>
        </is>
      </c>
      <c r="J909" s="6" t="inlineStr">
        <is>
          <t>📕 PDF Document</t>
        </is>
      </c>
      <c r="K909" s="9" t="n">
        <v>7.7</v>
      </c>
      <c r="L909" s="10">
        <f>HYPERLINK("http://127.0.0.1:8000/api/documents/download?id=3466&amp;attachment=true", "⬇ Download Technical_RFP_Specificat")</f>
        <v/>
      </c>
      <c r="M909" s="10">
        <f>HYPERLINK("http://localhost:5173/?state=Arunachal%20Pradesh&amp;keyword=Mapping&amp;tender=2026_ARU_6188690_91", "🚀 Open in Portal")</f>
        <v/>
      </c>
    </row>
    <row r="910" ht="24" customHeight="1">
      <c r="A910" s="11" t="inlineStr">
        <is>
          <t>Arunachal Pradesh</t>
        </is>
      </c>
      <c r="B910" s="12" t="inlineStr">
        <is>
          <t>Mapping</t>
        </is>
      </c>
      <c r="C910" s="13" t="inlineStr">
        <is>
          <t>2026_ARU_6188690_91</t>
        </is>
      </c>
      <c r="D910" s="14" t="inlineStr">
        <is>
          <t>Mapping-Based High Resolution Satellite Imagery Land Use &amp; Land Cover Spatial Mapping</t>
        </is>
      </c>
      <c r="E910" s="14" t="inlineStr">
        <is>
          <t>DEPARTMENT OF SCIENCE, TECHNOLOGY &amp; REMOTE SENSING</t>
        </is>
      </c>
      <c r="F910" s="13" t="inlineStr">
        <is>
          <t>29 Sep 2026</t>
        </is>
      </c>
      <c r="G910" s="12" t="inlineStr">
        <is>
          <t>08 Nov 2026</t>
        </is>
      </c>
      <c r="H910" s="17" t="inlineStr">
        <is>
          <t>🟢 LIVE ACTIVE</t>
        </is>
      </c>
      <c r="I910" s="11" t="inlineStr">
        <is>
          <t>BOQ_Financial_Schedule_2026_ARU_6188690_91.xlsx</t>
        </is>
      </c>
      <c r="J910" s="13" t="inlineStr">
        <is>
          <t>📊 Excel BOQ</t>
        </is>
      </c>
      <c r="K910" s="15" t="n">
        <v>5.9</v>
      </c>
      <c r="L910" s="16">
        <f>HYPERLINK("http://127.0.0.1:8000/api/documents/download?id=3467&amp;attachment=true", "⬇ Download BOQ_Financial_Schedule_2")</f>
        <v/>
      </c>
      <c r="M910" s="16">
        <f>HYPERLINK("http://localhost:5173/?state=Arunachal%20Pradesh&amp;keyword=Mapping&amp;tender=2026_ARU_6188690_91", "🚀 Open in Portal")</f>
        <v/>
      </c>
    </row>
    <row r="911" ht="24" customHeight="1">
      <c r="A911" s="4" t="inlineStr">
        <is>
          <t>Arunachal Pradesh</t>
        </is>
      </c>
      <c r="B911" s="5" t="inlineStr">
        <is>
          <t>Mapping</t>
        </is>
      </c>
      <c r="C911" s="6" t="inlineStr">
        <is>
          <t>2026_ARU_6188690_91</t>
        </is>
      </c>
      <c r="D911" s="7" t="inlineStr">
        <is>
          <t>Mapping-Based High Resolution Satellite Imagery Land Use &amp; Land Cover Spatial Mapping</t>
        </is>
      </c>
      <c r="E911" s="7" t="inlineStr">
        <is>
          <t>DEPARTMENT OF SCIENCE, TECHNOLOGY &amp; REMOTE SENSING</t>
        </is>
      </c>
      <c r="F911" s="6" t="inlineStr">
        <is>
          <t>29 Sep 2026</t>
        </is>
      </c>
      <c r="G911" s="5" t="inlineStr">
        <is>
          <t>08 Nov 2026</t>
        </is>
      </c>
      <c r="H911" s="17" t="inlineStr">
        <is>
          <t>🟢 LIVE ACTIVE</t>
        </is>
      </c>
      <c r="I911" s="4" t="inlineStr">
        <is>
          <t>Tender_2026_ARU_6188690_91_All_Documents.zip</t>
        </is>
      </c>
      <c r="J911" s="6" t="inlineStr">
        <is>
          <t>📦 ZIP Package</t>
        </is>
      </c>
      <c r="K911" s="9" t="n">
        <v>45</v>
      </c>
      <c r="L911" s="10">
        <f>HYPERLINK("https://arunachaltenders.gov.in/tender/2026_ARU_6188690_91", "⬇ Download Tender_2026_ARU_6188690_")</f>
        <v/>
      </c>
      <c r="M911" s="10">
        <f>HYPERLINK("http://localhost:5173/?state=Arunachal%20Pradesh&amp;keyword=Mapping&amp;tender=2026_ARU_6188690_91", "🚀 Open in Portal")</f>
        <v/>
      </c>
    </row>
    <row r="912" ht="24" customHeight="1">
      <c r="A912" s="11" t="inlineStr">
        <is>
          <t>Arunachal Pradesh</t>
        </is>
      </c>
      <c r="B912" s="12" t="inlineStr">
        <is>
          <t>Mapping</t>
        </is>
      </c>
      <c r="C912" s="13" t="inlineStr">
        <is>
          <t>ARUN-IT-2026-0812</t>
        </is>
      </c>
      <c r="D912" s="14" t="inlineStr">
        <is>
          <t>High Altitude Border Forest Canopy &amp; Wildlife GIS Mapping using LiDAR &amp; Satellite Data</t>
        </is>
      </c>
      <c r="E912" s="14" t="inlineStr">
        <is>
          <t>DEPARTMENT OF ENVIRONMENT &amp; FORESTS-Itanagar</t>
        </is>
      </c>
      <c r="F912" s="13" t="inlineStr">
        <is>
          <t>22 Jul 2026</t>
        </is>
      </c>
      <c r="G912" s="12" t="inlineStr">
        <is>
          <t>15 Aug 2026</t>
        </is>
      </c>
      <c r="H912" s="8" t="inlineStr">
        <is>
          <t>⏳ UPCOMING</t>
        </is>
      </c>
      <c r="I912" s="11" t="inlineStr">
        <is>
          <t>Arunachal_LiDAR_Forest_GIS_RFP.pdf</t>
        </is>
      </c>
      <c r="J912" s="13" t="inlineStr">
        <is>
          <t>📕 PDF Document</t>
        </is>
      </c>
      <c r="K912" s="15" t="n">
        <v>17.9</v>
      </c>
      <c r="L912" s="16">
        <f>HYPERLINK("http://127.0.0.1:8000/api/documents/download?id=2827&amp;attachment=true", "⬇ Download Arunachal_LiDAR_Forest_G")</f>
        <v/>
      </c>
      <c r="M912" s="16">
        <f>HYPERLINK("http://localhost:5173/?state=Arunachal%20Pradesh&amp;keyword=Mapping&amp;tender=ARUN-IT-2026-0812", "🚀 Open in Portal")</f>
        <v/>
      </c>
    </row>
    <row r="913" ht="24" customHeight="1">
      <c r="A913" s="4" t="inlineStr">
        <is>
          <t>Arunachal Pradesh</t>
        </is>
      </c>
      <c r="B913" s="5" t="inlineStr">
        <is>
          <t>Mapping</t>
        </is>
      </c>
      <c r="C913" s="6" t="inlineStr">
        <is>
          <t>ARUN-IT-2026-0812</t>
        </is>
      </c>
      <c r="D913" s="7" t="inlineStr">
        <is>
          <t>High Altitude Border Forest Canopy &amp; Wildlife GIS Mapping using LiDAR &amp; Satellite Data</t>
        </is>
      </c>
      <c r="E913" s="7" t="inlineStr">
        <is>
          <t>DEPARTMENT OF ENVIRONMENT &amp; FORESTS-Itanagar</t>
        </is>
      </c>
      <c r="F913" s="6" t="inlineStr">
        <is>
          <t>22 Jul 2026</t>
        </is>
      </c>
      <c r="G913" s="5" t="inlineStr">
        <is>
          <t>15 Aug 2026</t>
        </is>
      </c>
      <c r="H913" s="8" t="inlineStr">
        <is>
          <t>⏳ UPCOMING</t>
        </is>
      </c>
      <c r="I913" s="4" t="inlineStr">
        <is>
          <t>Flight_Permit_Guidelines_MHA.pdf</t>
        </is>
      </c>
      <c r="J913" s="6" t="inlineStr">
        <is>
          <t>📕 PDF Document</t>
        </is>
      </c>
      <c r="K913" s="9" t="n">
        <v>17.9</v>
      </c>
      <c r="L913" s="10">
        <f>HYPERLINK("http://127.0.0.1:8000/api/documents/download?id=2828&amp;attachment=true", "⬇ Download Flight_Permit_Guidelines")</f>
        <v/>
      </c>
      <c r="M913" s="10">
        <f>HYPERLINK("http://localhost:5173/?state=Arunachal%20Pradesh&amp;keyword=Mapping&amp;tender=ARUN-IT-2026-0812", "🚀 Open in Portal")</f>
        <v/>
      </c>
    </row>
    <row r="914" ht="24" customHeight="1">
      <c r="A914" s="11" t="inlineStr">
        <is>
          <t>Arunachal Pradesh</t>
        </is>
      </c>
      <c r="B914" s="12" t="inlineStr">
        <is>
          <t>Mapping</t>
        </is>
      </c>
      <c r="C914" s="13" t="inlineStr">
        <is>
          <t>ARUN-IT-2026-0812</t>
        </is>
      </c>
      <c r="D914" s="14" t="inlineStr">
        <is>
          <t>High Altitude Border Forest Canopy &amp; Wildlife GIS Mapping using LiDAR &amp; Satellite Data</t>
        </is>
      </c>
      <c r="E914" s="14" t="inlineStr">
        <is>
          <t>DEPARTMENT OF ENVIRONMENT &amp; FORESTS-Itanagar</t>
        </is>
      </c>
      <c r="F914" s="13" t="inlineStr">
        <is>
          <t>22 Jul 2026</t>
        </is>
      </c>
      <c r="G914" s="12" t="inlineStr">
        <is>
          <t>15 Aug 2026</t>
        </is>
      </c>
      <c r="H914" s="8" t="inlineStr">
        <is>
          <t>⏳ UPCOMING</t>
        </is>
      </c>
      <c r="I914" s="11" t="inlineStr">
        <is>
          <t>LiDAR_Classification_Specs.pdf</t>
        </is>
      </c>
      <c r="J914" s="13" t="inlineStr">
        <is>
          <t>📕 PDF Document</t>
        </is>
      </c>
      <c r="K914" s="15" t="n">
        <v>17.9</v>
      </c>
      <c r="L914" s="16">
        <f>HYPERLINK("http://127.0.0.1:8000/api/documents/download?id=2829&amp;attachment=true", "⬇ Download LiDAR_Classification_Spe")</f>
        <v/>
      </c>
      <c r="M914" s="16">
        <f>HYPERLINK("http://localhost:5173/?state=Arunachal%20Pradesh&amp;keyword=Mapping&amp;tender=ARUN-IT-2026-0812", "🚀 Open in Portal")</f>
        <v/>
      </c>
    </row>
    <row r="915" ht="24" customHeight="1">
      <c r="A915" s="4" t="inlineStr">
        <is>
          <t>Arunachal Pradesh</t>
        </is>
      </c>
      <c r="B915" s="5" t="inlineStr">
        <is>
          <t>Mapping</t>
        </is>
      </c>
      <c r="C915" s="6" t="inlineStr">
        <is>
          <t>ARUN-IT-2026-0812</t>
        </is>
      </c>
      <c r="D915" s="7" t="inlineStr">
        <is>
          <t>High Altitude Border Forest Canopy &amp; Wildlife GIS Mapping using LiDAR &amp; Satellite Data</t>
        </is>
      </c>
      <c r="E915" s="7" t="inlineStr">
        <is>
          <t>DEPARTMENT OF ENVIRONMENT &amp; FORESTS-Itanagar</t>
        </is>
      </c>
      <c r="F915" s="6" t="inlineStr">
        <is>
          <t>22 Jul 2026</t>
        </is>
      </c>
      <c r="G915" s="5" t="inlineStr">
        <is>
          <t>15 Aug 2026</t>
        </is>
      </c>
      <c r="H915" s="8" t="inlineStr">
        <is>
          <t>⏳ UPCOMING</t>
        </is>
      </c>
      <c r="I915" s="4" t="inlineStr">
        <is>
          <t>Tender_ARUN-IT-2026-0812_All_Documents.zip</t>
        </is>
      </c>
      <c r="J915" s="6" t="inlineStr">
        <is>
          <t>📦 ZIP Package</t>
        </is>
      </c>
      <c r="K915" s="9" t="n">
        <v>27.8</v>
      </c>
      <c r="L915" s="10">
        <f>HYPERLINK("http://127.0.0.1:8000/api/documents/download?id=3017&amp;attachment=true", "⬇ Download Tender_ARUN-IT-2026-0812")</f>
        <v/>
      </c>
      <c r="M915" s="10">
        <f>HYPERLINK("http://localhost:5173/?state=Arunachal%20Pradesh&amp;keyword=Mapping&amp;tender=ARUN-IT-2026-0812", "🚀 Open in Portal")</f>
        <v/>
      </c>
    </row>
    <row r="916" ht="24" customHeight="1">
      <c r="A916" s="11" t="inlineStr">
        <is>
          <t>Arunachal Pradesh</t>
        </is>
      </c>
      <c r="B916" s="12" t="inlineStr">
        <is>
          <t>Empanelment</t>
        </is>
      </c>
      <c r="C916" s="13" t="inlineStr">
        <is>
          <t>2026_ARU_5900472_16</t>
        </is>
      </c>
      <c r="D916" s="14" t="inlineStr">
        <is>
          <t>Empanelment-Based Empanelment of Specialized Geospatial &amp; AI Solutions Consulting Agencies</t>
        </is>
      </c>
      <c r="E916" s="14" t="inlineStr">
        <is>
          <t>STATE ELECTRONICS DEVELOPMENT CORPORATION</t>
        </is>
      </c>
      <c r="F916" s="13" t="inlineStr">
        <is>
          <t>06 Sep 2026</t>
        </is>
      </c>
      <c r="G916" s="12" t="inlineStr">
        <is>
          <t>03 Oct 2026</t>
        </is>
      </c>
      <c r="H916" s="8" t="inlineStr">
        <is>
          <t>⏳ UPCOMING</t>
        </is>
      </c>
      <c r="I916" s="11" t="inlineStr">
        <is>
          <t>Tendernotice_2026_ARU_5900472_16.pdf</t>
        </is>
      </c>
      <c r="J916" s="13" t="inlineStr">
        <is>
          <t>📕 PDF Document</t>
        </is>
      </c>
      <c r="K916" s="15" t="n">
        <v>7.7</v>
      </c>
      <c r="L916" s="16">
        <f>HYPERLINK("http://127.0.0.1:8000/api/documents/download?id=3461&amp;attachment=true", "⬇ Download Tendernotice_2026_ARU_59")</f>
        <v/>
      </c>
      <c r="M916" s="16">
        <f>HYPERLINK("http://localhost:5173/?state=Arunachal%20Pradesh&amp;keyword=Empanelment&amp;tender=2026_ARU_5900472_16", "🚀 Open in Portal")</f>
        <v/>
      </c>
    </row>
    <row r="917" ht="24" customHeight="1">
      <c r="A917" s="4" t="inlineStr">
        <is>
          <t>Arunachal Pradesh</t>
        </is>
      </c>
      <c r="B917" s="5" t="inlineStr">
        <is>
          <t>Empanelment</t>
        </is>
      </c>
      <c r="C917" s="6" t="inlineStr">
        <is>
          <t>2026_ARU_5900472_16</t>
        </is>
      </c>
      <c r="D917" s="7" t="inlineStr">
        <is>
          <t>Empanelment-Based Empanelment of Specialized Geospatial &amp; AI Solutions Consulting Agencies</t>
        </is>
      </c>
      <c r="E917" s="7" t="inlineStr">
        <is>
          <t>STATE ELECTRONICS DEVELOPMENT CORPORATION</t>
        </is>
      </c>
      <c r="F917" s="6" t="inlineStr">
        <is>
          <t>06 Sep 2026</t>
        </is>
      </c>
      <c r="G917" s="5" t="inlineStr">
        <is>
          <t>03 Oct 2026</t>
        </is>
      </c>
      <c r="H917" s="8" t="inlineStr">
        <is>
          <t>⏳ UPCOMING</t>
        </is>
      </c>
      <c r="I917" s="4" t="inlineStr">
        <is>
          <t>Technical_RFP_Specification_Empanelment.pdf</t>
        </is>
      </c>
      <c r="J917" s="6" t="inlineStr">
        <is>
          <t>📕 PDF Document</t>
        </is>
      </c>
      <c r="K917" s="9" t="n">
        <v>7.7</v>
      </c>
      <c r="L917" s="10">
        <f>HYPERLINK("http://127.0.0.1:8000/api/documents/download?id=3462&amp;attachment=true", "⬇ Download Technical_RFP_Specificat")</f>
        <v/>
      </c>
      <c r="M917" s="10">
        <f>HYPERLINK("http://localhost:5173/?state=Arunachal%20Pradesh&amp;keyword=Empanelment&amp;tender=2026_ARU_5900472_16", "🚀 Open in Portal")</f>
        <v/>
      </c>
    </row>
    <row r="918" ht="24" customHeight="1">
      <c r="A918" s="11" t="inlineStr">
        <is>
          <t>Arunachal Pradesh</t>
        </is>
      </c>
      <c r="B918" s="12" t="inlineStr">
        <is>
          <t>Empanelment</t>
        </is>
      </c>
      <c r="C918" s="13" t="inlineStr">
        <is>
          <t>2026_ARU_5900472_16</t>
        </is>
      </c>
      <c r="D918" s="14" t="inlineStr">
        <is>
          <t>Empanelment-Based Empanelment of Specialized Geospatial &amp; AI Solutions Consulting Agencies</t>
        </is>
      </c>
      <c r="E918" s="14" t="inlineStr">
        <is>
          <t>STATE ELECTRONICS DEVELOPMENT CORPORATION</t>
        </is>
      </c>
      <c r="F918" s="13" t="inlineStr">
        <is>
          <t>06 Sep 2026</t>
        </is>
      </c>
      <c r="G918" s="12" t="inlineStr">
        <is>
          <t>03 Oct 2026</t>
        </is>
      </c>
      <c r="H918" s="8" t="inlineStr">
        <is>
          <t>⏳ UPCOMING</t>
        </is>
      </c>
      <c r="I918" s="11" t="inlineStr">
        <is>
          <t>BOQ_Financial_Schedule_2026_ARU_5900472_16.xlsx</t>
        </is>
      </c>
      <c r="J918" s="13" t="inlineStr">
        <is>
          <t>📊 Excel BOQ</t>
        </is>
      </c>
      <c r="K918" s="15" t="n">
        <v>5.9</v>
      </c>
      <c r="L918" s="16">
        <f>HYPERLINK("http://127.0.0.1:8000/api/documents/download?id=3463&amp;attachment=true", "⬇ Download BOQ_Financial_Schedule_2")</f>
        <v/>
      </c>
      <c r="M918" s="16">
        <f>HYPERLINK("http://localhost:5173/?state=Arunachal%20Pradesh&amp;keyword=Empanelment&amp;tender=2026_ARU_5900472_16", "🚀 Open in Portal")</f>
        <v/>
      </c>
    </row>
    <row r="919" ht="24" customHeight="1">
      <c r="A919" s="4" t="inlineStr">
        <is>
          <t>Arunachal Pradesh</t>
        </is>
      </c>
      <c r="B919" s="5" t="inlineStr">
        <is>
          <t>Empanelment</t>
        </is>
      </c>
      <c r="C919" s="6" t="inlineStr">
        <is>
          <t>2026_ARU_5900472_16</t>
        </is>
      </c>
      <c r="D919" s="7" t="inlineStr">
        <is>
          <t>Empanelment-Based Empanelment of Specialized Geospatial &amp; AI Solutions Consulting Agencies</t>
        </is>
      </c>
      <c r="E919" s="7" t="inlineStr">
        <is>
          <t>STATE ELECTRONICS DEVELOPMENT CORPORATION</t>
        </is>
      </c>
      <c r="F919" s="6" t="inlineStr">
        <is>
          <t>06 Sep 2026</t>
        </is>
      </c>
      <c r="G919" s="5" t="inlineStr">
        <is>
          <t>03 Oct 2026</t>
        </is>
      </c>
      <c r="H919" s="8" t="inlineStr">
        <is>
          <t>⏳ UPCOMING</t>
        </is>
      </c>
      <c r="I919" s="4" t="inlineStr">
        <is>
          <t>Tender_2026_ARU_5900472_16_All_Documents.zip</t>
        </is>
      </c>
      <c r="J919" s="6" t="inlineStr">
        <is>
          <t>📦 ZIP Package</t>
        </is>
      </c>
      <c r="K919" s="9" t="n">
        <v>45</v>
      </c>
      <c r="L919" s="10">
        <f>HYPERLINK("https://arunachaltenders.gov.in/tender/2026_ARU_5900472_16", "⬇ Download Tender_2026_ARU_5900472_")</f>
        <v/>
      </c>
      <c r="M919" s="10">
        <f>HYPERLINK("http://localhost:5173/?state=Arunachal%20Pradesh&amp;keyword=Empanelment&amp;tender=2026_ARU_5900472_16", "🚀 Open in Portal")</f>
        <v/>
      </c>
    </row>
    <row r="920" ht="24" customHeight="1">
      <c r="A920" s="11" t="inlineStr">
        <is>
          <t>Assam</t>
        </is>
      </c>
      <c r="B920" s="12" t="inlineStr">
        <is>
          <t>GIS</t>
        </is>
      </c>
      <c r="C920" s="13" t="inlineStr">
        <is>
          <t>2026_AEGCL_53500_1</t>
        </is>
      </c>
      <c r="D920" s="14" t="inlineStr">
        <is>
          <t>[Turnkey Extension of Existing 245 kV GIS by Addition of 2 (Two) Nos. of 245 kV GIS Feeder Bays along with Associated Services at 400 kV Sonapur GIS Substation of AEGCL]</t>
        </is>
      </c>
      <c r="E920" s="14" t="inlineStr">
        <is>
          <t>Assam Public Works &amp; Technology Department</t>
        </is>
      </c>
      <c r="F920" s="13" t="inlineStr">
        <is>
          <t>21 Aug 2026</t>
        </is>
      </c>
      <c r="G920" s="12" t="inlineStr">
        <is>
          <t>13 Sep 2026</t>
        </is>
      </c>
      <c r="H920" s="8" t="inlineStr">
        <is>
          <t>⏳ UPCOMING</t>
        </is>
      </c>
      <c r="I920" s="11" t="inlineStr">
        <is>
          <t>Tendernotice_1.pdf</t>
        </is>
      </c>
      <c r="J920" s="13" t="inlineStr">
        <is>
          <t>📕 PDF Document</t>
        </is>
      </c>
      <c r="K920" s="15" t="n">
        <v>17.8</v>
      </c>
      <c r="L920" s="16">
        <f>HYPERLINK("http://127.0.0.1:8000/api/documents/download?id=1153&amp;attachment=true", "⬇ Download Tendernotice_1.pdf")</f>
        <v/>
      </c>
      <c r="M920" s="16">
        <f>HYPERLINK("http://localhost:5173/?state=Assam&amp;keyword=GIS&amp;tender=2026_AEGCL_53500_1", "🚀 Open in Portal")</f>
        <v/>
      </c>
    </row>
    <row r="921" ht="24" customHeight="1">
      <c r="A921" s="4" t="inlineStr">
        <is>
          <t>Assam</t>
        </is>
      </c>
      <c r="B921" s="5" t="inlineStr">
        <is>
          <t>GIS</t>
        </is>
      </c>
      <c r="C921" s="6" t="inlineStr">
        <is>
          <t>2026_AEGCL_53500_1</t>
        </is>
      </c>
      <c r="D921" s="7" t="inlineStr">
        <is>
          <t>[Turnkey Extension of Existing 245 kV GIS by Addition of 2 (Two) Nos. of 245 kV GIS Feeder Bays along with Associated Services at 400 kV Sonapur GIS Substation of AEGCL]</t>
        </is>
      </c>
      <c r="E921" s="7" t="inlineStr">
        <is>
          <t>Assam Public Works &amp; Technology Department</t>
        </is>
      </c>
      <c r="F921" s="6" t="inlineStr">
        <is>
          <t>21 Aug 2026</t>
        </is>
      </c>
      <c r="G921" s="5" t="inlineStr">
        <is>
          <t>13 Sep 2026</t>
        </is>
      </c>
      <c r="H921" s="8" t="inlineStr">
        <is>
          <t>⏳ UPCOMING</t>
        </is>
      </c>
      <c r="I921" s="4" t="inlineStr">
        <is>
          <t>tech_prebid_84190.pdf</t>
        </is>
      </c>
      <c r="J921" s="6" t="inlineStr">
        <is>
          <t>📕 PDF Document</t>
        </is>
      </c>
      <c r="K921" s="9" t="n">
        <v>17.8</v>
      </c>
      <c r="L921" s="10">
        <f>HYPERLINK("http://127.0.0.1:8000/api/documents/download?id=1154&amp;attachment=true", "⬇ Download tech_prebid_84190.pdf")</f>
        <v/>
      </c>
      <c r="M921" s="10">
        <f>HYPERLINK("http://localhost:5173/?state=Assam&amp;keyword=GIS&amp;tender=2026_AEGCL_53500_1", "🚀 Open in Portal")</f>
        <v/>
      </c>
    </row>
    <row r="922" ht="24" customHeight="1">
      <c r="A922" s="11" t="inlineStr">
        <is>
          <t>Assam</t>
        </is>
      </c>
      <c r="B922" s="12" t="inlineStr">
        <is>
          <t>GIS</t>
        </is>
      </c>
      <c r="C922" s="13" t="inlineStr">
        <is>
          <t>2026_AEGCL_53500_1</t>
        </is>
      </c>
      <c r="D922" s="14" t="inlineStr">
        <is>
          <t>[Turnkey Extension of Existing 245 kV GIS by Addition of 2 (Two) Nos. of 245 kV GIS Feeder Bays along with Associated Services at 400 kV Sonapur GIS Substation of AEGCL]</t>
        </is>
      </c>
      <c r="E922" s="14" t="inlineStr">
        <is>
          <t>Assam Public Works &amp; Technology Department</t>
        </is>
      </c>
      <c r="F922" s="13" t="inlineStr">
        <is>
          <t>21 Aug 2026</t>
        </is>
      </c>
      <c r="G922" s="12" t="inlineStr">
        <is>
          <t>13 Sep 2026</t>
        </is>
      </c>
      <c r="H922" s="8" t="inlineStr">
        <is>
          <t>⏳ UPCOMING</t>
        </is>
      </c>
      <c r="I922" s="11" t="inlineStr">
        <is>
          <t>Bid_Volume_I.pdf</t>
        </is>
      </c>
      <c r="J922" s="13" t="inlineStr">
        <is>
          <t>📕 PDF Document</t>
        </is>
      </c>
      <c r="K922" s="15" t="n">
        <v>17.8</v>
      </c>
      <c r="L922" s="16">
        <f>HYPERLINK("http://127.0.0.1:8000/api/documents/download?id=1155&amp;attachment=true", "⬇ Download Bid_Volume_I.pdf")</f>
        <v/>
      </c>
      <c r="M922" s="16">
        <f>HYPERLINK("http://localhost:5173/?state=Assam&amp;keyword=GIS&amp;tender=2026_AEGCL_53500_1", "🚀 Open in Portal")</f>
        <v/>
      </c>
    </row>
    <row r="923" ht="24" customHeight="1">
      <c r="A923" s="4" t="inlineStr">
        <is>
          <t>Assam</t>
        </is>
      </c>
      <c r="B923" s="5" t="inlineStr">
        <is>
          <t>GIS</t>
        </is>
      </c>
      <c r="C923" s="6" t="inlineStr">
        <is>
          <t>2026_AEGCL_53500_1</t>
        </is>
      </c>
      <c r="D923" s="7" t="inlineStr">
        <is>
          <t>[Turnkey Extension of Existing 245 kV GIS by Addition of 2 (Two) Nos. of 245 kV GIS Feeder Bays along with Associated Services at 400 kV Sonapur GIS Substation of AEGCL]</t>
        </is>
      </c>
      <c r="E923" s="7" t="inlineStr">
        <is>
          <t>Assam Public Works &amp; Technology Department</t>
        </is>
      </c>
      <c r="F923" s="6" t="inlineStr">
        <is>
          <t>21 Aug 2026</t>
        </is>
      </c>
      <c r="G923" s="5" t="inlineStr">
        <is>
          <t>13 Sep 2026</t>
        </is>
      </c>
      <c r="H923" s="8" t="inlineStr">
        <is>
          <t>⏳ UPCOMING</t>
        </is>
      </c>
      <c r="I923" s="4" t="inlineStr">
        <is>
          <t>Bid_Volume_II.rar</t>
        </is>
      </c>
      <c r="J923" s="6" t="inlineStr">
        <is>
          <t>📄 RAR</t>
        </is>
      </c>
      <c r="K923" s="9" t="n">
        <v>17.8</v>
      </c>
      <c r="L923" s="10">
        <f>HYPERLINK("http://127.0.0.1:8000/api/documents/download?id=1156&amp;attachment=true", "⬇ Download Bid_Volume_II.rar")</f>
        <v/>
      </c>
      <c r="M923" s="10">
        <f>HYPERLINK("http://localhost:5173/?state=Assam&amp;keyword=GIS&amp;tender=2026_AEGCL_53500_1", "🚀 Open in Portal")</f>
        <v/>
      </c>
    </row>
    <row r="924" ht="24" customHeight="1">
      <c r="A924" s="11" t="inlineStr">
        <is>
          <t>Assam</t>
        </is>
      </c>
      <c r="B924" s="12" t="inlineStr">
        <is>
          <t>GIS</t>
        </is>
      </c>
      <c r="C924" s="13" t="inlineStr">
        <is>
          <t>2026_AEGCL_53500_1</t>
        </is>
      </c>
      <c r="D924" s="14" t="inlineStr">
        <is>
          <t>[Turnkey Extension of Existing 245 kV GIS by Addition of 2 (Two) Nos. of 245 kV GIS Feeder Bays along with Associated Services at 400 kV Sonapur GIS Substation of AEGCL]</t>
        </is>
      </c>
      <c r="E924" s="14" t="inlineStr">
        <is>
          <t>Assam Public Works &amp; Technology Department</t>
        </is>
      </c>
      <c r="F924" s="13" t="inlineStr">
        <is>
          <t>21 Aug 2026</t>
        </is>
      </c>
      <c r="G924" s="12" t="inlineStr">
        <is>
          <t>13 Sep 2026</t>
        </is>
      </c>
      <c r="H924" s="8" t="inlineStr">
        <is>
          <t>⏳ UPCOMING</t>
        </is>
      </c>
      <c r="I924" s="11" t="inlineStr">
        <is>
          <t>IFB.pdf</t>
        </is>
      </c>
      <c r="J924" s="13" t="inlineStr">
        <is>
          <t>📕 PDF Document</t>
        </is>
      </c>
      <c r="K924" s="15" t="n">
        <v>17.8</v>
      </c>
      <c r="L924" s="16">
        <f>HYPERLINK("http://127.0.0.1:8000/api/documents/download?id=1157&amp;attachment=true", "⬇ Download IFB.pdf")</f>
        <v/>
      </c>
      <c r="M924" s="16">
        <f>HYPERLINK("http://localhost:5173/?state=Assam&amp;keyword=GIS&amp;tender=2026_AEGCL_53500_1", "🚀 Open in Portal")</f>
        <v/>
      </c>
    </row>
    <row r="925" ht="24" customHeight="1">
      <c r="A925" s="4" t="inlineStr">
        <is>
          <t>Assam</t>
        </is>
      </c>
      <c r="B925" s="5" t="inlineStr">
        <is>
          <t>GIS</t>
        </is>
      </c>
      <c r="C925" s="6" t="inlineStr">
        <is>
          <t>2026_AEGCL_53500_1</t>
        </is>
      </c>
      <c r="D925" s="7" t="inlineStr">
        <is>
          <t>[Turnkey Extension of Existing 245 kV GIS by Addition of 2 (Two) Nos. of 245 kV GIS Feeder Bays along with Associated Services at 400 kV Sonapur GIS Substation of AEGCL]</t>
        </is>
      </c>
      <c r="E925" s="7" t="inlineStr">
        <is>
          <t>Assam Public Works &amp; Technology Department</t>
        </is>
      </c>
      <c r="F925" s="6" t="inlineStr">
        <is>
          <t>21 Aug 2026</t>
        </is>
      </c>
      <c r="G925" s="5" t="inlineStr">
        <is>
          <t>13 Sep 2026</t>
        </is>
      </c>
      <c r="H925" s="8" t="inlineStr">
        <is>
          <t>⏳ UPCOMING</t>
        </is>
      </c>
      <c r="I925" s="4" t="inlineStr">
        <is>
          <t>Additional_Documents_I.rar</t>
        </is>
      </c>
      <c r="J925" s="6" t="inlineStr">
        <is>
          <t>📄 RAR</t>
        </is>
      </c>
      <c r="K925" s="9" t="n">
        <v>17.8</v>
      </c>
      <c r="L925" s="10">
        <f>HYPERLINK("http://127.0.0.1:8000/api/documents/download?id=1158&amp;attachment=true", "⬇ Download Additional_Documents_I.r")</f>
        <v/>
      </c>
      <c r="M925" s="10">
        <f>HYPERLINK("http://localhost:5173/?state=Assam&amp;keyword=GIS&amp;tender=2026_AEGCL_53500_1", "🚀 Open in Portal")</f>
        <v/>
      </c>
    </row>
    <row r="926" ht="24" customHeight="1">
      <c r="A926" s="11" t="inlineStr">
        <is>
          <t>Assam</t>
        </is>
      </c>
      <c r="B926" s="12" t="inlineStr">
        <is>
          <t>GIS</t>
        </is>
      </c>
      <c r="C926" s="13" t="inlineStr">
        <is>
          <t>2026_AEGCL_53500_1</t>
        </is>
      </c>
      <c r="D926" s="14" t="inlineStr">
        <is>
          <t>[Turnkey Extension of Existing 245 kV GIS by Addition of 2 (Two) Nos. of 245 kV GIS Feeder Bays along with Associated Services at 400 kV Sonapur GIS Substation of AEGCL]</t>
        </is>
      </c>
      <c r="E926" s="14" t="inlineStr">
        <is>
          <t>Assam Public Works &amp; Technology Department</t>
        </is>
      </c>
      <c r="F926" s="13" t="inlineStr">
        <is>
          <t>21 Aug 2026</t>
        </is>
      </c>
      <c r="G926" s="12" t="inlineStr">
        <is>
          <t>13 Sep 2026</t>
        </is>
      </c>
      <c r="H926" s="8" t="inlineStr">
        <is>
          <t>⏳ UPCOMING</t>
        </is>
      </c>
      <c r="I926" s="11" t="inlineStr">
        <is>
          <t>Additional_Documents_II.rar</t>
        </is>
      </c>
      <c r="J926" s="13" t="inlineStr">
        <is>
          <t>📄 RAR</t>
        </is>
      </c>
      <c r="K926" s="15" t="n">
        <v>17.8</v>
      </c>
      <c r="L926" s="16">
        <f>HYPERLINK("http://127.0.0.1:8000/api/documents/download?id=1159&amp;attachment=true", "⬇ Download Additional_Documents_II.")</f>
        <v/>
      </c>
      <c r="M926" s="16">
        <f>HYPERLINK("http://localhost:5173/?state=Assam&amp;keyword=GIS&amp;tender=2026_AEGCL_53500_1", "🚀 Open in Portal")</f>
        <v/>
      </c>
    </row>
    <row r="927" ht="24" customHeight="1">
      <c r="A927" s="4" t="inlineStr">
        <is>
          <t>Assam</t>
        </is>
      </c>
      <c r="B927" s="5" t="inlineStr">
        <is>
          <t>GIS</t>
        </is>
      </c>
      <c r="C927" s="6" t="inlineStr">
        <is>
          <t>2026_AEGCL_53500_1</t>
        </is>
      </c>
      <c r="D927" s="7" t="inlineStr">
        <is>
          <t>[Turnkey Extension of Existing 245 kV GIS by Addition of 2 (Two) Nos. of 245 kV GIS Feeder Bays along with Associated Services at 400 kV Sonapur GIS Substation of AEGCL]</t>
        </is>
      </c>
      <c r="E927" s="7" t="inlineStr">
        <is>
          <t>Assam Public Works &amp; Technology Department</t>
        </is>
      </c>
      <c r="F927" s="6" t="inlineStr">
        <is>
          <t>21 Aug 2026</t>
        </is>
      </c>
      <c r="G927" s="5" t="inlineStr">
        <is>
          <t>13 Sep 2026</t>
        </is>
      </c>
      <c r="H927" s="8" t="inlineStr">
        <is>
          <t>⏳ UPCOMING</t>
        </is>
      </c>
      <c r="I927" s="4" t="inlineStr">
        <is>
          <t>BOQ_84190.xls</t>
        </is>
      </c>
      <c r="J927" s="6" t="inlineStr">
        <is>
          <t>📊 Excel BOQ</t>
        </is>
      </c>
      <c r="K927" s="9" t="n">
        <v>2.5</v>
      </c>
      <c r="L927" s="10">
        <f>HYPERLINK("http://127.0.0.1:8000/api/documents/download?id=1160&amp;attachment=true", "⬇ Download BOQ_84190.xls")</f>
        <v/>
      </c>
      <c r="M927" s="10">
        <f>HYPERLINK("http://localhost:5173/?state=Assam&amp;keyword=GIS&amp;tender=2026_AEGCL_53500_1", "🚀 Open in Portal")</f>
        <v/>
      </c>
    </row>
    <row r="928" ht="24" customHeight="1">
      <c r="A928" s="11" t="inlineStr">
        <is>
          <t>Assam</t>
        </is>
      </c>
      <c r="B928" s="12" t="inlineStr">
        <is>
          <t>GIS</t>
        </is>
      </c>
      <c r="C928" s="13" t="inlineStr">
        <is>
          <t>2026_AEGCL_53500_1</t>
        </is>
      </c>
      <c r="D928" s="14" t="inlineStr">
        <is>
          <t>[Turnkey Extension of Existing 245 kV GIS by Addition of 2 (Two) Nos. of 245 kV GIS Feeder Bays along with Associated Services at 400 kV Sonapur GIS Substation of AEGCL]</t>
        </is>
      </c>
      <c r="E928" s="14" t="inlineStr">
        <is>
          <t>Assam Public Works &amp; Technology Department</t>
        </is>
      </c>
      <c r="F928" s="13" t="inlineStr">
        <is>
          <t>21 Aug 2026</t>
        </is>
      </c>
      <c r="G928" s="12" t="inlineStr">
        <is>
          <t>13 Sep 2026</t>
        </is>
      </c>
      <c r="H928" s="8" t="inlineStr">
        <is>
          <t>⏳ UPCOMING</t>
        </is>
      </c>
      <c r="I928" s="11" t="inlineStr">
        <is>
          <t>Tender_2026_AEGCL_53500_1_All_Documents.zip</t>
        </is>
      </c>
      <c r="J928" s="13" t="inlineStr">
        <is>
          <t>📦 ZIP Package</t>
        </is>
      </c>
      <c r="K928" s="15" t="n">
        <v>67</v>
      </c>
      <c r="L928" s="16">
        <f>HYPERLINK("http://127.0.0.1:8000/api/documents/download?id=1161&amp;attachment=true", "⬇ Download Tender_2026_AEGCL_53500_")</f>
        <v/>
      </c>
      <c r="M928" s="16">
        <f>HYPERLINK("http://localhost:5173/?state=Assam&amp;keyword=GIS&amp;tender=2026_AEGCL_53500_1", "🚀 Open in Portal")</f>
        <v/>
      </c>
    </row>
    <row r="929" ht="24" customHeight="1">
      <c r="A929" s="4" t="inlineStr">
        <is>
          <t>Assam</t>
        </is>
      </c>
      <c r="B929" s="5" t="inlineStr">
        <is>
          <t>GIS</t>
        </is>
      </c>
      <c r="C929" s="6" t="inlineStr">
        <is>
          <t>2026_AEGCL_53560_1</t>
        </is>
      </c>
      <c r="D929" s="7" t="inlineStr">
        <is>
          <t>[Turnkey Conversion of Existing 220 kV Sarusajai AIS Grid Substation into 220 kV GIS Grid Substation with Provision for Future Upgradation to 400 kV Substation]</t>
        </is>
      </c>
      <c r="E929" s="7" t="inlineStr">
        <is>
          <t>Assam Public Works &amp; Technology Department</t>
        </is>
      </c>
      <c r="F929" s="6" t="inlineStr">
        <is>
          <t>22 Oct 2026</t>
        </is>
      </c>
      <c r="G929" s="5" t="inlineStr">
        <is>
          <t>12 Nov 2026</t>
        </is>
      </c>
      <c r="H929" s="8" t="inlineStr">
        <is>
          <t>⏳ UPCOMING</t>
        </is>
      </c>
      <c r="I929" s="4" t="inlineStr">
        <is>
          <t>Tendernotice_1.pdf</t>
        </is>
      </c>
      <c r="J929" s="6" t="inlineStr">
        <is>
          <t>📕 PDF Document</t>
        </is>
      </c>
      <c r="K929" s="9" t="n">
        <v>17.8</v>
      </c>
      <c r="L929" s="10">
        <f>HYPERLINK("http://127.0.0.1:8000/api/documents/download?id=1145&amp;attachment=true", "⬇ Download Tendernotice_1.pdf")</f>
        <v/>
      </c>
      <c r="M929" s="10">
        <f>HYPERLINK("http://localhost:5173/?state=Assam&amp;keyword=GIS&amp;tender=2026_AEGCL_53560_1", "🚀 Open in Portal")</f>
        <v/>
      </c>
    </row>
    <row r="930" ht="24" customHeight="1">
      <c r="A930" s="11" t="inlineStr">
        <is>
          <t>Assam</t>
        </is>
      </c>
      <c r="B930" s="12" t="inlineStr">
        <is>
          <t>GIS</t>
        </is>
      </c>
      <c r="C930" s="13" t="inlineStr">
        <is>
          <t>2026_AEGCL_53560_1</t>
        </is>
      </c>
      <c r="D930" s="14" t="inlineStr">
        <is>
          <t>[Turnkey Conversion of Existing 220 kV Sarusajai AIS Grid Substation into 220 kV GIS Grid Substation with Provision for Future Upgradation to 400 kV Substation]</t>
        </is>
      </c>
      <c r="E930" s="14" t="inlineStr">
        <is>
          <t>Assam Public Works &amp; Technology Department</t>
        </is>
      </c>
      <c r="F930" s="13" t="inlineStr">
        <is>
          <t>22 Oct 2026</t>
        </is>
      </c>
      <c r="G930" s="12" t="inlineStr">
        <is>
          <t>12 Nov 2026</t>
        </is>
      </c>
      <c r="H930" s="8" t="inlineStr">
        <is>
          <t>⏳ UPCOMING</t>
        </is>
      </c>
      <c r="I930" s="11" t="inlineStr">
        <is>
          <t>tech_prebid_84250.pdf</t>
        </is>
      </c>
      <c r="J930" s="13" t="inlineStr">
        <is>
          <t>📕 PDF Document</t>
        </is>
      </c>
      <c r="K930" s="15" t="n">
        <v>17.8</v>
      </c>
      <c r="L930" s="16">
        <f>HYPERLINK("http://127.0.0.1:8000/api/documents/download?id=1146&amp;attachment=true", "⬇ Download tech_prebid_84250.pdf")</f>
        <v/>
      </c>
      <c r="M930" s="16">
        <f>HYPERLINK("http://localhost:5173/?state=Assam&amp;keyword=GIS&amp;tender=2026_AEGCL_53560_1", "🚀 Open in Portal")</f>
        <v/>
      </c>
    </row>
    <row r="931" ht="24" customHeight="1">
      <c r="A931" s="4" t="inlineStr">
        <is>
          <t>Assam</t>
        </is>
      </c>
      <c r="B931" s="5" t="inlineStr">
        <is>
          <t>GIS</t>
        </is>
      </c>
      <c r="C931" s="6" t="inlineStr">
        <is>
          <t>2026_AEGCL_53560_1</t>
        </is>
      </c>
      <c r="D931" s="7" t="inlineStr">
        <is>
          <t>[Turnkey Conversion of Existing 220 kV Sarusajai AIS Grid Substation into 220 kV GIS Grid Substation with Provision for Future Upgradation to 400 kV Substation]</t>
        </is>
      </c>
      <c r="E931" s="7" t="inlineStr">
        <is>
          <t>Assam Public Works &amp; Technology Department</t>
        </is>
      </c>
      <c r="F931" s="6" t="inlineStr">
        <is>
          <t>22 Oct 2026</t>
        </is>
      </c>
      <c r="G931" s="5" t="inlineStr">
        <is>
          <t>12 Nov 2026</t>
        </is>
      </c>
      <c r="H931" s="8" t="inlineStr">
        <is>
          <t>⏳ UPCOMING</t>
        </is>
      </c>
      <c r="I931" s="4" t="inlineStr">
        <is>
          <t>Bid_Volume_I.pdf</t>
        </is>
      </c>
      <c r="J931" s="6" t="inlineStr">
        <is>
          <t>📕 PDF Document</t>
        </is>
      </c>
      <c r="K931" s="9" t="n">
        <v>17.8</v>
      </c>
      <c r="L931" s="10">
        <f>HYPERLINK("http://127.0.0.1:8000/api/documents/download?id=1147&amp;attachment=true", "⬇ Download Bid_Volume_I.pdf")</f>
        <v/>
      </c>
      <c r="M931" s="10">
        <f>HYPERLINK("http://localhost:5173/?state=Assam&amp;keyword=GIS&amp;tender=2026_AEGCL_53560_1", "🚀 Open in Portal")</f>
        <v/>
      </c>
    </row>
    <row r="932" ht="24" customHeight="1">
      <c r="A932" s="11" t="inlineStr">
        <is>
          <t>Assam</t>
        </is>
      </c>
      <c r="B932" s="12" t="inlineStr">
        <is>
          <t>GIS</t>
        </is>
      </c>
      <c r="C932" s="13" t="inlineStr">
        <is>
          <t>2026_AEGCL_53560_1</t>
        </is>
      </c>
      <c r="D932" s="14" t="inlineStr">
        <is>
          <t>[Turnkey Conversion of Existing 220 kV Sarusajai AIS Grid Substation into 220 kV GIS Grid Substation with Provision for Future Upgradation to 400 kV Substation]</t>
        </is>
      </c>
      <c r="E932" s="14" t="inlineStr">
        <is>
          <t>Assam Public Works &amp; Technology Department</t>
        </is>
      </c>
      <c r="F932" s="13" t="inlineStr">
        <is>
          <t>22 Oct 2026</t>
        </is>
      </c>
      <c r="G932" s="12" t="inlineStr">
        <is>
          <t>12 Nov 2026</t>
        </is>
      </c>
      <c r="H932" s="8" t="inlineStr">
        <is>
          <t>⏳ UPCOMING</t>
        </is>
      </c>
      <c r="I932" s="11" t="inlineStr">
        <is>
          <t>Bid_Volume_II.pdf</t>
        </is>
      </c>
      <c r="J932" s="13" t="inlineStr">
        <is>
          <t>📕 PDF Document</t>
        </is>
      </c>
      <c r="K932" s="15" t="n">
        <v>17.8</v>
      </c>
      <c r="L932" s="16">
        <f>HYPERLINK("http://127.0.0.1:8000/api/documents/download?id=1148&amp;attachment=true", "⬇ Download Bid_Volume_II.pdf")</f>
        <v/>
      </c>
      <c r="M932" s="16">
        <f>HYPERLINK("http://localhost:5173/?state=Assam&amp;keyword=GIS&amp;tender=2026_AEGCL_53560_1", "🚀 Open in Portal")</f>
        <v/>
      </c>
    </row>
    <row r="933" ht="24" customHeight="1">
      <c r="A933" s="4" t="inlineStr">
        <is>
          <t>Assam</t>
        </is>
      </c>
      <c r="B933" s="5" t="inlineStr">
        <is>
          <t>GIS</t>
        </is>
      </c>
      <c r="C933" s="6" t="inlineStr">
        <is>
          <t>2026_AEGCL_53560_1</t>
        </is>
      </c>
      <c r="D933" s="7" t="inlineStr">
        <is>
          <t>[Turnkey Conversion of Existing 220 kV Sarusajai AIS Grid Substation into 220 kV GIS Grid Substation with Provision for Future Upgradation to 400 kV Substation]</t>
        </is>
      </c>
      <c r="E933" s="7" t="inlineStr">
        <is>
          <t>Assam Public Works &amp; Technology Department</t>
        </is>
      </c>
      <c r="F933" s="6" t="inlineStr">
        <is>
          <t>22 Oct 2026</t>
        </is>
      </c>
      <c r="G933" s="5" t="inlineStr">
        <is>
          <t>12 Nov 2026</t>
        </is>
      </c>
      <c r="H933" s="8" t="inlineStr">
        <is>
          <t>⏳ UPCOMING</t>
        </is>
      </c>
      <c r="I933" s="4" t="inlineStr">
        <is>
          <t>IFB.pdf</t>
        </is>
      </c>
      <c r="J933" s="6" t="inlineStr">
        <is>
          <t>📕 PDF Document</t>
        </is>
      </c>
      <c r="K933" s="9" t="n">
        <v>17.8</v>
      </c>
      <c r="L933" s="10">
        <f>HYPERLINK("http://127.0.0.1:8000/api/documents/download?id=1149&amp;attachment=true", "⬇ Download IFB.pdf")</f>
        <v/>
      </c>
      <c r="M933" s="10">
        <f>HYPERLINK("http://localhost:5173/?state=Assam&amp;keyword=GIS&amp;tender=2026_AEGCL_53560_1", "🚀 Open in Portal")</f>
        <v/>
      </c>
    </row>
    <row r="934" ht="24" customHeight="1">
      <c r="A934" s="11" t="inlineStr">
        <is>
          <t>Assam</t>
        </is>
      </c>
      <c r="B934" s="12" t="inlineStr">
        <is>
          <t>GIS</t>
        </is>
      </c>
      <c r="C934" s="13" t="inlineStr">
        <is>
          <t>2026_AEGCL_53560_1</t>
        </is>
      </c>
      <c r="D934" s="14" t="inlineStr">
        <is>
          <t>[Turnkey Conversion of Existing 220 kV Sarusajai AIS Grid Substation into 220 kV GIS Grid Substation with Provision for Future Upgradation to 400 kV Substation]</t>
        </is>
      </c>
      <c r="E934" s="14" t="inlineStr">
        <is>
          <t>Assam Public Works &amp; Technology Department</t>
        </is>
      </c>
      <c r="F934" s="13" t="inlineStr">
        <is>
          <t>22 Oct 2026</t>
        </is>
      </c>
      <c r="G934" s="12" t="inlineStr">
        <is>
          <t>12 Nov 2026</t>
        </is>
      </c>
      <c r="H934" s="8" t="inlineStr">
        <is>
          <t>⏳ UPCOMING</t>
        </is>
      </c>
      <c r="I934" s="11" t="inlineStr">
        <is>
          <t>Additional_Documents.rar</t>
        </is>
      </c>
      <c r="J934" s="13" t="inlineStr">
        <is>
          <t>📄 RAR</t>
        </is>
      </c>
      <c r="K934" s="15" t="n">
        <v>17.8</v>
      </c>
      <c r="L934" s="16">
        <f>HYPERLINK("http://127.0.0.1:8000/api/documents/download?id=1150&amp;attachment=true", "⬇ Download Additional_Documents.rar")</f>
        <v/>
      </c>
      <c r="M934" s="16">
        <f>HYPERLINK("http://localhost:5173/?state=Assam&amp;keyword=GIS&amp;tender=2026_AEGCL_53560_1", "🚀 Open in Portal")</f>
        <v/>
      </c>
    </row>
    <row r="935" ht="24" customHeight="1">
      <c r="A935" s="4" t="inlineStr">
        <is>
          <t>Assam</t>
        </is>
      </c>
      <c r="B935" s="5" t="inlineStr">
        <is>
          <t>GIS</t>
        </is>
      </c>
      <c r="C935" s="6" t="inlineStr">
        <is>
          <t>2026_AEGCL_53560_1</t>
        </is>
      </c>
      <c r="D935" s="7" t="inlineStr">
        <is>
          <t>[Turnkey Conversion of Existing 220 kV Sarusajai AIS Grid Substation into 220 kV GIS Grid Substation with Provision for Future Upgradation to 400 kV Substation]</t>
        </is>
      </c>
      <c r="E935" s="7" t="inlineStr">
        <is>
          <t>Assam Public Works &amp; Technology Department</t>
        </is>
      </c>
      <c r="F935" s="6" t="inlineStr">
        <is>
          <t>22 Oct 2026</t>
        </is>
      </c>
      <c r="G935" s="5" t="inlineStr">
        <is>
          <t>12 Nov 2026</t>
        </is>
      </c>
      <c r="H935" s="8" t="inlineStr">
        <is>
          <t>⏳ UPCOMING</t>
        </is>
      </c>
      <c r="I935" s="4" t="inlineStr">
        <is>
          <t>BOQ_84250.xls</t>
        </is>
      </c>
      <c r="J935" s="6" t="inlineStr">
        <is>
          <t>📊 Excel BOQ</t>
        </is>
      </c>
      <c r="K935" s="9" t="n">
        <v>2.5</v>
      </c>
      <c r="L935" s="10">
        <f>HYPERLINK("http://127.0.0.1:8000/api/documents/download?id=1151&amp;attachment=true", "⬇ Download BOQ_84250.xls")</f>
        <v/>
      </c>
      <c r="M935" s="10">
        <f>HYPERLINK("http://localhost:5173/?state=Assam&amp;keyword=GIS&amp;tender=2026_AEGCL_53560_1", "🚀 Open in Portal")</f>
        <v/>
      </c>
    </row>
    <row r="936" ht="24" customHeight="1">
      <c r="A936" s="11" t="inlineStr">
        <is>
          <t>Assam</t>
        </is>
      </c>
      <c r="B936" s="12" t="inlineStr">
        <is>
          <t>GIS</t>
        </is>
      </c>
      <c r="C936" s="13" t="inlineStr">
        <is>
          <t>2026_AEGCL_53560_1</t>
        </is>
      </c>
      <c r="D936" s="14" t="inlineStr">
        <is>
          <t>[Turnkey Conversion of Existing 220 kV Sarusajai AIS Grid Substation into 220 kV GIS Grid Substation with Provision for Future Upgradation to 400 kV Substation]</t>
        </is>
      </c>
      <c r="E936" s="14" t="inlineStr">
        <is>
          <t>Assam Public Works &amp; Technology Department</t>
        </is>
      </c>
      <c r="F936" s="13" t="inlineStr">
        <is>
          <t>22 Oct 2026</t>
        </is>
      </c>
      <c r="G936" s="12" t="inlineStr">
        <is>
          <t>12 Nov 2026</t>
        </is>
      </c>
      <c r="H936" s="8" t="inlineStr">
        <is>
          <t>⏳ UPCOMING</t>
        </is>
      </c>
      <c r="I936" s="11" t="inlineStr">
        <is>
          <t>Tender_2026_AEGCL_53560_1_All_Documents.zip</t>
        </is>
      </c>
      <c r="J936" s="13" t="inlineStr">
        <is>
          <t>📦 ZIP Package</t>
        </is>
      </c>
      <c r="K936" s="15" t="n">
        <v>57.8</v>
      </c>
      <c r="L936" s="16">
        <f>HYPERLINK("http://127.0.0.1:8000/api/documents/download?id=1152&amp;attachment=true", "⬇ Download Tender_2026_AEGCL_53560_")</f>
        <v/>
      </c>
      <c r="M936" s="16">
        <f>HYPERLINK("http://localhost:5173/?state=Assam&amp;keyword=GIS&amp;tender=2026_AEGCL_53560_1", "🚀 Open in Portal")</f>
        <v/>
      </c>
    </row>
    <row r="937" ht="24" customHeight="1">
      <c r="A937" s="4" t="inlineStr">
        <is>
          <t>Assam</t>
        </is>
      </c>
      <c r="B937" s="5" t="inlineStr">
        <is>
          <t>GIS</t>
        </is>
      </c>
      <c r="C937" s="6" t="inlineStr">
        <is>
          <t>2026_AEGCL_53590_1</t>
        </is>
      </c>
      <c r="D937" s="7" t="inlineStr">
        <is>
          <t>[Advancing term loan from intending Financial Institution to meet capital expenditure of the project for Conversion of existing 220/132/33kV AIS to GIS along with the associated transmission lines at Sarusajai. ]</t>
        </is>
      </c>
      <c r="E937" s="7" t="inlineStr">
        <is>
          <t>Assam Public Works &amp; Technology Department</t>
        </is>
      </c>
      <c r="F937" s="6" t="inlineStr">
        <is>
          <t>23 Jul 2026</t>
        </is>
      </c>
      <c r="G937" s="5" t="inlineStr">
        <is>
          <t>15 Aug 2026</t>
        </is>
      </c>
      <c r="H937" s="8" t="inlineStr">
        <is>
          <t>⏳ UPCOMING</t>
        </is>
      </c>
      <c r="I937" s="4" t="inlineStr">
        <is>
          <t>Tendernotice_1.pdf</t>
        </is>
      </c>
      <c r="J937" s="6" t="inlineStr">
        <is>
          <t>📕 PDF Document</t>
        </is>
      </c>
      <c r="K937" s="9" t="n">
        <v>17.8</v>
      </c>
      <c r="L937" s="10">
        <f>HYPERLINK("http://127.0.0.1:8000/api/documents/download?id=1141&amp;attachment=true", "⬇ Download Tendernotice_1.pdf")</f>
        <v/>
      </c>
      <c r="M937" s="10">
        <f>HYPERLINK("http://localhost:5173/?state=Assam&amp;keyword=GIS&amp;tender=2026_AEGCL_53590_1", "🚀 Open in Portal")</f>
        <v/>
      </c>
    </row>
    <row r="938" ht="24" customHeight="1">
      <c r="A938" s="11" t="inlineStr">
        <is>
          <t>Assam</t>
        </is>
      </c>
      <c r="B938" s="12" t="inlineStr">
        <is>
          <t>GIS</t>
        </is>
      </c>
      <c r="C938" s="13" t="inlineStr">
        <is>
          <t>2026_AEGCL_53590_1</t>
        </is>
      </c>
      <c r="D938" s="14" t="inlineStr">
        <is>
          <t>[Advancing term loan from intending Financial Institution to meet capital expenditure of the project for Conversion of existing 220/132/33kV AIS to GIS along with the associated transmission lines at Sarusajai. ]</t>
        </is>
      </c>
      <c r="E938" s="14" t="inlineStr">
        <is>
          <t>Assam Public Works &amp; Technology Department</t>
        </is>
      </c>
      <c r="F938" s="13" t="inlineStr">
        <is>
          <t>23 Jul 2026</t>
        </is>
      </c>
      <c r="G938" s="12" t="inlineStr">
        <is>
          <t>15 Aug 2026</t>
        </is>
      </c>
      <c r="H938" s="8" t="inlineStr">
        <is>
          <t>⏳ UPCOMING</t>
        </is>
      </c>
      <c r="I938" s="11" t="inlineStr">
        <is>
          <t>EOI_220kVSarusajai.pdf</t>
        </is>
      </c>
      <c r="J938" s="13" t="inlineStr">
        <is>
          <t>📕 PDF Document</t>
        </is>
      </c>
      <c r="K938" s="15" t="n">
        <v>17.8</v>
      </c>
      <c r="L938" s="16">
        <f>HYPERLINK("http://127.0.0.1:8000/api/documents/download?id=1142&amp;attachment=true", "⬇ Download EOI_220kVSarusajai.pdf")</f>
        <v/>
      </c>
      <c r="M938" s="16">
        <f>HYPERLINK("http://localhost:5173/?state=Assam&amp;keyword=GIS&amp;tender=2026_AEGCL_53590_1", "🚀 Open in Portal")</f>
        <v/>
      </c>
    </row>
    <row r="939" ht="24" customHeight="1">
      <c r="A939" s="4" t="inlineStr">
        <is>
          <t>Assam</t>
        </is>
      </c>
      <c r="B939" s="5" t="inlineStr">
        <is>
          <t>GIS</t>
        </is>
      </c>
      <c r="C939" s="6" t="inlineStr">
        <is>
          <t>2026_AEGCL_53590_1</t>
        </is>
      </c>
      <c r="D939" s="7" t="inlineStr">
        <is>
          <t>[Advancing term loan from intending Financial Institution to meet capital expenditure of the project for Conversion of existing 220/132/33kV AIS to GIS along with the associated transmission lines at Sarusajai. ]</t>
        </is>
      </c>
      <c r="E939" s="7" t="inlineStr">
        <is>
          <t>Assam Public Works &amp; Technology Department</t>
        </is>
      </c>
      <c r="F939" s="6" t="inlineStr">
        <is>
          <t>23 Jul 2026</t>
        </is>
      </c>
      <c r="G939" s="5" t="inlineStr">
        <is>
          <t>15 Aug 2026</t>
        </is>
      </c>
      <c r="H939" s="8" t="inlineStr">
        <is>
          <t>⏳ UPCOMING</t>
        </is>
      </c>
      <c r="I939" s="4" t="inlineStr">
        <is>
          <t>Prudential_Norms.pdf</t>
        </is>
      </c>
      <c r="J939" s="6" t="inlineStr">
        <is>
          <t>📕 PDF Document</t>
        </is>
      </c>
      <c r="K939" s="9" t="n">
        <v>17.8</v>
      </c>
      <c r="L939" s="10">
        <f>HYPERLINK("http://127.0.0.1:8000/api/documents/download?id=1143&amp;attachment=true", "⬇ Download Prudential_Norms.pdf")</f>
        <v/>
      </c>
      <c r="M939" s="10">
        <f>HYPERLINK("http://localhost:5173/?state=Assam&amp;keyword=GIS&amp;tender=2026_AEGCL_53590_1", "🚀 Open in Portal")</f>
        <v/>
      </c>
    </row>
    <row r="940" ht="24" customHeight="1">
      <c r="A940" s="11" t="inlineStr">
        <is>
          <t>Assam</t>
        </is>
      </c>
      <c r="B940" s="12" t="inlineStr">
        <is>
          <t>GIS</t>
        </is>
      </c>
      <c r="C940" s="13" t="inlineStr">
        <is>
          <t>2026_AEGCL_53590_1</t>
        </is>
      </c>
      <c r="D940" s="14" t="inlineStr">
        <is>
          <t>[Advancing term loan from intending Financial Institution to meet capital expenditure of the project for Conversion of existing 220/132/33kV AIS to GIS along with the associated transmission lines at Sarusajai. ]</t>
        </is>
      </c>
      <c r="E940" s="14" t="inlineStr">
        <is>
          <t>Assam Public Works &amp; Technology Department</t>
        </is>
      </c>
      <c r="F940" s="13" t="inlineStr">
        <is>
          <t>23 Jul 2026</t>
        </is>
      </c>
      <c r="G940" s="12" t="inlineStr">
        <is>
          <t>15 Aug 2026</t>
        </is>
      </c>
      <c r="H940" s="8" t="inlineStr">
        <is>
          <t>⏳ UPCOMING</t>
        </is>
      </c>
      <c r="I940" s="11" t="inlineStr">
        <is>
          <t>Tender_2026_AEGCL_53590_1_All_Documents.zip</t>
        </is>
      </c>
      <c r="J940" s="13" t="inlineStr">
        <is>
          <t>📦 ZIP Package</t>
        </is>
      </c>
      <c r="K940" s="15" t="n">
        <v>27.8</v>
      </c>
      <c r="L940" s="16">
        <f>HYPERLINK("http://127.0.0.1:8000/api/documents/download?id=1144&amp;attachment=true", "⬇ Download Tender_2026_AEGCL_53590_")</f>
        <v/>
      </c>
      <c r="M940" s="16">
        <f>HYPERLINK("http://localhost:5173/?state=Assam&amp;keyword=GIS&amp;tender=2026_AEGCL_53590_1", "🚀 Open in Portal")</f>
        <v/>
      </c>
    </row>
    <row r="941" ht="24" customHeight="1">
      <c r="A941" s="4" t="inlineStr">
        <is>
          <t>Assam</t>
        </is>
      </c>
      <c r="B941" s="5" t="inlineStr">
        <is>
          <t>GIS</t>
        </is>
      </c>
      <c r="C941" s="6" t="inlineStr">
        <is>
          <t>2026_AEGCL_53823_1</t>
        </is>
      </c>
      <c r="D941" s="7" t="inlineStr">
        <is>
          <t>[Upgradation of existing 220/132/33kV GIS at Khumtai to 400kV level with transformation capacity 2x500MVA]</t>
        </is>
      </c>
      <c r="E941" s="7" t="inlineStr">
        <is>
          <t>Assam Public Works &amp; Technology Department</t>
        </is>
      </c>
      <c r="F941" s="6" t="inlineStr">
        <is>
          <t>23 Sep 2026</t>
        </is>
      </c>
      <c r="G941" s="5" t="inlineStr">
        <is>
          <t>17 Oct 2026</t>
        </is>
      </c>
      <c r="H941" s="8" t="inlineStr">
        <is>
          <t>⏳ UPCOMING</t>
        </is>
      </c>
      <c r="I941" s="4" t="inlineStr">
        <is>
          <t>Tendernotice_1.pdf</t>
        </is>
      </c>
      <c r="J941" s="6" t="inlineStr">
        <is>
          <t>📕 PDF Document</t>
        </is>
      </c>
      <c r="K941" s="9" t="n">
        <v>17.8</v>
      </c>
      <c r="L941" s="10">
        <f>HYPERLINK("http://127.0.0.1:8000/api/documents/download?id=1132&amp;attachment=true", "⬇ Download Tendernotice_1.pdf")</f>
        <v/>
      </c>
      <c r="M941" s="10">
        <f>HYPERLINK("http://localhost:5173/?state=Assam&amp;keyword=GIS&amp;tender=2026_AEGCL_53823_1", "🚀 Open in Portal")</f>
        <v/>
      </c>
    </row>
    <row r="942" ht="24" customHeight="1">
      <c r="A942" s="11" t="inlineStr">
        <is>
          <t>Assam</t>
        </is>
      </c>
      <c r="B942" s="12" t="inlineStr">
        <is>
          <t>GIS</t>
        </is>
      </c>
      <c r="C942" s="13" t="inlineStr">
        <is>
          <t>2026_AEGCL_53823_1</t>
        </is>
      </c>
      <c r="D942" s="14" t="inlineStr">
        <is>
          <t>[Upgradation of existing 220/132/33kV GIS at Khumtai to 400kV level with transformation capacity 2x500MVA]</t>
        </is>
      </c>
      <c r="E942" s="14" t="inlineStr">
        <is>
          <t>Assam Public Works &amp; Technology Department</t>
        </is>
      </c>
      <c r="F942" s="13" t="inlineStr">
        <is>
          <t>23 Sep 2026</t>
        </is>
      </c>
      <c r="G942" s="12" t="inlineStr">
        <is>
          <t>17 Oct 2026</t>
        </is>
      </c>
      <c r="H942" s="8" t="inlineStr">
        <is>
          <t>⏳ UPCOMING</t>
        </is>
      </c>
      <c r="I942" s="11" t="inlineStr">
        <is>
          <t>tech_prebid_84589.pdf</t>
        </is>
      </c>
      <c r="J942" s="13" t="inlineStr">
        <is>
          <t>📕 PDF Document</t>
        </is>
      </c>
      <c r="K942" s="15" t="n">
        <v>17.8</v>
      </c>
      <c r="L942" s="16">
        <f>HYPERLINK("http://127.0.0.1:8000/api/documents/download?id=1133&amp;attachment=true", "⬇ Download tech_prebid_84589.pdf")</f>
        <v/>
      </c>
      <c r="M942" s="16">
        <f>HYPERLINK("http://localhost:5173/?state=Assam&amp;keyword=GIS&amp;tender=2026_AEGCL_53823_1", "🚀 Open in Portal")</f>
        <v/>
      </c>
    </row>
    <row r="943" ht="24" customHeight="1">
      <c r="A943" s="4" t="inlineStr">
        <is>
          <t>Assam</t>
        </is>
      </c>
      <c r="B943" s="5" t="inlineStr">
        <is>
          <t>GIS</t>
        </is>
      </c>
      <c r="C943" s="6" t="inlineStr">
        <is>
          <t>2026_AEGCL_53823_1</t>
        </is>
      </c>
      <c r="D943" s="7" t="inlineStr">
        <is>
          <t>[Upgradation of existing 220/132/33kV GIS at Khumtai to 400kV level with transformation capacity 2x500MVA]</t>
        </is>
      </c>
      <c r="E943" s="7" t="inlineStr">
        <is>
          <t>Assam Public Works &amp; Technology Department</t>
        </is>
      </c>
      <c r="F943" s="6" t="inlineStr">
        <is>
          <t>23 Sep 2026</t>
        </is>
      </c>
      <c r="G943" s="5" t="inlineStr">
        <is>
          <t>17 Oct 2026</t>
        </is>
      </c>
      <c r="H943" s="8" t="inlineStr">
        <is>
          <t>⏳ UPCOMING</t>
        </is>
      </c>
      <c r="I943" s="4" t="inlineStr">
        <is>
          <t>BOQ_84589.xls</t>
        </is>
      </c>
      <c r="J943" s="6" t="inlineStr">
        <is>
          <t>📊 Excel BOQ</t>
        </is>
      </c>
      <c r="K943" s="9" t="n">
        <v>2.5</v>
      </c>
      <c r="L943" s="10">
        <f>HYPERLINK("http://127.0.0.1:8000/api/documents/download?id=1134&amp;attachment=true", "⬇ Download BOQ_84589.xls")</f>
        <v/>
      </c>
      <c r="M943" s="10">
        <f>HYPERLINK("http://localhost:5173/?state=Assam&amp;keyword=GIS&amp;tender=2026_AEGCL_53823_1", "🚀 Open in Portal")</f>
        <v/>
      </c>
    </row>
    <row r="944" ht="24" customHeight="1">
      <c r="A944" s="11" t="inlineStr">
        <is>
          <t>Assam</t>
        </is>
      </c>
      <c r="B944" s="12" t="inlineStr">
        <is>
          <t>GIS</t>
        </is>
      </c>
      <c r="C944" s="13" t="inlineStr">
        <is>
          <t>2026_AEGCL_53823_1</t>
        </is>
      </c>
      <c r="D944" s="14" t="inlineStr">
        <is>
          <t>[Upgradation of existing 220/132/33kV GIS at Khumtai to 400kV level with transformation capacity 2x500MVA]</t>
        </is>
      </c>
      <c r="E944" s="14" t="inlineStr">
        <is>
          <t>Assam Public Works &amp; Technology Department</t>
        </is>
      </c>
      <c r="F944" s="13" t="inlineStr">
        <is>
          <t>23 Sep 2026</t>
        </is>
      </c>
      <c r="G944" s="12" t="inlineStr">
        <is>
          <t>17 Oct 2026</t>
        </is>
      </c>
      <c r="H944" s="8" t="inlineStr">
        <is>
          <t>⏳ UPCOMING</t>
        </is>
      </c>
      <c r="I944" s="11" t="inlineStr">
        <is>
          <t>Bid_Volume_I.pdf</t>
        </is>
      </c>
      <c r="J944" s="13" t="inlineStr">
        <is>
          <t>📕 PDF Document</t>
        </is>
      </c>
      <c r="K944" s="15" t="n">
        <v>17.8</v>
      </c>
      <c r="L944" s="16">
        <f>HYPERLINK("http://127.0.0.1:8000/api/documents/download?id=1135&amp;attachment=true", "⬇ Download Bid_Volume_I.pdf")</f>
        <v/>
      </c>
      <c r="M944" s="16">
        <f>HYPERLINK("http://localhost:5173/?state=Assam&amp;keyword=GIS&amp;tender=2026_AEGCL_53823_1", "🚀 Open in Portal")</f>
        <v/>
      </c>
    </row>
    <row r="945" ht="24" customHeight="1">
      <c r="A945" s="4" t="inlineStr">
        <is>
          <t>Assam</t>
        </is>
      </c>
      <c r="B945" s="5" t="inlineStr">
        <is>
          <t>GIS</t>
        </is>
      </c>
      <c r="C945" s="6" t="inlineStr">
        <is>
          <t>2026_AEGCL_53823_1</t>
        </is>
      </c>
      <c r="D945" s="7" t="inlineStr">
        <is>
          <t>[Upgradation of existing 220/132/33kV GIS at Khumtai to 400kV level with transformation capacity 2x500MVA]</t>
        </is>
      </c>
      <c r="E945" s="7" t="inlineStr">
        <is>
          <t>Assam Public Works &amp; Technology Department</t>
        </is>
      </c>
      <c r="F945" s="6" t="inlineStr">
        <is>
          <t>23 Sep 2026</t>
        </is>
      </c>
      <c r="G945" s="5" t="inlineStr">
        <is>
          <t>17 Oct 2026</t>
        </is>
      </c>
      <c r="H945" s="8" t="inlineStr">
        <is>
          <t>⏳ UPCOMING</t>
        </is>
      </c>
      <c r="I945" s="4" t="inlineStr">
        <is>
          <t>Bid_Volume_II.pdf</t>
        </is>
      </c>
      <c r="J945" s="6" t="inlineStr">
        <is>
          <t>📕 PDF Document</t>
        </is>
      </c>
      <c r="K945" s="9" t="n">
        <v>17.8</v>
      </c>
      <c r="L945" s="10">
        <f>HYPERLINK("http://127.0.0.1:8000/api/documents/download?id=1136&amp;attachment=true", "⬇ Download Bid_Volume_II.pdf")</f>
        <v/>
      </c>
      <c r="M945" s="10">
        <f>HYPERLINK("http://localhost:5173/?state=Assam&amp;keyword=GIS&amp;tender=2026_AEGCL_53823_1", "🚀 Open in Portal")</f>
        <v/>
      </c>
    </row>
    <row r="946" ht="24" customHeight="1">
      <c r="A946" s="11" t="inlineStr">
        <is>
          <t>Assam</t>
        </is>
      </c>
      <c r="B946" s="12" t="inlineStr">
        <is>
          <t>GIS</t>
        </is>
      </c>
      <c r="C946" s="13" t="inlineStr">
        <is>
          <t>2026_AEGCL_53823_1</t>
        </is>
      </c>
      <c r="D946" s="14" t="inlineStr">
        <is>
          <t>[Upgradation of existing 220/132/33kV GIS at Khumtai to 400kV level with transformation capacity 2x500MVA]</t>
        </is>
      </c>
      <c r="E946" s="14" t="inlineStr">
        <is>
          <t>Assam Public Works &amp; Technology Department</t>
        </is>
      </c>
      <c r="F946" s="13" t="inlineStr">
        <is>
          <t>23 Sep 2026</t>
        </is>
      </c>
      <c r="G946" s="12" t="inlineStr">
        <is>
          <t>17 Oct 2026</t>
        </is>
      </c>
      <c r="H946" s="8" t="inlineStr">
        <is>
          <t>⏳ UPCOMING</t>
        </is>
      </c>
      <c r="I946" s="11" t="inlineStr">
        <is>
          <t>IFB.pdf</t>
        </is>
      </c>
      <c r="J946" s="13" t="inlineStr">
        <is>
          <t>📕 PDF Document</t>
        </is>
      </c>
      <c r="K946" s="15" t="n">
        <v>17.8</v>
      </c>
      <c r="L946" s="16">
        <f>HYPERLINK("http://127.0.0.1:8000/api/documents/download?id=1137&amp;attachment=true", "⬇ Download IFB.pdf")</f>
        <v/>
      </c>
      <c r="M946" s="16">
        <f>HYPERLINK("http://localhost:5173/?state=Assam&amp;keyword=GIS&amp;tender=2026_AEGCL_53823_1", "🚀 Open in Portal")</f>
        <v/>
      </c>
    </row>
    <row r="947" ht="24" customHeight="1">
      <c r="A947" s="4" t="inlineStr">
        <is>
          <t>Assam</t>
        </is>
      </c>
      <c r="B947" s="5" t="inlineStr">
        <is>
          <t>GIS</t>
        </is>
      </c>
      <c r="C947" s="6" t="inlineStr">
        <is>
          <t>2026_AEGCL_53823_1</t>
        </is>
      </c>
      <c r="D947" s="7" t="inlineStr">
        <is>
          <t>[Upgradation of existing 220/132/33kV GIS at Khumtai to 400kV level with transformation capacity 2x500MVA]</t>
        </is>
      </c>
      <c r="E947" s="7" t="inlineStr">
        <is>
          <t>Assam Public Works &amp; Technology Department</t>
        </is>
      </c>
      <c r="F947" s="6" t="inlineStr">
        <is>
          <t>23 Sep 2026</t>
        </is>
      </c>
      <c r="G947" s="5" t="inlineStr">
        <is>
          <t>17 Oct 2026</t>
        </is>
      </c>
      <c r="H947" s="8" t="inlineStr">
        <is>
          <t>⏳ UPCOMING</t>
        </is>
      </c>
      <c r="I947" s="4" t="inlineStr">
        <is>
          <t>Additonal_Documents_I.rar</t>
        </is>
      </c>
      <c r="J947" s="6" t="inlineStr">
        <is>
          <t>📄 RAR</t>
        </is>
      </c>
      <c r="K947" s="9" t="n">
        <v>17.8</v>
      </c>
      <c r="L947" s="10">
        <f>HYPERLINK("http://127.0.0.1:8000/api/documents/download?id=1138&amp;attachment=true", "⬇ Download Additonal_Documents_I.ra")</f>
        <v/>
      </c>
      <c r="M947" s="10">
        <f>HYPERLINK("http://localhost:5173/?state=Assam&amp;keyword=GIS&amp;tender=2026_AEGCL_53823_1", "🚀 Open in Portal")</f>
        <v/>
      </c>
    </row>
    <row r="948" ht="24" customHeight="1">
      <c r="A948" s="11" t="inlineStr">
        <is>
          <t>Assam</t>
        </is>
      </c>
      <c r="B948" s="12" t="inlineStr">
        <is>
          <t>GIS</t>
        </is>
      </c>
      <c r="C948" s="13" t="inlineStr">
        <is>
          <t>2026_AEGCL_53823_1</t>
        </is>
      </c>
      <c r="D948" s="14" t="inlineStr">
        <is>
          <t>[Upgradation of existing 220/132/33kV GIS at Khumtai to 400kV level with transformation capacity 2x500MVA]</t>
        </is>
      </c>
      <c r="E948" s="14" t="inlineStr">
        <is>
          <t>Assam Public Works &amp; Technology Department</t>
        </is>
      </c>
      <c r="F948" s="13" t="inlineStr">
        <is>
          <t>23 Sep 2026</t>
        </is>
      </c>
      <c r="G948" s="12" t="inlineStr">
        <is>
          <t>17 Oct 2026</t>
        </is>
      </c>
      <c r="H948" s="8" t="inlineStr">
        <is>
          <t>⏳ UPCOMING</t>
        </is>
      </c>
      <c r="I948" s="11" t="inlineStr">
        <is>
          <t>Additional_Documents_II.rar</t>
        </is>
      </c>
      <c r="J948" s="13" t="inlineStr">
        <is>
          <t>📄 RAR</t>
        </is>
      </c>
      <c r="K948" s="15" t="n">
        <v>17.8</v>
      </c>
      <c r="L948" s="16">
        <f>HYPERLINK("http://127.0.0.1:8000/api/documents/download?id=1139&amp;attachment=true", "⬇ Download Additional_Documents_II.")</f>
        <v/>
      </c>
      <c r="M948" s="16">
        <f>HYPERLINK("http://localhost:5173/?state=Assam&amp;keyword=GIS&amp;tender=2026_AEGCL_53823_1", "🚀 Open in Portal")</f>
        <v/>
      </c>
    </row>
    <row r="949" ht="24" customHeight="1">
      <c r="A949" s="4" t="inlineStr">
        <is>
          <t>Assam</t>
        </is>
      </c>
      <c r="B949" s="5" t="inlineStr">
        <is>
          <t>GIS</t>
        </is>
      </c>
      <c r="C949" s="6" t="inlineStr">
        <is>
          <t>2026_AEGCL_53823_1</t>
        </is>
      </c>
      <c r="D949" s="7" t="inlineStr">
        <is>
          <t>[Upgradation of existing 220/132/33kV GIS at Khumtai to 400kV level with transformation capacity 2x500MVA]</t>
        </is>
      </c>
      <c r="E949" s="7" t="inlineStr">
        <is>
          <t>Assam Public Works &amp; Technology Department</t>
        </is>
      </c>
      <c r="F949" s="6" t="inlineStr">
        <is>
          <t>23 Sep 2026</t>
        </is>
      </c>
      <c r="G949" s="5" t="inlineStr">
        <is>
          <t>17 Oct 2026</t>
        </is>
      </c>
      <c r="H949" s="8" t="inlineStr">
        <is>
          <t>⏳ UPCOMING</t>
        </is>
      </c>
      <c r="I949" s="4" t="inlineStr">
        <is>
          <t>Tender_2026_AEGCL_53823_1_All_Documents.zip</t>
        </is>
      </c>
      <c r="J949" s="6" t="inlineStr">
        <is>
          <t>📦 ZIP Package</t>
        </is>
      </c>
      <c r="K949" s="9" t="n">
        <v>67</v>
      </c>
      <c r="L949" s="10">
        <f>HYPERLINK("http://127.0.0.1:8000/api/documents/download?id=1140&amp;attachment=true", "⬇ Download Tender_2026_AEGCL_53823_")</f>
        <v/>
      </c>
      <c r="M949" s="10">
        <f>HYPERLINK("http://localhost:5173/?state=Assam&amp;keyword=GIS&amp;tender=2026_AEGCL_53823_1", "🚀 Open in Portal")</f>
        <v/>
      </c>
    </row>
    <row r="950" ht="24" customHeight="1">
      <c r="A950" s="11" t="inlineStr">
        <is>
          <t>Assam</t>
        </is>
      </c>
      <c r="B950" s="12" t="inlineStr">
        <is>
          <t>GIS</t>
        </is>
      </c>
      <c r="C950" s="13" t="inlineStr">
        <is>
          <t>2026_NE_53961_1</t>
        </is>
      </c>
      <c r="D950" s="14" t="inlineStr">
        <is>
          <t>[Engagement of Transporter for providing Refrigerated Vehicle]</t>
        </is>
      </c>
      <c r="E950" s="14" t="inlineStr">
        <is>
          <t>Assam Public Works &amp; Technology Department</t>
        </is>
      </c>
      <c r="F950" s="13" t="inlineStr">
        <is>
          <t>27 Jul 2026</t>
        </is>
      </c>
      <c r="G950" s="12" t="inlineStr">
        <is>
          <t>20 Aug 2026</t>
        </is>
      </c>
      <c r="H950" s="8" t="inlineStr">
        <is>
          <t>⏳ UPCOMING</t>
        </is>
      </c>
      <c r="I950" s="11" t="inlineStr">
        <is>
          <t>Tendernotice_1.pdf</t>
        </is>
      </c>
      <c r="J950" s="13" t="inlineStr">
        <is>
          <t>📕 PDF Document</t>
        </is>
      </c>
      <c r="K950" s="15" t="n">
        <v>17.8</v>
      </c>
      <c r="L950" s="16">
        <f>HYPERLINK("http://127.0.0.1:8000/api/documents/download?id=1124&amp;attachment=true", "⬇ Download Tendernotice_1.pdf")</f>
        <v/>
      </c>
      <c r="M950" s="16">
        <f>HYPERLINK("http://localhost:5173/?state=Assam&amp;keyword=GIS&amp;tender=2026_NE_53961_1", "🚀 Open in Portal")</f>
        <v/>
      </c>
    </row>
    <row r="951" ht="24" customHeight="1">
      <c r="A951" s="4" t="inlineStr">
        <is>
          <t>Assam</t>
        </is>
      </c>
      <c r="B951" s="5" t="inlineStr">
        <is>
          <t>GIS</t>
        </is>
      </c>
      <c r="C951" s="6" t="inlineStr">
        <is>
          <t>2026_NE_53961_1</t>
        </is>
      </c>
      <c r="D951" s="7" t="inlineStr">
        <is>
          <t>[Engagement of Transporter for providing Refrigerated Vehicle]</t>
        </is>
      </c>
      <c r="E951" s="7" t="inlineStr">
        <is>
          <t>Assam Public Works &amp; Technology Department</t>
        </is>
      </c>
      <c r="F951" s="6" t="inlineStr">
        <is>
          <t>27 Jul 2026</t>
        </is>
      </c>
      <c r="G951" s="5" t="inlineStr">
        <is>
          <t>20 Aug 2026</t>
        </is>
      </c>
      <c r="H951" s="8" t="inlineStr">
        <is>
          <t>⏳ UPCOMING</t>
        </is>
      </c>
      <c r="I951" s="4" t="inlineStr">
        <is>
          <t>TenderDocRefrigeratedVehicle.pdf</t>
        </is>
      </c>
      <c r="J951" s="6" t="inlineStr">
        <is>
          <t>📕 PDF Document</t>
        </is>
      </c>
      <c r="K951" s="9" t="n">
        <v>17.8</v>
      </c>
      <c r="L951" s="10">
        <f>HYPERLINK("http://127.0.0.1:8000/api/documents/download?id=1125&amp;attachment=true", "⬇ Download TenderDocRefrigeratedVeh")</f>
        <v/>
      </c>
      <c r="M951" s="10">
        <f>HYPERLINK("http://localhost:5173/?state=Assam&amp;keyword=GIS&amp;tender=2026_NE_53961_1", "🚀 Open in Portal")</f>
        <v/>
      </c>
    </row>
    <row r="952" ht="24" customHeight="1">
      <c r="A952" s="11" t="inlineStr">
        <is>
          <t>Assam</t>
        </is>
      </c>
      <c r="B952" s="12" t="inlineStr">
        <is>
          <t>GIS</t>
        </is>
      </c>
      <c r="C952" s="13" t="inlineStr">
        <is>
          <t>2026_NE_53961_1</t>
        </is>
      </c>
      <c r="D952" s="14" t="inlineStr">
        <is>
          <t>[Engagement of Transporter for providing Refrigerated Vehicle]</t>
        </is>
      </c>
      <c r="E952" s="14" t="inlineStr">
        <is>
          <t>Assam Public Works &amp; Technology Department</t>
        </is>
      </c>
      <c r="F952" s="13" t="inlineStr">
        <is>
          <t>27 Jul 2026</t>
        </is>
      </c>
      <c r="G952" s="12" t="inlineStr">
        <is>
          <t>20 Aug 2026</t>
        </is>
      </c>
      <c r="H952" s="8" t="inlineStr">
        <is>
          <t>⏳ UPCOMING</t>
        </is>
      </c>
      <c r="I952" s="11" t="inlineStr">
        <is>
          <t>BOQ_84791.xls</t>
        </is>
      </c>
      <c r="J952" s="13" t="inlineStr">
        <is>
          <t>📊 Excel BOQ</t>
        </is>
      </c>
      <c r="K952" s="15" t="n">
        <v>2.4</v>
      </c>
      <c r="L952" s="16">
        <f>HYPERLINK("http://127.0.0.1:8000/api/documents/download?id=1126&amp;attachment=true", "⬇ Download BOQ_84791.xls")</f>
        <v/>
      </c>
      <c r="M952" s="16">
        <f>HYPERLINK("http://localhost:5173/?state=Assam&amp;keyword=GIS&amp;tender=2026_NE_53961_1", "🚀 Open in Portal")</f>
        <v/>
      </c>
    </row>
    <row r="953" ht="24" customHeight="1">
      <c r="A953" s="4" t="inlineStr">
        <is>
          <t>Assam</t>
        </is>
      </c>
      <c r="B953" s="5" t="inlineStr">
        <is>
          <t>GIS</t>
        </is>
      </c>
      <c r="C953" s="6" t="inlineStr">
        <is>
          <t>2026_NE_53961_1</t>
        </is>
      </c>
      <c r="D953" s="7" t="inlineStr">
        <is>
          <t>[Engagement of Transporter for providing Refrigerated Vehicle]</t>
        </is>
      </c>
      <c r="E953" s="7" t="inlineStr">
        <is>
          <t>Assam Public Works &amp; Technology Department</t>
        </is>
      </c>
      <c r="F953" s="6" t="inlineStr">
        <is>
          <t>27 Jul 2026</t>
        </is>
      </c>
      <c r="G953" s="5" t="inlineStr">
        <is>
          <t>20 Aug 2026</t>
        </is>
      </c>
      <c r="H953" s="8" t="inlineStr">
        <is>
          <t>⏳ UPCOMING</t>
        </is>
      </c>
      <c r="I953" s="4" t="inlineStr">
        <is>
          <t>Tender_2026_NE_53961_1_All_Documents.zip</t>
        </is>
      </c>
      <c r="J953" s="6" t="inlineStr">
        <is>
          <t>📦 ZIP Package</t>
        </is>
      </c>
      <c r="K953" s="9" t="n">
        <v>20.8</v>
      </c>
      <c r="L953" s="10">
        <f>HYPERLINK("http://127.0.0.1:8000/api/documents/download?id=1127&amp;attachment=true", "⬇ Download Tender_2026_NE_53961_1_A")</f>
        <v/>
      </c>
      <c r="M953" s="10">
        <f>HYPERLINK("http://localhost:5173/?state=Assam&amp;keyword=GIS&amp;tender=2026_NE_53961_1", "🚀 Open in Portal")</f>
        <v/>
      </c>
    </row>
    <row r="954" ht="24" customHeight="1">
      <c r="A954" s="11" t="inlineStr">
        <is>
          <t>Assam</t>
        </is>
      </c>
      <c r="B954" s="12" t="inlineStr">
        <is>
          <t>GIS</t>
        </is>
      </c>
      <c r="C954" s="13" t="inlineStr">
        <is>
          <t>2026_NE_53969_1</t>
        </is>
      </c>
      <c r="D954" s="14" t="inlineStr">
        <is>
          <t>[Engagement of Transporter for providing Insulated Vehicle]</t>
        </is>
      </c>
      <c r="E954" s="14" t="inlineStr">
        <is>
          <t>Assam Public Works &amp; Technology Department</t>
        </is>
      </c>
      <c r="F954" s="13" t="inlineStr">
        <is>
          <t>25 Aug 2026</t>
        </is>
      </c>
      <c r="G954" s="12" t="inlineStr">
        <is>
          <t>21 Sep 2026</t>
        </is>
      </c>
      <c r="H954" s="8" t="inlineStr">
        <is>
          <t>⏳ UPCOMING</t>
        </is>
      </c>
      <c r="I954" s="11" t="inlineStr">
        <is>
          <t>Tendernotice_1.pdf</t>
        </is>
      </c>
      <c r="J954" s="13" t="inlineStr">
        <is>
          <t>📕 PDF Document</t>
        </is>
      </c>
      <c r="K954" s="15" t="n">
        <v>17.8</v>
      </c>
      <c r="L954" s="16">
        <f>HYPERLINK("http://127.0.0.1:8000/api/documents/download?id=1128&amp;attachment=true", "⬇ Download Tendernotice_1.pdf")</f>
        <v/>
      </c>
      <c r="M954" s="16">
        <f>HYPERLINK("http://localhost:5173/?state=Assam&amp;keyword=GIS&amp;tender=2026_NE_53969_1", "🚀 Open in Portal")</f>
        <v/>
      </c>
    </row>
    <row r="955" ht="24" customHeight="1">
      <c r="A955" s="4" t="inlineStr">
        <is>
          <t>Assam</t>
        </is>
      </c>
      <c r="B955" s="5" t="inlineStr">
        <is>
          <t>GIS</t>
        </is>
      </c>
      <c r="C955" s="6" t="inlineStr">
        <is>
          <t>2026_NE_53969_1</t>
        </is>
      </c>
      <c r="D955" s="7" t="inlineStr">
        <is>
          <t>[Engagement of Transporter for providing Insulated Vehicle]</t>
        </is>
      </c>
      <c r="E955" s="7" t="inlineStr">
        <is>
          <t>Assam Public Works &amp; Technology Department</t>
        </is>
      </c>
      <c r="F955" s="6" t="inlineStr">
        <is>
          <t>25 Aug 2026</t>
        </is>
      </c>
      <c r="G955" s="5" t="inlineStr">
        <is>
          <t>21 Sep 2026</t>
        </is>
      </c>
      <c r="H955" s="8" t="inlineStr">
        <is>
          <t>⏳ UPCOMING</t>
        </is>
      </c>
      <c r="I955" s="4" t="inlineStr">
        <is>
          <t>TenderDocInsulatedVehicle.pdf</t>
        </is>
      </c>
      <c r="J955" s="6" t="inlineStr">
        <is>
          <t>📕 PDF Document</t>
        </is>
      </c>
      <c r="K955" s="9" t="n">
        <v>17.8</v>
      </c>
      <c r="L955" s="10">
        <f>HYPERLINK("http://127.0.0.1:8000/api/documents/download?id=1129&amp;attachment=true", "⬇ Download TenderDocInsulatedVehicl")</f>
        <v/>
      </c>
      <c r="M955" s="10">
        <f>HYPERLINK("http://localhost:5173/?state=Assam&amp;keyword=GIS&amp;tender=2026_NE_53969_1", "🚀 Open in Portal")</f>
        <v/>
      </c>
    </row>
    <row r="956" ht="24" customHeight="1">
      <c r="A956" s="11" t="inlineStr">
        <is>
          <t>Assam</t>
        </is>
      </c>
      <c r="B956" s="12" t="inlineStr">
        <is>
          <t>GIS</t>
        </is>
      </c>
      <c r="C956" s="13" t="inlineStr">
        <is>
          <t>2026_NE_53969_1</t>
        </is>
      </c>
      <c r="D956" s="14" t="inlineStr">
        <is>
          <t>[Engagement of Transporter for providing Insulated Vehicle]</t>
        </is>
      </c>
      <c r="E956" s="14" t="inlineStr">
        <is>
          <t>Assam Public Works &amp; Technology Department</t>
        </is>
      </c>
      <c r="F956" s="13" t="inlineStr">
        <is>
          <t>25 Aug 2026</t>
        </is>
      </c>
      <c r="G956" s="12" t="inlineStr">
        <is>
          <t>21 Sep 2026</t>
        </is>
      </c>
      <c r="H956" s="8" t="inlineStr">
        <is>
          <t>⏳ UPCOMING</t>
        </is>
      </c>
      <c r="I956" s="11" t="inlineStr">
        <is>
          <t>BOQ_84793.xls</t>
        </is>
      </c>
      <c r="J956" s="13" t="inlineStr">
        <is>
          <t>📊 Excel BOQ</t>
        </is>
      </c>
      <c r="K956" s="15" t="n">
        <v>2.4</v>
      </c>
      <c r="L956" s="16">
        <f>HYPERLINK("http://127.0.0.1:8000/api/documents/download?id=1130&amp;attachment=true", "⬇ Download BOQ_84793.xls")</f>
        <v/>
      </c>
      <c r="M956" s="16">
        <f>HYPERLINK("http://localhost:5173/?state=Assam&amp;keyword=GIS&amp;tender=2026_NE_53969_1", "🚀 Open in Portal")</f>
        <v/>
      </c>
    </row>
    <row r="957" ht="24" customHeight="1">
      <c r="A957" s="4" t="inlineStr">
        <is>
          <t>Assam</t>
        </is>
      </c>
      <c r="B957" s="5" t="inlineStr">
        <is>
          <t>GIS</t>
        </is>
      </c>
      <c r="C957" s="6" t="inlineStr">
        <is>
          <t>2026_NE_53969_1</t>
        </is>
      </c>
      <c r="D957" s="7" t="inlineStr">
        <is>
          <t>[Engagement of Transporter for providing Insulated Vehicle]</t>
        </is>
      </c>
      <c r="E957" s="7" t="inlineStr">
        <is>
          <t>Assam Public Works &amp; Technology Department</t>
        </is>
      </c>
      <c r="F957" s="6" t="inlineStr">
        <is>
          <t>25 Aug 2026</t>
        </is>
      </c>
      <c r="G957" s="5" t="inlineStr">
        <is>
          <t>21 Sep 2026</t>
        </is>
      </c>
      <c r="H957" s="8" t="inlineStr">
        <is>
          <t>⏳ UPCOMING</t>
        </is>
      </c>
      <c r="I957" s="4" t="inlineStr">
        <is>
          <t>Tender_2026_NE_53969_1_All_Documents.zip</t>
        </is>
      </c>
      <c r="J957" s="6" t="inlineStr">
        <is>
          <t>📦 ZIP Package</t>
        </is>
      </c>
      <c r="K957" s="9" t="n">
        <v>20.8</v>
      </c>
      <c r="L957" s="10">
        <f>HYPERLINK("http://127.0.0.1:8000/api/documents/download?id=1131&amp;attachment=true", "⬇ Download Tender_2026_NE_53969_1_A")</f>
        <v/>
      </c>
      <c r="M957" s="10">
        <f>HYPERLINK("http://localhost:5173/?state=Assam&amp;keyword=GIS&amp;tender=2026_NE_53969_1", "🚀 Open in Portal")</f>
        <v/>
      </c>
    </row>
    <row r="958" ht="24" customHeight="1">
      <c r="A958" s="11" t="inlineStr">
        <is>
          <t>Assam</t>
        </is>
      </c>
      <c r="B958" s="12" t="inlineStr">
        <is>
          <t>ICT</t>
        </is>
      </c>
      <c r="C958" s="13" t="inlineStr">
        <is>
          <t>2026_ASS_4079883_13</t>
        </is>
      </c>
      <c r="D958" s="14" t="inlineStr">
        <is>
          <t>ICT-Based Cloud Data Center Modernization &amp; Statewide Integrated Video Command Analytics</t>
        </is>
      </c>
      <c r="E958" s="14" t="inlineStr">
        <is>
          <t>DEPARTMENT OF INFORMATION TECHNOLOGY &amp; e-GOVERNANCE</t>
        </is>
      </c>
      <c r="F958" s="13" t="inlineStr">
        <is>
          <t>30 Sep 2026</t>
        </is>
      </c>
      <c r="G958" s="12" t="inlineStr">
        <is>
          <t>08 Nov 2026</t>
        </is>
      </c>
      <c r="H958" s="17" t="inlineStr">
        <is>
          <t>🟢 LIVE ACTIVE</t>
        </is>
      </c>
      <c r="I958" s="11" t="inlineStr">
        <is>
          <t>Tendernotice_2026_ASS_4079883_13.pdf</t>
        </is>
      </c>
      <c r="J958" s="13" t="inlineStr">
        <is>
          <t>📕 PDF Document</t>
        </is>
      </c>
      <c r="K958" s="15" t="n">
        <v>7.7</v>
      </c>
      <c r="L958" s="16">
        <f>HYPERLINK("http://127.0.0.1:8000/api/documents/download?id=3453&amp;attachment=true", "⬇ Download Tendernotice_2026_ASS_40")</f>
        <v/>
      </c>
      <c r="M958" s="16">
        <f>HYPERLINK("http://localhost:5173/?state=Assam&amp;keyword=ICT&amp;tender=2026_ASS_4079883_13", "🚀 Open in Portal")</f>
        <v/>
      </c>
    </row>
    <row r="959" ht="24" customHeight="1">
      <c r="A959" s="4" t="inlineStr">
        <is>
          <t>Assam</t>
        </is>
      </c>
      <c r="B959" s="5" t="inlineStr">
        <is>
          <t>ICT</t>
        </is>
      </c>
      <c r="C959" s="6" t="inlineStr">
        <is>
          <t>2026_ASS_4079883_13</t>
        </is>
      </c>
      <c r="D959" s="7" t="inlineStr">
        <is>
          <t>ICT-Based Cloud Data Center Modernization &amp; Statewide Integrated Video Command Analytics</t>
        </is>
      </c>
      <c r="E959" s="7" t="inlineStr">
        <is>
          <t>DEPARTMENT OF INFORMATION TECHNOLOGY &amp; e-GOVERNANCE</t>
        </is>
      </c>
      <c r="F959" s="6" t="inlineStr">
        <is>
          <t>30 Sep 2026</t>
        </is>
      </c>
      <c r="G959" s="5" t="inlineStr">
        <is>
          <t>08 Nov 2026</t>
        </is>
      </c>
      <c r="H959" s="17" t="inlineStr">
        <is>
          <t>🟢 LIVE ACTIVE</t>
        </is>
      </c>
      <c r="I959" s="4" t="inlineStr">
        <is>
          <t>Technical_RFP_Specification_ICT.pdf</t>
        </is>
      </c>
      <c r="J959" s="6" t="inlineStr">
        <is>
          <t>📕 PDF Document</t>
        </is>
      </c>
      <c r="K959" s="9" t="n">
        <v>7.7</v>
      </c>
      <c r="L959" s="10">
        <f>HYPERLINK("http://127.0.0.1:8000/api/documents/download?id=3454&amp;attachment=true", "⬇ Download Technical_RFP_Specificat")</f>
        <v/>
      </c>
      <c r="M959" s="10">
        <f>HYPERLINK("http://localhost:5173/?state=Assam&amp;keyword=ICT&amp;tender=2026_ASS_4079883_13", "🚀 Open in Portal")</f>
        <v/>
      </c>
    </row>
    <row r="960" ht="24" customHeight="1">
      <c r="A960" s="11" t="inlineStr">
        <is>
          <t>Assam</t>
        </is>
      </c>
      <c r="B960" s="12" t="inlineStr">
        <is>
          <t>ICT</t>
        </is>
      </c>
      <c r="C960" s="13" t="inlineStr">
        <is>
          <t>2026_ASS_4079883_13</t>
        </is>
      </c>
      <c r="D960" s="14" t="inlineStr">
        <is>
          <t>ICT-Based Cloud Data Center Modernization &amp; Statewide Integrated Video Command Analytics</t>
        </is>
      </c>
      <c r="E960" s="14" t="inlineStr">
        <is>
          <t>DEPARTMENT OF INFORMATION TECHNOLOGY &amp; e-GOVERNANCE</t>
        </is>
      </c>
      <c r="F960" s="13" t="inlineStr">
        <is>
          <t>30 Sep 2026</t>
        </is>
      </c>
      <c r="G960" s="12" t="inlineStr">
        <is>
          <t>08 Nov 2026</t>
        </is>
      </c>
      <c r="H960" s="17" t="inlineStr">
        <is>
          <t>🟢 LIVE ACTIVE</t>
        </is>
      </c>
      <c r="I960" s="11" t="inlineStr">
        <is>
          <t>BOQ_Financial_Schedule_2026_ASS_4079883_13.xlsx</t>
        </is>
      </c>
      <c r="J960" s="13" t="inlineStr">
        <is>
          <t>📊 Excel BOQ</t>
        </is>
      </c>
      <c r="K960" s="15" t="n">
        <v>5.9</v>
      </c>
      <c r="L960" s="16">
        <f>HYPERLINK("http://127.0.0.1:8000/api/documents/download?id=3455&amp;attachment=true", "⬇ Download BOQ_Financial_Schedule_2")</f>
        <v/>
      </c>
      <c r="M960" s="16">
        <f>HYPERLINK("http://localhost:5173/?state=Assam&amp;keyword=ICT&amp;tender=2026_ASS_4079883_13", "🚀 Open in Portal")</f>
        <v/>
      </c>
    </row>
    <row r="961" ht="24" customHeight="1">
      <c r="A961" s="4" t="inlineStr">
        <is>
          <t>Assam</t>
        </is>
      </c>
      <c r="B961" s="5" t="inlineStr">
        <is>
          <t>ICT</t>
        </is>
      </c>
      <c r="C961" s="6" t="inlineStr">
        <is>
          <t>2026_ASS_4079883_13</t>
        </is>
      </c>
      <c r="D961" s="7" t="inlineStr">
        <is>
          <t>ICT-Based Cloud Data Center Modernization &amp; Statewide Integrated Video Command Analytics</t>
        </is>
      </c>
      <c r="E961" s="7" t="inlineStr">
        <is>
          <t>DEPARTMENT OF INFORMATION TECHNOLOGY &amp; e-GOVERNANCE</t>
        </is>
      </c>
      <c r="F961" s="6" t="inlineStr">
        <is>
          <t>30 Sep 2026</t>
        </is>
      </c>
      <c r="G961" s="5" t="inlineStr">
        <is>
          <t>08 Nov 2026</t>
        </is>
      </c>
      <c r="H961" s="17" t="inlineStr">
        <is>
          <t>🟢 LIVE ACTIVE</t>
        </is>
      </c>
      <c r="I961" s="4" t="inlineStr">
        <is>
          <t>Tender_2026_ASS_4079883_13_All_Documents.zip</t>
        </is>
      </c>
      <c r="J961" s="6" t="inlineStr">
        <is>
          <t>📦 ZIP Package</t>
        </is>
      </c>
      <c r="K961" s="9" t="n">
        <v>45</v>
      </c>
      <c r="L961" s="10">
        <f>HYPERLINK("https://assamtenders.gov.in/tender/2026_ASS_4079883_13", "⬇ Download Tender_2026_ASS_4079883_")</f>
        <v/>
      </c>
      <c r="M961" s="10">
        <f>HYPERLINK("http://localhost:5173/?state=Assam&amp;keyword=ICT&amp;tender=2026_ASS_4079883_13", "🚀 Open in Portal")</f>
        <v/>
      </c>
    </row>
    <row r="962" ht="24" customHeight="1">
      <c r="A962" s="11" t="inlineStr">
        <is>
          <t>Assam</t>
        </is>
      </c>
      <c r="B962" s="12" t="inlineStr">
        <is>
          <t>Forest</t>
        </is>
      </c>
      <c r="C962" s="13" t="inlineStr">
        <is>
          <t>2026_ASS_4737659_50</t>
        </is>
      </c>
      <c r="D962" s="14" t="inlineStr">
        <is>
          <t>Forest-Based Satellite-Based Forest Canopy Density &amp; Wildlife Corridor Spatial Monitoring</t>
        </is>
      </c>
      <c r="E962" s="14" t="inlineStr">
        <is>
          <t>STATE FOREST &amp; ENVIRONMENT DEPARTMENT</t>
        </is>
      </c>
      <c r="F962" s="13" t="inlineStr">
        <is>
          <t>16 Oct 2026</t>
        </is>
      </c>
      <c r="G962" s="12" t="inlineStr">
        <is>
          <t>13 Nov 2026</t>
        </is>
      </c>
      <c r="H962" s="17" t="inlineStr">
        <is>
          <t>🟢 LIVE ACTIVE</t>
        </is>
      </c>
      <c r="I962" s="11" t="inlineStr">
        <is>
          <t>Tendernotice_2026_ASS_4737659_50.pdf</t>
        </is>
      </c>
      <c r="J962" s="13" t="inlineStr">
        <is>
          <t>📕 PDF Document</t>
        </is>
      </c>
      <c r="K962" s="15" t="n">
        <v>17.9</v>
      </c>
      <c r="L962" s="16">
        <f>HYPERLINK("http://127.0.0.1:8000/api/documents/download?id=3305&amp;attachment=true", "⬇ Download Tendernotice_2026_ASS_47")</f>
        <v/>
      </c>
      <c r="M962" s="16">
        <f>HYPERLINK("http://localhost:5173/?state=Assam&amp;keyword=Forest&amp;tender=2026_ASS_4737659_50", "🚀 Open in Portal")</f>
        <v/>
      </c>
    </row>
    <row r="963" ht="24" customHeight="1">
      <c r="A963" s="4" t="inlineStr">
        <is>
          <t>Assam</t>
        </is>
      </c>
      <c r="B963" s="5" t="inlineStr">
        <is>
          <t>Forest</t>
        </is>
      </c>
      <c r="C963" s="6" t="inlineStr">
        <is>
          <t>2026_ASS_4737659_50</t>
        </is>
      </c>
      <c r="D963" s="7" t="inlineStr">
        <is>
          <t>Forest-Based Satellite-Based Forest Canopy Density &amp; Wildlife Corridor Spatial Monitoring</t>
        </is>
      </c>
      <c r="E963" s="7" t="inlineStr">
        <is>
          <t>STATE FOREST &amp; ENVIRONMENT DEPARTMENT</t>
        </is>
      </c>
      <c r="F963" s="6" t="inlineStr">
        <is>
          <t>16 Oct 2026</t>
        </is>
      </c>
      <c r="G963" s="5" t="inlineStr">
        <is>
          <t>13 Nov 2026</t>
        </is>
      </c>
      <c r="H963" s="17" t="inlineStr">
        <is>
          <t>🟢 LIVE ACTIVE</t>
        </is>
      </c>
      <c r="I963" s="4" t="inlineStr">
        <is>
          <t>Technical_RFP_Specification_Forest.pdf</t>
        </is>
      </c>
      <c r="J963" s="6" t="inlineStr">
        <is>
          <t>📕 PDF Document</t>
        </is>
      </c>
      <c r="K963" s="9" t="n">
        <v>17.9</v>
      </c>
      <c r="L963" s="10">
        <f>HYPERLINK("http://127.0.0.1:8000/api/documents/download?id=3306&amp;attachment=true", "⬇ Download Technical_RFP_Specificat")</f>
        <v/>
      </c>
      <c r="M963" s="10">
        <f>HYPERLINK("http://localhost:5173/?state=Assam&amp;keyword=Forest&amp;tender=2026_ASS_4737659_50", "🚀 Open in Portal")</f>
        <v/>
      </c>
    </row>
    <row r="964" ht="24" customHeight="1">
      <c r="A964" s="11" t="inlineStr">
        <is>
          <t>Assam</t>
        </is>
      </c>
      <c r="B964" s="12" t="inlineStr">
        <is>
          <t>Forest</t>
        </is>
      </c>
      <c r="C964" s="13" t="inlineStr">
        <is>
          <t>2026_ASS_4737659_50</t>
        </is>
      </c>
      <c r="D964" s="14" t="inlineStr">
        <is>
          <t>Forest-Based Satellite-Based Forest Canopy Density &amp; Wildlife Corridor Spatial Monitoring</t>
        </is>
      </c>
      <c r="E964" s="14" t="inlineStr">
        <is>
          <t>STATE FOREST &amp; ENVIRONMENT DEPARTMENT</t>
        </is>
      </c>
      <c r="F964" s="13" t="inlineStr">
        <is>
          <t>16 Oct 2026</t>
        </is>
      </c>
      <c r="G964" s="12" t="inlineStr">
        <is>
          <t>13 Nov 2026</t>
        </is>
      </c>
      <c r="H964" s="17" t="inlineStr">
        <is>
          <t>🟢 LIVE ACTIVE</t>
        </is>
      </c>
      <c r="I964" s="11" t="inlineStr">
        <is>
          <t>BOQ_Financial_Schedule_2026_ASS_4737659_50.xlsx</t>
        </is>
      </c>
      <c r="J964" s="13" t="inlineStr">
        <is>
          <t>📊 Excel BOQ</t>
        </is>
      </c>
      <c r="K964" s="15" t="n">
        <v>2.5</v>
      </c>
      <c r="L964" s="16">
        <f>HYPERLINK("http://127.0.0.1:8000/api/documents/download?id=3307&amp;attachment=true", "⬇ Download BOQ_Financial_Schedule_2")</f>
        <v/>
      </c>
      <c r="M964" s="16">
        <f>HYPERLINK("http://localhost:5173/?state=Assam&amp;keyword=Forest&amp;tender=2026_ASS_4737659_50", "🚀 Open in Portal")</f>
        <v/>
      </c>
    </row>
    <row r="965" ht="24" customHeight="1">
      <c r="A965" s="4" t="inlineStr">
        <is>
          <t>Assam</t>
        </is>
      </c>
      <c r="B965" s="5" t="inlineStr">
        <is>
          <t>Forest</t>
        </is>
      </c>
      <c r="C965" s="6" t="inlineStr">
        <is>
          <t>2026_ASS_4737659_50</t>
        </is>
      </c>
      <c r="D965" s="7" t="inlineStr">
        <is>
          <t>Forest-Based Satellite-Based Forest Canopy Density &amp; Wildlife Corridor Spatial Monitoring</t>
        </is>
      </c>
      <c r="E965" s="7" t="inlineStr">
        <is>
          <t>STATE FOREST &amp; ENVIRONMENT DEPARTMENT</t>
        </is>
      </c>
      <c r="F965" s="6" t="inlineStr">
        <is>
          <t>16 Oct 2026</t>
        </is>
      </c>
      <c r="G965" s="5" t="inlineStr">
        <is>
          <t>13 Nov 2026</t>
        </is>
      </c>
      <c r="H965" s="17" t="inlineStr">
        <is>
          <t>🟢 LIVE ACTIVE</t>
        </is>
      </c>
      <c r="I965" s="4" t="inlineStr">
        <is>
          <t>Tender_2026_ASS_4737659_50_All_Documents.zip</t>
        </is>
      </c>
      <c r="J965" s="6" t="inlineStr">
        <is>
          <t>📦 ZIP Package</t>
        </is>
      </c>
      <c r="K965" s="9" t="n">
        <v>45</v>
      </c>
      <c r="L965" s="10">
        <f>HYPERLINK("https://assamtenders.gov.in/tender/2026_ASS_4737659_50", "⬇ Download Tender_2026_ASS_4737659_")</f>
        <v/>
      </c>
      <c r="M965" s="10">
        <f>HYPERLINK("http://localhost:5173/?state=Assam&amp;keyword=Forest&amp;tender=2026_ASS_4737659_50", "🚀 Open in Portal")</f>
        <v/>
      </c>
    </row>
    <row r="966" ht="24" customHeight="1">
      <c r="A966" s="11" t="inlineStr">
        <is>
          <t>Assam</t>
        </is>
      </c>
      <c r="B966" s="12" t="inlineStr">
        <is>
          <t>Forest</t>
        </is>
      </c>
      <c r="C966" s="13" t="inlineStr">
        <is>
          <t>2026_ASS_7800628_11</t>
        </is>
      </c>
      <c r="D966" s="14" t="inlineStr">
        <is>
          <t>Forest-Based Satellite-Based Forest Canopy Density &amp; Wildlife Corridor Spatial Monitoring</t>
        </is>
      </c>
      <c r="E966" s="14" t="inlineStr">
        <is>
          <t>STATE FOREST &amp; ENVIRONMENT DEPARTMENT</t>
        </is>
      </c>
      <c r="F966" s="13" t="inlineStr">
        <is>
          <t>12 Aug 2026</t>
        </is>
      </c>
      <c r="G966" s="12" t="inlineStr">
        <is>
          <t>03 Sep 2026</t>
        </is>
      </c>
      <c r="H966" s="8" t="inlineStr">
        <is>
          <t>⏳ UPCOMING</t>
        </is>
      </c>
      <c r="I966" s="11" t="inlineStr">
        <is>
          <t>Tendernotice_2026_ASS_7800628_11.pdf</t>
        </is>
      </c>
      <c r="J966" s="13" t="inlineStr">
        <is>
          <t>📕 PDF Document</t>
        </is>
      </c>
      <c r="K966" s="15" t="n">
        <v>17.9</v>
      </c>
      <c r="L966" s="16">
        <f>HYPERLINK("http://127.0.0.1:8000/api/documents/download?id=3389&amp;attachment=true", "⬇ Download Tendernotice_2026_ASS_78")</f>
        <v/>
      </c>
      <c r="M966" s="16">
        <f>HYPERLINK("http://localhost:5173/?state=Assam&amp;keyword=Forest&amp;tender=2026_ASS_7800628_11", "🚀 Open in Portal")</f>
        <v/>
      </c>
    </row>
    <row r="967" ht="24" customHeight="1">
      <c r="A967" s="4" t="inlineStr">
        <is>
          <t>Assam</t>
        </is>
      </c>
      <c r="B967" s="5" t="inlineStr">
        <is>
          <t>Forest</t>
        </is>
      </c>
      <c r="C967" s="6" t="inlineStr">
        <is>
          <t>2026_ASS_7800628_11</t>
        </is>
      </c>
      <c r="D967" s="7" t="inlineStr">
        <is>
          <t>Forest-Based Satellite-Based Forest Canopy Density &amp; Wildlife Corridor Spatial Monitoring</t>
        </is>
      </c>
      <c r="E967" s="7" t="inlineStr">
        <is>
          <t>STATE FOREST &amp; ENVIRONMENT DEPARTMENT</t>
        </is>
      </c>
      <c r="F967" s="6" t="inlineStr">
        <is>
          <t>12 Aug 2026</t>
        </is>
      </c>
      <c r="G967" s="5" t="inlineStr">
        <is>
          <t>03 Sep 2026</t>
        </is>
      </c>
      <c r="H967" s="8" t="inlineStr">
        <is>
          <t>⏳ UPCOMING</t>
        </is>
      </c>
      <c r="I967" s="4" t="inlineStr">
        <is>
          <t>Technical_RFP_Specification_Forest.pdf</t>
        </is>
      </c>
      <c r="J967" s="6" t="inlineStr">
        <is>
          <t>📕 PDF Document</t>
        </is>
      </c>
      <c r="K967" s="9" t="n">
        <v>17.9</v>
      </c>
      <c r="L967" s="10">
        <f>HYPERLINK("http://127.0.0.1:8000/api/documents/download?id=3390&amp;attachment=true", "⬇ Download Technical_RFP_Specificat")</f>
        <v/>
      </c>
      <c r="M967" s="10">
        <f>HYPERLINK("http://localhost:5173/?state=Assam&amp;keyword=Forest&amp;tender=2026_ASS_7800628_11", "🚀 Open in Portal")</f>
        <v/>
      </c>
    </row>
    <row r="968" ht="24" customHeight="1">
      <c r="A968" s="11" t="inlineStr">
        <is>
          <t>Assam</t>
        </is>
      </c>
      <c r="B968" s="12" t="inlineStr">
        <is>
          <t>Forest</t>
        </is>
      </c>
      <c r="C968" s="13" t="inlineStr">
        <is>
          <t>2026_ASS_7800628_11</t>
        </is>
      </c>
      <c r="D968" s="14" t="inlineStr">
        <is>
          <t>Forest-Based Satellite-Based Forest Canopy Density &amp; Wildlife Corridor Spatial Monitoring</t>
        </is>
      </c>
      <c r="E968" s="14" t="inlineStr">
        <is>
          <t>STATE FOREST &amp; ENVIRONMENT DEPARTMENT</t>
        </is>
      </c>
      <c r="F968" s="13" t="inlineStr">
        <is>
          <t>12 Aug 2026</t>
        </is>
      </c>
      <c r="G968" s="12" t="inlineStr">
        <is>
          <t>03 Sep 2026</t>
        </is>
      </c>
      <c r="H968" s="8" t="inlineStr">
        <is>
          <t>⏳ UPCOMING</t>
        </is>
      </c>
      <c r="I968" s="11" t="inlineStr">
        <is>
          <t>BOQ_Financial_Schedule_2026_ASS_7800628_11.xlsx</t>
        </is>
      </c>
      <c r="J968" s="13" t="inlineStr">
        <is>
          <t>📊 Excel BOQ</t>
        </is>
      </c>
      <c r="K968" s="15" t="n">
        <v>2.5</v>
      </c>
      <c r="L968" s="16">
        <f>HYPERLINK("http://127.0.0.1:8000/api/documents/download?id=3391&amp;attachment=true", "⬇ Download BOQ_Financial_Schedule_2")</f>
        <v/>
      </c>
      <c r="M968" s="16">
        <f>HYPERLINK("http://localhost:5173/?state=Assam&amp;keyword=Forest&amp;tender=2026_ASS_7800628_11", "🚀 Open in Portal")</f>
        <v/>
      </c>
    </row>
    <row r="969" ht="24" customHeight="1">
      <c r="A969" s="4" t="inlineStr">
        <is>
          <t>Assam</t>
        </is>
      </c>
      <c r="B969" s="5" t="inlineStr">
        <is>
          <t>Forest</t>
        </is>
      </c>
      <c r="C969" s="6" t="inlineStr">
        <is>
          <t>2026_ASS_7800628_11</t>
        </is>
      </c>
      <c r="D969" s="7" t="inlineStr">
        <is>
          <t>Forest-Based Satellite-Based Forest Canopy Density &amp; Wildlife Corridor Spatial Monitoring</t>
        </is>
      </c>
      <c r="E969" s="7" t="inlineStr">
        <is>
          <t>STATE FOREST &amp; ENVIRONMENT DEPARTMENT</t>
        </is>
      </c>
      <c r="F969" s="6" t="inlineStr">
        <is>
          <t>12 Aug 2026</t>
        </is>
      </c>
      <c r="G969" s="5" t="inlineStr">
        <is>
          <t>03 Sep 2026</t>
        </is>
      </c>
      <c r="H969" s="8" t="inlineStr">
        <is>
          <t>⏳ UPCOMING</t>
        </is>
      </c>
      <c r="I969" s="4" t="inlineStr">
        <is>
          <t>Tender_2026_ASS_7800628_11_All_Documents.zip</t>
        </is>
      </c>
      <c r="J969" s="6" t="inlineStr">
        <is>
          <t>📦 ZIP Package</t>
        </is>
      </c>
      <c r="K969" s="9" t="n">
        <v>45</v>
      </c>
      <c r="L969" s="10">
        <f>HYPERLINK("https://assamtenders.gov.in/tender/2026_ASS_7800628_11", "⬇ Download Tender_2026_ASS_7800628_")</f>
        <v/>
      </c>
      <c r="M969" s="10">
        <f>HYPERLINK("http://localhost:5173/?state=Assam&amp;keyword=Forest&amp;tender=2026_ASS_7800628_11", "🚀 Open in Portal")</f>
        <v/>
      </c>
    </row>
    <row r="970" ht="24" customHeight="1">
      <c r="A970" s="11" t="inlineStr">
        <is>
          <t>Assam</t>
        </is>
      </c>
      <c r="B970" s="12" t="inlineStr">
        <is>
          <t>Water Resources</t>
        </is>
      </c>
      <c r="C970" s="13" t="inlineStr">
        <is>
          <t>2026_ASS_7958883_73</t>
        </is>
      </c>
      <c r="D970" s="14" t="inlineStr">
        <is>
          <t>Water Resources-Based River Basin Hydro-Meteorological Sensor Network &amp; GIS Flood Simulation</t>
        </is>
      </c>
      <c r="E970" s="14" t="inlineStr">
        <is>
          <t>WATER RESOURCES &amp; IRRIGATION DEPARTMENT</t>
        </is>
      </c>
      <c r="F970" s="13" t="inlineStr">
        <is>
          <t>07 Sep 2026</t>
        </is>
      </c>
      <c r="G970" s="12" t="inlineStr">
        <is>
          <t>03 Oct 2026</t>
        </is>
      </c>
      <c r="H970" s="8" t="inlineStr">
        <is>
          <t>⏳ UPCOMING</t>
        </is>
      </c>
      <c r="I970" s="11" t="inlineStr">
        <is>
          <t>Tendernotice_2026_ASS_7958883_73.pdf</t>
        </is>
      </c>
      <c r="J970" s="13" t="inlineStr">
        <is>
          <t>📕 PDF Document</t>
        </is>
      </c>
      <c r="K970" s="15" t="n">
        <v>7.7</v>
      </c>
      <c r="L970" s="16">
        <f>HYPERLINK("http://127.0.0.1:8000/api/documents/download?id=3437&amp;attachment=true", "⬇ Download Tendernotice_2026_ASS_79")</f>
        <v/>
      </c>
      <c r="M970" s="16">
        <f>HYPERLINK("http://localhost:5173/?state=Assam&amp;keyword=Water%20Resources&amp;tender=2026_ASS_7958883_73", "🚀 Open in Portal")</f>
        <v/>
      </c>
    </row>
    <row r="971" ht="24" customHeight="1">
      <c r="A971" s="4" t="inlineStr">
        <is>
          <t>Assam</t>
        </is>
      </c>
      <c r="B971" s="5" t="inlineStr">
        <is>
          <t>Water Resources</t>
        </is>
      </c>
      <c r="C971" s="6" t="inlineStr">
        <is>
          <t>2026_ASS_7958883_73</t>
        </is>
      </c>
      <c r="D971" s="7" t="inlineStr">
        <is>
          <t>Water Resources-Based River Basin Hydro-Meteorological Sensor Network &amp; GIS Flood Simulation</t>
        </is>
      </c>
      <c r="E971" s="7" t="inlineStr">
        <is>
          <t>WATER RESOURCES &amp; IRRIGATION DEPARTMENT</t>
        </is>
      </c>
      <c r="F971" s="6" t="inlineStr">
        <is>
          <t>07 Sep 2026</t>
        </is>
      </c>
      <c r="G971" s="5" t="inlineStr">
        <is>
          <t>03 Oct 2026</t>
        </is>
      </c>
      <c r="H971" s="8" t="inlineStr">
        <is>
          <t>⏳ UPCOMING</t>
        </is>
      </c>
      <c r="I971" s="4" t="inlineStr">
        <is>
          <t>Technical_RFP_Specification_Water Resources.pdf</t>
        </is>
      </c>
      <c r="J971" s="6" t="inlineStr">
        <is>
          <t>📕 PDF Document</t>
        </is>
      </c>
      <c r="K971" s="9" t="n">
        <v>7.7</v>
      </c>
      <c r="L971" s="10">
        <f>HYPERLINK("http://127.0.0.1:8000/api/documents/download?id=3438&amp;attachment=true", "⬇ Download Technical_RFP_Specificat")</f>
        <v/>
      </c>
      <c r="M971" s="10">
        <f>HYPERLINK("http://localhost:5173/?state=Assam&amp;keyword=Water%20Resources&amp;tender=2026_ASS_7958883_73", "🚀 Open in Portal")</f>
        <v/>
      </c>
    </row>
    <row r="972" ht="24" customHeight="1">
      <c r="A972" s="11" t="inlineStr">
        <is>
          <t>Assam</t>
        </is>
      </c>
      <c r="B972" s="12" t="inlineStr">
        <is>
          <t>Water Resources</t>
        </is>
      </c>
      <c r="C972" s="13" t="inlineStr">
        <is>
          <t>2026_ASS_7958883_73</t>
        </is>
      </c>
      <c r="D972" s="14" t="inlineStr">
        <is>
          <t>Water Resources-Based River Basin Hydro-Meteorological Sensor Network &amp; GIS Flood Simulation</t>
        </is>
      </c>
      <c r="E972" s="14" t="inlineStr">
        <is>
          <t>WATER RESOURCES &amp; IRRIGATION DEPARTMENT</t>
        </is>
      </c>
      <c r="F972" s="13" t="inlineStr">
        <is>
          <t>07 Sep 2026</t>
        </is>
      </c>
      <c r="G972" s="12" t="inlineStr">
        <is>
          <t>03 Oct 2026</t>
        </is>
      </c>
      <c r="H972" s="8" t="inlineStr">
        <is>
          <t>⏳ UPCOMING</t>
        </is>
      </c>
      <c r="I972" s="11" t="inlineStr">
        <is>
          <t>BOQ_Financial_Schedule_2026_ASS_7958883_73.xlsx</t>
        </is>
      </c>
      <c r="J972" s="13" t="inlineStr">
        <is>
          <t>📊 Excel BOQ</t>
        </is>
      </c>
      <c r="K972" s="15" t="n">
        <v>5.9</v>
      </c>
      <c r="L972" s="16">
        <f>HYPERLINK("http://127.0.0.1:8000/api/documents/download?id=3439&amp;attachment=true", "⬇ Download BOQ_Financial_Schedule_2")</f>
        <v/>
      </c>
      <c r="M972" s="16">
        <f>HYPERLINK("http://localhost:5173/?state=Assam&amp;keyword=Water%20Resources&amp;tender=2026_ASS_7958883_73", "🚀 Open in Portal")</f>
        <v/>
      </c>
    </row>
    <row r="973" ht="24" customHeight="1">
      <c r="A973" s="4" t="inlineStr">
        <is>
          <t>Assam</t>
        </is>
      </c>
      <c r="B973" s="5" t="inlineStr">
        <is>
          <t>Water Resources</t>
        </is>
      </c>
      <c r="C973" s="6" t="inlineStr">
        <is>
          <t>2026_ASS_7958883_73</t>
        </is>
      </c>
      <c r="D973" s="7" t="inlineStr">
        <is>
          <t>Water Resources-Based River Basin Hydro-Meteorological Sensor Network &amp; GIS Flood Simulation</t>
        </is>
      </c>
      <c r="E973" s="7" t="inlineStr">
        <is>
          <t>WATER RESOURCES &amp; IRRIGATION DEPARTMENT</t>
        </is>
      </c>
      <c r="F973" s="6" t="inlineStr">
        <is>
          <t>07 Sep 2026</t>
        </is>
      </c>
      <c r="G973" s="5" t="inlineStr">
        <is>
          <t>03 Oct 2026</t>
        </is>
      </c>
      <c r="H973" s="8" t="inlineStr">
        <is>
          <t>⏳ UPCOMING</t>
        </is>
      </c>
      <c r="I973" s="4" t="inlineStr">
        <is>
          <t>Tender_2026_ASS_7958883_73_All_Documents.zip</t>
        </is>
      </c>
      <c r="J973" s="6" t="inlineStr">
        <is>
          <t>📦 ZIP Package</t>
        </is>
      </c>
      <c r="K973" s="9" t="n">
        <v>45</v>
      </c>
      <c r="L973" s="10">
        <f>HYPERLINK("https://assamtenders.gov.in/tender/2026_ASS_7958883_73", "⬇ Download Tender_2026_ASS_7958883_")</f>
        <v/>
      </c>
      <c r="M973" s="10">
        <f>HYPERLINK("http://localhost:5173/?state=Assam&amp;keyword=Water%20Resources&amp;tender=2026_ASS_7958883_73", "🚀 Open in Portal")</f>
        <v/>
      </c>
    </row>
    <row r="974" ht="24" customHeight="1">
      <c r="A974" s="11" t="inlineStr">
        <is>
          <t>Assam</t>
        </is>
      </c>
      <c r="B974" s="12" t="inlineStr">
        <is>
          <t>Spatial</t>
        </is>
      </c>
      <c r="C974" s="13" t="inlineStr">
        <is>
          <t>2026_ASS_6797871_24</t>
        </is>
      </c>
      <c r="D974" s="14" t="inlineStr">
        <is>
          <t>Spatial-Based Geospatial Road Asset Inventory &amp; Pavement Condition Digital Survey</t>
        </is>
      </c>
      <c r="E974" s="14" t="inlineStr">
        <is>
          <t>PUBLIC WORKS &amp; HIGHWAYS DEPARTMENT</t>
        </is>
      </c>
      <c r="F974" s="13" t="inlineStr">
        <is>
          <t>18 Sep 2026</t>
        </is>
      </c>
      <c r="G974" s="12" t="inlineStr">
        <is>
          <t>10 Oct 2026</t>
        </is>
      </c>
      <c r="H974" s="8" t="inlineStr">
        <is>
          <t>⏳ UPCOMING</t>
        </is>
      </c>
      <c r="I974" s="11" t="inlineStr">
        <is>
          <t>Tendernotice_2026_ASS_6797871_24.pdf</t>
        </is>
      </c>
      <c r="J974" s="13" t="inlineStr">
        <is>
          <t>📕 PDF Document</t>
        </is>
      </c>
      <c r="K974" s="15" t="n">
        <v>17.9</v>
      </c>
      <c r="L974" s="16">
        <f>HYPERLINK("http://127.0.0.1:8000/api/documents/download?id=3237&amp;attachment=true", "⬇ Download Tendernotice_2026_ASS_67")</f>
        <v/>
      </c>
      <c r="M974" s="16">
        <f>HYPERLINK("http://localhost:5173/?state=Assam&amp;keyword=Spatial&amp;tender=2026_ASS_6797871_24", "🚀 Open in Portal")</f>
        <v/>
      </c>
    </row>
    <row r="975" ht="24" customHeight="1">
      <c r="A975" s="4" t="inlineStr">
        <is>
          <t>Assam</t>
        </is>
      </c>
      <c r="B975" s="5" t="inlineStr">
        <is>
          <t>Spatial</t>
        </is>
      </c>
      <c r="C975" s="6" t="inlineStr">
        <is>
          <t>2026_ASS_6797871_24</t>
        </is>
      </c>
      <c r="D975" s="7" t="inlineStr">
        <is>
          <t>Spatial-Based Geospatial Road Asset Inventory &amp; Pavement Condition Digital Survey</t>
        </is>
      </c>
      <c r="E975" s="7" t="inlineStr">
        <is>
          <t>PUBLIC WORKS &amp; HIGHWAYS DEPARTMENT</t>
        </is>
      </c>
      <c r="F975" s="6" t="inlineStr">
        <is>
          <t>18 Sep 2026</t>
        </is>
      </c>
      <c r="G975" s="5" t="inlineStr">
        <is>
          <t>10 Oct 2026</t>
        </is>
      </c>
      <c r="H975" s="8" t="inlineStr">
        <is>
          <t>⏳ UPCOMING</t>
        </is>
      </c>
      <c r="I975" s="4" t="inlineStr">
        <is>
          <t>Technical_RFP_Specification_Spatial.pdf</t>
        </is>
      </c>
      <c r="J975" s="6" t="inlineStr">
        <is>
          <t>📕 PDF Document</t>
        </is>
      </c>
      <c r="K975" s="9" t="n">
        <v>17.9</v>
      </c>
      <c r="L975" s="10">
        <f>HYPERLINK("http://127.0.0.1:8000/api/documents/download?id=3238&amp;attachment=true", "⬇ Download Technical_RFP_Specificat")</f>
        <v/>
      </c>
      <c r="M975" s="10">
        <f>HYPERLINK("http://localhost:5173/?state=Assam&amp;keyword=Spatial&amp;tender=2026_ASS_6797871_24", "🚀 Open in Portal")</f>
        <v/>
      </c>
    </row>
    <row r="976" ht="24" customHeight="1">
      <c r="A976" s="11" t="inlineStr">
        <is>
          <t>Assam</t>
        </is>
      </c>
      <c r="B976" s="12" t="inlineStr">
        <is>
          <t>Spatial</t>
        </is>
      </c>
      <c r="C976" s="13" t="inlineStr">
        <is>
          <t>2026_ASS_6797871_24</t>
        </is>
      </c>
      <c r="D976" s="14" t="inlineStr">
        <is>
          <t>Spatial-Based Geospatial Road Asset Inventory &amp; Pavement Condition Digital Survey</t>
        </is>
      </c>
      <c r="E976" s="14" t="inlineStr">
        <is>
          <t>PUBLIC WORKS &amp; HIGHWAYS DEPARTMENT</t>
        </is>
      </c>
      <c r="F976" s="13" t="inlineStr">
        <is>
          <t>18 Sep 2026</t>
        </is>
      </c>
      <c r="G976" s="12" t="inlineStr">
        <is>
          <t>10 Oct 2026</t>
        </is>
      </c>
      <c r="H976" s="8" t="inlineStr">
        <is>
          <t>⏳ UPCOMING</t>
        </is>
      </c>
      <c r="I976" s="11" t="inlineStr">
        <is>
          <t>BOQ_Financial_Schedule_2026_ASS_6797871_24.xlsx</t>
        </is>
      </c>
      <c r="J976" s="13" t="inlineStr">
        <is>
          <t>📊 Excel BOQ</t>
        </is>
      </c>
      <c r="K976" s="15" t="n">
        <v>2.4</v>
      </c>
      <c r="L976" s="16">
        <f>HYPERLINK("http://127.0.0.1:8000/api/documents/download?id=3239&amp;attachment=true", "⬇ Download BOQ_Financial_Schedule_2")</f>
        <v/>
      </c>
      <c r="M976" s="16">
        <f>HYPERLINK("http://localhost:5173/?state=Assam&amp;keyword=Spatial&amp;tender=2026_ASS_6797871_24", "🚀 Open in Portal")</f>
        <v/>
      </c>
    </row>
    <row r="977" ht="24" customHeight="1">
      <c r="A977" s="4" t="inlineStr">
        <is>
          <t>Assam</t>
        </is>
      </c>
      <c r="B977" s="5" t="inlineStr">
        <is>
          <t>Spatial</t>
        </is>
      </c>
      <c r="C977" s="6" t="inlineStr">
        <is>
          <t>2026_ASS_6797871_24</t>
        </is>
      </c>
      <c r="D977" s="7" t="inlineStr">
        <is>
          <t>Spatial-Based Geospatial Road Asset Inventory &amp; Pavement Condition Digital Survey</t>
        </is>
      </c>
      <c r="E977" s="7" t="inlineStr">
        <is>
          <t>PUBLIC WORKS &amp; HIGHWAYS DEPARTMENT</t>
        </is>
      </c>
      <c r="F977" s="6" t="inlineStr">
        <is>
          <t>18 Sep 2026</t>
        </is>
      </c>
      <c r="G977" s="5" t="inlineStr">
        <is>
          <t>10 Oct 2026</t>
        </is>
      </c>
      <c r="H977" s="8" t="inlineStr">
        <is>
          <t>⏳ UPCOMING</t>
        </is>
      </c>
      <c r="I977" s="4" t="inlineStr">
        <is>
          <t>Tender_2026_ASS_6797871_24_All_Documents.zip</t>
        </is>
      </c>
      <c r="J977" s="6" t="inlineStr">
        <is>
          <t>📦 ZIP Package</t>
        </is>
      </c>
      <c r="K977" s="9" t="n">
        <v>45</v>
      </c>
      <c r="L977" s="10">
        <f>HYPERLINK("https://assamtenders.gov.in/tender/2026_ASS_6797871_24", "⬇ Download Tender_2026_ASS_6797871_")</f>
        <v/>
      </c>
      <c r="M977" s="10">
        <f>HYPERLINK("http://localhost:5173/?state=Assam&amp;keyword=Spatial&amp;tender=2026_ASS_6797871_24", "🚀 Open in Portal")</f>
        <v/>
      </c>
    </row>
    <row r="978" ht="24" customHeight="1">
      <c r="A978" s="11" t="inlineStr">
        <is>
          <t>Bihar</t>
        </is>
      </c>
      <c r="B978" s="12" t="inlineStr">
        <is>
          <t>GIS</t>
        </is>
      </c>
      <c r="C978" s="13" t="inlineStr">
        <is>
          <t>2026_BIH_7997715_23</t>
        </is>
      </c>
      <c r="D978" s="14" t="inlineStr">
        <is>
          <t>GIS-Based Drone LiDAR Survey &amp; Web GIS Geodatabase Integration for Smart Infrastructure</t>
        </is>
      </c>
      <c r="E978" s="14" t="inlineStr">
        <is>
          <t>DIRECTORATE OF MUNICIPAL URBAN INFRASTRUCTURE</t>
        </is>
      </c>
      <c r="F978" s="13" t="inlineStr">
        <is>
          <t>13 Aug 2026</t>
        </is>
      </c>
      <c r="G978" s="12" t="inlineStr">
        <is>
          <t>12 Sep 2026</t>
        </is>
      </c>
      <c r="H978" s="8" t="inlineStr">
        <is>
          <t>⏳ UPCOMING</t>
        </is>
      </c>
      <c r="I978" s="11" t="inlineStr">
        <is>
          <t>Tendernotice_2026_BIH_7997715_23.pdf</t>
        </is>
      </c>
      <c r="J978" s="13" t="inlineStr">
        <is>
          <t>📕 PDF Document</t>
        </is>
      </c>
      <c r="K978" s="15" t="n">
        <v>7.7</v>
      </c>
      <c r="L978" s="16">
        <f>HYPERLINK("http://127.0.0.1:8000/api/documents/download?id=3473&amp;attachment=true", "⬇ Download Tendernotice_2026_BIH_79")</f>
        <v/>
      </c>
      <c r="M978" s="16">
        <f>HYPERLINK("http://localhost:5173/?state=Bihar&amp;keyword=GIS&amp;tender=2026_BIH_7997715_23", "🚀 Open in Portal")</f>
        <v/>
      </c>
    </row>
    <row r="979" ht="24" customHeight="1">
      <c r="A979" s="4" t="inlineStr">
        <is>
          <t>Bihar</t>
        </is>
      </c>
      <c r="B979" s="5" t="inlineStr">
        <is>
          <t>GIS</t>
        </is>
      </c>
      <c r="C979" s="6" t="inlineStr">
        <is>
          <t>2026_BIH_7997715_23</t>
        </is>
      </c>
      <c r="D979" s="7" t="inlineStr">
        <is>
          <t>GIS-Based Drone LiDAR Survey &amp; Web GIS Geodatabase Integration for Smart Infrastructure</t>
        </is>
      </c>
      <c r="E979" s="7" t="inlineStr">
        <is>
          <t>DIRECTORATE OF MUNICIPAL URBAN INFRASTRUCTURE</t>
        </is>
      </c>
      <c r="F979" s="6" t="inlineStr">
        <is>
          <t>13 Aug 2026</t>
        </is>
      </c>
      <c r="G979" s="5" t="inlineStr">
        <is>
          <t>12 Sep 2026</t>
        </is>
      </c>
      <c r="H979" s="8" t="inlineStr">
        <is>
          <t>⏳ UPCOMING</t>
        </is>
      </c>
      <c r="I979" s="4" t="inlineStr">
        <is>
          <t>Technical_RFP_Specification_GIS.pdf</t>
        </is>
      </c>
      <c r="J979" s="6" t="inlineStr">
        <is>
          <t>📕 PDF Document</t>
        </is>
      </c>
      <c r="K979" s="9" t="n">
        <v>7.7</v>
      </c>
      <c r="L979" s="10">
        <f>HYPERLINK("http://127.0.0.1:8000/api/documents/download?id=3474&amp;attachment=true", "⬇ Download Technical_RFP_Specificat")</f>
        <v/>
      </c>
      <c r="M979" s="10">
        <f>HYPERLINK("http://localhost:5173/?state=Bihar&amp;keyword=GIS&amp;tender=2026_BIH_7997715_23", "🚀 Open in Portal")</f>
        <v/>
      </c>
    </row>
    <row r="980" ht="24" customHeight="1">
      <c r="A980" s="11" t="inlineStr">
        <is>
          <t>Bihar</t>
        </is>
      </c>
      <c r="B980" s="12" t="inlineStr">
        <is>
          <t>GIS</t>
        </is>
      </c>
      <c r="C980" s="13" t="inlineStr">
        <is>
          <t>2026_BIH_7997715_23</t>
        </is>
      </c>
      <c r="D980" s="14" t="inlineStr">
        <is>
          <t>GIS-Based Drone LiDAR Survey &amp; Web GIS Geodatabase Integration for Smart Infrastructure</t>
        </is>
      </c>
      <c r="E980" s="14" t="inlineStr">
        <is>
          <t>DIRECTORATE OF MUNICIPAL URBAN INFRASTRUCTURE</t>
        </is>
      </c>
      <c r="F980" s="13" t="inlineStr">
        <is>
          <t>13 Aug 2026</t>
        </is>
      </c>
      <c r="G980" s="12" t="inlineStr">
        <is>
          <t>12 Sep 2026</t>
        </is>
      </c>
      <c r="H980" s="8" t="inlineStr">
        <is>
          <t>⏳ UPCOMING</t>
        </is>
      </c>
      <c r="I980" s="11" t="inlineStr">
        <is>
          <t>BOQ_Financial_Schedule_2026_BIH_7997715_23.xlsx</t>
        </is>
      </c>
      <c r="J980" s="13" t="inlineStr">
        <is>
          <t>📊 Excel BOQ</t>
        </is>
      </c>
      <c r="K980" s="15" t="n">
        <v>5.9</v>
      </c>
      <c r="L980" s="16">
        <f>HYPERLINK("http://127.0.0.1:8000/api/documents/download?id=3475&amp;attachment=true", "⬇ Download BOQ_Financial_Schedule_2")</f>
        <v/>
      </c>
      <c r="M980" s="16">
        <f>HYPERLINK("http://localhost:5173/?state=Bihar&amp;keyword=GIS&amp;tender=2026_BIH_7997715_23", "🚀 Open in Portal")</f>
        <v/>
      </c>
    </row>
    <row r="981" ht="24" customHeight="1">
      <c r="A981" s="4" t="inlineStr">
        <is>
          <t>Bihar</t>
        </is>
      </c>
      <c r="B981" s="5" t="inlineStr">
        <is>
          <t>GIS</t>
        </is>
      </c>
      <c r="C981" s="6" t="inlineStr">
        <is>
          <t>2026_BIH_7997715_23</t>
        </is>
      </c>
      <c r="D981" s="7" t="inlineStr">
        <is>
          <t>GIS-Based Drone LiDAR Survey &amp; Web GIS Geodatabase Integration for Smart Infrastructure</t>
        </is>
      </c>
      <c r="E981" s="7" t="inlineStr">
        <is>
          <t>DIRECTORATE OF MUNICIPAL URBAN INFRASTRUCTURE</t>
        </is>
      </c>
      <c r="F981" s="6" t="inlineStr">
        <is>
          <t>13 Aug 2026</t>
        </is>
      </c>
      <c r="G981" s="5" t="inlineStr">
        <is>
          <t>12 Sep 2026</t>
        </is>
      </c>
      <c r="H981" s="8" t="inlineStr">
        <is>
          <t>⏳ UPCOMING</t>
        </is>
      </c>
      <c r="I981" s="4" t="inlineStr">
        <is>
          <t>Tender_2026_BIH_7997715_23_All_Documents.zip</t>
        </is>
      </c>
      <c r="J981" s="6" t="inlineStr">
        <is>
          <t>📦 ZIP Package</t>
        </is>
      </c>
      <c r="K981" s="9" t="n">
        <v>45</v>
      </c>
      <c r="L981" s="10">
        <f>HYPERLINK("https://eproc2.bihar.gov.in/tender/2026_BIH_7997715_23", "⬇ Download Tender_2026_BIH_7997715_")</f>
        <v/>
      </c>
      <c r="M981" s="10">
        <f>HYPERLINK("http://localhost:5173/?state=Bihar&amp;keyword=GIS&amp;tender=2026_BIH_7997715_23", "🚀 Open in Portal")</f>
        <v/>
      </c>
    </row>
    <row r="982" ht="24" customHeight="1">
      <c r="A982" s="11" t="inlineStr">
        <is>
          <t>Bihar</t>
        </is>
      </c>
      <c r="B982" s="12" t="inlineStr">
        <is>
          <t>GIS</t>
        </is>
      </c>
      <c r="C982" s="13" t="inlineStr">
        <is>
          <t>BPROC2-WRD-2026-1044</t>
        </is>
      </c>
      <c r="D982" s="14" t="inlineStr">
        <is>
          <t>Modernization of Flood Forecasting &amp; River Basin Water Resources Telemetry Network</t>
        </is>
      </c>
      <c r="E982" s="14" t="inlineStr">
        <is>
          <t>WATER RESOURCES DEPARTMENT-Government of Bihar, Patna</t>
        </is>
      </c>
      <c r="F982" s="13" t="inlineStr">
        <is>
          <t>28 Jul 2026</t>
        </is>
      </c>
      <c r="G982" s="12" t="inlineStr">
        <is>
          <t>18 Aug 2026</t>
        </is>
      </c>
      <c r="H982" s="8" t="inlineStr">
        <is>
          <t>⏳ UPCOMING</t>
        </is>
      </c>
      <c r="I982" s="11" t="inlineStr">
        <is>
          <t>Bihar_Flood_Early_Warning_RFP.pdf</t>
        </is>
      </c>
      <c r="J982" s="13" t="inlineStr">
        <is>
          <t>📕 PDF Document</t>
        </is>
      </c>
      <c r="K982" s="15" t="n">
        <v>17.8</v>
      </c>
      <c r="L982" s="16">
        <f>HYPERLINK("http://127.0.0.1:8000/api/documents/download?id=2800&amp;attachment=true", "⬇ Download Bihar_Flood_Early_Warnin")</f>
        <v/>
      </c>
      <c r="M982" s="16">
        <f>HYPERLINK("http://localhost:5173/?state=Bihar&amp;keyword=GIS&amp;tender=BPROC2-WRD-2026-1044", "🚀 Open in Portal")</f>
        <v/>
      </c>
    </row>
    <row r="983" ht="24" customHeight="1">
      <c r="A983" s="4" t="inlineStr">
        <is>
          <t>Bihar</t>
        </is>
      </c>
      <c r="B983" s="5" t="inlineStr">
        <is>
          <t>GIS</t>
        </is>
      </c>
      <c r="C983" s="6" t="inlineStr">
        <is>
          <t>BPROC2-WRD-2026-1044</t>
        </is>
      </c>
      <c r="D983" s="7" t="inlineStr">
        <is>
          <t>Modernization of Flood Forecasting &amp; River Basin Water Resources Telemetry Network</t>
        </is>
      </c>
      <c r="E983" s="7" t="inlineStr">
        <is>
          <t>WATER RESOURCES DEPARTMENT-Government of Bihar, Patna</t>
        </is>
      </c>
      <c r="F983" s="6" t="inlineStr">
        <is>
          <t>28 Jul 2026</t>
        </is>
      </c>
      <c r="G983" s="5" t="inlineStr">
        <is>
          <t>18 Aug 2026</t>
        </is>
      </c>
      <c r="H983" s="8" t="inlineStr">
        <is>
          <t>⏳ UPCOMING</t>
        </is>
      </c>
      <c r="I983" s="4" t="inlineStr">
        <is>
          <t>GIS_Flood_Inundation_Model_Specs.pdf</t>
        </is>
      </c>
      <c r="J983" s="6" t="inlineStr">
        <is>
          <t>📕 PDF Document</t>
        </is>
      </c>
      <c r="K983" s="9" t="n">
        <v>17.8</v>
      </c>
      <c r="L983" s="10">
        <f>HYPERLINK("http://127.0.0.1:8000/api/documents/download?id=2801&amp;attachment=true", "⬇ Download GIS_Flood_Inundation_Mod")</f>
        <v/>
      </c>
      <c r="M983" s="10">
        <f>HYPERLINK("http://localhost:5173/?state=Bihar&amp;keyword=GIS&amp;tender=BPROC2-WRD-2026-1044", "🚀 Open in Portal")</f>
        <v/>
      </c>
    </row>
    <row r="984" ht="24" customHeight="1">
      <c r="A984" s="11" t="inlineStr">
        <is>
          <t>Bihar</t>
        </is>
      </c>
      <c r="B984" s="12" t="inlineStr">
        <is>
          <t>GIS</t>
        </is>
      </c>
      <c r="C984" s="13" t="inlineStr">
        <is>
          <t>BPROC2-WRD-2026-1044</t>
        </is>
      </c>
      <c r="D984" s="14" t="inlineStr">
        <is>
          <t>Modernization of Flood Forecasting &amp; River Basin Water Resources Telemetry Network</t>
        </is>
      </c>
      <c r="E984" s="14" t="inlineStr">
        <is>
          <t>WATER RESOURCES DEPARTMENT-Government of Bihar, Patna</t>
        </is>
      </c>
      <c r="F984" s="13" t="inlineStr">
        <is>
          <t>28 Jul 2026</t>
        </is>
      </c>
      <c r="G984" s="12" t="inlineStr">
        <is>
          <t>18 Aug 2026</t>
        </is>
      </c>
      <c r="H984" s="8" t="inlineStr">
        <is>
          <t>⏳ UPCOMING</t>
        </is>
      </c>
      <c r="I984" s="11" t="inlineStr">
        <is>
          <t>Tender_BPROC2-WRD-2026-1044_All_Documents.zip</t>
        </is>
      </c>
      <c r="J984" s="13" t="inlineStr">
        <is>
          <t>📦 ZIP Package</t>
        </is>
      </c>
      <c r="K984" s="15" t="n">
        <v>18.6</v>
      </c>
      <c r="L984" s="16">
        <f>HYPERLINK("http://127.0.0.1:8000/api/documents/download?id=2802&amp;attachment=true", "⬇ Download Tender_BPROC2-WRD-2026-1")</f>
        <v/>
      </c>
      <c r="M984" s="16">
        <f>HYPERLINK("http://localhost:5173/?state=Bihar&amp;keyword=GIS&amp;tender=BPROC2-WRD-2026-1044", "🚀 Open in Portal")</f>
        <v/>
      </c>
    </row>
    <row r="985" ht="24" customHeight="1">
      <c r="A985" s="4" t="inlineStr">
        <is>
          <t>Bihar</t>
        </is>
      </c>
      <c r="B985" s="5" t="inlineStr">
        <is>
          <t>ICT</t>
        </is>
      </c>
      <c r="C985" s="6" t="inlineStr">
        <is>
          <t>2026_BIH_6013898_39</t>
        </is>
      </c>
      <c r="D985" s="7" t="inlineStr">
        <is>
          <t>ICT-Based Cloud Data Center Modernization &amp; Statewide Integrated Video Command Analytics</t>
        </is>
      </c>
      <c r="E985" s="7" t="inlineStr">
        <is>
          <t>DEPARTMENT OF INFORMATION TECHNOLOGY &amp; e-GOVERNANCE</t>
        </is>
      </c>
      <c r="F985" s="6" t="inlineStr">
        <is>
          <t>17 Oct 2026</t>
        </is>
      </c>
      <c r="G985" s="5" t="inlineStr">
        <is>
          <t>11 Nov 2026</t>
        </is>
      </c>
      <c r="H985" s="17" t="inlineStr">
        <is>
          <t>🟢 LIVE ACTIVE</t>
        </is>
      </c>
      <c r="I985" s="4" t="inlineStr">
        <is>
          <t>Tendernotice_2026_BIH_6013898_39.pdf</t>
        </is>
      </c>
      <c r="J985" s="6" t="inlineStr">
        <is>
          <t>📕 PDF Document</t>
        </is>
      </c>
      <c r="K985" s="9" t="n">
        <v>7.7</v>
      </c>
      <c r="L985" s="10">
        <f>HYPERLINK("http://127.0.0.1:8000/api/documents/download?id=3405&amp;attachment=true", "⬇ Download Tendernotice_2026_BIH_60")</f>
        <v/>
      </c>
      <c r="M985" s="10">
        <f>HYPERLINK("http://localhost:5173/?state=Bihar&amp;keyword=ICT&amp;tender=2026_BIH_6013898_39", "🚀 Open in Portal")</f>
        <v/>
      </c>
    </row>
    <row r="986" ht="24" customHeight="1">
      <c r="A986" s="11" t="inlineStr">
        <is>
          <t>Bihar</t>
        </is>
      </c>
      <c r="B986" s="12" t="inlineStr">
        <is>
          <t>ICT</t>
        </is>
      </c>
      <c r="C986" s="13" t="inlineStr">
        <is>
          <t>2026_BIH_6013898_39</t>
        </is>
      </c>
      <c r="D986" s="14" t="inlineStr">
        <is>
          <t>ICT-Based Cloud Data Center Modernization &amp; Statewide Integrated Video Command Analytics</t>
        </is>
      </c>
      <c r="E986" s="14" t="inlineStr">
        <is>
          <t>DEPARTMENT OF INFORMATION TECHNOLOGY &amp; e-GOVERNANCE</t>
        </is>
      </c>
      <c r="F986" s="13" t="inlineStr">
        <is>
          <t>17 Oct 2026</t>
        </is>
      </c>
      <c r="G986" s="12" t="inlineStr">
        <is>
          <t>11 Nov 2026</t>
        </is>
      </c>
      <c r="H986" s="17" t="inlineStr">
        <is>
          <t>🟢 LIVE ACTIVE</t>
        </is>
      </c>
      <c r="I986" s="11" t="inlineStr">
        <is>
          <t>Technical_RFP_Specification_ICT.pdf</t>
        </is>
      </c>
      <c r="J986" s="13" t="inlineStr">
        <is>
          <t>📕 PDF Document</t>
        </is>
      </c>
      <c r="K986" s="15" t="n">
        <v>7.7</v>
      </c>
      <c r="L986" s="16">
        <f>HYPERLINK("http://127.0.0.1:8000/api/documents/download?id=3406&amp;attachment=true", "⬇ Download Technical_RFP_Specificat")</f>
        <v/>
      </c>
      <c r="M986" s="16">
        <f>HYPERLINK("http://localhost:5173/?state=Bihar&amp;keyword=ICT&amp;tender=2026_BIH_6013898_39", "🚀 Open in Portal")</f>
        <v/>
      </c>
    </row>
    <row r="987" ht="24" customHeight="1">
      <c r="A987" s="4" t="inlineStr">
        <is>
          <t>Bihar</t>
        </is>
      </c>
      <c r="B987" s="5" t="inlineStr">
        <is>
          <t>ICT</t>
        </is>
      </c>
      <c r="C987" s="6" t="inlineStr">
        <is>
          <t>2026_BIH_6013898_39</t>
        </is>
      </c>
      <c r="D987" s="7" t="inlineStr">
        <is>
          <t>ICT-Based Cloud Data Center Modernization &amp; Statewide Integrated Video Command Analytics</t>
        </is>
      </c>
      <c r="E987" s="7" t="inlineStr">
        <is>
          <t>DEPARTMENT OF INFORMATION TECHNOLOGY &amp; e-GOVERNANCE</t>
        </is>
      </c>
      <c r="F987" s="6" t="inlineStr">
        <is>
          <t>17 Oct 2026</t>
        </is>
      </c>
      <c r="G987" s="5" t="inlineStr">
        <is>
          <t>11 Nov 2026</t>
        </is>
      </c>
      <c r="H987" s="17" t="inlineStr">
        <is>
          <t>🟢 LIVE ACTIVE</t>
        </is>
      </c>
      <c r="I987" s="4" t="inlineStr">
        <is>
          <t>BOQ_Financial_Schedule_2026_BIH_6013898_39.xlsx</t>
        </is>
      </c>
      <c r="J987" s="6" t="inlineStr">
        <is>
          <t>📊 Excel BOQ</t>
        </is>
      </c>
      <c r="K987" s="9" t="n">
        <v>5.9</v>
      </c>
      <c r="L987" s="10">
        <f>HYPERLINK("http://127.0.0.1:8000/api/documents/download?id=3407&amp;attachment=true", "⬇ Download BOQ_Financial_Schedule_2")</f>
        <v/>
      </c>
      <c r="M987" s="10">
        <f>HYPERLINK("http://localhost:5173/?state=Bihar&amp;keyword=ICT&amp;tender=2026_BIH_6013898_39", "🚀 Open in Portal")</f>
        <v/>
      </c>
    </row>
    <row r="988" ht="24" customHeight="1">
      <c r="A988" s="11" t="inlineStr">
        <is>
          <t>Bihar</t>
        </is>
      </c>
      <c r="B988" s="12" t="inlineStr">
        <is>
          <t>ICT</t>
        </is>
      </c>
      <c r="C988" s="13" t="inlineStr">
        <is>
          <t>2026_BIH_6013898_39</t>
        </is>
      </c>
      <c r="D988" s="14" t="inlineStr">
        <is>
          <t>ICT-Based Cloud Data Center Modernization &amp; Statewide Integrated Video Command Analytics</t>
        </is>
      </c>
      <c r="E988" s="14" t="inlineStr">
        <is>
          <t>DEPARTMENT OF INFORMATION TECHNOLOGY &amp; e-GOVERNANCE</t>
        </is>
      </c>
      <c r="F988" s="13" t="inlineStr">
        <is>
          <t>17 Oct 2026</t>
        </is>
      </c>
      <c r="G988" s="12" t="inlineStr">
        <is>
          <t>11 Nov 2026</t>
        </is>
      </c>
      <c r="H988" s="17" t="inlineStr">
        <is>
          <t>🟢 LIVE ACTIVE</t>
        </is>
      </c>
      <c r="I988" s="11" t="inlineStr">
        <is>
          <t>Tender_2026_BIH_6013898_39_All_Documents.zip</t>
        </is>
      </c>
      <c r="J988" s="13" t="inlineStr">
        <is>
          <t>📦 ZIP Package</t>
        </is>
      </c>
      <c r="K988" s="15" t="n">
        <v>45</v>
      </c>
      <c r="L988" s="16">
        <f>HYPERLINK("https://eproc2.bihar.gov.in/tender/2026_BIH_6013898_39", "⬇ Download Tender_2026_BIH_6013898_")</f>
        <v/>
      </c>
      <c r="M988" s="16">
        <f>HYPERLINK("http://localhost:5173/?state=Bihar&amp;keyword=ICT&amp;tender=2026_BIH_6013898_39", "🚀 Open in Portal")</f>
        <v/>
      </c>
    </row>
    <row r="989" ht="24" customHeight="1">
      <c r="A989" s="4" t="inlineStr">
        <is>
          <t>Bihar</t>
        </is>
      </c>
      <c r="B989" s="5" t="inlineStr">
        <is>
          <t>ICT</t>
        </is>
      </c>
      <c r="C989" s="6" t="inlineStr">
        <is>
          <t>BPROC2-HEALTH-2026-2291</t>
        </is>
      </c>
      <c r="D989" s="7" t="inlineStr">
        <is>
          <t>Procurement of ICT Equipment, Telemedicine Systems &amp; Primary Health Software</t>
        </is>
      </c>
      <c r="E989" s="7" t="inlineStr">
        <is>
          <t>BIHAR MEDICAL SERVICES &amp; INFRASTRUCTURE CORP (BMSICL)</t>
        </is>
      </c>
      <c r="F989" s="6" t="inlineStr">
        <is>
          <t>24 Jul 2026</t>
        </is>
      </c>
      <c r="G989" s="5" t="inlineStr">
        <is>
          <t>19 Aug 2026</t>
        </is>
      </c>
      <c r="H989" s="8" t="inlineStr">
        <is>
          <t>⏳ UPCOMING</t>
        </is>
      </c>
      <c r="I989" s="4" t="inlineStr">
        <is>
          <t>BMSICL_Telemedicine_Bid_Document.pdf</t>
        </is>
      </c>
      <c r="J989" s="6" t="inlineStr">
        <is>
          <t>📕 PDF Document</t>
        </is>
      </c>
      <c r="K989" s="9" t="n">
        <v>17.9</v>
      </c>
      <c r="L989" s="10">
        <f>HYPERLINK("http://127.0.0.1:8000/api/documents/download?id=2807&amp;attachment=true", "⬇ Download BMSICL_Telemedicine_Bid_")</f>
        <v/>
      </c>
      <c r="M989" s="10">
        <f>HYPERLINK("http://localhost:5173/?state=Bihar&amp;keyword=ICT&amp;tender=BPROC2-HEALTH-2026-2291", "🚀 Open in Portal")</f>
        <v/>
      </c>
    </row>
    <row r="990" ht="24" customHeight="1">
      <c r="A990" s="11" t="inlineStr">
        <is>
          <t>Bihar</t>
        </is>
      </c>
      <c r="B990" s="12" t="inlineStr">
        <is>
          <t>ICT</t>
        </is>
      </c>
      <c r="C990" s="13" t="inlineStr">
        <is>
          <t>BPROC2-HEALTH-2026-2291</t>
        </is>
      </c>
      <c r="D990" s="14" t="inlineStr">
        <is>
          <t>Procurement of ICT Equipment, Telemedicine Systems &amp; Primary Health Software</t>
        </is>
      </c>
      <c r="E990" s="14" t="inlineStr">
        <is>
          <t>BIHAR MEDICAL SERVICES &amp; INFRASTRUCTURE CORP (BMSICL)</t>
        </is>
      </c>
      <c r="F990" s="13" t="inlineStr">
        <is>
          <t>24 Jul 2026</t>
        </is>
      </c>
      <c r="G990" s="12" t="inlineStr">
        <is>
          <t>19 Aug 2026</t>
        </is>
      </c>
      <c r="H990" s="8" t="inlineStr">
        <is>
          <t>⏳ UPCOMING</t>
        </is>
      </c>
      <c r="I990" s="11" t="inlineStr">
        <is>
          <t>Hardware_BOQ_and_Schedule.pdf</t>
        </is>
      </c>
      <c r="J990" s="13" t="inlineStr">
        <is>
          <t>📕 PDF Document</t>
        </is>
      </c>
      <c r="K990" s="15" t="n">
        <v>17.9</v>
      </c>
      <c r="L990" s="16">
        <f>HYPERLINK("http://127.0.0.1:8000/api/documents/download?id=2808&amp;attachment=true", "⬇ Download Hardware_BOQ_and_Schedul")</f>
        <v/>
      </c>
      <c r="M990" s="16">
        <f>HYPERLINK("http://localhost:5173/?state=Bihar&amp;keyword=ICT&amp;tender=BPROC2-HEALTH-2026-2291", "🚀 Open in Portal")</f>
        <v/>
      </c>
    </row>
    <row r="991" ht="24" customHeight="1">
      <c r="A991" s="4" t="inlineStr">
        <is>
          <t>Bihar</t>
        </is>
      </c>
      <c r="B991" s="5" t="inlineStr">
        <is>
          <t>ICT</t>
        </is>
      </c>
      <c r="C991" s="6" t="inlineStr">
        <is>
          <t>BPROC2-HEALTH-2026-2291</t>
        </is>
      </c>
      <c r="D991" s="7" t="inlineStr">
        <is>
          <t>Procurement of ICT Equipment, Telemedicine Systems &amp; Primary Health Software</t>
        </is>
      </c>
      <c r="E991" s="7" t="inlineStr">
        <is>
          <t>BIHAR MEDICAL SERVICES &amp; INFRASTRUCTURE CORP (BMSICL)</t>
        </is>
      </c>
      <c r="F991" s="6" t="inlineStr">
        <is>
          <t>24 Jul 2026</t>
        </is>
      </c>
      <c r="G991" s="5" t="inlineStr">
        <is>
          <t>19 Aug 2026</t>
        </is>
      </c>
      <c r="H991" s="8" t="inlineStr">
        <is>
          <t>⏳ UPCOMING</t>
        </is>
      </c>
      <c r="I991" s="4" t="inlineStr">
        <is>
          <t>Tender_BPROC2-HEALTH-2026-2291_All_Documents.zip</t>
        </is>
      </c>
      <c r="J991" s="6" t="inlineStr">
        <is>
          <t>📦 ZIP Package</t>
        </is>
      </c>
      <c r="K991" s="9" t="n">
        <v>18.7</v>
      </c>
      <c r="L991" s="10">
        <f>HYPERLINK("http://127.0.0.1:8000/api/documents/download?id=3009&amp;attachment=true", "⬇ Download Tender_BPROC2-HEALTH-202")</f>
        <v/>
      </c>
      <c r="M991" s="10">
        <f>HYPERLINK("http://localhost:5173/?state=Bihar&amp;keyword=ICT&amp;tender=BPROC2-HEALTH-2026-2291", "🚀 Open in Portal")</f>
        <v/>
      </c>
    </row>
    <row r="992" ht="24" customHeight="1">
      <c r="A992" s="11" t="inlineStr">
        <is>
          <t>Bihar</t>
        </is>
      </c>
      <c r="B992" s="12" t="inlineStr">
        <is>
          <t>Agriculture</t>
        </is>
      </c>
      <c r="C992" s="13" t="inlineStr">
        <is>
          <t>BPROC2-AGRI-2026-7821</t>
        </is>
      </c>
      <c r="D992" s="14" t="inlineStr">
        <is>
          <t>Digital Agriculture Crop Monitoring &amp; Farmer Benefit MIS Disbursement Portal</t>
        </is>
      </c>
      <c r="E992" s="14" t="inlineStr">
        <is>
          <t>DEPARTMENT OF AGRICULTURE-Vikas Bhawan, Patna</t>
        </is>
      </c>
      <c r="F992" s="13" t="inlineStr">
        <is>
          <t>26 Aug 2026</t>
        </is>
      </c>
      <c r="G992" s="12" t="inlineStr">
        <is>
          <t>24 Sep 2026</t>
        </is>
      </c>
      <c r="H992" s="8" t="inlineStr">
        <is>
          <t>⏳ UPCOMING</t>
        </is>
      </c>
      <c r="I992" s="11" t="inlineStr">
        <is>
          <t>Agri_Benefit_MIS_Tender_Notice.pdf</t>
        </is>
      </c>
      <c r="J992" s="13" t="inlineStr">
        <is>
          <t>📕 PDF Document</t>
        </is>
      </c>
      <c r="K992" s="15" t="n">
        <v>17.9</v>
      </c>
      <c r="L992" s="16">
        <f>HYPERLINK("http://127.0.0.1:8000/api/documents/download?id=2803&amp;attachment=true", "⬇ Download Agri_Benefit_MIS_Tender_")</f>
        <v/>
      </c>
      <c r="M992" s="16">
        <f>HYPERLINK("http://localhost:5173/?state=Bihar&amp;keyword=Agriculture&amp;tender=BPROC2-AGRI-2026-7821", "🚀 Open in Portal")</f>
        <v/>
      </c>
    </row>
    <row r="993" ht="24" customHeight="1">
      <c r="A993" s="4" t="inlineStr">
        <is>
          <t>Bihar</t>
        </is>
      </c>
      <c r="B993" s="5" t="inlineStr">
        <is>
          <t>Agriculture</t>
        </is>
      </c>
      <c r="C993" s="6" t="inlineStr">
        <is>
          <t>BPROC2-AGRI-2026-7821</t>
        </is>
      </c>
      <c r="D993" s="7" t="inlineStr">
        <is>
          <t>Digital Agriculture Crop Monitoring &amp; Farmer Benefit MIS Disbursement Portal</t>
        </is>
      </c>
      <c r="E993" s="7" t="inlineStr">
        <is>
          <t>DEPARTMENT OF AGRICULTURE-Vikas Bhawan, Patna</t>
        </is>
      </c>
      <c r="F993" s="6" t="inlineStr">
        <is>
          <t>26 Aug 2026</t>
        </is>
      </c>
      <c r="G993" s="5" t="inlineStr">
        <is>
          <t>24 Sep 2026</t>
        </is>
      </c>
      <c r="H993" s="8" t="inlineStr">
        <is>
          <t>⏳ UPCOMING</t>
        </is>
      </c>
      <c r="I993" s="4" t="inlineStr">
        <is>
          <t>Software_Architecture_Guidelines.pdf</t>
        </is>
      </c>
      <c r="J993" s="6" t="inlineStr">
        <is>
          <t>📕 PDF Document</t>
        </is>
      </c>
      <c r="K993" s="9" t="n">
        <v>17.9</v>
      </c>
      <c r="L993" s="10">
        <f>HYPERLINK("http://127.0.0.1:8000/api/documents/download?id=2804&amp;attachment=true", "⬇ Download Software_Architecture_Gu")</f>
        <v/>
      </c>
      <c r="M993" s="10">
        <f>HYPERLINK("http://localhost:5173/?state=Bihar&amp;keyword=Agriculture&amp;tender=BPROC2-AGRI-2026-7821", "🚀 Open in Portal")</f>
        <v/>
      </c>
    </row>
    <row r="994" ht="24" customHeight="1">
      <c r="A994" s="11" t="inlineStr">
        <is>
          <t>Bihar</t>
        </is>
      </c>
      <c r="B994" s="12" t="inlineStr">
        <is>
          <t>Agriculture</t>
        </is>
      </c>
      <c r="C994" s="13" t="inlineStr">
        <is>
          <t>BPROC2-AGRI-2026-7821</t>
        </is>
      </c>
      <c r="D994" s="14" t="inlineStr">
        <is>
          <t>Digital Agriculture Crop Monitoring &amp; Farmer Benefit MIS Disbursement Portal</t>
        </is>
      </c>
      <c r="E994" s="14" t="inlineStr">
        <is>
          <t>DEPARTMENT OF AGRICULTURE-Vikas Bhawan, Patna</t>
        </is>
      </c>
      <c r="F994" s="13" t="inlineStr">
        <is>
          <t>26 Aug 2026</t>
        </is>
      </c>
      <c r="G994" s="12" t="inlineStr">
        <is>
          <t>24 Sep 2026</t>
        </is>
      </c>
      <c r="H994" s="8" t="inlineStr">
        <is>
          <t>⏳ UPCOMING</t>
        </is>
      </c>
      <c r="I994" s="11" t="inlineStr">
        <is>
          <t>Tender_BPROC2-AGRI-2026-7821_All_Documents.zip</t>
        </is>
      </c>
      <c r="J994" s="13" t="inlineStr">
        <is>
          <t>📦 ZIP Package</t>
        </is>
      </c>
      <c r="K994" s="15" t="n">
        <v>18.7</v>
      </c>
      <c r="L994" s="16">
        <f>HYPERLINK("http://127.0.0.1:8000/api/documents/download?id=3007&amp;attachment=true", "⬇ Download Tender_BPROC2-AGRI-2026-")</f>
        <v/>
      </c>
      <c r="M994" s="16">
        <f>HYPERLINK("http://localhost:5173/?state=Bihar&amp;keyword=Agriculture&amp;tender=BPROC2-AGRI-2026-7821", "🚀 Open in Portal")</f>
        <v/>
      </c>
    </row>
    <row r="995" ht="24" customHeight="1">
      <c r="A995" s="4" t="inlineStr">
        <is>
          <t>Bihar</t>
        </is>
      </c>
      <c r="B995" s="5" t="inlineStr">
        <is>
          <t>Forest</t>
        </is>
      </c>
      <c r="C995" s="6" t="inlineStr">
        <is>
          <t>BPROC2-FOREST-2026-5519</t>
        </is>
      </c>
      <c r="D995" s="7" t="inlineStr">
        <is>
          <t>Afforestation Satellite Geo-tagging and Forest Boundary Spatial Mapping Service</t>
        </is>
      </c>
      <c r="E995" s="7" t="inlineStr">
        <is>
          <t>ENVIRONMENT, FOREST &amp; CLIMATE CHANGE DEPT-Patna</t>
        </is>
      </c>
      <c r="F995" s="6" t="inlineStr">
        <is>
          <t>24 Sep 2026</t>
        </is>
      </c>
      <c r="G995" s="5" t="inlineStr">
        <is>
          <t>11 Nov 2026</t>
        </is>
      </c>
      <c r="H995" s="17" t="inlineStr">
        <is>
          <t>🟢 LIVE ACTIVE</t>
        </is>
      </c>
      <c r="I995" s="4" t="inlineStr">
        <is>
          <t>Forest_Geotagging_RFP_Bihar.pdf</t>
        </is>
      </c>
      <c r="J995" s="6" t="inlineStr">
        <is>
          <t>📕 PDF Document</t>
        </is>
      </c>
      <c r="K995" s="9" t="n">
        <v>17.8</v>
      </c>
      <c r="L995" s="10">
        <f>HYPERLINK("http://127.0.0.1:8000/api/documents/download?id=2805&amp;attachment=true", "⬇ Download Forest_Geotagging_RFP_Bi")</f>
        <v/>
      </c>
      <c r="M995" s="10">
        <f>HYPERLINK("http://localhost:5173/?state=Bihar&amp;keyword=Forest&amp;tender=BPROC2-FOREST-2026-5519", "🚀 Open in Portal")</f>
        <v/>
      </c>
    </row>
    <row r="996" ht="24" customHeight="1">
      <c r="A996" s="11" t="inlineStr">
        <is>
          <t>Bihar</t>
        </is>
      </c>
      <c r="B996" s="12" t="inlineStr">
        <is>
          <t>Forest</t>
        </is>
      </c>
      <c r="C996" s="13" t="inlineStr">
        <is>
          <t>BPROC2-FOREST-2026-5519</t>
        </is>
      </c>
      <c r="D996" s="14" t="inlineStr">
        <is>
          <t>Afforestation Satellite Geo-tagging and Forest Boundary Spatial Mapping Service</t>
        </is>
      </c>
      <c r="E996" s="14" t="inlineStr">
        <is>
          <t>ENVIRONMENT, FOREST &amp; CLIMATE CHANGE DEPT-Patna</t>
        </is>
      </c>
      <c r="F996" s="13" t="inlineStr">
        <is>
          <t>24 Sep 2026</t>
        </is>
      </c>
      <c r="G996" s="12" t="inlineStr">
        <is>
          <t>11 Nov 2026</t>
        </is>
      </c>
      <c r="H996" s="17" t="inlineStr">
        <is>
          <t>🟢 LIVE ACTIVE</t>
        </is>
      </c>
      <c r="I996" s="11" t="inlineStr">
        <is>
          <t>Boundary_Pillar_Coordinates.xlsx</t>
        </is>
      </c>
      <c r="J996" s="13" t="inlineStr">
        <is>
          <t>📊 Excel BOQ</t>
        </is>
      </c>
      <c r="K996" s="15" t="n">
        <v>2.5</v>
      </c>
      <c r="L996" s="16">
        <f>HYPERLINK("http://127.0.0.1:8000/api/documents/download?id=2806&amp;attachment=true", "⬇ Download Boundary_Pillar_Coordina")</f>
        <v/>
      </c>
      <c r="M996" s="16">
        <f>HYPERLINK("http://localhost:5173/?state=Bihar&amp;keyword=Forest&amp;tender=BPROC2-FOREST-2026-5519", "🚀 Open in Portal")</f>
        <v/>
      </c>
    </row>
    <row r="997" ht="24" customHeight="1">
      <c r="A997" s="4" t="inlineStr">
        <is>
          <t>Bihar</t>
        </is>
      </c>
      <c r="B997" s="5" t="inlineStr">
        <is>
          <t>Forest</t>
        </is>
      </c>
      <c r="C997" s="6" t="inlineStr">
        <is>
          <t>BPROC2-FOREST-2026-5519</t>
        </is>
      </c>
      <c r="D997" s="7" t="inlineStr">
        <is>
          <t>Afforestation Satellite Geo-tagging and Forest Boundary Spatial Mapping Service</t>
        </is>
      </c>
      <c r="E997" s="7" t="inlineStr">
        <is>
          <t>ENVIRONMENT, FOREST &amp; CLIMATE CHANGE DEPT-Patna</t>
        </is>
      </c>
      <c r="F997" s="6" t="inlineStr">
        <is>
          <t>24 Sep 2026</t>
        </is>
      </c>
      <c r="G997" s="5" t="inlineStr">
        <is>
          <t>11 Nov 2026</t>
        </is>
      </c>
      <c r="H997" s="17" t="inlineStr">
        <is>
          <t>🟢 LIVE ACTIVE</t>
        </is>
      </c>
      <c r="I997" s="4" t="inlineStr">
        <is>
          <t>Tender_BPROC2-FOREST-2026-5519_All_Documents.zip</t>
        </is>
      </c>
      <c r="J997" s="6" t="inlineStr">
        <is>
          <t>📦 ZIP Package</t>
        </is>
      </c>
      <c r="K997" s="9" t="n">
        <v>11.6</v>
      </c>
      <c r="L997" s="10">
        <f>HYPERLINK("http://127.0.0.1:8000/api/documents/download?id=3008&amp;attachment=true", "⬇ Download Tender_BPROC2-FOREST-202")</f>
        <v/>
      </c>
      <c r="M997" s="10">
        <f>HYPERLINK("http://localhost:5173/?state=Bihar&amp;keyword=Forest&amp;tender=BPROC2-FOREST-2026-5519", "🚀 Open in Portal")</f>
        <v/>
      </c>
    </row>
    <row r="998" ht="24" customHeight="1">
      <c r="A998" s="11" t="inlineStr">
        <is>
          <t>Bihar</t>
        </is>
      </c>
      <c r="B998" s="12" t="inlineStr">
        <is>
          <t>Climate Change</t>
        </is>
      </c>
      <c r="C998" s="13" t="inlineStr">
        <is>
          <t>BPROC2-WRD-2026-1044</t>
        </is>
      </c>
      <c r="D998" s="14" t="inlineStr">
        <is>
          <t>Modernization of Flood Forecasting &amp; River Basin Water Resources Telemetry Network</t>
        </is>
      </c>
      <c r="E998" s="14" t="inlineStr">
        <is>
          <t>WATER RESOURCES DEPARTMENT-Government of Bihar, Patna</t>
        </is>
      </c>
      <c r="F998" s="13" t="inlineStr">
        <is>
          <t>28 Jul 2026</t>
        </is>
      </c>
      <c r="G998" s="12" t="inlineStr">
        <is>
          <t>18 Aug 2026</t>
        </is>
      </c>
      <c r="H998" s="8" t="inlineStr">
        <is>
          <t>⏳ UPCOMING</t>
        </is>
      </c>
      <c r="I998" s="11" t="inlineStr">
        <is>
          <t>Bihar_Flood_Early_Warning_RFP.pdf</t>
        </is>
      </c>
      <c r="J998" s="13" t="inlineStr">
        <is>
          <t>📕 PDF Document</t>
        </is>
      </c>
      <c r="K998" s="15" t="n">
        <v>17.8</v>
      </c>
      <c r="L998" s="16">
        <f>HYPERLINK("http://127.0.0.1:8000/api/documents/download?id=2800&amp;attachment=true", "⬇ Download Bihar_Flood_Early_Warnin")</f>
        <v/>
      </c>
      <c r="M998" s="16">
        <f>HYPERLINK("http://localhost:5173/?state=Bihar&amp;keyword=Climate%20Change&amp;tender=BPROC2-WRD-2026-1044", "🚀 Open in Portal")</f>
        <v/>
      </c>
    </row>
    <row r="999" ht="24" customHeight="1">
      <c r="A999" s="4" t="inlineStr">
        <is>
          <t>Bihar</t>
        </is>
      </c>
      <c r="B999" s="5" t="inlineStr">
        <is>
          <t>Climate Change</t>
        </is>
      </c>
      <c r="C999" s="6" t="inlineStr">
        <is>
          <t>BPROC2-WRD-2026-1044</t>
        </is>
      </c>
      <c r="D999" s="7" t="inlineStr">
        <is>
          <t>Modernization of Flood Forecasting &amp; River Basin Water Resources Telemetry Network</t>
        </is>
      </c>
      <c r="E999" s="7" t="inlineStr">
        <is>
          <t>WATER RESOURCES DEPARTMENT-Government of Bihar, Patna</t>
        </is>
      </c>
      <c r="F999" s="6" t="inlineStr">
        <is>
          <t>28 Jul 2026</t>
        </is>
      </c>
      <c r="G999" s="5" t="inlineStr">
        <is>
          <t>18 Aug 2026</t>
        </is>
      </c>
      <c r="H999" s="8" t="inlineStr">
        <is>
          <t>⏳ UPCOMING</t>
        </is>
      </c>
      <c r="I999" s="4" t="inlineStr">
        <is>
          <t>GIS_Flood_Inundation_Model_Specs.pdf</t>
        </is>
      </c>
      <c r="J999" s="6" t="inlineStr">
        <is>
          <t>📕 PDF Document</t>
        </is>
      </c>
      <c r="K999" s="9" t="n">
        <v>17.8</v>
      </c>
      <c r="L999" s="10">
        <f>HYPERLINK("http://127.0.0.1:8000/api/documents/download?id=2801&amp;attachment=true", "⬇ Download GIS_Flood_Inundation_Mod")</f>
        <v/>
      </c>
      <c r="M999" s="10">
        <f>HYPERLINK("http://localhost:5173/?state=Bihar&amp;keyword=Climate%20Change&amp;tender=BPROC2-WRD-2026-1044", "🚀 Open in Portal")</f>
        <v/>
      </c>
    </row>
    <row r="1000" ht="24" customHeight="1">
      <c r="A1000" s="11" t="inlineStr">
        <is>
          <t>Bihar</t>
        </is>
      </c>
      <c r="B1000" s="12" t="inlineStr">
        <is>
          <t>Climate Change</t>
        </is>
      </c>
      <c r="C1000" s="13" t="inlineStr">
        <is>
          <t>BPROC2-WRD-2026-1044</t>
        </is>
      </c>
      <c r="D1000" s="14" t="inlineStr">
        <is>
          <t>Modernization of Flood Forecasting &amp; River Basin Water Resources Telemetry Network</t>
        </is>
      </c>
      <c r="E1000" s="14" t="inlineStr">
        <is>
          <t>WATER RESOURCES DEPARTMENT-Government of Bihar, Patna</t>
        </is>
      </c>
      <c r="F1000" s="13" t="inlineStr">
        <is>
          <t>28 Jul 2026</t>
        </is>
      </c>
      <c r="G1000" s="12" t="inlineStr">
        <is>
          <t>18 Aug 2026</t>
        </is>
      </c>
      <c r="H1000" s="8" t="inlineStr">
        <is>
          <t>⏳ UPCOMING</t>
        </is>
      </c>
      <c r="I1000" s="11" t="inlineStr">
        <is>
          <t>Tender_BPROC2-WRD-2026-1044_All_Documents.zip</t>
        </is>
      </c>
      <c r="J1000" s="13" t="inlineStr">
        <is>
          <t>📦 ZIP Package</t>
        </is>
      </c>
      <c r="K1000" s="15" t="n">
        <v>18.6</v>
      </c>
      <c r="L1000" s="16">
        <f>HYPERLINK("http://127.0.0.1:8000/api/documents/download?id=2802&amp;attachment=true", "⬇ Download Tender_BPROC2-WRD-2026-1")</f>
        <v/>
      </c>
      <c r="M1000" s="16">
        <f>HYPERLINK("http://localhost:5173/?state=Bihar&amp;keyword=Climate%20Change&amp;tender=BPROC2-WRD-2026-1044", "🚀 Open in Portal")</f>
        <v/>
      </c>
    </row>
    <row r="1001" ht="24" customHeight="1">
      <c r="A1001" s="4" t="inlineStr">
        <is>
          <t>Bihar</t>
        </is>
      </c>
      <c r="B1001" s="5" t="inlineStr">
        <is>
          <t>Environment</t>
        </is>
      </c>
      <c r="C1001" s="6" t="inlineStr">
        <is>
          <t>BPROC2-FOREST-2026-5519</t>
        </is>
      </c>
      <c r="D1001" s="7" t="inlineStr">
        <is>
          <t>Afforestation Satellite Geo-tagging and Forest Boundary Spatial Mapping Service</t>
        </is>
      </c>
      <c r="E1001" s="7" t="inlineStr">
        <is>
          <t>ENVIRONMENT, FOREST &amp; CLIMATE CHANGE DEPT-Patna</t>
        </is>
      </c>
      <c r="F1001" s="6" t="inlineStr">
        <is>
          <t>24 Sep 2026</t>
        </is>
      </c>
      <c r="G1001" s="5" t="inlineStr">
        <is>
          <t>11 Nov 2026</t>
        </is>
      </c>
      <c r="H1001" s="17" t="inlineStr">
        <is>
          <t>🟢 LIVE ACTIVE</t>
        </is>
      </c>
      <c r="I1001" s="4" t="inlineStr">
        <is>
          <t>Forest_Geotagging_RFP_Bihar.pdf</t>
        </is>
      </c>
      <c r="J1001" s="6" t="inlineStr">
        <is>
          <t>📕 PDF Document</t>
        </is>
      </c>
      <c r="K1001" s="9" t="n">
        <v>17.8</v>
      </c>
      <c r="L1001" s="10">
        <f>HYPERLINK("http://127.0.0.1:8000/api/documents/download?id=2805&amp;attachment=true", "⬇ Download Forest_Geotagging_RFP_Bi")</f>
        <v/>
      </c>
      <c r="M1001" s="10">
        <f>HYPERLINK("http://localhost:5173/?state=Bihar&amp;keyword=Environment&amp;tender=BPROC2-FOREST-2026-5519", "🚀 Open in Portal")</f>
        <v/>
      </c>
    </row>
    <row r="1002" ht="24" customHeight="1">
      <c r="A1002" s="11" t="inlineStr">
        <is>
          <t>Bihar</t>
        </is>
      </c>
      <c r="B1002" s="12" t="inlineStr">
        <is>
          <t>Environment</t>
        </is>
      </c>
      <c r="C1002" s="13" t="inlineStr">
        <is>
          <t>BPROC2-FOREST-2026-5519</t>
        </is>
      </c>
      <c r="D1002" s="14" t="inlineStr">
        <is>
          <t>Afforestation Satellite Geo-tagging and Forest Boundary Spatial Mapping Service</t>
        </is>
      </c>
      <c r="E1002" s="14" t="inlineStr">
        <is>
          <t>ENVIRONMENT, FOREST &amp; CLIMATE CHANGE DEPT-Patna</t>
        </is>
      </c>
      <c r="F1002" s="13" t="inlineStr">
        <is>
          <t>24 Sep 2026</t>
        </is>
      </c>
      <c r="G1002" s="12" t="inlineStr">
        <is>
          <t>11 Nov 2026</t>
        </is>
      </c>
      <c r="H1002" s="17" t="inlineStr">
        <is>
          <t>🟢 LIVE ACTIVE</t>
        </is>
      </c>
      <c r="I1002" s="11" t="inlineStr">
        <is>
          <t>Boundary_Pillar_Coordinates.xlsx</t>
        </is>
      </c>
      <c r="J1002" s="13" t="inlineStr">
        <is>
          <t>📊 Excel BOQ</t>
        </is>
      </c>
      <c r="K1002" s="15" t="n">
        <v>2.5</v>
      </c>
      <c r="L1002" s="16">
        <f>HYPERLINK("http://127.0.0.1:8000/api/documents/download?id=2806&amp;attachment=true", "⬇ Download Boundary_Pillar_Coordina")</f>
        <v/>
      </c>
      <c r="M1002" s="16">
        <f>HYPERLINK("http://localhost:5173/?state=Bihar&amp;keyword=Environment&amp;tender=BPROC2-FOREST-2026-5519", "🚀 Open in Portal")</f>
        <v/>
      </c>
    </row>
    <row r="1003" ht="24" customHeight="1">
      <c r="A1003" s="4" t="inlineStr">
        <is>
          <t>Bihar</t>
        </is>
      </c>
      <c r="B1003" s="5" t="inlineStr">
        <is>
          <t>Environment</t>
        </is>
      </c>
      <c r="C1003" s="6" t="inlineStr">
        <is>
          <t>BPROC2-FOREST-2026-5519</t>
        </is>
      </c>
      <c r="D1003" s="7" t="inlineStr">
        <is>
          <t>Afforestation Satellite Geo-tagging and Forest Boundary Spatial Mapping Service</t>
        </is>
      </c>
      <c r="E1003" s="7" t="inlineStr">
        <is>
          <t>ENVIRONMENT, FOREST &amp; CLIMATE CHANGE DEPT-Patna</t>
        </is>
      </c>
      <c r="F1003" s="6" t="inlineStr">
        <is>
          <t>24 Sep 2026</t>
        </is>
      </c>
      <c r="G1003" s="5" t="inlineStr">
        <is>
          <t>11 Nov 2026</t>
        </is>
      </c>
      <c r="H1003" s="17" t="inlineStr">
        <is>
          <t>🟢 LIVE ACTIVE</t>
        </is>
      </c>
      <c r="I1003" s="4" t="inlineStr">
        <is>
          <t>Tender_BPROC2-FOREST-2026-5519_All_Documents.zip</t>
        </is>
      </c>
      <c r="J1003" s="6" t="inlineStr">
        <is>
          <t>📦 ZIP Package</t>
        </is>
      </c>
      <c r="K1003" s="9" t="n">
        <v>11.6</v>
      </c>
      <c r="L1003" s="10">
        <f>HYPERLINK("http://127.0.0.1:8000/api/documents/download?id=3008&amp;attachment=true", "⬇ Download Tender_BPROC2-FOREST-202")</f>
        <v/>
      </c>
      <c r="M1003" s="10">
        <f>HYPERLINK("http://localhost:5173/?state=Bihar&amp;keyword=Environment&amp;tender=BPROC2-FOREST-2026-5519", "🚀 Open in Portal")</f>
        <v/>
      </c>
    </row>
    <row r="1004" ht="24" customHeight="1">
      <c r="A1004" s="11" t="inlineStr">
        <is>
          <t>Bihar</t>
        </is>
      </c>
      <c r="B1004" s="12" t="inlineStr">
        <is>
          <t>Environment</t>
        </is>
      </c>
      <c r="C1004" s="13" t="inlineStr">
        <is>
          <t>BPROC2-WRD-2026-1044</t>
        </is>
      </c>
      <c r="D1004" s="14" t="inlineStr">
        <is>
          <t>Modernization of Flood Forecasting &amp; River Basin Water Resources Telemetry Network</t>
        </is>
      </c>
      <c r="E1004" s="14" t="inlineStr">
        <is>
          <t>WATER RESOURCES DEPARTMENT-Government of Bihar, Patna</t>
        </is>
      </c>
      <c r="F1004" s="13" t="inlineStr">
        <is>
          <t>28 Jul 2026</t>
        </is>
      </c>
      <c r="G1004" s="12" t="inlineStr">
        <is>
          <t>18 Aug 2026</t>
        </is>
      </c>
      <c r="H1004" s="8" t="inlineStr">
        <is>
          <t>⏳ UPCOMING</t>
        </is>
      </c>
      <c r="I1004" s="11" t="inlineStr">
        <is>
          <t>Bihar_Flood_Early_Warning_RFP.pdf</t>
        </is>
      </c>
      <c r="J1004" s="13" t="inlineStr">
        <is>
          <t>📕 PDF Document</t>
        </is>
      </c>
      <c r="K1004" s="15" t="n">
        <v>17.8</v>
      </c>
      <c r="L1004" s="16">
        <f>HYPERLINK("http://127.0.0.1:8000/api/documents/download?id=2800&amp;attachment=true", "⬇ Download Bihar_Flood_Early_Warnin")</f>
        <v/>
      </c>
      <c r="M1004" s="16">
        <f>HYPERLINK("http://localhost:5173/?state=Bihar&amp;keyword=Environment&amp;tender=BPROC2-WRD-2026-1044", "🚀 Open in Portal")</f>
        <v/>
      </c>
    </row>
    <row r="1005" ht="24" customHeight="1">
      <c r="A1005" s="4" t="inlineStr">
        <is>
          <t>Bihar</t>
        </is>
      </c>
      <c r="B1005" s="5" t="inlineStr">
        <is>
          <t>Environment</t>
        </is>
      </c>
      <c r="C1005" s="6" t="inlineStr">
        <is>
          <t>BPROC2-WRD-2026-1044</t>
        </is>
      </c>
      <c r="D1005" s="7" t="inlineStr">
        <is>
          <t>Modernization of Flood Forecasting &amp; River Basin Water Resources Telemetry Network</t>
        </is>
      </c>
      <c r="E1005" s="7" t="inlineStr">
        <is>
          <t>WATER RESOURCES DEPARTMENT-Government of Bihar, Patna</t>
        </is>
      </c>
      <c r="F1005" s="6" t="inlineStr">
        <is>
          <t>28 Jul 2026</t>
        </is>
      </c>
      <c r="G1005" s="5" t="inlineStr">
        <is>
          <t>18 Aug 2026</t>
        </is>
      </c>
      <c r="H1005" s="8" t="inlineStr">
        <is>
          <t>⏳ UPCOMING</t>
        </is>
      </c>
      <c r="I1005" s="4" t="inlineStr">
        <is>
          <t>GIS_Flood_Inundation_Model_Specs.pdf</t>
        </is>
      </c>
      <c r="J1005" s="6" t="inlineStr">
        <is>
          <t>📕 PDF Document</t>
        </is>
      </c>
      <c r="K1005" s="9" t="n">
        <v>17.8</v>
      </c>
      <c r="L1005" s="10">
        <f>HYPERLINK("http://127.0.0.1:8000/api/documents/download?id=2801&amp;attachment=true", "⬇ Download GIS_Flood_Inundation_Mod")</f>
        <v/>
      </c>
      <c r="M1005" s="10">
        <f>HYPERLINK("http://localhost:5173/?state=Bihar&amp;keyword=Environment&amp;tender=BPROC2-WRD-2026-1044", "🚀 Open in Portal")</f>
        <v/>
      </c>
    </row>
    <row r="1006" ht="24" customHeight="1">
      <c r="A1006" s="11" t="inlineStr">
        <is>
          <t>Bihar</t>
        </is>
      </c>
      <c r="B1006" s="12" t="inlineStr">
        <is>
          <t>Environment</t>
        </is>
      </c>
      <c r="C1006" s="13" t="inlineStr">
        <is>
          <t>BPROC2-WRD-2026-1044</t>
        </is>
      </c>
      <c r="D1006" s="14" t="inlineStr">
        <is>
          <t>Modernization of Flood Forecasting &amp; River Basin Water Resources Telemetry Network</t>
        </is>
      </c>
      <c r="E1006" s="14" t="inlineStr">
        <is>
          <t>WATER RESOURCES DEPARTMENT-Government of Bihar, Patna</t>
        </is>
      </c>
      <c r="F1006" s="13" t="inlineStr">
        <is>
          <t>28 Jul 2026</t>
        </is>
      </c>
      <c r="G1006" s="12" t="inlineStr">
        <is>
          <t>18 Aug 2026</t>
        </is>
      </c>
      <c r="H1006" s="8" t="inlineStr">
        <is>
          <t>⏳ UPCOMING</t>
        </is>
      </c>
      <c r="I1006" s="11" t="inlineStr">
        <is>
          <t>Tender_BPROC2-WRD-2026-1044_All_Documents.zip</t>
        </is>
      </c>
      <c r="J1006" s="13" t="inlineStr">
        <is>
          <t>📦 ZIP Package</t>
        </is>
      </c>
      <c r="K1006" s="15" t="n">
        <v>18.6</v>
      </c>
      <c r="L1006" s="16">
        <f>HYPERLINK("http://127.0.0.1:8000/api/documents/download?id=2802&amp;attachment=true", "⬇ Download Tender_BPROC2-WRD-2026-1")</f>
        <v/>
      </c>
      <c r="M1006" s="16">
        <f>HYPERLINK("http://localhost:5173/?state=Bihar&amp;keyword=Environment&amp;tender=BPROC2-WRD-2026-1044", "🚀 Open in Portal")</f>
        <v/>
      </c>
    </row>
    <row r="1007" ht="24" customHeight="1">
      <c r="A1007" s="4" t="inlineStr">
        <is>
          <t>Bihar</t>
        </is>
      </c>
      <c r="B1007" s="5" t="inlineStr">
        <is>
          <t>Water Resources</t>
        </is>
      </c>
      <c r="C1007" s="6" t="inlineStr">
        <is>
          <t>2026_BIH_6456771_57</t>
        </is>
      </c>
      <c r="D1007" s="7" t="inlineStr">
        <is>
          <t>Water Resources-Based River Basin Hydro-Meteorological Sensor Network &amp; GIS Flood Simulation</t>
        </is>
      </c>
      <c r="E1007" s="7" t="inlineStr">
        <is>
          <t>WATER RESOURCES &amp; IRRIGATION DEPARTMENT</t>
        </is>
      </c>
      <c r="F1007" s="6" t="inlineStr">
        <is>
          <t>19 Sep 2026</t>
        </is>
      </c>
      <c r="G1007" s="5" t="inlineStr">
        <is>
          <t>13 Oct 2026</t>
        </is>
      </c>
      <c r="H1007" s="8" t="inlineStr">
        <is>
          <t>⏳ UPCOMING</t>
        </is>
      </c>
      <c r="I1007" s="4" t="inlineStr">
        <is>
          <t>Tendernotice_2026_BIH_6456771_57.pdf</t>
        </is>
      </c>
      <c r="J1007" s="6" t="inlineStr">
        <is>
          <t>📕 PDF Document</t>
        </is>
      </c>
      <c r="K1007" s="9" t="n">
        <v>17.9</v>
      </c>
      <c r="L1007" s="10">
        <f>HYPERLINK("http://127.0.0.1:8000/api/documents/download?id=3369&amp;attachment=true", "⬇ Download Tendernotice_2026_BIH_64")</f>
        <v/>
      </c>
      <c r="M1007" s="10">
        <f>HYPERLINK("http://localhost:5173/?state=Bihar&amp;keyword=Water%20Resources&amp;tender=2026_BIH_6456771_57", "🚀 Open in Portal")</f>
        <v/>
      </c>
    </row>
    <row r="1008" ht="24" customHeight="1">
      <c r="A1008" s="11" t="inlineStr">
        <is>
          <t>Bihar</t>
        </is>
      </c>
      <c r="B1008" s="12" t="inlineStr">
        <is>
          <t>Water Resources</t>
        </is>
      </c>
      <c r="C1008" s="13" t="inlineStr">
        <is>
          <t>2026_BIH_6456771_57</t>
        </is>
      </c>
      <c r="D1008" s="14" t="inlineStr">
        <is>
          <t>Water Resources-Based River Basin Hydro-Meteorological Sensor Network &amp; GIS Flood Simulation</t>
        </is>
      </c>
      <c r="E1008" s="14" t="inlineStr">
        <is>
          <t>WATER RESOURCES &amp; IRRIGATION DEPARTMENT</t>
        </is>
      </c>
      <c r="F1008" s="13" t="inlineStr">
        <is>
          <t>19 Sep 2026</t>
        </is>
      </c>
      <c r="G1008" s="12" t="inlineStr">
        <is>
          <t>13 Oct 2026</t>
        </is>
      </c>
      <c r="H1008" s="8" t="inlineStr">
        <is>
          <t>⏳ UPCOMING</t>
        </is>
      </c>
      <c r="I1008" s="11" t="inlineStr">
        <is>
          <t>Technical_RFP_Specification_Water Resources.pdf</t>
        </is>
      </c>
      <c r="J1008" s="13" t="inlineStr">
        <is>
          <t>📕 PDF Document</t>
        </is>
      </c>
      <c r="K1008" s="15" t="n">
        <v>17.9</v>
      </c>
      <c r="L1008" s="16">
        <f>HYPERLINK("http://127.0.0.1:8000/api/documents/download?id=3370&amp;attachment=true", "⬇ Download Technical_RFP_Specificat")</f>
        <v/>
      </c>
      <c r="M1008" s="16">
        <f>HYPERLINK("http://localhost:5173/?state=Bihar&amp;keyword=Water%20Resources&amp;tender=2026_BIH_6456771_57", "🚀 Open in Portal")</f>
        <v/>
      </c>
    </row>
    <row r="1009" ht="24" customHeight="1">
      <c r="A1009" s="4" t="inlineStr">
        <is>
          <t>Bihar</t>
        </is>
      </c>
      <c r="B1009" s="5" t="inlineStr">
        <is>
          <t>Water Resources</t>
        </is>
      </c>
      <c r="C1009" s="6" t="inlineStr">
        <is>
          <t>2026_BIH_6456771_57</t>
        </is>
      </c>
      <c r="D1009" s="7" t="inlineStr">
        <is>
          <t>Water Resources-Based River Basin Hydro-Meteorological Sensor Network &amp; GIS Flood Simulation</t>
        </is>
      </c>
      <c r="E1009" s="7" t="inlineStr">
        <is>
          <t>WATER RESOURCES &amp; IRRIGATION DEPARTMENT</t>
        </is>
      </c>
      <c r="F1009" s="6" t="inlineStr">
        <is>
          <t>19 Sep 2026</t>
        </is>
      </c>
      <c r="G1009" s="5" t="inlineStr">
        <is>
          <t>13 Oct 2026</t>
        </is>
      </c>
      <c r="H1009" s="8" t="inlineStr">
        <is>
          <t>⏳ UPCOMING</t>
        </is>
      </c>
      <c r="I1009" s="4" t="inlineStr">
        <is>
          <t>BOQ_Financial_Schedule_2026_BIH_6456771_57.xlsx</t>
        </is>
      </c>
      <c r="J1009" s="6" t="inlineStr">
        <is>
          <t>📊 Excel BOQ</t>
        </is>
      </c>
      <c r="K1009" s="9" t="n">
        <v>2.5</v>
      </c>
      <c r="L1009" s="10">
        <f>HYPERLINK("http://127.0.0.1:8000/api/documents/download?id=3371&amp;attachment=true", "⬇ Download BOQ_Financial_Schedule_2")</f>
        <v/>
      </c>
      <c r="M1009" s="10">
        <f>HYPERLINK("http://localhost:5173/?state=Bihar&amp;keyword=Water%20Resources&amp;tender=2026_BIH_6456771_57", "🚀 Open in Portal")</f>
        <v/>
      </c>
    </row>
    <row r="1010" ht="24" customHeight="1">
      <c r="A1010" s="11" t="inlineStr">
        <is>
          <t>Bihar</t>
        </is>
      </c>
      <c r="B1010" s="12" t="inlineStr">
        <is>
          <t>Water Resources</t>
        </is>
      </c>
      <c r="C1010" s="13" t="inlineStr">
        <is>
          <t>2026_BIH_6456771_57</t>
        </is>
      </c>
      <c r="D1010" s="14" t="inlineStr">
        <is>
          <t>Water Resources-Based River Basin Hydro-Meteorological Sensor Network &amp; GIS Flood Simulation</t>
        </is>
      </c>
      <c r="E1010" s="14" t="inlineStr">
        <is>
          <t>WATER RESOURCES &amp; IRRIGATION DEPARTMENT</t>
        </is>
      </c>
      <c r="F1010" s="13" t="inlineStr">
        <is>
          <t>19 Sep 2026</t>
        </is>
      </c>
      <c r="G1010" s="12" t="inlineStr">
        <is>
          <t>13 Oct 2026</t>
        </is>
      </c>
      <c r="H1010" s="8" t="inlineStr">
        <is>
          <t>⏳ UPCOMING</t>
        </is>
      </c>
      <c r="I1010" s="11" t="inlineStr">
        <is>
          <t>Tender_2026_BIH_6456771_57_All_Documents.zip</t>
        </is>
      </c>
      <c r="J1010" s="13" t="inlineStr">
        <is>
          <t>📦 ZIP Package</t>
        </is>
      </c>
      <c r="K1010" s="15" t="n">
        <v>45</v>
      </c>
      <c r="L1010" s="16">
        <f>HYPERLINK("https://eproc2.bihar.gov.in/tender/2026_BIH_6456771_57", "⬇ Download Tender_2026_BIH_6456771_")</f>
        <v/>
      </c>
      <c r="M1010" s="16">
        <f>HYPERLINK("http://localhost:5173/?state=Bihar&amp;keyword=Water%20Resources&amp;tender=2026_BIH_6456771_57", "🚀 Open in Portal")</f>
        <v/>
      </c>
    </row>
    <row r="1011" ht="24" customHeight="1">
      <c r="A1011" s="4" t="inlineStr">
        <is>
          <t>Bihar</t>
        </is>
      </c>
      <c r="B1011" s="5" t="inlineStr">
        <is>
          <t>Water Resources</t>
        </is>
      </c>
      <c r="C1011" s="6" t="inlineStr">
        <is>
          <t>BPROC2-WRD-2026-1044</t>
        </is>
      </c>
      <c r="D1011" s="7" t="inlineStr">
        <is>
          <t>Modernization of Flood Forecasting &amp; River Basin Water Resources Telemetry Network</t>
        </is>
      </c>
      <c r="E1011" s="7" t="inlineStr">
        <is>
          <t>WATER RESOURCES DEPARTMENT-Government of Bihar, Patna</t>
        </is>
      </c>
      <c r="F1011" s="6" t="inlineStr">
        <is>
          <t>28 Jul 2026</t>
        </is>
      </c>
      <c r="G1011" s="5" t="inlineStr">
        <is>
          <t>18 Aug 2026</t>
        </is>
      </c>
      <c r="H1011" s="8" t="inlineStr">
        <is>
          <t>⏳ UPCOMING</t>
        </is>
      </c>
      <c r="I1011" s="4" t="inlineStr">
        <is>
          <t>Bihar_Flood_Early_Warning_RFP.pdf</t>
        </is>
      </c>
      <c r="J1011" s="6" t="inlineStr">
        <is>
          <t>📕 PDF Document</t>
        </is>
      </c>
      <c r="K1011" s="9" t="n">
        <v>17.8</v>
      </c>
      <c r="L1011" s="10">
        <f>HYPERLINK("http://127.0.0.1:8000/api/documents/download?id=2800&amp;attachment=true", "⬇ Download Bihar_Flood_Early_Warnin")</f>
        <v/>
      </c>
      <c r="M1011" s="10">
        <f>HYPERLINK("http://localhost:5173/?state=Bihar&amp;keyword=Water%20Resources&amp;tender=BPROC2-WRD-2026-1044", "🚀 Open in Portal")</f>
        <v/>
      </c>
    </row>
    <row r="1012" ht="24" customHeight="1">
      <c r="A1012" s="11" t="inlineStr">
        <is>
          <t>Bihar</t>
        </is>
      </c>
      <c r="B1012" s="12" t="inlineStr">
        <is>
          <t>Water Resources</t>
        </is>
      </c>
      <c r="C1012" s="13" t="inlineStr">
        <is>
          <t>BPROC2-WRD-2026-1044</t>
        </is>
      </c>
      <c r="D1012" s="14" t="inlineStr">
        <is>
          <t>Modernization of Flood Forecasting &amp; River Basin Water Resources Telemetry Network</t>
        </is>
      </c>
      <c r="E1012" s="14" t="inlineStr">
        <is>
          <t>WATER RESOURCES DEPARTMENT-Government of Bihar, Patna</t>
        </is>
      </c>
      <c r="F1012" s="13" t="inlineStr">
        <is>
          <t>28 Jul 2026</t>
        </is>
      </c>
      <c r="G1012" s="12" t="inlineStr">
        <is>
          <t>18 Aug 2026</t>
        </is>
      </c>
      <c r="H1012" s="8" t="inlineStr">
        <is>
          <t>⏳ UPCOMING</t>
        </is>
      </c>
      <c r="I1012" s="11" t="inlineStr">
        <is>
          <t>GIS_Flood_Inundation_Model_Specs.pdf</t>
        </is>
      </c>
      <c r="J1012" s="13" t="inlineStr">
        <is>
          <t>📕 PDF Document</t>
        </is>
      </c>
      <c r="K1012" s="15" t="n">
        <v>17.8</v>
      </c>
      <c r="L1012" s="16">
        <f>HYPERLINK("http://127.0.0.1:8000/api/documents/download?id=2801&amp;attachment=true", "⬇ Download GIS_Flood_Inundation_Mod")</f>
        <v/>
      </c>
      <c r="M1012" s="16">
        <f>HYPERLINK("http://localhost:5173/?state=Bihar&amp;keyword=Water%20Resources&amp;tender=BPROC2-WRD-2026-1044", "🚀 Open in Portal")</f>
        <v/>
      </c>
    </row>
    <row r="1013" ht="24" customHeight="1">
      <c r="A1013" s="4" t="inlineStr">
        <is>
          <t>Bihar</t>
        </is>
      </c>
      <c r="B1013" s="5" t="inlineStr">
        <is>
          <t>Water Resources</t>
        </is>
      </c>
      <c r="C1013" s="6" t="inlineStr">
        <is>
          <t>BPROC2-WRD-2026-1044</t>
        </is>
      </c>
      <c r="D1013" s="7" t="inlineStr">
        <is>
          <t>Modernization of Flood Forecasting &amp; River Basin Water Resources Telemetry Network</t>
        </is>
      </c>
      <c r="E1013" s="7" t="inlineStr">
        <is>
          <t>WATER RESOURCES DEPARTMENT-Government of Bihar, Patna</t>
        </is>
      </c>
      <c r="F1013" s="6" t="inlineStr">
        <is>
          <t>28 Jul 2026</t>
        </is>
      </c>
      <c r="G1013" s="5" t="inlineStr">
        <is>
          <t>18 Aug 2026</t>
        </is>
      </c>
      <c r="H1013" s="8" t="inlineStr">
        <is>
          <t>⏳ UPCOMING</t>
        </is>
      </c>
      <c r="I1013" s="4" t="inlineStr">
        <is>
          <t>Tender_BPROC2-WRD-2026-1044_All_Documents.zip</t>
        </is>
      </c>
      <c r="J1013" s="6" t="inlineStr">
        <is>
          <t>📦 ZIP Package</t>
        </is>
      </c>
      <c r="K1013" s="9" t="n">
        <v>18.6</v>
      </c>
      <c r="L1013" s="10">
        <f>HYPERLINK("http://127.0.0.1:8000/api/documents/download?id=2802&amp;attachment=true", "⬇ Download Tender_BPROC2-WRD-2026-1")</f>
        <v/>
      </c>
      <c r="M1013" s="10">
        <f>HYPERLINK("http://localhost:5173/?state=Bihar&amp;keyword=Water%20Resources&amp;tender=BPROC2-WRD-2026-1044", "🚀 Open in Portal")</f>
        <v/>
      </c>
    </row>
    <row r="1014" ht="24" customHeight="1">
      <c r="A1014" s="11" t="inlineStr">
        <is>
          <t>Bihar</t>
        </is>
      </c>
      <c r="B1014" s="12" t="inlineStr">
        <is>
          <t>Health</t>
        </is>
      </c>
      <c r="C1014" s="13" t="inlineStr">
        <is>
          <t>BPROC2-HEALTH-2026-2291</t>
        </is>
      </c>
      <c r="D1014" s="14" t="inlineStr">
        <is>
          <t>Procurement of ICT Equipment, Telemedicine Systems &amp; Primary Health Software</t>
        </is>
      </c>
      <c r="E1014" s="14" t="inlineStr">
        <is>
          <t>BIHAR MEDICAL SERVICES &amp; INFRASTRUCTURE CORP (BMSICL)</t>
        </is>
      </c>
      <c r="F1014" s="13" t="inlineStr">
        <is>
          <t>24 Jul 2026</t>
        </is>
      </c>
      <c r="G1014" s="12" t="inlineStr">
        <is>
          <t>19 Aug 2026</t>
        </is>
      </c>
      <c r="H1014" s="8" t="inlineStr">
        <is>
          <t>⏳ UPCOMING</t>
        </is>
      </c>
      <c r="I1014" s="11" t="inlineStr">
        <is>
          <t>BMSICL_Telemedicine_Bid_Document.pdf</t>
        </is>
      </c>
      <c r="J1014" s="13" t="inlineStr">
        <is>
          <t>📕 PDF Document</t>
        </is>
      </c>
      <c r="K1014" s="15" t="n">
        <v>17.9</v>
      </c>
      <c r="L1014" s="16">
        <f>HYPERLINK("http://127.0.0.1:8000/api/documents/download?id=2807&amp;attachment=true", "⬇ Download BMSICL_Telemedicine_Bid_")</f>
        <v/>
      </c>
      <c r="M1014" s="16">
        <f>HYPERLINK("http://localhost:5173/?state=Bihar&amp;keyword=Health&amp;tender=BPROC2-HEALTH-2026-2291", "🚀 Open in Portal")</f>
        <v/>
      </c>
    </row>
    <row r="1015" ht="24" customHeight="1">
      <c r="A1015" s="4" t="inlineStr">
        <is>
          <t>Bihar</t>
        </is>
      </c>
      <c r="B1015" s="5" t="inlineStr">
        <is>
          <t>Health</t>
        </is>
      </c>
      <c r="C1015" s="6" t="inlineStr">
        <is>
          <t>BPROC2-HEALTH-2026-2291</t>
        </is>
      </c>
      <c r="D1015" s="7" t="inlineStr">
        <is>
          <t>Procurement of ICT Equipment, Telemedicine Systems &amp; Primary Health Software</t>
        </is>
      </c>
      <c r="E1015" s="7" t="inlineStr">
        <is>
          <t>BIHAR MEDICAL SERVICES &amp; INFRASTRUCTURE CORP (BMSICL)</t>
        </is>
      </c>
      <c r="F1015" s="6" t="inlineStr">
        <is>
          <t>24 Jul 2026</t>
        </is>
      </c>
      <c r="G1015" s="5" t="inlineStr">
        <is>
          <t>19 Aug 2026</t>
        </is>
      </c>
      <c r="H1015" s="8" t="inlineStr">
        <is>
          <t>⏳ UPCOMING</t>
        </is>
      </c>
      <c r="I1015" s="4" t="inlineStr">
        <is>
          <t>Hardware_BOQ_and_Schedule.pdf</t>
        </is>
      </c>
      <c r="J1015" s="6" t="inlineStr">
        <is>
          <t>📕 PDF Document</t>
        </is>
      </c>
      <c r="K1015" s="9" t="n">
        <v>17.9</v>
      </c>
      <c r="L1015" s="10">
        <f>HYPERLINK("http://127.0.0.1:8000/api/documents/download?id=2808&amp;attachment=true", "⬇ Download Hardware_BOQ_and_Schedul")</f>
        <v/>
      </c>
      <c r="M1015" s="10">
        <f>HYPERLINK("http://localhost:5173/?state=Bihar&amp;keyword=Health&amp;tender=BPROC2-HEALTH-2026-2291", "🚀 Open in Portal")</f>
        <v/>
      </c>
    </row>
    <row r="1016" ht="24" customHeight="1">
      <c r="A1016" s="11" t="inlineStr">
        <is>
          <t>Bihar</t>
        </is>
      </c>
      <c r="B1016" s="12" t="inlineStr">
        <is>
          <t>Health</t>
        </is>
      </c>
      <c r="C1016" s="13" t="inlineStr">
        <is>
          <t>BPROC2-HEALTH-2026-2291</t>
        </is>
      </c>
      <c r="D1016" s="14" t="inlineStr">
        <is>
          <t>Procurement of ICT Equipment, Telemedicine Systems &amp; Primary Health Software</t>
        </is>
      </c>
      <c r="E1016" s="14" t="inlineStr">
        <is>
          <t>BIHAR MEDICAL SERVICES &amp; INFRASTRUCTURE CORP (BMSICL)</t>
        </is>
      </c>
      <c r="F1016" s="13" t="inlineStr">
        <is>
          <t>24 Jul 2026</t>
        </is>
      </c>
      <c r="G1016" s="12" t="inlineStr">
        <is>
          <t>19 Aug 2026</t>
        </is>
      </c>
      <c r="H1016" s="8" t="inlineStr">
        <is>
          <t>⏳ UPCOMING</t>
        </is>
      </c>
      <c r="I1016" s="11" t="inlineStr">
        <is>
          <t>Tender_BPROC2-HEALTH-2026-2291_All_Documents.zip</t>
        </is>
      </c>
      <c r="J1016" s="13" t="inlineStr">
        <is>
          <t>📦 ZIP Package</t>
        </is>
      </c>
      <c r="K1016" s="15" t="n">
        <v>18.7</v>
      </c>
      <c r="L1016" s="16">
        <f>HYPERLINK("http://127.0.0.1:8000/api/documents/download?id=3009&amp;attachment=true", "⬇ Download Tender_BPROC2-HEALTH-202")</f>
        <v/>
      </c>
      <c r="M1016" s="16">
        <f>HYPERLINK("http://localhost:5173/?state=Bihar&amp;keyword=Health&amp;tender=BPROC2-HEALTH-2026-2291", "🚀 Open in Portal")</f>
        <v/>
      </c>
    </row>
    <row r="1017" ht="24" customHeight="1">
      <c r="A1017" s="4" t="inlineStr">
        <is>
          <t>Bihar</t>
        </is>
      </c>
      <c r="B1017" s="5" t="inlineStr">
        <is>
          <t>Spatial</t>
        </is>
      </c>
      <c r="C1017" s="6" t="inlineStr">
        <is>
          <t>2026_BIH_1052309_61</t>
        </is>
      </c>
      <c r="D1017" s="7" t="inlineStr">
        <is>
          <t>Spatial-Based Geospatial Road Asset Inventory &amp; Pavement Condition Digital Survey</t>
        </is>
      </c>
      <c r="E1017" s="7" t="inlineStr">
        <is>
          <t>PUBLIC WORKS &amp; HIGHWAYS DEPARTMENT</t>
        </is>
      </c>
      <c r="F1017" s="6" t="inlineStr">
        <is>
          <t>22 Aug 2026</t>
        </is>
      </c>
      <c r="G1017" s="5" t="inlineStr">
        <is>
          <t>12 Sep 2026</t>
        </is>
      </c>
      <c r="H1017" s="8" t="inlineStr">
        <is>
          <t>⏳ UPCOMING</t>
        </is>
      </c>
      <c r="I1017" s="4" t="inlineStr">
        <is>
          <t>Tendernotice_2026_BIH_1052309_61.pdf</t>
        </is>
      </c>
      <c r="J1017" s="6" t="inlineStr">
        <is>
          <t>📕 PDF Document</t>
        </is>
      </c>
      <c r="K1017" s="9" t="n">
        <v>17.9</v>
      </c>
      <c r="L1017" s="10">
        <f>HYPERLINK("http://127.0.0.1:8000/api/documents/download?id=3085&amp;attachment=true", "⬇ Download Tendernotice_2026_BIH_10")</f>
        <v/>
      </c>
      <c r="M1017" s="10">
        <f>HYPERLINK("http://localhost:5173/?state=Bihar&amp;keyword=Spatial&amp;tender=2026_BIH_1052309_61", "🚀 Open in Portal")</f>
        <v/>
      </c>
    </row>
    <row r="1018" ht="24" customHeight="1">
      <c r="A1018" s="11" t="inlineStr">
        <is>
          <t>Bihar</t>
        </is>
      </c>
      <c r="B1018" s="12" t="inlineStr">
        <is>
          <t>Spatial</t>
        </is>
      </c>
      <c r="C1018" s="13" t="inlineStr">
        <is>
          <t>2026_BIH_1052309_61</t>
        </is>
      </c>
      <c r="D1018" s="14" t="inlineStr">
        <is>
          <t>Spatial-Based Geospatial Road Asset Inventory &amp; Pavement Condition Digital Survey</t>
        </is>
      </c>
      <c r="E1018" s="14" t="inlineStr">
        <is>
          <t>PUBLIC WORKS &amp; HIGHWAYS DEPARTMENT</t>
        </is>
      </c>
      <c r="F1018" s="13" t="inlineStr">
        <is>
          <t>22 Aug 2026</t>
        </is>
      </c>
      <c r="G1018" s="12" t="inlineStr">
        <is>
          <t>12 Sep 2026</t>
        </is>
      </c>
      <c r="H1018" s="8" t="inlineStr">
        <is>
          <t>⏳ UPCOMING</t>
        </is>
      </c>
      <c r="I1018" s="11" t="inlineStr">
        <is>
          <t>Technical_RFP_Specification_Spatial.pdf</t>
        </is>
      </c>
      <c r="J1018" s="13" t="inlineStr">
        <is>
          <t>📕 PDF Document</t>
        </is>
      </c>
      <c r="K1018" s="15" t="n">
        <v>17.9</v>
      </c>
      <c r="L1018" s="16">
        <f>HYPERLINK("http://127.0.0.1:8000/api/documents/download?id=3086&amp;attachment=true", "⬇ Download Technical_RFP_Specificat")</f>
        <v/>
      </c>
      <c r="M1018" s="16">
        <f>HYPERLINK("http://localhost:5173/?state=Bihar&amp;keyword=Spatial&amp;tender=2026_BIH_1052309_61", "🚀 Open in Portal")</f>
        <v/>
      </c>
    </row>
    <row r="1019" ht="24" customHeight="1">
      <c r="A1019" s="4" t="inlineStr">
        <is>
          <t>Bihar</t>
        </is>
      </c>
      <c r="B1019" s="5" t="inlineStr">
        <is>
          <t>Spatial</t>
        </is>
      </c>
      <c r="C1019" s="6" t="inlineStr">
        <is>
          <t>2026_BIH_1052309_61</t>
        </is>
      </c>
      <c r="D1019" s="7" t="inlineStr">
        <is>
          <t>Spatial-Based Geospatial Road Asset Inventory &amp; Pavement Condition Digital Survey</t>
        </is>
      </c>
      <c r="E1019" s="7" t="inlineStr">
        <is>
          <t>PUBLIC WORKS &amp; HIGHWAYS DEPARTMENT</t>
        </is>
      </c>
      <c r="F1019" s="6" t="inlineStr">
        <is>
          <t>22 Aug 2026</t>
        </is>
      </c>
      <c r="G1019" s="5" t="inlineStr">
        <is>
          <t>12 Sep 2026</t>
        </is>
      </c>
      <c r="H1019" s="8" t="inlineStr">
        <is>
          <t>⏳ UPCOMING</t>
        </is>
      </c>
      <c r="I1019" s="4" t="inlineStr">
        <is>
          <t>BOQ_Financial_Schedule_2026_BIH_1052309_61.xlsx</t>
        </is>
      </c>
      <c r="J1019" s="6" t="inlineStr">
        <is>
          <t>📊 Excel BOQ</t>
        </is>
      </c>
      <c r="K1019" s="9" t="n">
        <v>2.4</v>
      </c>
      <c r="L1019" s="10">
        <f>HYPERLINK("http://127.0.0.1:8000/api/documents/download?id=3087&amp;attachment=true", "⬇ Download BOQ_Financial_Schedule_2")</f>
        <v/>
      </c>
      <c r="M1019" s="10">
        <f>HYPERLINK("http://localhost:5173/?state=Bihar&amp;keyword=Spatial&amp;tender=2026_BIH_1052309_61", "🚀 Open in Portal")</f>
        <v/>
      </c>
    </row>
    <row r="1020" ht="24" customHeight="1">
      <c r="A1020" s="11" t="inlineStr">
        <is>
          <t>Bihar</t>
        </is>
      </c>
      <c r="B1020" s="12" t="inlineStr">
        <is>
          <t>Spatial</t>
        </is>
      </c>
      <c r="C1020" s="13" t="inlineStr">
        <is>
          <t>2026_BIH_1052309_61</t>
        </is>
      </c>
      <c r="D1020" s="14" t="inlineStr">
        <is>
          <t>Spatial-Based Geospatial Road Asset Inventory &amp; Pavement Condition Digital Survey</t>
        </is>
      </c>
      <c r="E1020" s="14" t="inlineStr">
        <is>
          <t>PUBLIC WORKS &amp; HIGHWAYS DEPARTMENT</t>
        </is>
      </c>
      <c r="F1020" s="13" t="inlineStr">
        <is>
          <t>22 Aug 2026</t>
        </is>
      </c>
      <c r="G1020" s="12" t="inlineStr">
        <is>
          <t>12 Sep 2026</t>
        </is>
      </c>
      <c r="H1020" s="8" t="inlineStr">
        <is>
          <t>⏳ UPCOMING</t>
        </is>
      </c>
      <c r="I1020" s="11" t="inlineStr">
        <is>
          <t>Tender_2026_BIH_1052309_61_All_Documents.zip</t>
        </is>
      </c>
      <c r="J1020" s="13" t="inlineStr">
        <is>
          <t>📦 ZIP Package</t>
        </is>
      </c>
      <c r="K1020" s="15" t="n">
        <v>45</v>
      </c>
      <c r="L1020" s="16">
        <f>HYPERLINK("https://eproc2.bihar.gov.in/tender/2026_BIH_1052309_61", "⬇ Download Tender_2026_BIH_1052309_")</f>
        <v/>
      </c>
      <c r="M1020" s="16">
        <f>HYPERLINK("http://localhost:5173/?state=Bihar&amp;keyword=Spatial&amp;tender=2026_BIH_1052309_61", "🚀 Open in Portal")</f>
        <v/>
      </c>
    </row>
    <row r="1021" ht="24" customHeight="1">
      <c r="A1021" s="4" t="inlineStr">
        <is>
          <t>Bihar</t>
        </is>
      </c>
      <c r="B1021" s="5" t="inlineStr">
        <is>
          <t>Spatial</t>
        </is>
      </c>
      <c r="C1021" s="6" t="inlineStr">
        <is>
          <t>BPROC2-FOREST-2026-5519</t>
        </is>
      </c>
      <c r="D1021" s="7" t="inlineStr">
        <is>
          <t>Afforestation Satellite Geo-tagging and Forest Boundary Spatial Mapping Service</t>
        </is>
      </c>
      <c r="E1021" s="7" t="inlineStr">
        <is>
          <t>ENVIRONMENT, FOREST &amp; CLIMATE CHANGE DEPT-Patna</t>
        </is>
      </c>
      <c r="F1021" s="6" t="inlineStr">
        <is>
          <t>24 Sep 2026</t>
        </is>
      </c>
      <c r="G1021" s="5" t="inlineStr">
        <is>
          <t>11 Nov 2026</t>
        </is>
      </c>
      <c r="H1021" s="17" t="inlineStr">
        <is>
          <t>🟢 LIVE ACTIVE</t>
        </is>
      </c>
      <c r="I1021" s="4" t="inlineStr">
        <is>
          <t>Forest_Geotagging_RFP_Bihar.pdf</t>
        </is>
      </c>
      <c r="J1021" s="6" t="inlineStr">
        <is>
          <t>📕 PDF Document</t>
        </is>
      </c>
      <c r="K1021" s="9" t="n">
        <v>17.8</v>
      </c>
      <c r="L1021" s="10">
        <f>HYPERLINK("http://127.0.0.1:8000/api/documents/download?id=2805&amp;attachment=true", "⬇ Download Forest_Geotagging_RFP_Bi")</f>
        <v/>
      </c>
      <c r="M1021" s="10">
        <f>HYPERLINK("http://localhost:5173/?state=Bihar&amp;keyword=Spatial&amp;tender=BPROC2-FOREST-2026-5519", "🚀 Open in Portal")</f>
        <v/>
      </c>
    </row>
    <row r="1022" ht="24" customHeight="1">
      <c r="A1022" s="11" t="inlineStr">
        <is>
          <t>Bihar</t>
        </is>
      </c>
      <c r="B1022" s="12" t="inlineStr">
        <is>
          <t>Spatial</t>
        </is>
      </c>
      <c r="C1022" s="13" t="inlineStr">
        <is>
          <t>BPROC2-FOREST-2026-5519</t>
        </is>
      </c>
      <c r="D1022" s="14" t="inlineStr">
        <is>
          <t>Afforestation Satellite Geo-tagging and Forest Boundary Spatial Mapping Service</t>
        </is>
      </c>
      <c r="E1022" s="14" t="inlineStr">
        <is>
          <t>ENVIRONMENT, FOREST &amp; CLIMATE CHANGE DEPT-Patna</t>
        </is>
      </c>
      <c r="F1022" s="13" t="inlineStr">
        <is>
          <t>24 Sep 2026</t>
        </is>
      </c>
      <c r="G1022" s="12" t="inlineStr">
        <is>
          <t>11 Nov 2026</t>
        </is>
      </c>
      <c r="H1022" s="17" t="inlineStr">
        <is>
          <t>🟢 LIVE ACTIVE</t>
        </is>
      </c>
      <c r="I1022" s="11" t="inlineStr">
        <is>
          <t>Boundary_Pillar_Coordinates.xlsx</t>
        </is>
      </c>
      <c r="J1022" s="13" t="inlineStr">
        <is>
          <t>📊 Excel BOQ</t>
        </is>
      </c>
      <c r="K1022" s="15" t="n">
        <v>2.5</v>
      </c>
      <c r="L1022" s="16">
        <f>HYPERLINK("http://127.0.0.1:8000/api/documents/download?id=2806&amp;attachment=true", "⬇ Download Boundary_Pillar_Coordina")</f>
        <v/>
      </c>
      <c r="M1022" s="16">
        <f>HYPERLINK("http://localhost:5173/?state=Bihar&amp;keyword=Spatial&amp;tender=BPROC2-FOREST-2026-5519", "🚀 Open in Portal")</f>
        <v/>
      </c>
    </row>
    <row r="1023" ht="24" customHeight="1">
      <c r="A1023" s="4" t="inlineStr">
        <is>
          <t>Bihar</t>
        </is>
      </c>
      <c r="B1023" s="5" t="inlineStr">
        <is>
          <t>Spatial</t>
        </is>
      </c>
      <c r="C1023" s="6" t="inlineStr">
        <is>
          <t>BPROC2-FOREST-2026-5519</t>
        </is>
      </c>
      <c r="D1023" s="7" t="inlineStr">
        <is>
          <t>Afforestation Satellite Geo-tagging and Forest Boundary Spatial Mapping Service</t>
        </is>
      </c>
      <c r="E1023" s="7" t="inlineStr">
        <is>
          <t>ENVIRONMENT, FOREST &amp; CLIMATE CHANGE DEPT-Patna</t>
        </is>
      </c>
      <c r="F1023" s="6" t="inlineStr">
        <is>
          <t>24 Sep 2026</t>
        </is>
      </c>
      <c r="G1023" s="5" t="inlineStr">
        <is>
          <t>11 Nov 2026</t>
        </is>
      </c>
      <c r="H1023" s="17" t="inlineStr">
        <is>
          <t>🟢 LIVE ACTIVE</t>
        </is>
      </c>
      <c r="I1023" s="4" t="inlineStr">
        <is>
          <t>Tender_BPROC2-FOREST-2026-5519_All_Documents.zip</t>
        </is>
      </c>
      <c r="J1023" s="6" t="inlineStr">
        <is>
          <t>📦 ZIP Package</t>
        </is>
      </c>
      <c r="K1023" s="9" t="n">
        <v>11.6</v>
      </c>
      <c r="L1023" s="10">
        <f>HYPERLINK("http://127.0.0.1:8000/api/documents/download?id=3008&amp;attachment=true", "⬇ Download Tender_BPROC2-FOREST-202")</f>
        <v/>
      </c>
      <c r="M1023" s="10">
        <f>HYPERLINK("http://localhost:5173/?state=Bihar&amp;keyword=Spatial&amp;tender=BPROC2-FOREST-2026-5519", "🚀 Open in Portal")</f>
        <v/>
      </c>
    </row>
    <row r="1024" ht="24" customHeight="1">
      <c r="A1024" s="11" t="inlineStr">
        <is>
          <t>Bihar</t>
        </is>
      </c>
      <c r="B1024" s="12" t="inlineStr">
        <is>
          <t>Software Development</t>
        </is>
      </c>
      <c r="C1024" s="13" t="inlineStr">
        <is>
          <t>BPROC2-AGRI-2026-7821</t>
        </is>
      </c>
      <c r="D1024" s="14" t="inlineStr">
        <is>
          <t>Digital Agriculture Crop Monitoring &amp; Farmer Benefit MIS Disbursement Portal</t>
        </is>
      </c>
      <c r="E1024" s="14" t="inlineStr">
        <is>
          <t>DEPARTMENT OF AGRICULTURE-Vikas Bhawan, Patna</t>
        </is>
      </c>
      <c r="F1024" s="13" t="inlineStr">
        <is>
          <t>26 Aug 2026</t>
        </is>
      </c>
      <c r="G1024" s="12" t="inlineStr">
        <is>
          <t>24 Sep 2026</t>
        </is>
      </c>
      <c r="H1024" s="8" t="inlineStr">
        <is>
          <t>⏳ UPCOMING</t>
        </is>
      </c>
      <c r="I1024" s="11" t="inlineStr">
        <is>
          <t>Agri_Benefit_MIS_Tender_Notice.pdf</t>
        </is>
      </c>
      <c r="J1024" s="13" t="inlineStr">
        <is>
          <t>📕 PDF Document</t>
        </is>
      </c>
      <c r="K1024" s="15" t="n">
        <v>17.9</v>
      </c>
      <c r="L1024" s="16">
        <f>HYPERLINK("http://127.0.0.1:8000/api/documents/download?id=2803&amp;attachment=true", "⬇ Download Agri_Benefit_MIS_Tender_")</f>
        <v/>
      </c>
      <c r="M1024" s="16">
        <f>HYPERLINK("http://localhost:5173/?state=Bihar&amp;keyword=Software%20Development&amp;tender=BPROC2-AGRI-2026-7821", "🚀 Open in Portal")</f>
        <v/>
      </c>
    </row>
    <row r="1025" ht="24" customHeight="1">
      <c r="A1025" s="4" t="inlineStr">
        <is>
          <t>Bihar</t>
        </is>
      </c>
      <c r="B1025" s="5" t="inlineStr">
        <is>
          <t>Software Development</t>
        </is>
      </c>
      <c r="C1025" s="6" t="inlineStr">
        <is>
          <t>BPROC2-AGRI-2026-7821</t>
        </is>
      </c>
      <c r="D1025" s="7" t="inlineStr">
        <is>
          <t>Digital Agriculture Crop Monitoring &amp; Farmer Benefit MIS Disbursement Portal</t>
        </is>
      </c>
      <c r="E1025" s="7" t="inlineStr">
        <is>
          <t>DEPARTMENT OF AGRICULTURE-Vikas Bhawan, Patna</t>
        </is>
      </c>
      <c r="F1025" s="6" t="inlineStr">
        <is>
          <t>26 Aug 2026</t>
        </is>
      </c>
      <c r="G1025" s="5" t="inlineStr">
        <is>
          <t>24 Sep 2026</t>
        </is>
      </c>
      <c r="H1025" s="8" t="inlineStr">
        <is>
          <t>⏳ UPCOMING</t>
        </is>
      </c>
      <c r="I1025" s="4" t="inlineStr">
        <is>
          <t>Software_Architecture_Guidelines.pdf</t>
        </is>
      </c>
      <c r="J1025" s="6" t="inlineStr">
        <is>
          <t>📕 PDF Document</t>
        </is>
      </c>
      <c r="K1025" s="9" t="n">
        <v>17.9</v>
      </c>
      <c r="L1025" s="10">
        <f>HYPERLINK("http://127.0.0.1:8000/api/documents/download?id=2804&amp;attachment=true", "⬇ Download Software_Architecture_Gu")</f>
        <v/>
      </c>
      <c r="M1025" s="10">
        <f>HYPERLINK("http://localhost:5173/?state=Bihar&amp;keyword=Software%20Development&amp;tender=BPROC2-AGRI-2026-7821", "🚀 Open in Portal")</f>
        <v/>
      </c>
    </row>
    <row r="1026" ht="24" customHeight="1">
      <c r="A1026" s="11" t="inlineStr">
        <is>
          <t>Bihar</t>
        </is>
      </c>
      <c r="B1026" s="12" t="inlineStr">
        <is>
          <t>Software Development</t>
        </is>
      </c>
      <c r="C1026" s="13" t="inlineStr">
        <is>
          <t>BPROC2-AGRI-2026-7821</t>
        </is>
      </c>
      <c r="D1026" s="14" t="inlineStr">
        <is>
          <t>Digital Agriculture Crop Monitoring &amp; Farmer Benefit MIS Disbursement Portal</t>
        </is>
      </c>
      <c r="E1026" s="14" t="inlineStr">
        <is>
          <t>DEPARTMENT OF AGRICULTURE-Vikas Bhawan, Patna</t>
        </is>
      </c>
      <c r="F1026" s="13" t="inlineStr">
        <is>
          <t>26 Aug 2026</t>
        </is>
      </c>
      <c r="G1026" s="12" t="inlineStr">
        <is>
          <t>24 Sep 2026</t>
        </is>
      </c>
      <c r="H1026" s="8" t="inlineStr">
        <is>
          <t>⏳ UPCOMING</t>
        </is>
      </c>
      <c r="I1026" s="11" t="inlineStr">
        <is>
          <t>Tender_BPROC2-AGRI-2026-7821_All_Documents.zip</t>
        </is>
      </c>
      <c r="J1026" s="13" t="inlineStr">
        <is>
          <t>📦 ZIP Package</t>
        </is>
      </c>
      <c r="K1026" s="15" t="n">
        <v>18.7</v>
      </c>
      <c r="L1026" s="16">
        <f>HYPERLINK("http://127.0.0.1:8000/api/documents/download?id=3007&amp;attachment=true", "⬇ Download Tender_BPROC2-AGRI-2026-")</f>
        <v/>
      </c>
      <c r="M1026" s="16">
        <f>HYPERLINK("http://localhost:5173/?state=Bihar&amp;keyword=Software%20Development&amp;tender=BPROC2-AGRI-2026-7821", "🚀 Open in Portal")</f>
        <v/>
      </c>
    </row>
    <row r="1027" ht="24" customHeight="1">
      <c r="A1027" s="4" t="inlineStr">
        <is>
          <t>Bihar</t>
        </is>
      </c>
      <c r="B1027" s="5" t="inlineStr">
        <is>
          <t>MIS</t>
        </is>
      </c>
      <c r="C1027" s="6" t="inlineStr">
        <is>
          <t>BPROC2-AGRI-2026-7821</t>
        </is>
      </c>
      <c r="D1027" s="7" t="inlineStr">
        <is>
          <t>Digital Agriculture Crop Monitoring &amp; Farmer Benefit MIS Disbursement Portal</t>
        </is>
      </c>
      <c r="E1027" s="7" t="inlineStr">
        <is>
          <t>DEPARTMENT OF AGRICULTURE-Vikas Bhawan, Patna</t>
        </is>
      </c>
      <c r="F1027" s="6" t="inlineStr">
        <is>
          <t>26 Aug 2026</t>
        </is>
      </c>
      <c r="G1027" s="5" t="inlineStr">
        <is>
          <t>24 Sep 2026</t>
        </is>
      </c>
      <c r="H1027" s="8" t="inlineStr">
        <is>
          <t>⏳ UPCOMING</t>
        </is>
      </c>
      <c r="I1027" s="4" t="inlineStr">
        <is>
          <t>Agri_Benefit_MIS_Tender_Notice.pdf</t>
        </is>
      </c>
      <c r="J1027" s="6" t="inlineStr">
        <is>
          <t>📕 PDF Document</t>
        </is>
      </c>
      <c r="K1027" s="9" t="n">
        <v>17.9</v>
      </c>
      <c r="L1027" s="10">
        <f>HYPERLINK("http://127.0.0.1:8000/api/documents/download?id=2803&amp;attachment=true", "⬇ Download Agri_Benefit_MIS_Tender_")</f>
        <v/>
      </c>
      <c r="M1027" s="10">
        <f>HYPERLINK("http://localhost:5173/?state=Bihar&amp;keyword=MIS&amp;tender=BPROC2-AGRI-2026-7821", "🚀 Open in Portal")</f>
        <v/>
      </c>
    </row>
    <row r="1028" ht="24" customHeight="1">
      <c r="A1028" s="11" t="inlineStr">
        <is>
          <t>Bihar</t>
        </is>
      </c>
      <c r="B1028" s="12" t="inlineStr">
        <is>
          <t>MIS</t>
        </is>
      </c>
      <c r="C1028" s="13" t="inlineStr">
        <is>
          <t>BPROC2-AGRI-2026-7821</t>
        </is>
      </c>
      <c r="D1028" s="14" t="inlineStr">
        <is>
          <t>Digital Agriculture Crop Monitoring &amp; Farmer Benefit MIS Disbursement Portal</t>
        </is>
      </c>
      <c r="E1028" s="14" t="inlineStr">
        <is>
          <t>DEPARTMENT OF AGRICULTURE-Vikas Bhawan, Patna</t>
        </is>
      </c>
      <c r="F1028" s="13" t="inlineStr">
        <is>
          <t>26 Aug 2026</t>
        </is>
      </c>
      <c r="G1028" s="12" t="inlineStr">
        <is>
          <t>24 Sep 2026</t>
        </is>
      </c>
      <c r="H1028" s="8" t="inlineStr">
        <is>
          <t>⏳ UPCOMING</t>
        </is>
      </c>
      <c r="I1028" s="11" t="inlineStr">
        <is>
          <t>Software_Architecture_Guidelines.pdf</t>
        </is>
      </c>
      <c r="J1028" s="13" t="inlineStr">
        <is>
          <t>📕 PDF Document</t>
        </is>
      </c>
      <c r="K1028" s="15" t="n">
        <v>17.9</v>
      </c>
      <c r="L1028" s="16">
        <f>HYPERLINK("http://127.0.0.1:8000/api/documents/download?id=2804&amp;attachment=true", "⬇ Download Software_Architecture_Gu")</f>
        <v/>
      </c>
      <c r="M1028" s="16">
        <f>HYPERLINK("http://localhost:5173/?state=Bihar&amp;keyword=MIS&amp;tender=BPROC2-AGRI-2026-7821", "🚀 Open in Portal")</f>
        <v/>
      </c>
    </row>
    <row r="1029" ht="24" customHeight="1">
      <c r="A1029" s="4" t="inlineStr">
        <is>
          <t>Bihar</t>
        </is>
      </c>
      <c r="B1029" s="5" t="inlineStr">
        <is>
          <t>MIS</t>
        </is>
      </c>
      <c r="C1029" s="6" t="inlineStr">
        <is>
          <t>BPROC2-AGRI-2026-7821</t>
        </is>
      </c>
      <c r="D1029" s="7" t="inlineStr">
        <is>
          <t>Digital Agriculture Crop Monitoring &amp; Farmer Benefit MIS Disbursement Portal</t>
        </is>
      </c>
      <c r="E1029" s="7" t="inlineStr">
        <is>
          <t>DEPARTMENT OF AGRICULTURE-Vikas Bhawan, Patna</t>
        </is>
      </c>
      <c r="F1029" s="6" t="inlineStr">
        <is>
          <t>26 Aug 2026</t>
        </is>
      </c>
      <c r="G1029" s="5" t="inlineStr">
        <is>
          <t>24 Sep 2026</t>
        </is>
      </c>
      <c r="H1029" s="8" t="inlineStr">
        <is>
          <t>⏳ UPCOMING</t>
        </is>
      </c>
      <c r="I1029" s="4" t="inlineStr">
        <is>
          <t>Tender_BPROC2-AGRI-2026-7821_All_Documents.zip</t>
        </is>
      </c>
      <c r="J1029" s="6" t="inlineStr">
        <is>
          <t>📦 ZIP Package</t>
        </is>
      </c>
      <c r="K1029" s="9" t="n">
        <v>18.7</v>
      </c>
      <c r="L1029" s="10">
        <f>HYPERLINK("http://127.0.0.1:8000/api/documents/download?id=3007&amp;attachment=true", "⬇ Download Tender_BPROC2-AGRI-2026-")</f>
        <v/>
      </c>
      <c r="M1029" s="10">
        <f>HYPERLINK("http://localhost:5173/?state=Bihar&amp;keyword=MIS&amp;tender=BPROC2-AGRI-2026-7821", "🚀 Open in Portal")</f>
        <v/>
      </c>
    </row>
    <row r="1030" ht="24" customHeight="1">
      <c r="A1030" s="11" t="inlineStr">
        <is>
          <t>Bihar</t>
        </is>
      </c>
      <c r="B1030" s="12" t="inlineStr">
        <is>
          <t>Mobile Application</t>
        </is>
      </c>
      <c r="C1030" s="13" t="inlineStr">
        <is>
          <t>BPROC2-HEALTH-2026-2291</t>
        </is>
      </c>
      <c r="D1030" s="14" t="inlineStr">
        <is>
          <t>Procurement of ICT Equipment, Telemedicine Systems &amp; Primary Health Software</t>
        </is>
      </c>
      <c r="E1030" s="14" t="inlineStr">
        <is>
          <t>BIHAR MEDICAL SERVICES &amp; INFRASTRUCTURE CORP (BMSICL)</t>
        </is>
      </c>
      <c r="F1030" s="13" t="inlineStr">
        <is>
          <t>24 Jul 2026</t>
        </is>
      </c>
      <c r="G1030" s="12" t="inlineStr">
        <is>
          <t>19 Aug 2026</t>
        </is>
      </c>
      <c r="H1030" s="8" t="inlineStr">
        <is>
          <t>⏳ UPCOMING</t>
        </is>
      </c>
      <c r="I1030" s="11" t="inlineStr">
        <is>
          <t>BMSICL_Telemedicine_Bid_Document.pdf</t>
        </is>
      </c>
      <c r="J1030" s="13" t="inlineStr">
        <is>
          <t>📕 PDF Document</t>
        </is>
      </c>
      <c r="K1030" s="15" t="n">
        <v>17.9</v>
      </c>
      <c r="L1030" s="16">
        <f>HYPERLINK("http://127.0.0.1:8000/api/documents/download?id=2807&amp;attachment=true", "⬇ Download BMSICL_Telemedicine_Bid_")</f>
        <v/>
      </c>
      <c r="M1030" s="16">
        <f>HYPERLINK("http://localhost:5173/?state=Bihar&amp;keyword=Mobile%20Application&amp;tender=BPROC2-HEALTH-2026-2291", "🚀 Open in Portal")</f>
        <v/>
      </c>
    </row>
    <row r="1031" ht="24" customHeight="1">
      <c r="A1031" s="4" t="inlineStr">
        <is>
          <t>Bihar</t>
        </is>
      </c>
      <c r="B1031" s="5" t="inlineStr">
        <is>
          <t>Mobile Application</t>
        </is>
      </c>
      <c r="C1031" s="6" t="inlineStr">
        <is>
          <t>BPROC2-HEALTH-2026-2291</t>
        </is>
      </c>
      <c r="D1031" s="7" t="inlineStr">
        <is>
          <t>Procurement of ICT Equipment, Telemedicine Systems &amp; Primary Health Software</t>
        </is>
      </c>
      <c r="E1031" s="7" t="inlineStr">
        <is>
          <t>BIHAR MEDICAL SERVICES &amp; INFRASTRUCTURE CORP (BMSICL)</t>
        </is>
      </c>
      <c r="F1031" s="6" t="inlineStr">
        <is>
          <t>24 Jul 2026</t>
        </is>
      </c>
      <c r="G1031" s="5" t="inlineStr">
        <is>
          <t>19 Aug 2026</t>
        </is>
      </c>
      <c r="H1031" s="8" t="inlineStr">
        <is>
          <t>⏳ UPCOMING</t>
        </is>
      </c>
      <c r="I1031" s="4" t="inlineStr">
        <is>
          <t>Hardware_BOQ_and_Schedule.pdf</t>
        </is>
      </c>
      <c r="J1031" s="6" t="inlineStr">
        <is>
          <t>📕 PDF Document</t>
        </is>
      </c>
      <c r="K1031" s="9" t="n">
        <v>17.9</v>
      </c>
      <c r="L1031" s="10">
        <f>HYPERLINK("http://127.0.0.1:8000/api/documents/download?id=2808&amp;attachment=true", "⬇ Download Hardware_BOQ_and_Schedul")</f>
        <v/>
      </c>
      <c r="M1031" s="10">
        <f>HYPERLINK("http://localhost:5173/?state=Bihar&amp;keyword=Mobile%20Application&amp;tender=BPROC2-HEALTH-2026-2291", "🚀 Open in Portal")</f>
        <v/>
      </c>
    </row>
    <row r="1032" ht="24" customHeight="1">
      <c r="A1032" s="11" t="inlineStr">
        <is>
          <t>Bihar</t>
        </is>
      </c>
      <c r="B1032" s="12" t="inlineStr">
        <is>
          <t>Mobile Application</t>
        </is>
      </c>
      <c r="C1032" s="13" t="inlineStr">
        <is>
          <t>BPROC2-HEALTH-2026-2291</t>
        </is>
      </c>
      <c r="D1032" s="14" t="inlineStr">
        <is>
          <t>Procurement of ICT Equipment, Telemedicine Systems &amp; Primary Health Software</t>
        </is>
      </c>
      <c r="E1032" s="14" t="inlineStr">
        <is>
          <t>BIHAR MEDICAL SERVICES &amp; INFRASTRUCTURE CORP (BMSICL)</t>
        </is>
      </c>
      <c r="F1032" s="13" t="inlineStr">
        <is>
          <t>24 Jul 2026</t>
        </is>
      </c>
      <c r="G1032" s="12" t="inlineStr">
        <is>
          <t>19 Aug 2026</t>
        </is>
      </c>
      <c r="H1032" s="8" t="inlineStr">
        <is>
          <t>⏳ UPCOMING</t>
        </is>
      </c>
      <c r="I1032" s="11" t="inlineStr">
        <is>
          <t>Tender_BPROC2-HEALTH-2026-2291_All_Documents.zip</t>
        </is>
      </c>
      <c r="J1032" s="13" t="inlineStr">
        <is>
          <t>📦 ZIP Package</t>
        </is>
      </c>
      <c r="K1032" s="15" t="n">
        <v>18.7</v>
      </c>
      <c r="L1032" s="16">
        <f>HYPERLINK("http://127.0.0.1:8000/api/documents/download?id=3009&amp;attachment=true", "⬇ Download Tender_BPROC2-HEALTH-202")</f>
        <v/>
      </c>
      <c r="M1032" s="16">
        <f>HYPERLINK("http://localhost:5173/?state=Bihar&amp;keyword=Mobile%20Application&amp;tender=BPROC2-HEALTH-2026-2291", "🚀 Open in Portal")</f>
        <v/>
      </c>
    </row>
    <row r="1033" ht="24" customHeight="1">
      <c r="A1033" s="4" t="inlineStr">
        <is>
          <t>Bihar</t>
        </is>
      </c>
      <c r="B1033" s="5" t="inlineStr">
        <is>
          <t>Mapping</t>
        </is>
      </c>
      <c r="C1033" s="6" t="inlineStr">
        <is>
          <t>2026_BIH_8905316_44</t>
        </is>
      </c>
      <c r="D1033" s="7" t="inlineStr">
        <is>
          <t>Mapping-Based High Resolution Satellite Imagery Land Use &amp; Land Cover Spatial Mapping</t>
        </is>
      </c>
      <c r="E1033" s="7" t="inlineStr">
        <is>
          <t>DEPARTMENT OF SCIENCE, TECHNOLOGY &amp; REMOTE SENSING</t>
        </is>
      </c>
      <c r="F1033" s="6" t="inlineStr">
        <is>
          <t>08 Sep 2026</t>
        </is>
      </c>
      <c r="G1033" s="5" t="inlineStr">
        <is>
          <t>03 Oct 2026</t>
        </is>
      </c>
      <c r="H1033" s="8" t="inlineStr">
        <is>
          <t>⏳ UPCOMING</t>
        </is>
      </c>
      <c r="I1033" s="4" t="inlineStr">
        <is>
          <t>Tendernotice_2026_BIH_8905316_44.pdf</t>
        </is>
      </c>
      <c r="J1033" s="6" t="inlineStr">
        <is>
          <t>📕 PDF Document</t>
        </is>
      </c>
      <c r="K1033" s="9" t="n">
        <v>7.7</v>
      </c>
      <c r="L1033" s="10">
        <f>HYPERLINK("http://127.0.0.1:8000/api/documents/download?id=3477&amp;attachment=true", "⬇ Download Tendernotice_2026_BIH_89")</f>
        <v/>
      </c>
      <c r="M1033" s="10">
        <f>HYPERLINK("http://localhost:5173/?state=Bihar&amp;keyword=Mapping&amp;tender=2026_BIH_8905316_44", "🚀 Open in Portal")</f>
        <v/>
      </c>
    </row>
    <row r="1034" ht="24" customHeight="1">
      <c r="A1034" s="11" t="inlineStr">
        <is>
          <t>Bihar</t>
        </is>
      </c>
      <c r="B1034" s="12" t="inlineStr">
        <is>
          <t>Mapping</t>
        </is>
      </c>
      <c r="C1034" s="13" t="inlineStr">
        <is>
          <t>2026_BIH_8905316_44</t>
        </is>
      </c>
      <c r="D1034" s="14" t="inlineStr">
        <is>
          <t>Mapping-Based High Resolution Satellite Imagery Land Use &amp; Land Cover Spatial Mapping</t>
        </is>
      </c>
      <c r="E1034" s="14" t="inlineStr">
        <is>
          <t>DEPARTMENT OF SCIENCE, TECHNOLOGY &amp; REMOTE SENSING</t>
        </is>
      </c>
      <c r="F1034" s="13" t="inlineStr">
        <is>
          <t>08 Sep 2026</t>
        </is>
      </c>
      <c r="G1034" s="12" t="inlineStr">
        <is>
          <t>03 Oct 2026</t>
        </is>
      </c>
      <c r="H1034" s="8" t="inlineStr">
        <is>
          <t>⏳ UPCOMING</t>
        </is>
      </c>
      <c r="I1034" s="11" t="inlineStr">
        <is>
          <t>Technical_RFP_Specification_Mapping.pdf</t>
        </is>
      </c>
      <c r="J1034" s="13" t="inlineStr">
        <is>
          <t>📕 PDF Document</t>
        </is>
      </c>
      <c r="K1034" s="15" t="n">
        <v>7.7</v>
      </c>
      <c r="L1034" s="16">
        <f>HYPERLINK("http://127.0.0.1:8000/api/documents/download?id=3478&amp;attachment=true", "⬇ Download Technical_RFP_Specificat")</f>
        <v/>
      </c>
      <c r="M1034" s="16">
        <f>HYPERLINK("http://localhost:5173/?state=Bihar&amp;keyword=Mapping&amp;tender=2026_BIH_8905316_44", "🚀 Open in Portal")</f>
        <v/>
      </c>
    </row>
    <row r="1035" ht="24" customHeight="1">
      <c r="A1035" s="4" t="inlineStr">
        <is>
          <t>Bihar</t>
        </is>
      </c>
      <c r="B1035" s="5" t="inlineStr">
        <is>
          <t>Mapping</t>
        </is>
      </c>
      <c r="C1035" s="6" t="inlineStr">
        <is>
          <t>2026_BIH_8905316_44</t>
        </is>
      </c>
      <c r="D1035" s="7" t="inlineStr">
        <is>
          <t>Mapping-Based High Resolution Satellite Imagery Land Use &amp; Land Cover Spatial Mapping</t>
        </is>
      </c>
      <c r="E1035" s="7" t="inlineStr">
        <is>
          <t>DEPARTMENT OF SCIENCE, TECHNOLOGY &amp; REMOTE SENSING</t>
        </is>
      </c>
      <c r="F1035" s="6" t="inlineStr">
        <is>
          <t>08 Sep 2026</t>
        </is>
      </c>
      <c r="G1035" s="5" t="inlineStr">
        <is>
          <t>03 Oct 2026</t>
        </is>
      </c>
      <c r="H1035" s="8" t="inlineStr">
        <is>
          <t>⏳ UPCOMING</t>
        </is>
      </c>
      <c r="I1035" s="4" t="inlineStr">
        <is>
          <t>BOQ_Financial_Schedule_2026_BIH_8905316_44.xlsx</t>
        </is>
      </c>
      <c r="J1035" s="6" t="inlineStr">
        <is>
          <t>📊 Excel BOQ</t>
        </is>
      </c>
      <c r="K1035" s="9" t="n">
        <v>5.9</v>
      </c>
      <c r="L1035" s="10">
        <f>HYPERLINK("http://127.0.0.1:8000/api/documents/download?id=3479&amp;attachment=true", "⬇ Download BOQ_Financial_Schedule_2")</f>
        <v/>
      </c>
      <c r="M1035" s="10">
        <f>HYPERLINK("http://localhost:5173/?state=Bihar&amp;keyword=Mapping&amp;tender=2026_BIH_8905316_44", "🚀 Open in Portal")</f>
        <v/>
      </c>
    </row>
    <row r="1036" ht="24" customHeight="1">
      <c r="A1036" s="11" t="inlineStr">
        <is>
          <t>Bihar</t>
        </is>
      </c>
      <c r="B1036" s="12" t="inlineStr">
        <is>
          <t>Mapping</t>
        </is>
      </c>
      <c r="C1036" s="13" t="inlineStr">
        <is>
          <t>2026_BIH_8905316_44</t>
        </is>
      </c>
      <c r="D1036" s="14" t="inlineStr">
        <is>
          <t>Mapping-Based High Resolution Satellite Imagery Land Use &amp; Land Cover Spatial Mapping</t>
        </is>
      </c>
      <c r="E1036" s="14" t="inlineStr">
        <is>
          <t>DEPARTMENT OF SCIENCE, TECHNOLOGY &amp; REMOTE SENSING</t>
        </is>
      </c>
      <c r="F1036" s="13" t="inlineStr">
        <is>
          <t>08 Sep 2026</t>
        </is>
      </c>
      <c r="G1036" s="12" t="inlineStr">
        <is>
          <t>03 Oct 2026</t>
        </is>
      </c>
      <c r="H1036" s="8" t="inlineStr">
        <is>
          <t>⏳ UPCOMING</t>
        </is>
      </c>
      <c r="I1036" s="11" t="inlineStr">
        <is>
          <t>Tender_2026_BIH_8905316_44_All_Documents.zip</t>
        </is>
      </c>
      <c r="J1036" s="13" t="inlineStr">
        <is>
          <t>📦 ZIP Package</t>
        </is>
      </c>
      <c r="K1036" s="15" t="n">
        <v>45</v>
      </c>
      <c r="L1036" s="16">
        <f>HYPERLINK("https://eproc2.bihar.gov.in/tender/2026_BIH_8905316_44", "⬇ Download Tender_2026_BIH_8905316_")</f>
        <v/>
      </c>
      <c r="M1036" s="16">
        <f>HYPERLINK("http://localhost:5173/?state=Bihar&amp;keyword=Mapping&amp;tender=2026_BIH_8905316_44", "🚀 Open in Portal")</f>
        <v/>
      </c>
    </row>
    <row r="1037" ht="24" customHeight="1">
      <c r="A1037" s="4" t="inlineStr">
        <is>
          <t>Bihar</t>
        </is>
      </c>
      <c r="B1037" s="5" t="inlineStr">
        <is>
          <t>Mapping</t>
        </is>
      </c>
      <c r="C1037" s="6" t="inlineStr">
        <is>
          <t>BPROC2-FOREST-2026-5519</t>
        </is>
      </c>
      <c r="D1037" s="7" t="inlineStr">
        <is>
          <t>Afforestation Satellite Geo-tagging and Forest Boundary Spatial Mapping Service</t>
        </is>
      </c>
      <c r="E1037" s="7" t="inlineStr">
        <is>
          <t>ENVIRONMENT, FOREST &amp; CLIMATE CHANGE DEPT-Patna</t>
        </is>
      </c>
      <c r="F1037" s="6" t="inlineStr">
        <is>
          <t>24 Sep 2026</t>
        </is>
      </c>
      <c r="G1037" s="5" t="inlineStr">
        <is>
          <t>11 Nov 2026</t>
        </is>
      </c>
      <c r="H1037" s="17" t="inlineStr">
        <is>
          <t>🟢 LIVE ACTIVE</t>
        </is>
      </c>
      <c r="I1037" s="4" t="inlineStr">
        <is>
          <t>Forest_Geotagging_RFP_Bihar.pdf</t>
        </is>
      </c>
      <c r="J1037" s="6" t="inlineStr">
        <is>
          <t>📕 PDF Document</t>
        </is>
      </c>
      <c r="K1037" s="9" t="n">
        <v>17.8</v>
      </c>
      <c r="L1037" s="10">
        <f>HYPERLINK("http://127.0.0.1:8000/api/documents/download?id=2805&amp;attachment=true", "⬇ Download Forest_Geotagging_RFP_Bi")</f>
        <v/>
      </c>
      <c r="M1037" s="10">
        <f>HYPERLINK("http://localhost:5173/?state=Bihar&amp;keyword=Mapping&amp;tender=BPROC2-FOREST-2026-5519", "🚀 Open in Portal")</f>
        <v/>
      </c>
    </row>
    <row r="1038" ht="24" customHeight="1">
      <c r="A1038" s="11" t="inlineStr">
        <is>
          <t>Bihar</t>
        </is>
      </c>
      <c r="B1038" s="12" t="inlineStr">
        <is>
          <t>Mapping</t>
        </is>
      </c>
      <c r="C1038" s="13" t="inlineStr">
        <is>
          <t>BPROC2-FOREST-2026-5519</t>
        </is>
      </c>
      <c r="D1038" s="14" t="inlineStr">
        <is>
          <t>Afforestation Satellite Geo-tagging and Forest Boundary Spatial Mapping Service</t>
        </is>
      </c>
      <c r="E1038" s="14" t="inlineStr">
        <is>
          <t>ENVIRONMENT, FOREST &amp; CLIMATE CHANGE DEPT-Patna</t>
        </is>
      </c>
      <c r="F1038" s="13" t="inlineStr">
        <is>
          <t>24 Sep 2026</t>
        </is>
      </c>
      <c r="G1038" s="12" t="inlineStr">
        <is>
          <t>11 Nov 2026</t>
        </is>
      </c>
      <c r="H1038" s="17" t="inlineStr">
        <is>
          <t>🟢 LIVE ACTIVE</t>
        </is>
      </c>
      <c r="I1038" s="11" t="inlineStr">
        <is>
          <t>Boundary_Pillar_Coordinates.xlsx</t>
        </is>
      </c>
      <c r="J1038" s="13" t="inlineStr">
        <is>
          <t>📊 Excel BOQ</t>
        </is>
      </c>
      <c r="K1038" s="15" t="n">
        <v>2.5</v>
      </c>
      <c r="L1038" s="16">
        <f>HYPERLINK("http://127.0.0.1:8000/api/documents/download?id=2806&amp;attachment=true", "⬇ Download Boundary_Pillar_Coordina")</f>
        <v/>
      </c>
      <c r="M1038" s="16">
        <f>HYPERLINK("http://localhost:5173/?state=Bihar&amp;keyword=Mapping&amp;tender=BPROC2-FOREST-2026-5519", "🚀 Open in Portal")</f>
        <v/>
      </c>
    </row>
    <row r="1039" ht="24" customHeight="1">
      <c r="A1039" s="4" t="inlineStr">
        <is>
          <t>Bihar</t>
        </is>
      </c>
      <c r="B1039" s="5" t="inlineStr">
        <is>
          <t>Mapping</t>
        </is>
      </c>
      <c r="C1039" s="6" t="inlineStr">
        <is>
          <t>BPROC2-FOREST-2026-5519</t>
        </is>
      </c>
      <c r="D1039" s="7" t="inlineStr">
        <is>
          <t>Afforestation Satellite Geo-tagging and Forest Boundary Spatial Mapping Service</t>
        </is>
      </c>
      <c r="E1039" s="7" t="inlineStr">
        <is>
          <t>ENVIRONMENT, FOREST &amp; CLIMATE CHANGE DEPT-Patna</t>
        </is>
      </c>
      <c r="F1039" s="6" t="inlineStr">
        <is>
          <t>24 Sep 2026</t>
        </is>
      </c>
      <c r="G1039" s="5" t="inlineStr">
        <is>
          <t>11 Nov 2026</t>
        </is>
      </c>
      <c r="H1039" s="17" t="inlineStr">
        <is>
          <t>🟢 LIVE ACTIVE</t>
        </is>
      </c>
      <c r="I1039" s="4" t="inlineStr">
        <is>
          <t>Tender_BPROC2-FOREST-2026-5519_All_Documents.zip</t>
        </is>
      </c>
      <c r="J1039" s="6" t="inlineStr">
        <is>
          <t>📦 ZIP Package</t>
        </is>
      </c>
      <c r="K1039" s="9" t="n">
        <v>11.6</v>
      </c>
      <c r="L1039" s="10">
        <f>HYPERLINK("http://127.0.0.1:8000/api/documents/download?id=3008&amp;attachment=true", "⬇ Download Tender_BPROC2-FOREST-202")</f>
        <v/>
      </c>
      <c r="M1039" s="10">
        <f>HYPERLINK("http://localhost:5173/?state=Bihar&amp;keyword=Mapping&amp;tender=BPROC2-FOREST-2026-5519", "🚀 Open in Portal")</f>
        <v/>
      </c>
    </row>
    <row r="1040" ht="24" customHeight="1">
      <c r="A1040" s="11" t="inlineStr">
        <is>
          <t>Bihar</t>
        </is>
      </c>
      <c r="B1040" s="12" t="inlineStr">
        <is>
          <t>Digital</t>
        </is>
      </c>
      <c r="C1040" s="13" t="inlineStr">
        <is>
          <t>BPROC2-AGRI-2026-7821</t>
        </is>
      </c>
      <c r="D1040" s="14" t="inlineStr">
        <is>
          <t>Digital Agriculture Crop Monitoring &amp; Farmer Benefit MIS Disbursement Portal</t>
        </is>
      </c>
      <c r="E1040" s="14" t="inlineStr">
        <is>
          <t>DEPARTMENT OF AGRICULTURE-Vikas Bhawan, Patna</t>
        </is>
      </c>
      <c r="F1040" s="13" t="inlineStr">
        <is>
          <t>26 Aug 2026</t>
        </is>
      </c>
      <c r="G1040" s="12" t="inlineStr">
        <is>
          <t>24 Sep 2026</t>
        </is>
      </c>
      <c r="H1040" s="8" t="inlineStr">
        <is>
          <t>⏳ UPCOMING</t>
        </is>
      </c>
      <c r="I1040" s="11" t="inlineStr">
        <is>
          <t>Agri_Benefit_MIS_Tender_Notice.pdf</t>
        </is>
      </c>
      <c r="J1040" s="13" t="inlineStr">
        <is>
          <t>📕 PDF Document</t>
        </is>
      </c>
      <c r="K1040" s="15" t="n">
        <v>17.9</v>
      </c>
      <c r="L1040" s="16">
        <f>HYPERLINK("http://127.0.0.1:8000/api/documents/download?id=2803&amp;attachment=true", "⬇ Download Agri_Benefit_MIS_Tender_")</f>
        <v/>
      </c>
      <c r="M1040" s="16">
        <f>HYPERLINK("http://localhost:5173/?state=Bihar&amp;keyword=Digital&amp;tender=BPROC2-AGRI-2026-7821", "🚀 Open in Portal")</f>
        <v/>
      </c>
    </row>
    <row r="1041" ht="24" customHeight="1">
      <c r="A1041" s="4" t="inlineStr">
        <is>
          <t>Bihar</t>
        </is>
      </c>
      <c r="B1041" s="5" t="inlineStr">
        <is>
          <t>Digital</t>
        </is>
      </c>
      <c r="C1041" s="6" t="inlineStr">
        <is>
          <t>BPROC2-AGRI-2026-7821</t>
        </is>
      </c>
      <c r="D1041" s="7" t="inlineStr">
        <is>
          <t>Digital Agriculture Crop Monitoring &amp; Farmer Benefit MIS Disbursement Portal</t>
        </is>
      </c>
      <c r="E1041" s="7" t="inlineStr">
        <is>
          <t>DEPARTMENT OF AGRICULTURE-Vikas Bhawan, Patna</t>
        </is>
      </c>
      <c r="F1041" s="6" t="inlineStr">
        <is>
          <t>26 Aug 2026</t>
        </is>
      </c>
      <c r="G1041" s="5" t="inlineStr">
        <is>
          <t>24 Sep 2026</t>
        </is>
      </c>
      <c r="H1041" s="8" t="inlineStr">
        <is>
          <t>⏳ UPCOMING</t>
        </is>
      </c>
      <c r="I1041" s="4" t="inlineStr">
        <is>
          <t>Software_Architecture_Guidelines.pdf</t>
        </is>
      </c>
      <c r="J1041" s="6" t="inlineStr">
        <is>
          <t>📕 PDF Document</t>
        </is>
      </c>
      <c r="K1041" s="9" t="n">
        <v>17.9</v>
      </c>
      <c r="L1041" s="10">
        <f>HYPERLINK("http://127.0.0.1:8000/api/documents/download?id=2804&amp;attachment=true", "⬇ Download Software_Architecture_Gu")</f>
        <v/>
      </c>
      <c r="M1041" s="10">
        <f>HYPERLINK("http://localhost:5173/?state=Bihar&amp;keyword=Digital&amp;tender=BPROC2-AGRI-2026-7821", "🚀 Open in Portal")</f>
        <v/>
      </c>
    </row>
    <row r="1042" ht="24" customHeight="1">
      <c r="A1042" s="11" t="inlineStr">
        <is>
          <t>Bihar</t>
        </is>
      </c>
      <c r="B1042" s="12" t="inlineStr">
        <is>
          <t>Digital</t>
        </is>
      </c>
      <c r="C1042" s="13" t="inlineStr">
        <is>
          <t>BPROC2-AGRI-2026-7821</t>
        </is>
      </c>
      <c r="D1042" s="14" t="inlineStr">
        <is>
          <t>Digital Agriculture Crop Monitoring &amp; Farmer Benefit MIS Disbursement Portal</t>
        </is>
      </c>
      <c r="E1042" s="14" t="inlineStr">
        <is>
          <t>DEPARTMENT OF AGRICULTURE-Vikas Bhawan, Patna</t>
        </is>
      </c>
      <c r="F1042" s="13" t="inlineStr">
        <is>
          <t>26 Aug 2026</t>
        </is>
      </c>
      <c r="G1042" s="12" t="inlineStr">
        <is>
          <t>24 Sep 2026</t>
        </is>
      </c>
      <c r="H1042" s="8" t="inlineStr">
        <is>
          <t>⏳ UPCOMING</t>
        </is>
      </c>
      <c r="I1042" s="11" t="inlineStr">
        <is>
          <t>Tender_BPROC2-AGRI-2026-7821_All_Documents.zip</t>
        </is>
      </c>
      <c r="J1042" s="13" t="inlineStr">
        <is>
          <t>📦 ZIP Package</t>
        </is>
      </c>
      <c r="K1042" s="15" t="n">
        <v>18.7</v>
      </c>
      <c r="L1042" s="16">
        <f>HYPERLINK("http://127.0.0.1:8000/api/documents/download?id=3007&amp;attachment=true", "⬇ Download Tender_BPROC2-AGRI-2026-")</f>
        <v/>
      </c>
      <c r="M1042" s="16">
        <f>HYPERLINK("http://localhost:5173/?state=Bihar&amp;keyword=Digital&amp;tender=BPROC2-AGRI-2026-7821", "🚀 Open in Portal")</f>
        <v/>
      </c>
    </row>
    <row r="1043" ht="24" customHeight="1">
      <c r="A1043" s="4" t="inlineStr">
        <is>
          <t>Chhattisgarh</t>
        </is>
      </c>
      <c r="B1043" s="5" t="inlineStr">
        <is>
          <t>GIS</t>
        </is>
      </c>
      <c r="C1043" s="6" t="inlineStr">
        <is>
          <t>CGPROC-CHiPS-2026-319</t>
        </is>
      </c>
      <c r="D1043" s="7" t="inlineStr">
        <is>
          <t>Statewide Drone Survey &amp; GIS Cadastral Map Rectification for Forest Rights Act (FRA)</t>
        </is>
      </c>
      <c r="E1043" s="7" t="inlineStr">
        <is>
          <t>CHHATTISGARH INFOTECH PROMOTION SOCIETY (CHiPS)-Raipur</t>
        </is>
      </c>
      <c r="F1043" s="6" t="inlineStr">
        <is>
          <t>29 Jul 2026</t>
        </is>
      </c>
      <c r="G1043" s="5" t="inlineStr">
        <is>
          <t>24 Aug 2026</t>
        </is>
      </c>
      <c r="H1043" s="8" t="inlineStr">
        <is>
          <t>⏳ UPCOMING</t>
        </is>
      </c>
      <c r="I1043" s="4" t="inlineStr">
        <is>
          <t>CHiPS_FRA_GIS_Survey_RFP.pdf</t>
        </is>
      </c>
      <c r="J1043" s="6" t="inlineStr">
        <is>
          <t>📕 PDF Document</t>
        </is>
      </c>
      <c r="K1043" s="9" t="n">
        <v>17.9</v>
      </c>
      <c r="L1043" s="10">
        <f>HYPERLINK("http://127.0.0.1:8000/api/documents/download?id=2818&amp;attachment=true", "⬇ Download CHiPS_FRA_GIS_Survey_RFP")</f>
        <v/>
      </c>
      <c r="M1043" s="10">
        <f>HYPERLINK("http://localhost:5173/?state=Chhattisgarh&amp;keyword=GIS&amp;tender=CGPROC-CHiPS-2026-319", "🚀 Open in Portal")</f>
        <v/>
      </c>
    </row>
    <row r="1044" ht="24" customHeight="1">
      <c r="A1044" s="11" t="inlineStr">
        <is>
          <t>Chhattisgarh</t>
        </is>
      </c>
      <c r="B1044" s="12" t="inlineStr">
        <is>
          <t>GIS</t>
        </is>
      </c>
      <c r="C1044" s="13" t="inlineStr">
        <is>
          <t>CGPROC-CHiPS-2026-319</t>
        </is>
      </c>
      <c r="D1044" s="14" t="inlineStr">
        <is>
          <t>Statewide Drone Survey &amp; GIS Cadastral Map Rectification for Forest Rights Act (FRA)</t>
        </is>
      </c>
      <c r="E1044" s="14" t="inlineStr">
        <is>
          <t>CHHATTISGARH INFOTECH PROMOTION SOCIETY (CHiPS)-Raipur</t>
        </is>
      </c>
      <c r="F1044" s="13" t="inlineStr">
        <is>
          <t>29 Jul 2026</t>
        </is>
      </c>
      <c r="G1044" s="12" t="inlineStr">
        <is>
          <t>24 Aug 2026</t>
        </is>
      </c>
      <c r="H1044" s="8" t="inlineStr">
        <is>
          <t>⏳ UPCOMING</t>
        </is>
      </c>
      <c r="I1044" s="11" t="inlineStr">
        <is>
          <t>Drone_Accuracy_Standards.pdf</t>
        </is>
      </c>
      <c r="J1044" s="13" t="inlineStr">
        <is>
          <t>📕 PDF Document</t>
        </is>
      </c>
      <c r="K1044" s="15" t="n">
        <v>17.9</v>
      </c>
      <c r="L1044" s="16">
        <f>HYPERLINK("http://127.0.0.1:8000/api/documents/download?id=2819&amp;attachment=true", "⬇ Download Drone_Accuracy_Standards")</f>
        <v/>
      </c>
      <c r="M1044" s="16">
        <f>HYPERLINK("http://localhost:5173/?state=Chhattisgarh&amp;keyword=GIS&amp;tender=CGPROC-CHiPS-2026-319", "🚀 Open in Portal")</f>
        <v/>
      </c>
    </row>
    <row r="1045" ht="24" customHeight="1">
      <c r="A1045" s="4" t="inlineStr">
        <is>
          <t>Chhattisgarh</t>
        </is>
      </c>
      <c r="B1045" s="5" t="inlineStr">
        <is>
          <t>GIS</t>
        </is>
      </c>
      <c r="C1045" s="6" t="inlineStr">
        <is>
          <t>CGPROC-CHiPS-2026-319</t>
        </is>
      </c>
      <c r="D1045" s="7" t="inlineStr">
        <is>
          <t>Statewide Drone Survey &amp; GIS Cadastral Map Rectification for Forest Rights Act (FRA)</t>
        </is>
      </c>
      <c r="E1045" s="7" t="inlineStr">
        <is>
          <t>CHHATTISGARH INFOTECH PROMOTION SOCIETY (CHiPS)-Raipur</t>
        </is>
      </c>
      <c r="F1045" s="6" t="inlineStr">
        <is>
          <t>29 Jul 2026</t>
        </is>
      </c>
      <c r="G1045" s="5" t="inlineStr">
        <is>
          <t>24 Aug 2026</t>
        </is>
      </c>
      <c r="H1045" s="8" t="inlineStr">
        <is>
          <t>⏳ UPCOMING</t>
        </is>
      </c>
      <c r="I1045" s="4" t="inlineStr">
        <is>
          <t>Tender_CGPROC-CHiPS-2026-319_All_Documents.zip</t>
        </is>
      </c>
      <c r="J1045" s="6" t="inlineStr">
        <is>
          <t>📦 ZIP Package</t>
        </is>
      </c>
      <c r="K1045" s="9" t="n">
        <v>18.5</v>
      </c>
      <c r="L1045" s="10">
        <f>HYPERLINK("http://127.0.0.1:8000/api/documents/download?id=2820&amp;attachment=true", "⬇ Download Tender_CGPROC-CHiPS-2026")</f>
        <v/>
      </c>
      <c r="M1045" s="10">
        <f>HYPERLINK("http://localhost:5173/?state=Chhattisgarh&amp;keyword=GIS&amp;tender=CGPROC-CHiPS-2026-319", "🚀 Open in Portal")</f>
        <v/>
      </c>
    </row>
    <row r="1046" ht="24" customHeight="1">
      <c r="A1046" s="11" t="inlineStr">
        <is>
          <t>Chhattisgarh</t>
        </is>
      </c>
      <c r="B1046" s="12" t="inlineStr">
        <is>
          <t>ICT</t>
        </is>
      </c>
      <c r="C1046" s="13" t="inlineStr">
        <is>
          <t>CGPROC-HEALTH-2026-7731</t>
        </is>
      </c>
      <c r="D1046" s="14" t="inlineStr">
        <is>
          <t>Supply of ICT Infrastructure &amp; Tele-ICU Software Platform for District Hospitals</t>
        </is>
      </c>
      <c r="E1046" s="14" t="inlineStr">
        <is>
          <t>HEALTH &amp; FAMILY WELFARE-Indravati Bhawan, Nawa Raipur</t>
        </is>
      </c>
      <c r="F1046" s="13" t="inlineStr">
        <is>
          <t>25 Jul 2026</t>
        </is>
      </c>
      <c r="G1046" s="12" t="inlineStr">
        <is>
          <t>22 Aug 2026</t>
        </is>
      </c>
      <c r="H1046" s="8" t="inlineStr">
        <is>
          <t>⏳ UPCOMING</t>
        </is>
      </c>
      <c r="I1046" s="11" t="inlineStr">
        <is>
          <t>Tele_ICU_Software_Bid_Document.pdf</t>
        </is>
      </c>
      <c r="J1046" s="13" t="inlineStr">
        <is>
          <t>📕 PDF Document</t>
        </is>
      </c>
      <c r="K1046" s="15" t="n">
        <v>17.9</v>
      </c>
      <c r="L1046" s="16">
        <f>HYPERLINK("http://127.0.0.1:8000/api/documents/download?id=2825&amp;attachment=true", "⬇ Download Tele_ICU_Software_Bid_Do")</f>
        <v/>
      </c>
      <c r="M1046" s="16">
        <f>HYPERLINK("http://localhost:5173/?state=Chhattisgarh&amp;keyword=ICT&amp;tender=CGPROC-HEALTH-2026-7731", "🚀 Open in Portal")</f>
        <v/>
      </c>
    </row>
    <row r="1047" ht="24" customHeight="1">
      <c r="A1047" s="4" t="inlineStr">
        <is>
          <t>Chhattisgarh</t>
        </is>
      </c>
      <c r="B1047" s="5" t="inlineStr">
        <is>
          <t>ICT</t>
        </is>
      </c>
      <c r="C1047" s="6" t="inlineStr">
        <is>
          <t>CGPROC-HEALTH-2026-7731</t>
        </is>
      </c>
      <c r="D1047" s="7" t="inlineStr">
        <is>
          <t>Supply of ICT Infrastructure &amp; Tele-ICU Software Platform for District Hospitals</t>
        </is>
      </c>
      <c r="E1047" s="7" t="inlineStr">
        <is>
          <t>HEALTH &amp; FAMILY WELFARE-Indravati Bhawan, Nawa Raipur</t>
        </is>
      </c>
      <c r="F1047" s="6" t="inlineStr">
        <is>
          <t>25 Jul 2026</t>
        </is>
      </c>
      <c r="G1047" s="5" t="inlineStr">
        <is>
          <t>22 Aug 2026</t>
        </is>
      </c>
      <c r="H1047" s="8" t="inlineStr">
        <is>
          <t>⏳ UPCOMING</t>
        </is>
      </c>
      <c r="I1047" s="4" t="inlineStr">
        <is>
          <t>Hardware_Bill_of_Materials.xlsx</t>
        </is>
      </c>
      <c r="J1047" s="6" t="inlineStr">
        <is>
          <t>📊 Excel BOQ</t>
        </is>
      </c>
      <c r="K1047" s="9" t="n">
        <v>2.5</v>
      </c>
      <c r="L1047" s="10">
        <f>HYPERLINK("http://127.0.0.1:8000/api/documents/download?id=2826&amp;attachment=true", "⬇ Download Hardware_Bill_of_Materia")</f>
        <v/>
      </c>
      <c r="M1047" s="10">
        <f>HYPERLINK("http://localhost:5173/?state=Chhattisgarh&amp;keyword=ICT&amp;tender=CGPROC-HEALTH-2026-7731", "🚀 Open in Portal")</f>
        <v/>
      </c>
    </row>
    <row r="1048" ht="24" customHeight="1">
      <c r="A1048" s="11" t="inlineStr">
        <is>
          <t>Chhattisgarh</t>
        </is>
      </c>
      <c r="B1048" s="12" t="inlineStr">
        <is>
          <t>ICT</t>
        </is>
      </c>
      <c r="C1048" s="13" t="inlineStr">
        <is>
          <t>CGPROC-HEALTH-2026-7731</t>
        </is>
      </c>
      <c r="D1048" s="14" t="inlineStr">
        <is>
          <t>Supply of ICT Infrastructure &amp; Tele-ICU Software Platform for District Hospitals</t>
        </is>
      </c>
      <c r="E1048" s="14" t="inlineStr">
        <is>
          <t>HEALTH &amp; FAMILY WELFARE-Indravati Bhawan, Nawa Raipur</t>
        </is>
      </c>
      <c r="F1048" s="13" t="inlineStr">
        <is>
          <t>25 Jul 2026</t>
        </is>
      </c>
      <c r="G1048" s="12" t="inlineStr">
        <is>
          <t>22 Aug 2026</t>
        </is>
      </c>
      <c r="H1048" s="8" t="inlineStr">
        <is>
          <t>⏳ UPCOMING</t>
        </is>
      </c>
      <c r="I1048" s="11" t="inlineStr">
        <is>
          <t>Tender_CGPROC-HEALTH-2026-7731_All_Documents.zip</t>
        </is>
      </c>
      <c r="J1048" s="13" t="inlineStr">
        <is>
          <t>📦 ZIP Package</t>
        </is>
      </c>
      <c r="K1048" s="15" t="n">
        <v>11.7</v>
      </c>
      <c r="L1048" s="16">
        <f>HYPERLINK("http://127.0.0.1:8000/api/documents/download?id=3016&amp;attachment=true", "⬇ Download Tender_CGPROC-HEALTH-202")</f>
        <v/>
      </c>
      <c r="M1048" s="16">
        <f>HYPERLINK("http://localhost:5173/?state=Chhattisgarh&amp;keyword=ICT&amp;tender=CGPROC-HEALTH-2026-7731", "🚀 Open in Portal")</f>
        <v/>
      </c>
    </row>
    <row r="1049" ht="24" customHeight="1">
      <c r="A1049" s="4" t="inlineStr">
        <is>
          <t>Chhattisgarh</t>
        </is>
      </c>
      <c r="B1049" s="5" t="inlineStr">
        <is>
          <t>Agriculture</t>
        </is>
      </c>
      <c r="C1049" s="6" t="inlineStr">
        <is>
          <t>CGPROC-AGRI-2026-2210</t>
        </is>
      </c>
      <c r="D1049" s="7" t="inlineStr">
        <is>
          <t>Rajiv Gandhi Kisan Nyay Yojana Beneficiary MIS &amp; Mobile Inspection Portal</t>
        </is>
      </c>
      <c r="E1049" s="7" t="inlineStr">
        <is>
          <t>DIRECTORATE OF AGRICULTURE-Government of Chhattisgarh</t>
        </is>
      </c>
      <c r="F1049" s="6" t="inlineStr">
        <is>
          <t>25 Sep 2026</t>
        </is>
      </c>
      <c r="G1049" s="5" t="inlineStr">
        <is>
          <t>03 Nov 2026</t>
        </is>
      </c>
      <c r="H1049" s="17" t="inlineStr">
        <is>
          <t>🟢 LIVE ACTIVE</t>
        </is>
      </c>
      <c r="I1049" s="4" t="inlineStr">
        <is>
          <t>Kisan_Nyay_MIS_Portal_RFP.pdf</t>
        </is>
      </c>
      <c r="J1049" s="6" t="inlineStr">
        <is>
          <t>📕 PDF Document</t>
        </is>
      </c>
      <c r="K1049" s="9" t="n">
        <v>17.9</v>
      </c>
      <c r="L1049" s="10">
        <f>HYPERLINK("http://127.0.0.1:8000/api/documents/download?id=2823&amp;attachment=true", "⬇ Download Kisan_Nyay_MIS_Portal_RF")</f>
        <v/>
      </c>
      <c r="M1049" s="10">
        <f>HYPERLINK("http://localhost:5173/?state=Chhattisgarh&amp;keyword=Agriculture&amp;tender=CGPROC-AGRI-2026-2210", "🚀 Open in Portal")</f>
        <v/>
      </c>
    </row>
    <row r="1050" ht="24" customHeight="1">
      <c r="A1050" s="11" t="inlineStr">
        <is>
          <t>Chhattisgarh</t>
        </is>
      </c>
      <c r="B1050" s="12" t="inlineStr">
        <is>
          <t>Agriculture</t>
        </is>
      </c>
      <c r="C1050" s="13" t="inlineStr">
        <is>
          <t>CGPROC-AGRI-2026-2210</t>
        </is>
      </c>
      <c r="D1050" s="14" t="inlineStr">
        <is>
          <t>Rajiv Gandhi Kisan Nyay Yojana Beneficiary MIS &amp; Mobile Inspection Portal</t>
        </is>
      </c>
      <c r="E1050" s="14" t="inlineStr">
        <is>
          <t>DIRECTORATE OF AGRICULTURE-Government of Chhattisgarh</t>
        </is>
      </c>
      <c r="F1050" s="13" t="inlineStr">
        <is>
          <t>25 Sep 2026</t>
        </is>
      </c>
      <c r="G1050" s="12" t="inlineStr">
        <is>
          <t>03 Nov 2026</t>
        </is>
      </c>
      <c r="H1050" s="17" t="inlineStr">
        <is>
          <t>🟢 LIVE ACTIVE</t>
        </is>
      </c>
      <c r="I1050" s="11" t="inlineStr">
        <is>
          <t>Mobile_Inspection_SRS.pdf</t>
        </is>
      </c>
      <c r="J1050" s="13" t="inlineStr">
        <is>
          <t>📕 PDF Document</t>
        </is>
      </c>
      <c r="K1050" s="15" t="n">
        <v>17.9</v>
      </c>
      <c r="L1050" s="16">
        <f>HYPERLINK("http://127.0.0.1:8000/api/documents/download?id=2824&amp;attachment=true", "⬇ Download Mobile_Inspection_SRS.pd")</f>
        <v/>
      </c>
      <c r="M1050" s="16">
        <f>HYPERLINK("http://localhost:5173/?state=Chhattisgarh&amp;keyword=Agriculture&amp;tender=CGPROC-AGRI-2026-2210", "🚀 Open in Portal")</f>
        <v/>
      </c>
    </row>
    <row r="1051" ht="24" customHeight="1">
      <c r="A1051" s="4" t="inlineStr">
        <is>
          <t>Chhattisgarh</t>
        </is>
      </c>
      <c r="B1051" s="5" t="inlineStr">
        <is>
          <t>Agriculture</t>
        </is>
      </c>
      <c r="C1051" s="6" t="inlineStr">
        <is>
          <t>CGPROC-AGRI-2026-2210</t>
        </is>
      </c>
      <c r="D1051" s="7" t="inlineStr">
        <is>
          <t>Rajiv Gandhi Kisan Nyay Yojana Beneficiary MIS &amp; Mobile Inspection Portal</t>
        </is>
      </c>
      <c r="E1051" s="7" t="inlineStr">
        <is>
          <t>DIRECTORATE OF AGRICULTURE-Government of Chhattisgarh</t>
        </is>
      </c>
      <c r="F1051" s="6" t="inlineStr">
        <is>
          <t>25 Sep 2026</t>
        </is>
      </c>
      <c r="G1051" s="5" t="inlineStr">
        <is>
          <t>03 Nov 2026</t>
        </is>
      </c>
      <c r="H1051" s="17" t="inlineStr">
        <is>
          <t>🟢 LIVE ACTIVE</t>
        </is>
      </c>
      <c r="I1051" s="4" t="inlineStr">
        <is>
          <t>Tender_CGPROC-AGRI-2026-2210_All_Documents.zip</t>
        </is>
      </c>
      <c r="J1051" s="6" t="inlineStr">
        <is>
          <t>📦 ZIP Package</t>
        </is>
      </c>
      <c r="K1051" s="9" t="n">
        <v>18.6</v>
      </c>
      <c r="L1051" s="10">
        <f>HYPERLINK("http://127.0.0.1:8000/api/documents/download?id=3015&amp;attachment=true", "⬇ Download Tender_CGPROC-AGRI-2026-")</f>
        <v/>
      </c>
      <c r="M1051" s="10">
        <f>HYPERLINK("http://localhost:5173/?state=Chhattisgarh&amp;keyword=Agriculture&amp;tender=CGPROC-AGRI-2026-2210", "🚀 Open in Portal")</f>
        <v/>
      </c>
    </row>
    <row r="1052" ht="24" customHeight="1">
      <c r="A1052" s="11" t="inlineStr">
        <is>
          <t>Chhattisgarh</t>
        </is>
      </c>
      <c r="B1052" s="12" t="inlineStr">
        <is>
          <t>Forest</t>
        </is>
      </c>
      <c r="C1052" s="13" t="inlineStr">
        <is>
          <t>CGPROC-CHiPS-2026-319</t>
        </is>
      </c>
      <c r="D1052" s="14" t="inlineStr">
        <is>
          <t>Statewide Drone Survey &amp; GIS Cadastral Map Rectification for Forest Rights Act (FRA)</t>
        </is>
      </c>
      <c r="E1052" s="14" t="inlineStr">
        <is>
          <t>CHHATTISGARH INFOTECH PROMOTION SOCIETY (CHiPS)-Raipur</t>
        </is>
      </c>
      <c r="F1052" s="13" t="inlineStr">
        <is>
          <t>29 Jul 2026</t>
        </is>
      </c>
      <c r="G1052" s="12" t="inlineStr">
        <is>
          <t>24 Aug 2026</t>
        </is>
      </c>
      <c r="H1052" s="8" t="inlineStr">
        <is>
          <t>⏳ UPCOMING</t>
        </is>
      </c>
      <c r="I1052" s="11" t="inlineStr">
        <is>
          <t>CHiPS_FRA_GIS_Survey_RFP.pdf</t>
        </is>
      </c>
      <c r="J1052" s="13" t="inlineStr">
        <is>
          <t>📕 PDF Document</t>
        </is>
      </c>
      <c r="K1052" s="15" t="n">
        <v>17.9</v>
      </c>
      <c r="L1052" s="16">
        <f>HYPERLINK("http://127.0.0.1:8000/api/documents/download?id=2818&amp;attachment=true", "⬇ Download CHiPS_FRA_GIS_Survey_RFP")</f>
        <v/>
      </c>
      <c r="M1052" s="16">
        <f>HYPERLINK("http://localhost:5173/?state=Chhattisgarh&amp;keyword=Forest&amp;tender=CGPROC-CHiPS-2026-319", "🚀 Open in Portal")</f>
        <v/>
      </c>
    </row>
    <row r="1053" ht="24" customHeight="1">
      <c r="A1053" s="4" t="inlineStr">
        <is>
          <t>Chhattisgarh</t>
        </is>
      </c>
      <c r="B1053" s="5" t="inlineStr">
        <is>
          <t>Forest</t>
        </is>
      </c>
      <c r="C1053" s="6" t="inlineStr">
        <is>
          <t>CGPROC-CHiPS-2026-319</t>
        </is>
      </c>
      <c r="D1053" s="7" t="inlineStr">
        <is>
          <t>Statewide Drone Survey &amp; GIS Cadastral Map Rectification for Forest Rights Act (FRA)</t>
        </is>
      </c>
      <c r="E1053" s="7" t="inlineStr">
        <is>
          <t>CHHATTISGARH INFOTECH PROMOTION SOCIETY (CHiPS)-Raipur</t>
        </is>
      </c>
      <c r="F1053" s="6" t="inlineStr">
        <is>
          <t>29 Jul 2026</t>
        </is>
      </c>
      <c r="G1053" s="5" t="inlineStr">
        <is>
          <t>24 Aug 2026</t>
        </is>
      </c>
      <c r="H1053" s="8" t="inlineStr">
        <is>
          <t>⏳ UPCOMING</t>
        </is>
      </c>
      <c r="I1053" s="4" t="inlineStr">
        <is>
          <t>Drone_Accuracy_Standards.pdf</t>
        </is>
      </c>
      <c r="J1053" s="6" t="inlineStr">
        <is>
          <t>📕 PDF Document</t>
        </is>
      </c>
      <c r="K1053" s="9" t="n">
        <v>17.9</v>
      </c>
      <c r="L1053" s="10">
        <f>HYPERLINK("http://127.0.0.1:8000/api/documents/download?id=2819&amp;attachment=true", "⬇ Download Drone_Accuracy_Standards")</f>
        <v/>
      </c>
      <c r="M1053" s="10">
        <f>HYPERLINK("http://localhost:5173/?state=Chhattisgarh&amp;keyword=Forest&amp;tender=CGPROC-CHiPS-2026-319", "🚀 Open in Portal")</f>
        <v/>
      </c>
    </row>
    <row r="1054" ht="24" customHeight="1">
      <c r="A1054" s="11" t="inlineStr">
        <is>
          <t>Chhattisgarh</t>
        </is>
      </c>
      <c r="B1054" s="12" t="inlineStr">
        <is>
          <t>Forest</t>
        </is>
      </c>
      <c r="C1054" s="13" t="inlineStr">
        <is>
          <t>CGPROC-CHiPS-2026-319</t>
        </is>
      </c>
      <c r="D1054" s="14" t="inlineStr">
        <is>
          <t>Statewide Drone Survey &amp; GIS Cadastral Map Rectification for Forest Rights Act (FRA)</t>
        </is>
      </c>
      <c r="E1054" s="14" t="inlineStr">
        <is>
          <t>CHHATTISGARH INFOTECH PROMOTION SOCIETY (CHiPS)-Raipur</t>
        </is>
      </c>
      <c r="F1054" s="13" t="inlineStr">
        <is>
          <t>29 Jul 2026</t>
        </is>
      </c>
      <c r="G1054" s="12" t="inlineStr">
        <is>
          <t>24 Aug 2026</t>
        </is>
      </c>
      <c r="H1054" s="8" t="inlineStr">
        <is>
          <t>⏳ UPCOMING</t>
        </is>
      </c>
      <c r="I1054" s="11" t="inlineStr">
        <is>
          <t>Tender_CGPROC-CHiPS-2026-319_All_Documents.zip</t>
        </is>
      </c>
      <c r="J1054" s="13" t="inlineStr">
        <is>
          <t>📦 ZIP Package</t>
        </is>
      </c>
      <c r="K1054" s="15" t="n">
        <v>18.5</v>
      </c>
      <c r="L1054" s="16">
        <f>HYPERLINK("http://127.0.0.1:8000/api/documents/download?id=2820&amp;attachment=true", "⬇ Download Tender_CGPROC-CHiPS-2026")</f>
        <v/>
      </c>
      <c r="M1054" s="16">
        <f>HYPERLINK("http://localhost:5173/?state=Chhattisgarh&amp;keyword=Forest&amp;tender=CGPROC-CHiPS-2026-319", "🚀 Open in Portal")</f>
        <v/>
      </c>
    </row>
    <row r="1055" ht="24" customHeight="1">
      <c r="A1055" s="4" t="inlineStr">
        <is>
          <t>Chhattisgarh</t>
        </is>
      </c>
      <c r="B1055" s="5" t="inlineStr">
        <is>
          <t>Climate Change</t>
        </is>
      </c>
      <c r="C1055" s="6" t="inlineStr">
        <is>
          <t>CGPROC-WRD-2026-8840</t>
        </is>
      </c>
      <c r="D1055" s="7" t="inlineStr">
        <is>
          <t>Integrated River Basin Water Resources Monitoring &amp; Canal SCADA Automation</t>
        </is>
      </c>
      <c r="E1055" s="7" t="inlineStr">
        <is>
          <t>WATER RESOURCES DEPARTMENT-Sihawa Bhawan, Raipur</t>
        </is>
      </c>
      <c r="F1055" s="6" t="inlineStr">
        <is>
          <t>27 Aug 2026</t>
        </is>
      </c>
      <c r="G1055" s="5" t="inlineStr">
        <is>
          <t>18 Sep 2026</t>
        </is>
      </c>
      <c r="H1055" s="8" t="inlineStr">
        <is>
          <t>⏳ UPCOMING</t>
        </is>
      </c>
      <c r="I1055" s="4" t="inlineStr">
        <is>
          <t>Mahanadi_Canal_SCADA_Tender.pdf</t>
        </is>
      </c>
      <c r="J1055" s="6" t="inlineStr">
        <is>
          <t>📕 PDF Document</t>
        </is>
      </c>
      <c r="K1055" s="9" t="n">
        <v>17.9</v>
      </c>
      <c r="L1055" s="10">
        <f>HYPERLINK("http://127.0.0.1:8000/api/documents/download?id=2821&amp;attachment=true", "⬇ Download Mahanadi_Canal_SCADA_Ten")</f>
        <v/>
      </c>
      <c r="M1055" s="10">
        <f>HYPERLINK("http://localhost:5173/?state=Chhattisgarh&amp;keyword=Climate%20Change&amp;tender=CGPROC-WRD-2026-8840", "🚀 Open in Portal")</f>
        <v/>
      </c>
    </row>
    <row r="1056" ht="24" customHeight="1">
      <c r="A1056" s="11" t="inlineStr">
        <is>
          <t>Chhattisgarh</t>
        </is>
      </c>
      <c r="B1056" s="12" t="inlineStr">
        <is>
          <t>Climate Change</t>
        </is>
      </c>
      <c r="C1056" s="13" t="inlineStr">
        <is>
          <t>CGPROC-WRD-2026-8840</t>
        </is>
      </c>
      <c r="D1056" s="14" t="inlineStr">
        <is>
          <t>Integrated River Basin Water Resources Monitoring &amp; Canal SCADA Automation</t>
        </is>
      </c>
      <c r="E1056" s="14" t="inlineStr">
        <is>
          <t>WATER RESOURCES DEPARTMENT-Sihawa Bhawan, Raipur</t>
        </is>
      </c>
      <c r="F1056" s="13" t="inlineStr">
        <is>
          <t>27 Aug 2026</t>
        </is>
      </c>
      <c r="G1056" s="12" t="inlineStr">
        <is>
          <t>18 Sep 2026</t>
        </is>
      </c>
      <c r="H1056" s="8" t="inlineStr">
        <is>
          <t>⏳ UPCOMING</t>
        </is>
      </c>
      <c r="I1056" s="11" t="inlineStr">
        <is>
          <t>Technical_Specifications_Sensors.pdf</t>
        </is>
      </c>
      <c r="J1056" s="13" t="inlineStr">
        <is>
          <t>📕 PDF Document</t>
        </is>
      </c>
      <c r="K1056" s="15" t="n">
        <v>17.9</v>
      </c>
      <c r="L1056" s="16">
        <f>HYPERLINK("http://127.0.0.1:8000/api/documents/download?id=2822&amp;attachment=true", "⬇ Download Technical_Specifications")</f>
        <v/>
      </c>
      <c r="M1056" s="16">
        <f>HYPERLINK("http://localhost:5173/?state=Chhattisgarh&amp;keyword=Climate%20Change&amp;tender=CGPROC-WRD-2026-8840", "🚀 Open in Portal")</f>
        <v/>
      </c>
    </row>
    <row r="1057" ht="24" customHeight="1">
      <c r="A1057" s="4" t="inlineStr">
        <is>
          <t>Chhattisgarh</t>
        </is>
      </c>
      <c r="B1057" s="5" t="inlineStr">
        <is>
          <t>Climate Change</t>
        </is>
      </c>
      <c r="C1057" s="6" t="inlineStr">
        <is>
          <t>CGPROC-WRD-2026-8840</t>
        </is>
      </c>
      <c r="D1057" s="7" t="inlineStr">
        <is>
          <t>Integrated River Basin Water Resources Monitoring &amp; Canal SCADA Automation</t>
        </is>
      </c>
      <c r="E1057" s="7" t="inlineStr">
        <is>
          <t>WATER RESOURCES DEPARTMENT-Sihawa Bhawan, Raipur</t>
        </is>
      </c>
      <c r="F1057" s="6" t="inlineStr">
        <is>
          <t>27 Aug 2026</t>
        </is>
      </c>
      <c r="G1057" s="5" t="inlineStr">
        <is>
          <t>18 Sep 2026</t>
        </is>
      </c>
      <c r="H1057" s="8" t="inlineStr">
        <is>
          <t>⏳ UPCOMING</t>
        </is>
      </c>
      <c r="I1057" s="4" t="inlineStr">
        <is>
          <t>Tender_CGPROC-WRD-2026-8840_All_Documents.zip</t>
        </is>
      </c>
      <c r="J1057" s="6" t="inlineStr">
        <is>
          <t>📦 ZIP Package</t>
        </is>
      </c>
      <c r="K1057" s="9" t="n">
        <v>18.8</v>
      </c>
      <c r="L1057" s="10">
        <f>HYPERLINK("http://127.0.0.1:8000/api/documents/download?id=3014&amp;attachment=true", "⬇ Download Tender_CGPROC-WRD-2026-8")</f>
        <v/>
      </c>
      <c r="M1057" s="10">
        <f>HYPERLINK("http://localhost:5173/?state=Chhattisgarh&amp;keyword=Climate%20Change&amp;tender=CGPROC-WRD-2026-8840", "🚀 Open in Portal")</f>
        <v/>
      </c>
    </row>
    <row r="1058" ht="24" customHeight="1">
      <c r="A1058" s="11" t="inlineStr">
        <is>
          <t>Chhattisgarh</t>
        </is>
      </c>
      <c r="B1058" s="12" t="inlineStr">
        <is>
          <t>Environment</t>
        </is>
      </c>
      <c r="C1058" s="13" t="inlineStr">
        <is>
          <t>CGPROC-WRD-2026-8840</t>
        </is>
      </c>
      <c r="D1058" s="14" t="inlineStr">
        <is>
          <t>Integrated River Basin Water Resources Monitoring &amp; Canal SCADA Automation</t>
        </is>
      </c>
      <c r="E1058" s="14" t="inlineStr">
        <is>
          <t>WATER RESOURCES DEPARTMENT-Sihawa Bhawan, Raipur</t>
        </is>
      </c>
      <c r="F1058" s="13" t="inlineStr">
        <is>
          <t>27 Aug 2026</t>
        </is>
      </c>
      <c r="G1058" s="12" t="inlineStr">
        <is>
          <t>18 Sep 2026</t>
        </is>
      </c>
      <c r="H1058" s="8" t="inlineStr">
        <is>
          <t>⏳ UPCOMING</t>
        </is>
      </c>
      <c r="I1058" s="11" t="inlineStr">
        <is>
          <t>Mahanadi_Canal_SCADA_Tender.pdf</t>
        </is>
      </c>
      <c r="J1058" s="13" t="inlineStr">
        <is>
          <t>📕 PDF Document</t>
        </is>
      </c>
      <c r="K1058" s="15" t="n">
        <v>17.9</v>
      </c>
      <c r="L1058" s="16">
        <f>HYPERLINK("http://127.0.0.1:8000/api/documents/download?id=2821&amp;attachment=true", "⬇ Download Mahanadi_Canal_SCADA_Ten")</f>
        <v/>
      </c>
      <c r="M1058" s="16">
        <f>HYPERLINK("http://localhost:5173/?state=Chhattisgarh&amp;keyword=Environment&amp;tender=CGPROC-WRD-2026-8840", "🚀 Open in Portal")</f>
        <v/>
      </c>
    </row>
    <row r="1059" ht="24" customHeight="1">
      <c r="A1059" s="4" t="inlineStr">
        <is>
          <t>Chhattisgarh</t>
        </is>
      </c>
      <c r="B1059" s="5" t="inlineStr">
        <is>
          <t>Environment</t>
        </is>
      </c>
      <c r="C1059" s="6" t="inlineStr">
        <is>
          <t>CGPROC-WRD-2026-8840</t>
        </is>
      </c>
      <c r="D1059" s="7" t="inlineStr">
        <is>
          <t>Integrated River Basin Water Resources Monitoring &amp; Canal SCADA Automation</t>
        </is>
      </c>
      <c r="E1059" s="7" t="inlineStr">
        <is>
          <t>WATER RESOURCES DEPARTMENT-Sihawa Bhawan, Raipur</t>
        </is>
      </c>
      <c r="F1059" s="6" t="inlineStr">
        <is>
          <t>27 Aug 2026</t>
        </is>
      </c>
      <c r="G1059" s="5" t="inlineStr">
        <is>
          <t>18 Sep 2026</t>
        </is>
      </c>
      <c r="H1059" s="8" t="inlineStr">
        <is>
          <t>⏳ UPCOMING</t>
        </is>
      </c>
      <c r="I1059" s="4" t="inlineStr">
        <is>
          <t>Technical_Specifications_Sensors.pdf</t>
        </is>
      </c>
      <c r="J1059" s="6" t="inlineStr">
        <is>
          <t>📕 PDF Document</t>
        </is>
      </c>
      <c r="K1059" s="9" t="n">
        <v>17.9</v>
      </c>
      <c r="L1059" s="10">
        <f>HYPERLINK("http://127.0.0.1:8000/api/documents/download?id=2822&amp;attachment=true", "⬇ Download Technical_Specifications")</f>
        <v/>
      </c>
      <c r="M1059" s="10">
        <f>HYPERLINK("http://localhost:5173/?state=Chhattisgarh&amp;keyword=Environment&amp;tender=CGPROC-WRD-2026-8840", "🚀 Open in Portal")</f>
        <v/>
      </c>
    </row>
    <row r="1060" ht="24" customHeight="1">
      <c r="A1060" s="11" t="inlineStr">
        <is>
          <t>Chhattisgarh</t>
        </is>
      </c>
      <c r="B1060" s="12" t="inlineStr">
        <is>
          <t>Environment</t>
        </is>
      </c>
      <c r="C1060" s="13" t="inlineStr">
        <is>
          <t>CGPROC-WRD-2026-8840</t>
        </is>
      </c>
      <c r="D1060" s="14" t="inlineStr">
        <is>
          <t>Integrated River Basin Water Resources Monitoring &amp; Canal SCADA Automation</t>
        </is>
      </c>
      <c r="E1060" s="14" t="inlineStr">
        <is>
          <t>WATER RESOURCES DEPARTMENT-Sihawa Bhawan, Raipur</t>
        </is>
      </c>
      <c r="F1060" s="13" t="inlineStr">
        <is>
          <t>27 Aug 2026</t>
        </is>
      </c>
      <c r="G1060" s="12" t="inlineStr">
        <is>
          <t>18 Sep 2026</t>
        </is>
      </c>
      <c r="H1060" s="8" t="inlineStr">
        <is>
          <t>⏳ UPCOMING</t>
        </is>
      </c>
      <c r="I1060" s="11" t="inlineStr">
        <is>
          <t>Tender_CGPROC-WRD-2026-8840_All_Documents.zip</t>
        </is>
      </c>
      <c r="J1060" s="13" t="inlineStr">
        <is>
          <t>📦 ZIP Package</t>
        </is>
      </c>
      <c r="K1060" s="15" t="n">
        <v>18.8</v>
      </c>
      <c r="L1060" s="16">
        <f>HYPERLINK("http://127.0.0.1:8000/api/documents/download?id=3014&amp;attachment=true", "⬇ Download Tender_CGPROC-WRD-2026-8")</f>
        <v/>
      </c>
      <c r="M1060" s="16">
        <f>HYPERLINK("http://localhost:5173/?state=Chhattisgarh&amp;keyword=Environment&amp;tender=CGPROC-WRD-2026-8840", "🚀 Open in Portal")</f>
        <v/>
      </c>
    </row>
    <row r="1061" ht="24" customHeight="1">
      <c r="A1061" s="4" t="inlineStr">
        <is>
          <t>Chhattisgarh</t>
        </is>
      </c>
      <c r="B1061" s="5" t="inlineStr">
        <is>
          <t>Water Resources</t>
        </is>
      </c>
      <c r="C1061" s="6" t="inlineStr">
        <is>
          <t>CGPROC-WRD-2026-8840</t>
        </is>
      </c>
      <c r="D1061" s="7" t="inlineStr">
        <is>
          <t>Integrated River Basin Water Resources Monitoring &amp; Canal SCADA Automation</t>
        </is>
      </c>
      <c r="E1061" s="7" t="inlineStr">
        <is>
          <t>WATER RESOURCES DEPARTMENT-Sihawa Bhawan, Raipur</t>
        </is>
      </c>
      <c r="F1061" s="6" t="inlineStr">
        <is>
          <t>27 Aug 2026</t>
        </is>
      </c>
      <c r="G1061" s="5" t="inlineStr">
        <is>
          <t>18 Sep 2026</t>
        </is>
      </c>
      <c r="H1061" s="8" t="inlineStr">
        <is>
          <t>⏳ UPCOMING</t>
        </is>
      </c>
      <c r="I1061" s="4" t="inlineStr">
        <is>
          <t>Mahanadi_Canal_SCADA_Tender.pdf</t>
        </is>
      </c>
      <c r="J1061" s="6" t="inlineStr">
        <is>
          <t>📕 PDF Document</t>
        </is>
      </c>
      <c r="K1061" s="9" t="n">
        <v>17.9</v>
      </c>
      <c r="L1061" s="10">
        <f>HYPERLINK("http://127.0.0.1:8000/api/documents/download?id=2821&amp;attachment=true", "⬇ Download Mahanadi_Canal_SCADA_Ten")</f>
        <v/>
      </c>
      <c r="M1061" s="10">
        <f>HYPERLINK("http://localhost:5173/?state=Chhattisgarh&amp;keyword=Water%20Resources&amp;tender=CGPROC-WRD-2026-8840", "🚀 Open in Portal")</f>
        <v/>
      </c>
    </row>
    <row r="1062" ht="24" customHeight="1">
      <c r="A1062" s="11" t="inlineStr">
        <is>
          <t>Chhattisgarh</t>
        </is>
      </c>
      <c r="B1062" s="12" t="inlineStr">
        <is>
          <t>Water Resources</t>
        </is>
      </c>
      <c r="C1062" s="13" t="inlineStr">
        <is>
          <t>CGPROC-WRD-2026-8840</t>
        </is>
      </c>
      <c r="D1062" s="14" t="inlineStr">
        <is>
          <t>Integrated River Basin Water Resources Monitoring &amp; Canal SCADA Automation</t>
        </is>
      </c>
      <c r="E1062" s="14" t="inlineStr">
        <is>
          <t>WATER RESOURCES DEPARTMENT-Sihawa Bhawan, Raipur</t>
        </is>
      </c>
      <c r="F1062" s="13" t="inlineStr">
        <is>
          <t>27 Aug 2026</t>
        </is>
      </c>
      <c r="G1062" s="12" t="inlineStr">
        <is>
          <t>18 Sep 2026</t>
        </is>
      </c>
      <c r="H1062" s="8" t="inlineStr">
        <is>
          <t>⏳ UPCOMING</t>
        </is>
      </c>
      <c r="I1062" s="11" t="inlineStr">
        <is>
          <t>Technical_Specifications_Sensors.pdf</t>
        </is>
      </c>
      <c r="J1062" s="13" t="inlineStr">
        <is>
          <t>📕 PDF Document</t>
        </is>
      </c>
      <c r="K1062" s="15" t="n">
        <v>17.9</v>
      </c>
      <c r="L1062" s="16">
        <f>HYPERLINK("http://127.0.0.1:8000/api/documents/download?id=2822&amp;attachment=true", "⬇ Download Technical_Specifications")</f>
        <v/>
      </c>
      <c r="M1062" s="16">
        <f>HYPERLINK("http://localhost:5173/?state=Chhattisgarh&amp;keyword=Water%20Resources&amp;tender=CGPROC-WRD-2026-8840", "🚀 Open in Portal")</f>
        <v/>
      </c>
    </row>
    <row r="1063" ht="24" customHeight="1">
      <c r="A1063" s="4" t="inlineStr">
        <is>
          <t>Chhattisgarh</t>
        </is>
      </c>
      <c r="B1063" s="5" t="inlineStr">
        <is>
          <t>Water Resources</t>
        </is>
      </c>
      <c r="C1063" s="6" t="inlineStr">
        <is>
          <t>CGPROC-WRD-2026-8840</t>
        </is>
      </c>
      <c r="D1063" s="7" t="inlineStr">
        <is>
          <t>Integrated River Basin Water Resources Monitoring &amp; Canal SCADA Automation</t>
        </is>
      </c>
      <c r="E1063" s="7" t="inlineStr">
        <is>
          <t>WATER RESOURCES DEPARTMENT-Sihawa Bhawan, Raipur</t>
        </is>
      </c>
      <c r="F1063" s="6" t="inlineStr">
        <is>
          <t>27 Aug 2026</t>
        </is>
      </c>
      <c r="G1063" s="5" t="inlineStr">
        <is>
          <t>18 Sep 2026</t>
        </is>
      </c>
      <c r="H1063" s="8" t="inlineStr">
        <is>
          <t>⏳ UPCOMING</t>
        </is>
      </c>
      <c r="I1063" s="4" t="inlineStr">
        <is>
          <t>Tender_CGPROC-WRD-2026-8840_All_Documents.zip</t>
        </is>
      </c>
      <c r="J1063" s="6" t="inlineStr">
        <is>
          <t>📦 ZIP Package</t>
        </is>
      </c>
      <c r="K1063" s="9" t="n">
        <v>18.8</v>
      </c>
      <c r="L1063" s="10">
        <f>HYPERLINK("http://127.0.0.1:8000/api/documents/download?id=3014&amp;attachment=true", "⬇ Download Tender_CGPROC-WRD-2026-8")</f>
        <v/>
      </c>
      <c r="M1063" s="10">
        <f>HYPERLINK("http://localhost:5173/?state=Chhattisgarh&amp;keyword=Water%20Resources&amp;tender=CGPROC-WRD-2026-8840", "🚀 Open in Portal")</f>
        <v/>
      </c>
    </row>
    <row r="1064" ht="24" customHeight="1">
      <c r="A1064" s="11" t="inlineStr">
        <is>
          <t>Chhattisgarh</t>
        </is>
      </c>
      <c r="B1064" s="12" t="inlineStr">
        <is>
          <t>Health</t>
        </is>
      </c>
      <c r="C1064" s="13" t="inlineStr">
        <is>
          <t>CGPROC-HEALTH-2026-7731</t>
        </is>
      </c>
      <c r="D1064" s="14" t="inlineStr">
        <is>
          <t>Supply of ICT Infrastructure &amp; Tele-ICU Software Platform for District Hospitals</t>
        </is>
      </c>
      <c r="E1064" s="14" t="inlineStr">
        <is>
          <t>HEALTH &amp; FAMILY WELFARE-Indravati Bhawan, Nawa Raipur</t>
        </is>
      </c>
      <c r="F1064" s="13" t="inlineStr">
        <is>
          <t>25 Jul 2026</t>
        </is>
      </c>
      <c r="G1064" s="12" t="inlineStr">
        <is>
          <t>22 Aug 2026</t>
        </is>
      </c>
      <c r="H1064" s="8" t="inlineStr">
        <is>
          <t>⏳ UPCOMING</t>
        </is>
      </c>
      <c r="I1064" s="11" t="inlineStr">
        <is>
          <t>Tele_ICU_Software_Bid_Document.pdf</t>
        </is>
      </c>
      <c r="J1064" s="13" t="inlineStr">
        <is>
          <t>📕 PDF Document</t>
        </is>
      </c>
      <c r="K1064" s="15" t="n">
        <v>17.9</v>
      </c>
      <c r="L1064" s="16">
        <f>HYPERLINK("http://127.0.0.1:8000/api/documents/download?id=2825&amp;attachment=true", "⬇ Download Tele_ICU_Software_Bid_Do")</f>
        <v/>
      </c>
      <c r="M1064" s="16">
        <f>HYPERLINK("http://localhost:5173/?state=Chhattisgarh&amp;keyword=Health&amp;tender=CGPROC-HEALTH-2026-7731", "🚀 Open in Portal")</f>
        <v/>
      </c>
    </row>
    <row r="1065" ht="24" customHeight="1">
      <c r="A1065" s="4" t="inlineStr">
        <is>
          <t>Chhattisgarh</t>
        </is>
      </c>
      <c r="B1065" s="5" t="inlineStr">
        <is>
          <t>Health</t>
        </is>
      </c>
      <c r="C1065" s="6" t="inlineStr">
        <is>
          <t>CGPROC-HEALTH-2026-7731</t>
        </is>
      </c>
      <c r="D1065" s="7" t="inlineStr">
        <is>
          <t>Supply of ICT Infrastructure &amp; Tele-ICU Software Platform for District Hospitals</t>
        </is>
      </c>
      <c r="E1065" s="7" t="inlineStr">
        <is>
          <t>HEALTH &amp; FAMILY WELFARE-Indravati Bhawan, Nawa Raipur</t>
        </is>
      </c>
      <c r="F1065" s="6" t="inlineStr">
        <is>
          <t>25 Jul 2026</t>
        </is>
      </c>
      <c r="G1065" s="5" t="inlineStr">
        <is>
          <t>22 Aug 2026</t>
        </is>
      </c>
      <c r="H1065" s="8" t="inlineStr">
        <is>
          <t>⏳ UPCOMING</t>
        </is>
      </c>
      <c r="I1065" s="4" t="inlineStr">
        <is>
          <t>Hardware_Bill_of_Materials.xlsx</t>
        </is>
      </c>
      <c r="J1065" s="6" t="inlineStr">
        <is>
          <t>📊 Excel BOQ</t>
        </is>
      </c>
      <c r="K1065" s="9" t="n">
        <v>2.5</v>
      </c>
      <c r="L1065" s="10">
        <f>HYPERLINK("http://127.0.0.1:8000/api/documents/download?id=2826&amp;attachment=true", "⬇ Download Hardware_Bill_of_Materia")</f>
        <v/>
      </c>
      <c r="M1065" s="10">
        <f>HYPERLINK("http://localhost:5173/?state=Chhattisgarh&amp;keyword=Health&amp;tender=CGPROC-HEALTH-2026-7731", "🚀 Open in Portal")</f>
        <v/>
      </c>
    </row>
    <row r="1066" ht="24" customHeight="1">
      <c r="A1066" s="11" t="inlineStr">
        <is>
          <t>Chhattisgarh</t>
        </is>
      </c>
      <c r="B1066" s="12" t="inlineStr">
        <is>
          <t>Health</t>
        </is>
      </c>
      <c r="C1066" s="13" t="inlineStr">
        <is>
          <t>CGPROC-HEALTH-2026-7731</t>
        </is>
      </c>
      <c r="D1066" s="14" t="inlineStr">
        <is>
          <t>Supply of ICT Infrastructure &amp; Tele-ICU Software Platform for District Hospitals</t>
        </is>
      </c>
      <c r="E1066" s="14" t="inlineStr">
        <is>
          <t>HEALTH &amp; FAMILY WELFARE-Indravati Bhawan, Nawa Raipur</t>
        </is>
      </c>
      <c r="F1066" s="13" t="inlineStr">
        <is>
          <t>25 Jul 2026</t>
        </is>
      </c>
      <c r="G1066" s="12" t="inlineStr">
        <is>
          <t>22 Aug 2026</t>
        </is>
      </c>
      <c r="H1066" s="8" t="inlineStr">
        <is>
          <t>⏳ UPCOMING</t>
        </is>
      </c>
      <c r="I1066" s="11" t="inlineStr">
        <is>
          <t>Tender_CGPROC-HEALTH-2026-7731_All_Documents.zip</t>
        </is>
      </c>
      <c r="J1066" s="13" t="inlineStr">
        <is>
          <t>📦 ZIP Package</t>
        </is>
      </c>
      <c r="K1066" s="15" t="n">
        <v>11.7</v>
      </c>
      <c r="L1066" s="16">
        <f>HYPERLINK("http://127.0.0.1:8000/api/documents/download?id=3016&amp;attachment=true", "⬇ Download Tender_CGPROC-HEALTH-202")</f>
        <v/>
      </c>
      <c r="M1066" s="16">
        <f>HYPERLINK("http://localhost:5173/?state=Chhattisgarh&amp;keyword=Health&amp;tender=CGPROC-HEALTH-2026-7731", "🚀 Open in Portal")</f>
        <v/>
      </c>
    </row>
    <row r="1067" ht="24" customHeight="1">
      <c r="A1067" s="4" t="inlineStr">
        <is>
          <t>Chhattisgarh</t>
        </is>
      </c>
      <c r="B1067" s="5" t="inlineStr">
        <is>
          <t>Spatial</t>
        </is>
      </c>
      <c r="C1067" s="6" t="inlineStr">
        <is>
          <t>CGPROC-CHiPS-2026-319</t>
        </is>
      </c>
      <c r="D1067" s="7" t="inlineStr">
        <is>
          <t>Statewide Drone Survey &amp; GIS Cadastral Map Rectification for Forest Rights Act (FRA)</t>
        </is>
      </c>
      <c r="E1067" s="7" t="inlineStr">
        <is>
          <t>CHHATTISGARH INFOTECH PROMOTION SOCIETY (CHiPS)-Raipur</t>
        </is>
      </c>
      <c r="F1067" s="6" t="inlineStr">
        <is>
          <t>29 Jul 2026</t>
        </is>
      </c>
      <c r="G1067" s="5" t="inlineStr">
        <is>
          <t>24 Aug 2026</t>
        </is>
      </c>
      <c r="H1067" s="8" t="inlineStr">
        <is>
          <t>⏳ UPCOMING</t>
        </is>
      </c>
      <c r="I1067" s="4" t="inlineStr">
        <is>
          <t>CHiPS_FRA_GIS_Survey_RFP.pdf</t>
        </is>
      </c>
      <c r="J1067" s="6" t="inlineStr">
        <is>
          <t>📕 PDF Document</t>
        </is>
      </c>
      <c r="K1067" s="9" t="n">
        <v>17.9</v>
      </c>
      <c r="L1067" s="10">
        <f>HYPERLINK("http://127.0.0.1:8000/api/documents/download?id=2818&amp;attachment=true", "⬇ Download CHiPS_FRA_GIS_Survey_RFP")</f>
        <v/>
      </c>
      <c r="M1067" s="10">
        <f>HYPERLINK("http://localhost:5173/?state=Chhattisgarh&amp;keyword=Spatial&amp;tender=CGPROC-CHiPS-2026-319", "🚀 Open in Portal")</f>
        <v/>
      </c>
    </row>
    <row r="1068" ht="24" customHeight="1">
      <c r="A1068" s="11" t="inlineStr">
        <is>
          <t>Chhattisgarh</t>
        </is>
      </c>
      <c r="B1068" s="12" t="inlineStr">
        <is>
          <t>Spatial</t>
        </is>
      </c>
      <c r="C1068" s="13" t="inlineStr">
        <is>
          <t>CGPROC-CHiPS-2026-319</t>
        </is>
      </c>
      <c r="D1068" s="14" t="inlineStr">
        <is>
          <t>Statewide Drone Survey &amp; GIS Cadastral Map Rectification for Forest Rights Act (FRA)</t>
        </is>
      </c>
      <c r="E1068" s="14" t="inlineStr">
        <is>
          <t>CHHATTISGARH INFOTECH PROMOTION SOCIETY (CHiPS)-Raipur</t>
        </is>
      </c>
      <c r="F1068" s="13" t="inlineStr">
        <is>
          <t>29 Jul 2026</t>
        </is>
      </c>
      <c r="G1068" s="12" t="inlineStr">
        <is>
          <t>24 Aug 2026</t>
        </is>
      </c>
      <c r="H1068" s="8" t="inlineStr">
        <is>
          <t>⏳ UPCOMING</t>
        </is>
      </c>
      <c r="I1068" s="11" t="inlineStr">
        <is>
          <t>Drone_Accuracy_Standards.pdf</t>
        </is>
      </c>
      <c r="J1068" s="13" t="inlineStr">
        <is>
          <t>📕 PDF Document</t>
        </is>
      </c>
      <c r="K1068" s="15" t="n">
        <v>17.9</v>
      </c>
      <c r="L1068" s="16">
        <f>HYPERLINK("http://127.0.0.1:8000/api/documents/download?id=2819&amp;attachment=true", "⬇ Download Drone_Accuracy_Standards")</f>
        <v/>
      </c>
      <c r="M1068" s="16">
        <f>HYPERLINK("http://localhost:5173/?state=Chhattisgarh&amp;keyword=Spatial&amp;tender=CGPROC-CHiPS-2026-319", "🚀 Open in Portal")</f>
        <v/>
      </c>
    </row>
    <row r="1069" ht="24" customHeight="1">
      <c r="A1069" s="4" t="inlineStr">
        <is>
          <t>Chhattisgarh</t>
        </is>
      </c>
      <c r="B1069" s="5" t="inlineStr">
        <is>
          <t>Spatial</t>
        </is>
      </c>
      <c r="C1069" s="6" t="inlineStr">
        <is>
          <t>CGPROC-CHiPS-2026-319</t>
        </is>
      </c>
      <c r="D1069" s="7" t="inlineStr">
        <is>
          <t>Statewide Drone Survey &amp; GIS Cadastral Map Rectification for Forest Rights Act (FRA)</t>
        </is>
      </c>
      <c r="E1069" s="7" t="inlineStr">
        <is>
          <t>CHHATTISGARH INFOTECH PROMOTION SOCIETY (CHiPS)-Raipur</t>
        </is>
      </c>
      <c r="F1069" s="6" t="inlineStr">
        <is>
          <t>29 Jul 2026</t>
        </is>
      </c>
      <c r="G1069" s="5" t="inlineStr">
        <is>
          <t>24 Aug 2026</t>
        </is>
      </c>
      <c r="H1069" s="8" t="inlineStr">
        <is>
          <t>⏳ UPCOMING</t>
        </is>
      </c>
      <c r="I1069" s="4" t="inlineStr">
        <is>
          <t>Tender_CGPROC-CHiPS-2026-319_All_Documents.zip</t>
        </is>
      </c>
      <c r="J1069" s="6" t="inlineStr">
        <is>
          <t>📦 ZIP Package</t>
        </is>
      </c>
      <c r="K1069" s="9" t="n">
        <v>18.5</v>
      </c>
      <c r="L1069" s="10">
        <f>HYPERLINK("http://127.0.0.1:8000/api/documents/download?id=2820&amp;attachment=true", "⬇ Download Tender_CGPROC-CHiPS-2026")</f>
        <v/>
      </c>
      <c r="M1069" s="10">
        <f>HYPERLINK("http://localhost:5173/?state=Chhattisgarh&amp;keyword=Spatial&amp;tender=CGPROC-CHiPS-2026-319", "🚀 Open in Portal")</f>
        <v/>
      </c>
    </row>
    <row r="1070" ht="24" customHeight="1">
      <c r="A1070" s="11" t="inlineStr">
        <is>
          <t>Chhattisgarh</t>
        </is>
      </c>
      <c r="B1070" s="12" t="inlineStr">
        <is>
          <t>Software Development</t>
        </is>
      </c>
      <c r="C1070" s="13" t="inlineStr">
        <is>
          <t>CGPROC-AGRI-2026-2210</t>
        </is>
      </c>
      <c r="D1070" s="14" t="inlineStr">
        <is>
          <t>Rajiv Gandhi Kisan Nyay Yojana Beneficiary MIS &amp; Mobile Inspection Portal</t>
        </is>
      </c>
      <c r="E1070" s="14" t="inlineStr">
        <is>
          <t>DIRECTORATE OF AGRICULTURE-Government of Chhattisgarh</t>
        </is>
      </c>
      <c r="F1070" s="13" t="inlineStr">
        <is>
          <t>25 Sep 2026</t>
        </is>
      </c>
      <c r="G1070" s="12" t="inlineStr">
        <is>
          <t>03 Nov 2026</t>
        </is>
      </c>
      <c r="H1070" s="17" t="inlineStr">
        <is>
          <t>🟢 LIVE ACTIVE</t>
        </is>
      </c>
      <c r="I1070" s="11" t="inlineStr">
        <is>
          <t>Kisan_Nyay_MIS_Portal_RFP.pdf</t>
        </is>
      </c>
      <c r="J1070" s="13" t="inlineStr">
        <is>
          <t>📕 PDF Document</t>
        </is>
      </c>
      <c r="K1070" s="15" t="n">
        <v>17.9</v>
      </c>
      <c r="L1070" s="16">
        <f>HYPERLINK("http://127.0.0.1:8000/api/documents/download?id=2823&amp;attachment=true", "⬇ Download Kisan_Nyay_MIS_Portal_RF")</f>
        <v/>
      </c>
      <c r="M1070" s="16">
        <f>HYPERLINK("http://localhost:5173/?state=Chhattisgarh&amp;keyword=Software%20Development&amp;tender=CGPROC-AGRI-2026-2210", "🚀 Open in Portal")</f>
        <v/>
      </c>
    </row>
    <row r="1071" ht="24" customHeight="1">
      <c r="A1071" s="4" t="inlineStr">
        <is>
          <t>Chhattisgarh</t>
        </is>
      </c>
      <c r="B1071" s="5" t="inlineStr">
        <is>
          <t>Software Development</t>
        </is>
      </c>
      <c r="C1071" s="6" t="inlineStr">
        <is>
          <t>CGPROC-AGRI-2026-2210</t>
        </is>
      </c>
      <c r="D1071" s="7" t="inlineStr">
        <is>
          <t>Rajiv Gandhi Kisan Nyay Yojana Beneficiary MIS &amp; Mobile Inspection Portal</t>
        </is>
      </c>
      <c r="E1071" s="7" t="inlineStr">
        <is>
          <t>DIRECTORATE OF AGRICULTURE-Government of Chhattisgarh</t>
        </is>
      </c>
      <c r="F1071" s="6" t="inlineStr">
        <is>
          <t>25 Sep 2026</t>
        </is>
      </c>
      <c r="G1071" s="5" t="inlineStr">
        <is>
          <t>03 Nov 2026</t>
        </is>
      </c>
      <c r="H1071" s="17" t="inlineStr">
        <is>
          <t>🟢 LIVE ACTIVE</t>
        </is>
      </c>
      <c r="I1071" s="4" t="inlineStr">
        <is>
          <t>Mobile_Inspection_SRS.pdf</t>
        </is>
      </c>
      <c r="J1071" s="6" t="inlineStr">
        <is>
          <t>📕 PDF Document</t>
        </is>
      </c>
      <c r="K1071" s="9" t="n">
        <v>17.9</v>
      </c>
      <c r="L1071" s="10">
        <f>HYPERLINK("http://127.0.0.1:8000/api/documents/download?id=2824&amp;attachment=true", "⬇ Download Mobile_Inspection_SRS.pd")</f>
        <v/>
      </c>
      <c r="M1071" s="10">
        <f>HYPERLINK("http://localhost:5173/?state=Chhattisgarh&amp;keyword=Software%20Development&amp;tender=CGPROC-AGRI-2026-2210", "🚀 Open in Portal")</f>
        <v/>
      </c>
    </row>
    <row r="1072" ht="24" customHeight="1">
      <c r="A1072" s="11" t="inlineStr">
        <is>
          <t>Chhattisgarh</t>
        </is>
      </c>
      <c r="B1072" s="12" t="inlineStr">
        <is>
          <t>Software Development</t>
        </is>
      </c>
      <c r="C1072" s="13" t="inlineStr">
        <is>
          <t>CGPROC-AGRI-2026-2210</t>
        </is>
      </c>
      <c r="D1072" s="14" t="inlineStr">
        <is>
          <t>Rajiv Gandhi Kisan Nyay Yojana Beneficiary MIS &amp; Mobile Inspection Portal</t>
        </is>
      </c>
      <c r="E1072" s="14" t="inlineStr">
        <is>
          <t>DIRECTORATE OF AGRICULTURE-Government of Chhattisgarh</t>
        </is>
      </c>
      <c r="F1072" s="13" t="inlineStr">
        <is>
          <t>25 Sep 2026</t>
        </is>
      </c>
      <c r="G1072" s="12" t="inlineStr">
        <is>
          <t>03 Nov 2026</t>
        </is>
      </c>
      <c r="H1072" s="17" t="inlineStr">
        <is>
          <t>🟢 LIVE ACTIVE</t>
        </is>
      </c>
      <c r="I1072" s="11" t="inlineStr">
        <is>
          <t>Tender_CGPROC-AGRI-2026-2210_All_Documents.zip</t>
        </is>
      </c>
      <c r="J1072" s="13" t="inlineStr">
        <is>
          <t>📦 ZIP Package</t>
        </is>
      </c>
      <c r="K1072" s="15" t="n">
        <v>18.6</v>
      </c>
      <c r="L1072" s="16">
        <f>HYPERLINK("http://127.0.0.1:8000/api/documents/download?id=3015&amp;attachment=true", "⬇ Download Tender_CGPROC-AGRI-2026-")</f>
        <v/>
      </c>
      <c r="M1072" s="16">
        <f>HYPERLINK("http://localhost:5173/?state=Chhattisgarh&amp;keyword=Software%20Development&amp;tender=CGPROC-AGRI-2026-2210", "🚀 Open in Portal")</f>
        <v/>
      </c>
    </row>
    <row r="1073" ht="24" customHeight="1">
      <c r="A1073" s="4" t="inlineStr">
        <is>
          <t>Chhattisgarh</t>
        </is>
      </c>
      <c r="B1073" s="5" t="inlineStr">
        <is>
          <t>Software Development</t>
        </is>
      </c>
      <c r="C1073" s="6" t="inlineStr">
        <is>
          <t>CGPROC-HEALTH-2026-7731</t>
        </is>
      </c>
      <c r="D1073" s="7" t="inlineStr">
        <is>
          <t>Supply of ICT Infrastructure &amp; Tele-ICU Software Platform for District Hospitals</t>
        </is>
      </c>
      <c r="E1073" s="7" t="inlineStr">
        <is>
          <t>HEALTH &amp; FAMILY WELFARE-Indravati Bhawan, Nawa Raipur</t>
        </is>
      </c>
      <c r="F1073" s="6" t="inlineStr">
        <is>
          <t>25 Jul 2026</t>
        </is>
      </c>
      <c r="G1073" s="5" t="inlineStr">
        <is>
          <t>22 Aug 2026</t>
        </is>
      </c>
      <c r="H1073" s="8" t="inlineStr">
        <is>
          <t>⏳ UPCOMING</t>
        </is>
      </c>
      <c r="I1073" s="4" t="inlineStr">
        <is>
          <t>Tele_ICU_Software_Bid_Document.pdf</t>
        </is>
      </c>
      <c r="J1073" s="6" t="inlineStr">
        <is>
          <t>📕 PDF Document</t>
        </is>
      </c>
      <c r="K1073" s="9" t="n">
        <v>17.9</v>
      </c>
      <c r="L1073" s="10">
        <f>HYPERLINK("http://127.0.0.1:8000/api/documents/download?id=2825&amp;attachment=true", "⬇ Download Tele_ICU_Software_Bid_Do")</f>
        <v/>
      </c>
      <c r="M1073" s="10">
        <f>HYPERLINK("http://localhost:5173/?state=Chhattisgarh&amp;keyword=Software%20Development&amp;tender=CGPROC-HEALTH-2026-7731", "🚀 Open in Portal")</f>
        <v/>
      </c>
    </row>
    <row r="1074" ht="24" customHeight="1">
      <c r="A1074" s="11" t="inlineStr">
        <is>
          <t>Chhattisgarh</t>
        </is>
      </c>
      <c r="B1074" s="12" t="inlineStr">
        <is>
          <t>Software Development</t>
        </is>
      </c>
      <c r="C1074" s="13" t="inlineStr">
        <is>
          <t>CGPROC-HEALTH-2026-7731</t>
        </is>
      </c>
      <c r="D1074" s="14" t="inlineStr">
        <is>
          <t>Supply of ICT Infrastructure &amp; Tele-ICU Software Platform for District Hospitals</t>
        </is>
      </c>
      <c r="E1074" s="14" t="inlineStr">
        <is>
          <t>HEALTH &amp; FAMILY WELFARE-Indravati Bhawan, Nawa Raipur</t>
        </is>
      </c>
      <c r="F1074" s="13" t="inlineStr">
        <is>
          <t>25 Jul 2026</t>
        </is>
      </c>
      <c r="G1074" s="12" t="inlineStr">
        <is>
          <t>22 Aug 2026</t>
        </is>
      </c>
      <c r="H1074" s="8" t="inlineStr">
        <is>
          <t>⏳ UPCOMING</t>
        </is>
      </c>
      <c r="I1074" s="11" t="inlineStr">
        <is>
          <t>Hardware_Bill_of_Materials.xlsx</t>
        </is>
      </c>
      <c r="J1074" s="13" t="inlineStr">
        <is>
          <t>📊 Excel BOQ</t>
        </is>
      </c>
      <c r="K1074" s="15" t="n">
        <v>2.5</v>
      </c>
      <c r="L1074" s="16">
        <f>HYPERLINK("http://127.0.0.1:8000/api/documents/download?id=2826&amp;attachment=true", "⬇ Download Hardware_Bill_of_Materia")</f>
        <v/>
      </c>
      <c r="M1074" s="16">
        <f>HYPERLINK("http://localhost:5173/?state=Chhattisgarh&amp;keyword=Software%20Development&amp;tender=CGPROC-HEALTH-2026-7731", "🚀 Open in Portal")</f>
        <v/>
      </c>
    </row>
    <row r="1075" ht="24" customHeight="1">
      <c r="A1075" s="4" t="inlineStr">
        <is>
          <t>Chhattisgarh</t>
        </is>
      </c>
      <c r="B1075" s="5" t="inlineStr">
        <is>
          <t>Software Development</t>
        </is>
      </c>
      <c r="C1075" s="6" t="inlineStr">
        <is>
          <t>CGPROC-HEALTH-2026-7731</t>
        </is>
      </c>
      <c r="D1075" s="7" t="inlineStr">
        <is>
          <t>Supply of ICT Infrastructure &amp; Tele-ICU Software Platform for District Hospitals</t>
        </is>
      </c>
      <c r="E1075" s="7" t="inlineStr">
        <is>
          <t>HEALTH &amp; FAMILY WELFARE-Indravati Bhawan, Nawa Raipur</t>
        </is>
      </c>
      <c r="F1075" s="6" t="inlineStr">
        <is>
          <t>25 Jul 2026</t>
        </is>
      </c>
      <c r="G1075" s="5" t="inlineStr">
        <is>
          <t>22 Aug 2026</t>
        </is>
      </c>
      <c r="H1075" s="8" t="inlineStr">
        <is>
          <t>⏳ UPCOMING</t>
        </is>
      </c>
      <c r="I1075" s="4" t="inlineStr">
        <is>
          <t>Tender_CGPROC-HEALTH-2026-7731_All_Documents.zip</t>
        </is>
      </c>
      <c r="J1075" s="6" t="inlineStr">
        <is>
          <t>📦 ZIP Package</t>
        </is>
      </c>
      <c r="K1075" s="9" t="n">
        <v>11.7</v>
      </c>
      <c r="L1075" s="10">
        <f>HYPERLINK("http://127.0.0.1:8000/api/documents/download?id=3016&amp;attachment=true", "⬇ Download Tender_CGPROC-HEALTH-202")</f>
        <v/>
      </c>
      <c r="M1075" s="10">
        <f>HYPERLINK("http://localhost:5173/?state=Chhattisgarh&amp;keyword=Software%20Development&amp;tender=CGPROC-HEALTH-2026-7731", "🚀 Open in Portal")</f>
        <v/>
      </c>
    </row>
    <row r="1076" ht="24" customHeight="1">
      <c r="A1076" s="11" t="inlineStr">
        <is>
          <t>Chhattisgarh</t>
        </is>
      </c>
      <c r="B1076" s="12" t="inlineStr">
        <is>
          <t>MIS</t>
        </is>
      </c>
      <c r="C1076" s="13" t="inlineStr">
        <is>
          <t>CGPROC-AGRI-2026-2210</t>
        </is>
      </c>
      <c r="D1076" s="14" t="inlineStr">
        <is>
          <t>Rajiv Gandhi Kisan Nyay Yojana Beneficiary MIS &amp; Mobile Inspection Portal</t>
        </is>
      </c>
      <c r="E1076" s="14" t="inlineStr">
        <is>
          <t>DIRECTORATE OF AGRICULTURE-Government of Chhattisgarh</t>
        </is>
      </c>
      <c r="F1076" s="13" t="inlineStr">
        <is>
          <t>25 Sep 2026</t>
        </is>
      </c>
      <c r="G1076" s="12" t="inlineStr">
        <is>
          <t>03 Nov 2026</t>
        </is>
      </c>
      <c r="H1076" s="17" t="inlineStr">
        <is>
          <t>🟢 LIVE ACTIVE</t>
        </is>
      </c>
      <c r="I1076" s="11" t="inlineStr">
        <is>
          <t>Kisan_Nyay_MIS_Portal_RFP.pdf</t>
        </is>
      </c>
      <c r="J1076" s="13" t="inlineStr">
        <is>
          <t>📕 PDF Document</t>
        </is>
      </c>
      <c r="K1076" s="15" t="n">
        <v>17.9</v>
      </c>
      <c r="L1076" s="16">
        <f>HYPERLINK("http://127.0.0.1:8000/api/documents/download?id=2823&amp;attachment=true", "⬇ Download Kisan_Nyay_MIS_Portal_RF")</f>
        <v/>
      </c>
      <c r="M1076" s="16">
        <f>HYPERLINK("http://localhost:5173/?state=Chhattisgarh&amp;keyword=MIS&amp;tender=CGPROC-AGRI-2026-2210", "🚀 Open in Portal")</f>
        <v/>
      </c>
    </row>
    <row r="1077" ht="24" customHeight="1">
      <c r="A1077" s="4" t="inlineStr">
        <is>
          <t>Chhattisgarh</t>
        </is>
      </c>
      <c r="B1077" s="5" t="inlineStr">
        <is>
          <t>MIS</t>
        </is>
      </c>
      <c r="C1077" s="6" t="inlineStr">
        <is>
          <t>CGPROC-AGRI-2026-2210</t>
        </is>
      </c>
      <c r="D1077" s="7" t="inlineStr">
        <is>
          <t>Rajiv Gandhi Kisan Nyay Yojana Beneficiary MIS &amp; Mobile Inspection Portal</t>
        </is>
      </c>
      <c r="E1077" s="7" t="inlineStr">
        <is>
          <t>DIRECTORATE OF AGRICULTURE-Government of Chhattisgarh</t>
        </is>
      </c>
      <c r="F1077" s="6" t="inlineStr">
        <is>
          <t>25 Sep 2026</t>
        </is>
      </c>
      <c r="G1077" s="5" t="inlineStr">
        <is>
          <t>03 Nov 2026</t>
        </is>
      </c>
      <c r="H1077" s="17" t="inlineStr">
        <is>
          <t>🟢 LIVE ACTIVE</t>
        </is>
      </c>
      <c r="I1077" s="4" t="inlineStr">
        <is>
          <t>Mobile_Inspection_SRS.pdf</t>
        </is>
      </c>
      <c r="J1077" s="6" t="inlineStr">
        <is>
          <t>📕 PDF Document</t>
        </is>
      </c>
      <c r="K1077" s="9" t="n">
        <v>17.9</v>
      </c>
      <c r="L1077" s="10">
        <f>HYPERLINK("http://127.0.0.1:8000/api/documents/download?id=2824&amp;attachment=true", "⬇ Download Mobile_Inspection_SRS.pd")</f>
        <v/>
      </c>
      <c r="M1077" s="10">
        <f>HYPERLINK("http://localhost:5173/?state=Chhattisgarh&amp;keyword=MIS&amp;tender=CGPROC-AGRI-2026-2210", "🚀 Open in Portal")</f>
        <v/>
      </c>
    </row>
    <row r="1078" ht="24" customHeight="1">
      <c r="A1078" s="11" t="inlineStr">
        <is>
          <t>Chhattisgarh</t>
        </is>
      </c>
      <c r="B1078" s="12" t="inlineStr">
        <is>
          <t>MIS</t>
        </is>
      </c>
      <c r="C1078" s="13" t="inlineStr">
        <is>
          <t>CGPROC-AGRI-2026-2210</t>
        </is>
      </c>
      <c r="D1078" s="14" t="inlineStr">
        <is>
          <t>Rajiv Gandhi Kisan Nyay Yojana Beneficiary MIS &amp; Mobile Inspection Portal</t>
        </is>
      </c>
      <c r="E1078" s="14" t="inlineStr">
        <is>
          <t>DIRECTORATE OF AGRICULTURE-Government of Chhattisgarh</t>
        </is>
      </c>
      <c r="F1078" s="13" t="inlineStr">
        <is>
          <t>25 Sep 2026</t>
        </is>
      </c>
      <c r="G1078" s="12" t="inlineStr">
        <is>
          <t>03 Nov 2026</t>
        </is>
      </c>
      <c r="H1078" s="17" t="inlineStr">
        <is>
          <t>🟢 LIVE ACTIVE</t>
        </is>
      </c>
      <c r="I1078" s="11" t="inlineStr">
        <is>
          <t>Tender_CGPROC-AGRI-2026-2210_All_Documents.zip</t>
        </is>
      </c>
      <c r="J1078" s="13" t="inlineStr">
        <is>
          <t>📦 ZIP Package</t>
        </is>
      </c>
      <c r="K1078" s="15" t="n">
        <v>18.6</v>
      </c>
      <c r="L1078" s="16">
        <f>HYPERLINK("http://127.0.0.1:8000/api/documents/download?id=3015&amp;attachment=true", "⬇ Download Tender_CGPROC-AGRI-2026-")</f>
        <v/>
      </c>
      <c r="M1078" s="16">
        <f>HYPERLINK("http://localhost:5173/?state=Chhattisgarh&amp;keyword=MIS&amp;tender=CGPROC-AGRI-2026-2210", "🚀 Open in Portal")</f>
        <v/>
      </c>
    </row>
    <row r="1079" ht="24" customHeight="1">
      <c r="A1079" s="4" t="inlineStr">
        <is>
          <t>Chhattisgarh</t>
        </is>
      </c>
      <c r="B1079" s="5" t="inlineStr">
        <is>
          <t>Mobile Application</t>
        </is>
      </c>
      <c r="C1079" s="6" t="inlineStr">
        <is>
          <t>CGPROC-AGRI-2026-2210</t>
        </is>
      </c>
      <c r="D1079" s="7" t="inlineStr">
        <is>
          <t>Rajiv Gandhi Kisan Nyay Yojana Beneficiary MIS &amp; Mobile Inspection Portal</t>
        </is>
      </c>
      <c r="E1079" s="7" t="inlineStr">
        <is>
          <t>DIRECTORATE OF AGRICULTURE-Government of Chhattisgarh</t>
        </is>
      </c>
      <c r="F1079" s="6" t="inlineStr">
        <is>
          <t>25 Sep 2026</t>
        </is>
      </c>
      <c r="G1079" s="5" t="inlineStr">
        <is>
          <t>03 Nov 2026</t>
        </is>
      </c>
      <c r="H1079" s="17" t="inlineStr">
        <is>
          <t>🟢 LIVE ACTIVE</t>
        </is>
      </c>
      <c r="I1079" s="4" t="inlineStr">
        <is>
          <t>Kisan_Nyay_MIS_Portal_RFP.pdf</t>
        </is>
      </c>
      <c r="J1079" s="6" t="inlineStr">
        <is>
          <t>📕 PDF Document</t>
        </is>
      </c>
      <c r="K1079" s="9" t="n">
        <v>17.9</v>
      </c>
      <c r="L1079" s="10">
        <f>HYPERLINK("http://127.0.0.1:8000/api/documents/download?id=2823&amp;attachment=true", "⬇ Download Kisan_Nyay_MIS_Portal_RF")</f>
        <v/>
      </c>
      <c r="M1079" s="10">
        <f>HYPERLINK("http://localhost:5173/?state=Chhattisgarh&amp;keyword=Mobile%20Application&amp;tender=CGPROC-AGRI-2026-2210", "🚀 Open in Portal")</f>
        <v/>
      </c>
    </row>
    <row r="1080" ht="24" customHeight="1">
      <c r="A1080" s="11" t="inlineStr">
        <is>
          <t>Chhattisgarh</t>
        </is>
      </c>
      <c r="B1080" s="12" t="inlineStr">
        <is>
          <t>Mobile Application</t>
        </is>
      </c>
      <c r="C1080" s="13" t="inlineStr">
        <is>
          <t>CGPROC-AGRI-2026-2210</t>
        </is>
      </c>
      <c r="D1080" s="14" t="inlineStr">
        <is>
          <t>Rajiv Gandhi Kisan Nyay Yojana Beneficiary MIS &amp; Mobile Inspection Portal</t>
        </is>
      </c>
      <c r="E1080" s="14" t="inlineStr">
        <is>
          <t>DIRECTORATE OF AGRICULTURE-Government of Chhattisgarh</t>
        </is>
      </c>
      <c r="F1080" s="13" t="inlineStr">
        <is>
          <t>25 Sep 2026</t>
        </is>
      </c>
      <c r="G1080" s="12" t="inlineStr">
        <is>
          <t>03 Nov 2026</t>
        </is>
      </c>
      <c r="H1080" s="17" t="inlineStr">
        <is>
          <t>🟢 LIVE ACTIVE</t>
        </is>
      </c>
      <c r="I1080" s="11" t="inlineStr">
        <is>
          <t>Mobile_Inspection_SRS.pdf</t>
        </is>
      </c>
      <c r="J1080" s="13" t="inlineStr">
        <is>
          <t>📕 PDF Document</t>
        </is>
      </c>
      <c r="K1080" s="15" t="n">
        <v>17.9</v>
      </c>
      <c r="L1080" s="16">
        <f>HYPERLINK("http://127.0.0.1:8000/api/documents/download?id=2824&amp;attachment=true", "⬇ Download Mobile_Inspection_SRS.pd")</f>
        <v/>
      </c>
      <c r="M1080" s="16">
        <f>HYPERLINK("http://localhost:5173/?state=Chhattisgarh&amp;keyword=Mobile%20Application&amp;tender=CGPROC-AGRI-2026-2210", "🚀 Open in Portal")</f>
        <v/>
      </c>
    </row>
    <row r="1081" ht="24" customHeight="1">
      <c r="A1081" s="4" t="inlineStr">
        <is>
          <t>Chhattisgarh</t>
        </is>
      </c>
      <c r="B1081" s="5" t="inlineStr">
        <is>
          <t>Mobile Application</t>
        </is>
      </c>
      <c r="C1081" s="6" t="inlineStr">
        <is>
          <t>CGPROC-AGRI-2026-2210</t>
        </is>
      </c>
      <c r="D1081" s="7" t="inlineStr">
        <is>
          <t>Rajiv Gandhi Kisan Nyay Yojana Beneficiary MIS &amp; Mobile Inspection Portal</t>
        </is>
      </c>
      <c r="E1081" s="7" t="inlineStr">
        <is>
          <t>DIRECTORATE OF AGRICULTURE-Government of Chhattisgarh</t>
        </is>
      </c>
      <c r="F1081" s="6" t="inlineStr">
        <is>
          <t>25 Sep 2026</t>
        </is>
      </c>
      <c r="G1081" s="5" t="inlineStr">
        <is>
          <t>03 Nov 2026</t>
        </is>
      </c>
      <c r="H1081" s="17" t="inlineStr">
        <is>
          <t>🟢 LIVE ACTIVE</t>
        </is>
      </c>
      <c r="I1081" s="4" t="inlineStr">
        <is>
          <t>Tender_CGPROC-AGRI-2026-2210_All_Documents.zip</t>
        </is>
      </c>
      <c r="J1081" s="6" t="inlineStr">
        <is>
          <t>📦 ZIP Package</t>
        </is>
      </c>
      <c r="K1081" s="9" t="n">
        <v>18.6</v>
      </c>
      <c r="L1081" s="10">
        <f>HYPERLINK("http://127.0.0.1:8000/api/documents/download?id=3015&amp;attachment=true", "⬇ Download Tender_CGPROC-AGRI-2026-")</f>
        <v/>
      </c>
      <c r="M1081" s="10">
        <f>HYPERLINK("http://localhost:5173/?state=Chhattisgarh&amp;keyword=Mobile%20Application&amp;tender=CGPROC-AGRI-2026-2210", "🚀 Open in Portal")</f>
        <v/>
      </c>
    </row>
    <row r="1082" ht="24" customHeight="1">
      <c r="A1082" s="11" t="inlineStr">
        <is>
          <t>Chhattisgarh</t>
        </is>
      </c>
      <c r="B1082" s="12" t="inlineStr">
        <is>
          <t>Mapping</t>
        </is>
      </c>
      <c r="C1082" s="13" t="inlineStr">
        <is>
          <t>CGPROC-CHiPS-2026-319</t>
        </is>
      </c>
      <c r="D1082" s="14" t="inlineStr">
        <is>
          <t>Statewide Drone Survey &amp; GIS Cadastral Map Rectification for Forest Rights Act (FRA)</t>
        </is>
      </c>
      <c r="E1082" s="14" t="inlineStr">
        <is>
          <t>CHHATTISGARH INFOTECH PROMOTION SOCIETY (CHiPS)-Raipur</t>
        </is>
      </c>
      <c r="F1082" s="13" t="inlineStr">
        <is>
          <t>29 Jul 2026</t>
        </is>
      </c>
      <c r="G1082" s="12" t="inlineStr">
        <is>
          <t>24 Aug 2026</t>
        </is>
      </c>
      <c r="H1082" s="8" t="inlineStr">
        <is>
          <t>⏳ UPCOMING</t>
        </is>
      </c>
      <c r="I1082" s="11" t="inlineStr">
        <is>
          <t>CHiPS_FRA_GIS_Survey_RFP.pdf</t>
        </is>
      </c>
      <c r="J1082" s="13" t="inlineStr">
        <is>
          <t>📕 PDF Document</t>
        </is>
      </c>
      <c r="K1082" s="15" t="n">
        <v>17.9</v>
      </c>
      <c r="L1082" s="16">
        <f>HYPERLINK("http://127.0.0.1:8000/api/documents/download?id=2818&amp;attachment=true", "⬇ Download CHiPS_FRA_GIS_Survey_RFP")</f>
        <v/>
      </c>
      <c r="M1082" s="16">
        <f>HYPERLINK("http://localhost:5173/?state=Chhattisgarh&amp;keyword=Mapping&amp;tender=CGPROC-CHiPS-2026-319", "🚀 Open in Portal")</f>
        <v/>
      </c>
    </row>
    <row r="1083" ht="24" customHeight="1">
      <c r="A1083" s="4" t="inlineStr">
        <is>
          <t>Chhattisgarh</t>
        </is>
      </c>
      <c r="B1083" s="5" t="inlineStr">
        <is>
          <t>Mapping</t>
        </is>
      </c>
      <c r="C1083" s="6" t="inlineStr">
        <is>
          <t>CGPROC-CHiPS-2026-319</t>
        </is>
      </c>
      <c r="D1083" s="7" t="inlineStr">
        <is>
          <t>Statewide Drone Survey &amp; GIS Cadastral Map Rectification for Forest Rights Act (FRA)</t>
        </is>
      </c>
      <c r="E1083" s="7" t="inlineStr">
        <is>
          <t>CHHATTISGARH INFOTECH PROMOTION SOCIETY (CHiPS)-Raipur</t>
        </is>
      </c>
      <c r="F1083" s="6" t="inlineStr">
        <is>
          <t>29 Jul 2026</t>
        </is>
      </c>
      <c r="G1083" s="5" t="inlineStr">
        <is>
          <t>24 Aug 2026</t>
        </is>
      </c>
      <c r="H1083" s="8" t="inlineStr">
        <is>
          <t>⏳ UPCOMING</t>
        </is>
      </c>
      <c r="I1083" s="4" t="inlineStr">
        <is>
          <t>Drone_Accuracy_Standards.pdf</t>
        </is>
      </c>
      <c r="J1083" s="6" t="inlineStr">
        <is>
          <t>📕 PDF Document</t>
        </is>
      </c>
      <c r="K1083" s="9" t="n">
        <v>17.9</v>
      </c>
      <c r="L1083" s="10">
        <f>HYPERLINK("http://127.0.0.1:8000/api/documents/download?id=2819&amp;attachment=true", "⬇ Download Drone_Accuracy_Standards")</f>
        <v/>
      </c>
      <c r="M1083" s="10">
        <f>HYPERLINK("http://localhost:5173/?state=Chhattisgarh&amp;keyword=Mapping&amp;tender=CGPROC-CHiPS-2026-319", "🚀 Open in Portal")</f>
        <v/>
      </c>
    </row>
    <row r="1084" ht="24" customHeight="1">
      <c r="A1084" s="11" t="inlineStr">
        <is>
          <t>Chhattisgarh</t>
        </is>
      </c>
      <c r="B1084" s="12" t="inlineStr">
        <is>
          <t>Mapping</t>
        </is>
      </c>
      <c r="C1084" s="13" t="inlineStr">
        <is>
          <t>CGPROC-CHiPS-2026-319</t>
        </is>
      </c>
      <c r="D1084" s="14" t="inlineStr">
        <is>
          <t>Statewide Drone Survey &amp; GIS Cadastral Map Rectification for Forest Rights Act (FRA)</t>
        </is>
      </c>
      <c r="E1084" s="14" t="inlineStr">
        <is>
          <t>CHHATTISGARH INFOTECH PROMOTION SOCIETY (CHiPS)-Raipur</t>
        </is>
      </c>
      <c r="F1084" s="13" t="inlineStr">
        <is>
          <t>29 Jul 2026</t>
        </is>
      </c>
      <c r="G1084" s="12" t="inlineStr">
        <is>
          <t>24 Aug 2026</t>
        </is>
      </c>
      <c r="H1084" s="8" t="inlineStr">
        <is>
          <t>⏳ UPCOMING</t>
        </is>
      </c>
      <c r="I1084" s="11" t="inlineStr">
        <is>
          <t>Tender_CGPROC-CHiPS-2026-319_All_Documents.zip</t>
        </is>
      </c>
      <c r="J1084" s="13" t="inlineStr">
        <is>
          <t>📦 ZIP Package</t>
        </is>
      </c>
      <c r="K1084" s="15" t="n">
        <v>18.5</v>
      </c>
      <c r="L1084" s="16">
        <f>HYPERLINK("http://127.0.0.1:8000/api/documents/download?id=2820&amp;attachment=true", "⬇ Download Tender_CGPROC-CHiPS-2026")</f>
        <v/>
      </c>
      <c r="M1084" s="16">
        <f>HYPERLINK("http://localhost:5173/?state=Chhattisgarh&amp;keyword=Mapping&amp;tender=CGPROC-CHiPS-2026-319", "🚀 Open in Portal")</f>
        <v/>
      </c>
    </row>
    <row r="1085" ht="24" customHeight="1">
      <c r="A1085" s="4" t="inlineStr">
        <is>
          <t>Chhattisgarh</t>
        </is>
      </c>
      <c r="B1085" s="5" t="inlineStr">
        <is>
          <t>Empanelment</t>
        </is>
      </c>
      <c r="C1085" s="6" t="inlineStr">
        <is>
          <t>2026_CHH_9574345_54</t>
        </is>
      </c>
      <c r="D1085" s="7" t="inlineStr">
        <is>
          <t>Empanelment-Based Empanelment of Specialized Geospatial &amp; AI Solutions Consulting Agencies</t>
        </is>
      </c>
      <c r="E1085" s="7" t="inlineStr">
        <is>
          <t>STATE ELECTRONICS DEVELOPMENT CORPORATION</t>
        </is>
      </c>
      <c r="F1085" s="6" t="inlineStr">
        <is>
          <t>23 Aug 2026</t>
        </is>
      </c>
      <c r="G1085" s="5" t="inlineStr">
        <is>
          <t>16 Sep 2026</t>
        </is>
      </c>
      <c r="H1085" s="8" t="inlineStr">
        <is>
          <t>⏳ UPCOMING</t>
        </is>
      </c>
      <c r="I1085" s="4" t="inlineStr">
        <is>
          <t>Tendernotice_2026_CHH_9574345_54.pdf</t>
        </is>
      </c>
      <c r="J1085" s="6" t="inlineStr">
        <is>
          <t>📕 PDF Document</t>
        </is>
      </c>
      <c r="K1085" s="9" t="n">
        <v>17.9</v>
      </c>
      <c r="L1085" s="10">
        <f>HYPERLINK("http://127.0.0.1:8000/api/documents/download?id=3137&amp;attachment=true", "⬇ Download Tendernotice_2026_CHH_95")</f>
        <v/>
      </c>
      <c r="M1085" s="10">
        <f>HYPERLINK("http://localhost:5173/?state=Chhattisgarh&amp;keyword=Empanelment&amp;tender=2026_CHH_9574345_54", "🚀 Open in Portal")</f>
        <v/>
      </c>
    </row>
    <row r="1086" ht="24" customHeight="1">
      <c r="A1086" s="11" t="inlineStr">
        <is>
          <t>Chhattisgarh</t>
        </is>
      </c>
      <c r="B1086" s="12" t="inlineStr">
        <is>
          <t>Empanelment</t>
        </is>
      </c>
      <c r="C1086" s="13" t="inlineStr">
        <is>
          <t>2026_CHH_9574345_54</t>
        </is>
      </c>
      <c r="D1086" s="14" t="inlineStr">
        <is>
          <t>Empanelment-Based Empanelment of Specialized Geospatial &amp; AI Solutions Consulting Agencies</t>
        </is>
      </c>
      <c r="E1086" s="14" t="inlineStr">
        <is>
          <t>STATE ELECTRONICS DEVELOPMENT CORPORATION</t>
        </is>
      </c>
      <c r="F1086" s="13" t="inlineStr">
        <is>
          <t>23 Aug 2026</t>
        </is>
      </c>
      <c r="G1086" s="12" t="inlineStr">
        <is>
          <t>16 Sep 2026</t>
        </is>
      </c>
      <c r="H1086" s="8" t="inlineStr">
        <is>
          <t>⏳ UPCOMING</t>
        </is>
      </c>
      <c r="I1086" s="11" t="inlineStr">
        <is>
          <t>Technical_RFP_Specification_Empanelment.pdf</t>
        </is>
      </c>
      <c r="J1086" s="13" t="inlineStr">
        <is>
          <t>📕 PDF Document</t>
        </is>
      </c>
      <c r="K1086" s="15" t="n">
        <v>18</v>
      </c>
      <c r="L1086" s="16">
        <f>HYPERLINK("http://127.0.0.1:8000/api/documents/download?id=3138&amp;attachment=true", "⬇ Download Technical_RFP_Specificat")</f>
        <v/>
      </c>
      <c r="M1086" s="16">
        <f>HYPERLINK("http://localhost:5173/?state=Chhattisgarh&amp;keyword=Empanelment&amp;tender=2026_CHH_9574345_54", "🚀 Open in Portal")</f>
        <v/>
      </c>
    </row>
    <row r="1087" ht="24" customHeight="1">
      <c r="A1087" s="4" t="inlineStr">
        <is>
          <t>Chhattisgarh</t>
        </is>
      </c>
      <c r="B1087" s="5" t="inlineStr">
        <is>
          <t>Empanelment</t>
        </is>
      </c>
      <c r="C1087" s="6" t="inlineStr">
        <is>
          <t>2026_CHH_9574345_54</t>
        </is>
      </c>
      <c r="D1087" s="7" t="inlineStr">
        <is>
          <t>Empanelment-Based Empanelment of Specialized Geospatial &amp; AI Solutions Consulting Agencies</t>
        </is>
      </c>
      <c r="E1087" s="7" t="inlineStr">
        <is>
          <t>STATE ELECTRONICS DEVELOPMENT CORPORATION</t>
        </is>
      </c>
      <c r="F1087" s="6" t="inlineStr">
        <is>
          <t>23 Aug 2026</t>
        </is>
      </c>
      <c r="G1087" s="5" t="inlineStr">
        <is>
          <t>16 Sep 2026</t>
        </is>
      </c>
      <c r="H1087" s="8" t="inlineStr">
        <is>
          <t>⏳ UPCOMING</t>
        </is>
      </c>
      <c r="I1087" s="4" t="inlineStr">
        <is>
          <t>BOQ_Financial_Schedule_2026_CHH_9574345_54.xlsx</t>
        </is>
      </c>
      <c r="J1087" s="6" t="inlineStr">
        <is>
          <t>📊 Excel BOQ</t>
        </is>
      </c>
      <c r="K1087" s="9" t="n">
        <v>2.5</v>
      </c>
      <c r="L1087" s="10">
        <f>HYPERLINK("http://127.0.0.1:8000/api/documents/download?id=3139&amp;attachment=true", "⬇ Download BOQ_Financial_Schedule_2")</f>
        <v/>
      </c>
      <c r="M1087" s="10">
        <f>HYPERLINK("http://localhost:5173/?state=Chhattisgarh&amp;keyword=Empanelment&amp;tender=2026_CHH_9574345_54", "🚀 Open in Portal")</f>
        <v/>
      </c>
    </row>
    <row r="1088" ht="24" customHeight="1">
      <c r="A1088" s="11" t="inlineStr">
        <is>
          <t>Chhattisgarh</t>
        </is>
      </c>
      <c r="B1088" s="12" t="inlineStr">
        <is>
          <t>Empanelment</t>
        </is>
      </c>
      <c r="C1088" s="13" t="inlineStr">
        <is>
          <t>2026_CHH_9574345_54</t>
        </is>
      </c>
      <c r="D1088" s="14" t="inlineStr">
        <is>
          <t>Empanelment-Based Empanelment of Specialized Geospatial &amp; AI Solutions Consulting Agencies</t>
        </is>
      </c>
      <c r="E1088" s="14" t="inlineStr">
        <is>
          <t>STATE ELECTRONICS DEVELOPMENT CORPORATION</t>
        </is>
      </c>
      <c r="F1088" s="13" t="inlineStr">
        <is>
          <t>23 Aug 2026</t>
        </is>
      </c>
      <c r="G1088" s="12" t="inlineStr">
        <is>
          <t>16 Sep 2026</t>
        </is>
      </c>
      <c r="H1088" s="8" t="inlineStr">
        <is>
          <t>⏳ UPCOMING</t>
        </is>
      </c>
      <c r="I1088" s="11" t="inlineStr">
        <is>
          <t>Tender_2026_CHH_9574345_54_All_Documents.zip</t>
        </is>
      </c>
      <c r="J1088" s="13" t="inlineStr">
        <is>
          <t>📦 ZIP Package</t>
        </is>
      </c>
      <c r="K1088" s="15" t="n">
        <v>45</v>
      </c>
      <c r="L1088" s="16">
        <f>HYPERLINK("https://eproc.cgstate.gov.in/tender/2026_CHH_9574345_54", "⬇ Download Tender_2026_CHH_9574345_")</f>
        <v/>
      </c>
      <c r="M1088" s="16">
        <f>HYPERLINK("http://localhost:5173/?state=Chhattisgarh&amp;keyword=Empanelment&amp;tender=2026_CHH_9574345_54", "🚀 Open in Portal")</f>
        <v/>
      </c>
    </row>
    <row r="1089" ht="24" customHeight="1">
      <c r="A1089" s="4" t="inlineStr">
        <is>
          <t>Chhattisgarh</t>
        </is>
      </c>
      <c r="B1089" s="5" t="inlineStr">
        <is>
          <t>Empanelment</t>
        </is>
      </c>
      <c r="C1089" s="6" t="inlineStr">
        <is>
          <t>2026_CHH_9765875_63</t>
        </is>
      </c>
      <c r="D1089" s="7" t="inlineStr">
        <is>
          <t>Empanelment-Based Empanelment of Specialized Geospatial &amp; AI Solutions Consulting Agencies</t>
        </is>
      </c>
      <c r="E1089" s="7" t="inlineStr">
        <is>
          <t>STATE ELECTRONICS DEVELOPMENT CORPORATION</t>
        </is>
      </c>
      <c r="F1089" s="6" t="inlineStr">
        <is>
          <t>20 Sep 2026</t>
        </is>
      </c>
      <c r="G1089" s="5" t="inlineStr">
        <is>
          <t>11 Oct 2026</t>
        </is>
      </c>
      <c r="H1089" s="8" t="inlineStr">
        <is>
          <t>⏳ UPCOMING</t>
        </is>
      </c>
      <c r="I1089" s="4" t="inlineStr">
        <is>
          <t>Tendernotice_2026_CHH_9765875_63.pdf</t>
        </is>
      </c>
      <c r="J1089" s="6" t="inlineStr">
        <is>
          <t>📕 PDF Document</t>
        </is>
      </c>
      <c r="K1089" s="9" t="n">
        <v>17.9</v>
      </c>
      <c r="L1089" s="10">
        <f>HYPERLINK("http://127.0.0.1:8000/api/documents/download?id=3149&amp;attachment=true", "⬇ Download Tendernotice_2026_CHH_97")</f>
        <v/>
      </c>
      <c r="M1089" s="10">
        <f>HYPERLINK("http://localhost:5173/?state=Chhattisgarh&amp;keyword=Empanelment&amp;tender=2026_CHH_9765875_63", "🚀 Open in Portal")</f>
        <v/>
      </c>
    </row>
    <row r="1090" ht="24" customHeight="1">
      <c r="A1090" s="11" t="inlineStr">
        <is>
          <t>Chhattisgarh</t>
        </is>
      </c>
      <c r="B1090" s="12" t="inlineStr">
        <is>
          <t>Empanelment</t>
        </is>
      </c>
      <c r="C1090" s="13" t="inlineStr">
        <is>
          <t>2026_CHH_9765875_63</t>
        </is>
      </c>
      <c r="D1090" s="14" t="inlineStr">
        <is>
          <t>Empanelment-Based Empanelment of Specialized Geospatial &amp; AI Solutions Consulting Agencies</t>
        </is>
      </c>
      <c r="E1090" s="14" t="inlineStr">
        <is>
          <t>STATE ELECTRONICS DEVELOPMENT CORPORATION</t>
        </is>
      </c>
      <c r="F1090" s="13" t="inlineStr">
        <is>
          <t>20 Sep 2026</t>
        </is>
      </c>
      <c r="G1090" s="12" t="inlineStr">
        <is>
          <t>11 Oct 2026</t>
        </is>
      </c>
      <c r="H1090" s="8" t="inlineStr">
        <is>
          <t>⏳ UPCOMING</t>
        </is>
      </c>
      <c r="I1090" s="11" t="inlineStr">
        <is>
          <t>Technical_RFP_Specification_Empanelment.pdf</t>
        </is>
      </c>
      <c r="J1090" s="13" t="inlineStr">
        <is>
          <t>📕 PDF Document</t>
        </is>
      </c>
      <c r="K1090" s="15" t="n">
        <v>18</v>
      </c>
      <c r="L1090" s="16">
        <f>HYPERLINK("http://127.0.0.1:8000/api/documents/download?id=3150&amp;attachment=true", "⬇ Download Technical_RFP_Specificat")</f>
        <v/>
      </c>
      <c r="M1090" s="16">
        <f>HYPERLINK("http://localhost:5173/?state=Chhattisgarh&amp;keyword=Empanelment&amp;tender=2026_CHH_9765875_63", "🚀 Open in Portal")</f>
        <v/>
      </c>
    </row>
    <row r="1091" ht="24" customHeight="1">
      <c r="A1091" s="4" t="inlineStr">
        <is>
          <t>Chhattisgarh</t>
        </is>
      </c>
      <c r="B1091" s="5" t="inlineStr">
        <is>
          <t>Empanelment</t>
        </is>
      </c>
      <c r="C1091" s="6" t="inlineStr">
        <is>
          <t>2026_CHH_9765875_63</t>
        </is>
      </c>
      <c r="D1091" s="7" t="inlineStr">
        <is>
          <t>Empanelment-Based Empanelment of Specialized Geospatial &amp; AI Solutions Consulting Agencies</t>
        </is>
      </c>
      <c r="E1091" s="7" t="inlineStr">
        <is>
          <t>STATE ELECTRONICS DEVELOPMENT CORPORATION</t>
        </is>
      </c>
      <c r="F1091" s="6" t="inlineStr">
        <is>
          <t>20 Sep 2026</t>
        </is>
      </c>
      <c r="G1091" s="5" t="inlineStr">
        <is>
          <t>11 Oct 2026</t>
        </is>
      </c>
      <c r="H1091" s="8" t="inlineStr">
        <is>
          <t>⏳ UPCOMING</t>
        </is>
      </c>
      <c r="I1091" s="4" t="inlineStr">
        <is>
          <t>BOQ_Financial_Schedule_2026_CHH_9765875_63.xlsx</t>
        </is>
      </c>
      <c r="J1091" s="6" t="inlineStr">
        <is>
          <t>📊 Excel BOQ</t>
        </is>
      </c>
      <c r="K1091" s="9" t="n">
        <v>2.5</v>
      </c>
      <c r="L1091" s="10">
        <f>HYPERLINK("http://127.0.0.1:8000/api/documents/download?id=3151&amp;attachment=true", "⬇ Download BOQ_Financial_Schedule_2")</f>
        <v/>
      </c>
      <c r="M1091" s="10">
        <f>HYPERLINK("http://localhost:5173/?state=Chhattisgarh&amp;keyword=Empanelment&amp;tender=2026_CHH_9765875_63", "🚀 Open in Portal")</f>
        <v/>
      </c>
    </row>
    <row r="1092" ht="24" customHeight="1">
      <c r="A1092" s="11" t="inlineStr">
        <is>
          <t>Chhattisgarh</t>
        </is>
      </c>
      <c r="B1092" s="12" t="inlineStr">
        <is>
          <t>Empanelment</t>
        </is>
      </c>
      <c r="C1092" s="13" t="inlineStr">
        <is>
          <t>2026_CHH_9765875_63</t>
        </is>
      </c>
      <c r="D1092" s="14" t="inlineStr">
        <is>
          <t>Empanelment-Based Empanelment of Specialized Geospatial &amp; AI Solutions Consulting Agencies</t>
        </is>
      </c>
      <c r="E1092" s="14" t="inlineStr">
        <is>
          <t>STATE ELECTRONICS DEVELOPMENT CORPORATION</t>
        </is>
      </c>
      <c r="F1092" s="13" t="inlineStr">
        <is>
          <t>20 Sep 2026</t>
        </is>
      </c>
      <c r="G1092" s="12" t="inlineStr">
        <is>
          <t>11 Oct 2026</t>
        </is>
      </c>
      <c r="H1092" s="8" t="inlineStr">
        <is>
          <t>⏳ UPCOMING</t>
        </is>
      </c>
      <c r="I1092" s="11" t="inlineStr">
        <is>
          <t>Tender_2026_CHH_9765875_63_All_Documents.zip</t>
        </is>
      </c>
      <c r="J1092" s="13" t="inlineStr">
        <is>
          <t>📦 ZIP Package</t>
        </is>
      </c>
      <c r="K1092" s="15" t="n">
        <v>45</v>
      </c>
      <c r="L1092" s="16">
        <f>HYPERLINK("https://eproc.cgstate.gov.in/tender/2026_CHH_9765875_63", "⬇ Download Tender_2026_CHH_9765875_")</f>
        <v/>
      </c>
      <c r="M1092" s="16">
        <f>HYPERLINK("http://localhost:5173/?state=Chhattisgarh&amp;keyword=Empanelment&amp;tender=2026_CHH_9765875_63", "🚀 Open in Portal")</f>
        <v/>
      </c>
    </row>
    <row r="1093" ht="24" customHeight="1">
      <c r="A1093" s="4" t="inlineStr">
        <is>
          <t>Delhi</t>
        </is>
      </c>
      <c r="B1093" s="5" t="inlineStr">
        <is>
          <t>ICT</t>
        </is>
      </c>
      <c r="C1093" s="6" t="inlineStr">
        <is>
          <t>2026_DPCC_299567_1</t>
        </is>
      </c>
      <c r="D1093" s="7" t="inlineStr">
        <is>
          <t>[Setting up and operating -Common Bio-Medical Waste Treatment and Disposal Facility (CBWTF) in Region-1- East, North-East, Old Delhi and Central Districts of NCT of Delhi on Built, Own and Operate basis]</t>
        </is>
      </c>
      <c r="E1093" s="7" t="inlineStr">
        <is>
          <t>Delhi Public Works &amp; Technology Department</t>
        </is>
      </c>
      <c r="F1093" s="6" t="inlineStr">
        <is>
          <t>26 Oct 2026</t>
        </is>
      </c>
      <c r="G1093" s="5" t="inlineStr">
        <is>
          <t>16 Nov 2026</t>
        </is>
      </c>
      <c r="H1093" s="8" t="inlineStr">
        <is>
          <t>⏳ UPCOMING</t>
        </is>
      </c>
      <c r="I1093" s="4" t="inlineStr">
        <is>
          <t>Tendernotice_1.pdf</t>
        </is>
      </c>
      <c r="J1093" s="6" t="inlineStr">
        <is>
          <t>📕 PDF Document</t>
        </is>
      </c>
      <c r="K1093" s="9" t="n">
        <v>17.8</v>
      </c>
      <c r="L1093" s="10">
        <f>HYPERLINK("http://127.0.0.1:8000/api/documents/download?id=614&amp;attachment=true", "⬇ Download Tendernotice_1.pdf")</f>
        <v/>
      </c>
      <c r="M1093" s="10">
        <f>HYPERLINK("http://localhost:5173/?state=Delhi&amp;keyword=ICT&amp;tender=2026_DPCC_299567_1", "🚀 Open in Portal")</f>
        <v/>
      </c>
    </row>
    <row r="1094" ht="24" customHeight="1">
      <c r="A1094" s="11" t="inlineStr">
        <is>
          <t>Delhi</t>
        </is>
      </c>
      <c r="B1094" s="12" t="inlineStr">
        <is>
          <t>ICT</t>
        </is>
      </c>
      <c r="C1094" s="13" t="inlineStr">
        <is>
          <t>2026_DPCC_299567_1</t>
        </is>
      </c>
      <c r="D1094" s="14" t="inlineStr">
        <is>
          <t>[Setting up and operating -Common Bio-Medical Waste Treatment and Disposal Facility (CBWTF) in Region-1- East, North-East, Old Delhi and Central Districts of NCT of Delhi on Built, Own and Operate basis]</t>
        </is>
      </c>
      <c r="E1094" s="14" t="inlineStr">
        <is>
          <t>Delhi Public Works &amp; Technology Department</t>
        </is>
      </c>
      <c r="F1094" s="13" t="inlineStr">
        <is>
          <t>26 Oct 2026</t>
        </is>
      </c>
      <c r="G1094" s="12" t="inlineStr">
        <is>
          <t>16 Nov 2026</t>
        </is>
      </c>
      <c r="H1094" s="8" t="inlineStr">
        <is>
          <t>⏳ UPCOMING</t>
        </is>
      </c>
      <c r="I1094" s="11" t="inlineStr">
        <is>
          <t>TEnderdocument1.pdf</t>
        </is>
      </c>
      <c r="J1094" s="13" t="inlineStr">
        <is>
          <t>📕 PDF Document</t>
        </is>
      </c>
      <c r="K1094" s="15" t="n">
        <v>17.8</v>
      </c>
      <c r="L1094" s="16">
        <f>HYPERLINK("http://127.0.0.1:8000/api/documents/download?id=615&amp;attachment=true", "⬇ Download TEnderdocument1.pdf")</f>
        <v/>
      </c>
      <c r="M1094" s="16">
        <f>HYPERLINK("http://localhost:5173/?state=Delhi&amp;keyword=ICT&amp;tender=2026_DPCC_299567_1", "🚀 Open in Portal")</f>
        <v/>
      </c>
    </row>
    <row r="1095" ht="24" customHeight="1">
      <c r="A1095" s="4" t="inlineStr">
        <is>
          <t>Delhi</t>
        </is>
      </c>
      <c r="B1095" s="5" t="inlineStr">
        <is>
          <t>ICT</t>
        </is>
      </c>
      <c r="C1095" s="6" t="inlineStr">
        <is>
          <t>2026_DPCC_299567_1</t>
        </is>
      </c>
      <c r="D1095" s="7" t="inlineStr">
        <is>
          <t>[Setting up and operating -Common Bio-Medical Waste Treatment and Disposal Facility (CBWTF) in Region-1- East, North-East, Old Delhi and Central Districts of NCT of Delhi on Built, Own and Operate basis]</t>
        </is>
      </c>
      <c r="E1095" s="7" t="inlineStr">
        <is>
          <t>Delhi Public Works &amp; Technology Department</t>
        </is>
      </c>
      <c r="F1095" s="6" t="inlineStr">
        <is>
          <t>26 Oct 2026</t>
        </is>
      </c>
      <c r="G1095" s="5" t="inlineStr">
        <is>
          <t>16 Nov 2026</t>
        </is>
      </c>
      <c r="H1095" s="8" t="inlineStr">
        <is>
          <t>⏳ UPCOMING</t>
        </is>
      </c>
      <c r="I1095" s="4" t="inlineStr">
        <is>
          <t>BOQ_399821.xls</t>
        </is>
      </c>
      <c r="J1095" s="6" t="inlineStr">
        <is>
          <t>📊 Excel BOQ</t>
        </is>
      </c>
      <c r="K1095" s="9" t="n">
        <v>2.5</v>
      </c>
      <c r="L1095" s="10">
        <f>HYPERLINK("http://127.0.0.1:8000/api/documents/download?id=616&amp;attachment=true", "⬇ Download BOQ_399821.xls")</f>
        <v/>
      </c>
      <c r="M1095" s="10">
        <f>HYPERLINK("http://localhost:5173/?state=Delhi&amp;keyword=ICT&amp;tender=2026_DPCC_299567_1", "🚀 Open in Portal")</f>
        <v/>
      </c>
    </row>
    <row r="1096" ht="24" customHeight="1">
      <c r="A1096" s="11" t="inlineStr">
        <is>
          <t>Delhi</t>
        </is>
      </c>
      <c r="B1096" s="12" t="inlineStr">
        <is>
          <t>ICT</t>
        </is>
      </c>
      <c r="C1096" s="13" t="inlineStr">
        <is>
          <t>2026_DPCC_299567_1</t>
        </is>
      </c>
      <c r="D1096" s="14" t="inlineStr">
        <is>
          <t>[Setting up and operating -Common Bio-Medical Waste Treatment and Disposal Facility (CBWTF) in Region-1- East, North-East, Old Delhi and Central Districts of NCT of Delhi on Built, Own and Operate basis]</t>
        </is>
      </c>
      <c r="E1096" s="14" t="inlineStr">
        <is>
          <t>Delhi Public Works &amp; Technology Department</t>
        </is>
      </c>
      <c r="F1096" s="13" t="inlineStr">
        <is>
          <t>26 Oct 2026</t>
        </is>
      </c>
      <c r="G1096" s="12" t="inlineStr">
        <is>
          <t>16 Nov 2026</t>
        </is>
      </c>
      <c r="H1096" s="8" t="inlineStr">
        <is>
          <t>⏳ UPCOMING</t>
        </is>
      </c>
      <c r="I1096" s="11" t="inlineStr">
        <is>
          <t>Tender_2026_DPCC_299567_1_All_Documents.zip</t>
        </is>
      </c>
      <c r="J1096" s="13" t="inlineStr">
        <is>
          <t>📦 ZIP Package</t>
        </is>
      </c>
      <c r="K1096" s="15" t="n">
        <v>20.8</v>
      </c>
      <c r="L1096" s="16">
        <f>HYPERLINK("http://127.0.0.1:8000/api/documents/download?id=617&amp;attachment=true", "⬇ Download Tender_2026_DPCC_299567_")</f>
        <v/>
      </c>
      <c r="M1096" s="16">
        <f>HYPERLINK("http://localhost:5173/?state=Delhi&amp;keyword=ICT&amp;tender=2026_DPCC_299567_1", "🚀 Open in Portal")</f>
        <v/>
      </c>
    </row>
    <row r="1097" ht="24" customHeight="1">
      <c r="A1097" s="4" t="inlineStr">
        <is>
          <t>Delhi</t>
        </is>
      </c>
      <c r="B1097" s="5" t="inlineStr">
        <is>
          <t>ICT</t>
        </is>
      </c>
      <c r="C1097" s="6" t="inlineStr">
        <is>
          <t>2026_DPCC_299572_1</t>
        </is>
      </c>
      <c r="D1097" s="7" t="inlineStr">
        <is>
          <t>[Setting up and operating Common Bio-medical Waste Treatment and Disposal Facility (CBWTF) in Region-2- West, South-West and Outer North Districts of NCT of Delhi on Built, Own and Operate basis]</t>
        </is>
      </c>
      <c r="E1097" s="7" t="inlineStr">
        <is>
          <t>Delhi Public Works &amp; Technology Department</t>
        </is>
      </c>
      <c r="F1097" s="6" t="inlineStr">
        <is>
          <t>17 Aug 2026</t>
        </is>
      </c>
      <c r="G1097" s="5" t="inlineStr">
        <is>
          <t>16 Sep 2026</t>
        </is>
      </c>
      <c r="H1097" s="8" t="inlineStr">
        <is>
          <t>⏳ UPCOMING</t>
        </is>
      </c>
      <c r="I1097" s="4" t="inlineStr">
        <is>
          <t>Tendernotice_1.pdf</t>
        </is>
      </c>
      <c r="J1097" s="6" t="inlineStr">
        <is>
          <t>📕 PDF Document</t>
        </is>
      </c>
      <c r="K1097" s="9" t="n">
        <v>17.8</v>
      </c>
      <c r="L1097" s="10">
        <f>HYPERLINK("http://127.0.0.1:8000/api/documents/download?id=618&amp;attachment=true", "⬇ Download Tendernotice_1.pdf")</f>
        <v/>
      </c>
      <c r="M1097" s="10">
        <f>HYPERLINK("http://localhost:5173/?state=Delhi&amp;keyword=ICT&amp;tender=2026_DPCC_299572_1", "🚀 Open in Portal")</f>
        <v/>
      </c>
    </row>
    <row r="1098" ht="24" customHeight="1">
      <c r="A1098" s="11" t="inlineStr">
        <is>
          <t>Delhi</t>
        </is>
      </c>
      <c r="B1098" s="12" t="inlineStr">
        <is>
          <t>ICT</t>
        </is>
      </c>
      <c r="C1098" s="13" t="inlineStr">
        <is>
          <t>2026_DPCC_299572_1</t>
        </is>
      </c>
      <c r="D1098" s="14" t="inlineStr">
        <is>
          <t>[Setting up and operating Common Bio-medical Waste Treatment and Disposal Facility (CBWTF) in Region-2- West, South-West and Outer North Districts of NCT of Delhi on Built, Own and Operate basis]</t>
        </is>
      </c>
      <c r="E1098" s="14" t="inlineStr">
        <is>
          <t>Delhi Public Works &amp; Technology Department</t>
        </is>
      </c>
      <c r="F1098" s="13" t="inlineStr">
        <is>
          <t>17 Aug 2026</t>
        </is>
      </c>
      <c r="G1098" s="12" t="inlineStr">
        <is>
          <t>16 Sep 2026</t>
        </is>
      </c>
      <c r="H1098" s="8" t="inlineStr">
        <is>
          <t>⏳ UPCOMING</t>
        </is>
      </c>
      <c r="I1098" s="11" t="inlineStr">
        <is>
          <t>Tenderdocument2.pdf</t>
        </is>
      </c>
      <c r="J1098" s="13" t="inlineStr">
        <is>
          <t>📕 PDF Document</t>
        </is>
      </c>
      <c r="K1098" s="15" t="n">
        <v>17.8</v>
      </c>
      <c r="L1098" s="16">
        <f>HYPERLINK("http://127.0.0.1:8000/api/documents/download?id=619&amp;attachment=true", "⬇ Download Tenderdocument2.pdf")</f>
        <v/>
      </c>
      <c r="M1098" s="16">
        <f>HYPERLINK("http://localhost:5173/?state=Delhi&amp;keyword=ICT&amp;tender=2026_DPCC_299572_1", "🚀 Open in Portal")</f>
        <v/>
      </c>
    </row>
    <row r="1099" ht="24" customHeight="1">
      <c r="A1099" s="4" t="inlineStr">
        <is>
          <t>Delhi</t>
        </is>
      </c>
      <c r="B1099" s="5" t="inlineStr">
        <is>
          <t>ICT</t>
        </is>
      </c>
      <c r="C1099" s="6" t="inlineStr">
        <is>
          <t>2026_DPCC_299572_1</t>
        </is>
      </c>
      <c r="D1099" s="7" t="inlineStr">
        <is>
          <t>[Setting up and operating Common Bio-medical Waste Treatment and Disposal Facility (CBWTF) in Region-2- West, South-West and Outer North Districts of NCT of Delhi on Built, Own and Operate basis]</t>
        </is>
      </c>
      <c r="E1099" s="7" t="inlineStr">
        <is>
          <t>Delhi Public Works &amp; Technology Department</t>
        </is>
      </c>
      <c r="F1099" s="6" t="inlineStr">
        <is>
          <t>17 Aug 2026</t>
        </is>
      </c>
      <c r="G1099" s="5" t="inlineStr">
        <is>
          <t>16 Sep 2026</t>
        </is>
      </c>
      <c r="H1099" s="8" t="inlineStr">
        <is>
          <t>⏳ UPCOMING</t>
        </is>
      </c>
      <c r="I1099" s="4" t="inlineStr">
        <is>
          <t>BOQ_399831.xls</t>
        </is>
      </c>
      <c r="J1099" s="6" t="inlineStr">
        <is>
          <t>📊 Excel BOQ</t>
        </is>
      </c>
      <c r="K1099" s="9" t="n">
        <v>2.5</v>
      </c>
      <c r="L1099" s="10">
        <f>HYPERLINK("http://127.0.0.1:8000/api/documents/download?id=620&amp;attachment=true", "⬇ Download BOQ_399831.xls")</f>
        <v/>
      </c>
      <c r="M1099" s="10">
        <f>HYPERLINK("http://localhost:5173/?state=Delhi&amp;keyword=ICT&amp;tender=2026_DPCC_299572_1", "🚀 Open in Portal")</f>
        <v/>
      </c>
    </row>
    <row r="1100" ht="24" customHeight="1">
      <c r="A1100" s="11" t="inlineStr">
        <is>
          <t>Delhi</t>
        </is>
      </c>
      <c r="B1100" s="12" t="inlineStr">
        <is>
          <t>ICT</t>
        </is>
      </c>
      <c r="C1100" s="13" t="inlineStr">
        <is>
          <t>2026_DPCC_299572_1</t>
        </is>
      </c>
      <c r="D1100" s="14" t="inlineStr">
        <is>
          <t>[Setting up and operating Common Bio-medical Waste Treatment and Disposal Facility (CBWTF) in Region-2- West, South-West and Outer North Districts of NCT of Delhi on Built, Own and Operate basis]</t>
        </is>
      </c>
      <c r="E1100" s="14" t="inlineStr">
        <is>
          <t>Delhi Public Works &amp; Technology Department</t>
        </is>
      </c>
      <c r="F1100" s="13" t="inlineStr">
        <is>
          <t>17 Aug 2026</t>
        </is>
      </c>
      <c r="G1100" s="12" t="inlineStr">
        <is>
          <t>16 Sep 2026</t>
        </is>
      </c>
      <c r="H1100" s="8" t="inlineStr">
        <is>
          <t>⏳ UPCOMING</t>
        </is>
      </c>
      <c r="I1100" s="11" t="inlineStr">
        <is>
          <t>Tender_2026_DPCC_299572_1_All_Documents.zip</t>
        </is>
      </c>
      <c r="J1100" s="13" t="inlineStr">
        <is>
          <t>📦 ZIP Package</t>
        </is>
      </c>
      <c r="K1100" s="15" t="n">
        <v>20.9</v>
      </c>
      <c r="L1100" s="16">
        <f>HYPERLINK("http://127.0.0.1:8000/api/documents/download?id=621&amp;attachment=true", "⬇ Download Tender_2026_DPCC_299572_")</f>
        <v/>
      </c>
      <c r="M1100" s="16">
        <f>HYPERLINK("http://localhost:5173/?state=Delhi&amp;keyword=ICT&amp;tender=2026_DPCC_299572_1", "🚀 Open in Portal")</f>
        <v/>
      </c>
    </row>
    <row r="1101" ht="24" customHeight="1">
      <c r="A1101" s="4" t="inlineStr">
        <is>
          <t>Delhi</t>
        </is>
      </c>
      <c r="B1101" s="5" t="inlineStr">
        <is>
          <t>ICT</t>
        </is>
      </c>
      <c r="C1101" s="6" t="inlineStr">
        <is>
          <t>2026_DSIDC_299671_1</t>
        </is>
      </c>
      <c r="D1101" s="7" t="inlineStr">
        <is>
          <t>[Topographical Survey of the Gram Sabha land in VIllage Badusarai, Galibpur, Jhatikra, Raghopur, Rawata, Dhansa (in District South West) Auchandi, Nizampur Rasidpur, and Tajpur Kalan (in District Outer-North) to be taken over by DSIIDC from the indust]</t>
        </is>
      </c>
      <c r="E1101" s="7" t="inlineStr">
        <is>
          <t>Delhi Public Works &amp; Technology Department</t>
        </is>
      </c>
      <c r="F1101" s="6" t="inlineStr">
        <is>
          <t>28 Aug 2026</t>
        </is>
      </c>
      <c r="G1101" s="5" t="inlineStr">
        <is>
          <t>24 Sep 2026</t>
        </is>
      </c>
      <c r="H1101" s="8" t="inlineStr">
        <is>
          <t>⏳ UPCOMING</t>
        </is>
      </c>
      <c r="I1101" s="4" t="inlineStr">
        <is>
          <t>Tendernotice_1.pdf</t>
        </is>
      </c>
      <c r="J1101" s="6" t="inlineStr">
        <is>
          <t>📕 PDF Document</t>
        </is>
      </c>
      <c r="K1101" s="9" t="n">
        <v>17.8</v>
      </c>
      <c r="L1101" s="10">
        <f>HYPERLINK("http://127.0.0.1:8000/api/documents/download?id=603&amp;attachment=true", "⬇ Download Tendernotice_1.pdf")</f>
        <v/>
      </c>
      <c r="M1101" s="10">
        <f>HYPERLINK("http://localhost:5173/?state=Delhi&amp;keyword=ICT&amp;tender=2026_DSIDC_299671_1", "🚀 Open in Portal")</f>
        <v/>
      </c>
    </row>
    <row r="1102" ht="24" customHeight="1">
      <c r="A1102" s="11" t="inlineStr">
        <is>
          <t>Delhi</t>
        </is>
      </c>
      <c r="B1102" s="12" t="inlineStr">
        <is>
          <t>ICT</t>
        </is>
      </c>
      <c r="C1102" s="13" t="inlineStr">
        <is>
          <t>2026_DSIDC_299671_1</t>
        </is>
      </c>
      <c r="D1102" s="14" t="inlineStr">
        <is>
          <t>[Topographical Survey of the Gram Sabha land in VIllage Badusarai, Galibpur, Jhatikra, Raghopur, Rawata, Dhansa (in District South West) Auchandi, Nizampur Rasidpur, and Tajpur Kalan (in District Outer-North) to be taken over by DSIIDC from the indust]</t>
        </is>
      </c>
      <c r="E1102" s="14" t="inlineStr">
        <is>
          <t>Delhi Public Works &amp; Technology Department</t>
        </is>
      </c>
      <c r="F1102" s="13" t="inlineStr">
        <is>
          <t>28 Aug 2026</t>
        </is>
      </c>
      <c r="G1102" s="12" t="inlineStr">
        <is>
          <t>24 Sep 2026</t>
        </is>
      </c>
      <c r="H1102" s="8" t="inlineStr">
        <is>
          <t>⏳ UPCOMING</t>
        </is>
      </c>
      <c r="I1102" s="11" t="inlineStr">
        <is>
          <t>BOQ_399963.xls</t>
        </is>
      </c>
      <c r="J1102" s="13" t="inlineStr">
        <is>
          <t>📊 Excel BOQ</t>
        </is>
      </c>
      <c r="K1102" s="15" t="n">
        <v>2.6</v>
      </c>
      <c r="L1102" s="16">
        <f>HYPERLINK("http://127.0.0.1:8000/api/documents/download?id=604&amp;attachment=true", "⬇ Download BOQ_399963.xls")</f>
        <v/>
      </c>
      <c r="M1102" s="16">
        <f>HYPERLINK("http://localhost:5173/?state=Delhi&amp;keyword=ICT&amp;tender=2026_DSIDC_299671_1", "🚀 Open in Portal")</f>
        <v/>
      </c>
    </row>
    <row r="1103" ht="24" customHeight="1">
      <c r="A1103" s="4" t="inlineStr">
        <is>
          <t>Delhi</t>
        </is>
      </c>
      <c r="B1103" s="5" t="inlineStr">
        <is>
          <t>ICT</t>
        </is>
      </c>
      <c r="C1103" s="6" t="inlineStr">
        <is>
          <t>2026_DSIDC_299671_1</t>
        </is>
      </c>
      <c r="D1103" s="7" t="inlineStr">
        <is>
          <t>[Topographical Survey of the Gram Sabha land in VIllage Badusarai, Galibpur, Jhatikra, Raghopur, Rawata, Dhansa (in District South West) Auchandi, Nizampur Rasidpur, and Tajpur Kalan (in District Outer-North) to be taken over by DSIIDC from the indust]</t>
        </is>
      </c>
      <c r="E1103" s="7" t="inlineStr">
        <is>
          <t>Delhi Public Works &amp; Technology Department</t>
        </is>
      </c>
      <c r="F1103" s="6" t="inlineStr">
        <is>
          <t>28 Aug 2026</t>
        </is>
      </c>
      <c r="G1103" s="5" t="inlineStr">
        <is>
          <t>24 Sep 2026</t>
        </is>
      </c>
      <c r="H1103" s="8" t="inlineStr">
        <is>
          <t>⏳ UPCOMING</t>
        </is>
      </c>
      <c r="I1103" s="4" t="inlineStr">
        <is>
          <t>niqdocument.pdf</t>
        </is>
      </c>
      <c r="J1103" s="6" t="inlineStr">
        <is>
          <t>📕 PDF Document</t>
        </is>
      </c>
      <c r="K1103" s="9" t="n">
        <v>17.8</v>
      </c>
      <c r="L1103" s="10">
        <f>HYPERLINK("http://127.0.0.1:8000/api/documents/download?id=605&amp;attachment=true", "⬇ Download niqdocument.pdf")</f>
        <v/>
      </c>
      <c r="M1103" s="10">
        <f>HYPERLINK("http://localhost:5173/?state=Delhi&amp;keyword=ICT&amp;tender=2026_DSIDC_299671_1", "🚀 Open in Portal")</f>
        <v/>
      </c>
    </row>
    <row r="1104" ht="24" customHeight="1">
      <c r="A1104" s="11" t="inlineStr">
        <is>
          <t>Delhi</t>
        </is>
      </c>
      <c r="B1104" s="12" t="inlineStr">
        <is>
          <t>ICT</t>
        </is>
      </c>
      <c r="C1104" s="13" t="inlineStr">
        <is>
          <t>2026_DSIDC_299671_1</t>
        </is>
      </c>
      <c r="D1104" s="14" t="inlineStr">
        <is>
          <t>[Topographical Survey of the Gram Sabha land in VIllage Badusarai, Galibpur, Jhatikra, Raghopur, Rawata, Dhansa (in District South West) Auchandi, Nizampur Rasidpur, and Tajpur Kalan (in District Outer-North) to be taken over by DSIIDC from the indust]</t>
        </is>
      </c>
      <c r="E1104" s="14" t="inlineStr">
        <is>
          <t>Delhi Public Works &amp; Technology Department</t>
        </is>
      </c>
      <c r="F1104" s="13" t="inlineStr">
        <is>
          <t>28 Aug 2026</t>
        </is>
      </c>
      <c r="G1104" s="12" t="inlineStr">
        <is>
          <t>24 Sep 2026</t>
        </is>
      </c>
      <c r="H1104" s="8" t="inlineStr">
        <is>
          <t>⏳ UPCOMING</t>
        </is>
      </c>
      <c r="I1104" s="11" t="inlineStr">
        <is>
          <t>Tender_2026_DSIDC_299671_1_All_Documents.zip</t>
        </is>
      </c>
      <c r="J1104" s="13" t="inlineStr">
        <is>
          <t>📦 ZIP Package</t>
        </is>
      </c>
      <c r="K1104" s="15" t="n">
        <v>20.8</v>
      </c>
      <c r="L1104" s="16">
        <f>HYPERLINK("http://127.0.0.1:8000/api/documents/download?id=606&amp;attachment=true", "⬇ Download Tender_2026_DSIDC_299671")</f>
        <v/>
      </c>
      <c r="M1104" s="16">
        <f>HYPERLINK("http://localhost:5173/?state=Delhi&amp;keyword=ICT&amp;tender=2026_DSIDC_299671_1", "🚀 Open in Portal")</f>
        <v/>
      </c>
    </row>
    <row r="1105" ht="24" customHeight="1">
      <c r="A1105" s="4" t="inlineStr">
        <is>
          <t>Delhi</t>
        </is>
      </c>
      <c r="B1105" s="5" t="inlineStr">
        <is>
          <t>ICT</t>
        </is>
      </c>
      <c r="C1105" s="6" t="inlineStr">
        <is>
          <t>2026_DTTDC_298592_1</t>
        </is>
      </c>
      <c r="D1105" s="7" t="inlineStr">
        <is>
          <t>[Construction of 500 Nos. of Public Toilet Blocks Across Delhi (Phase-1) (SH Construction of 244 Nos. Public Toilet Blocks Under Jurisdiction of Project Division, Wazirabad Division and Sriniwaspuri Division - II]</t>
        </is>
      </c>
      <c r="E1105" s="7" t="inlineStr">
        <is>
          <t>Delhi Public Works &amp; Technology Department</t>
        </is>
      </c>
      <c r="F1105" s="6" t="inlineStr">
        <is>
          <t>25 Aug 2026</t>
        </is>
      </c>
      <c r="G1105" s="5" t="inlineStr">
        <is>
          <t>22 Sep 2026</t>
        </is>
      </c>
      <c r="H1105" s="8" t="inlineStr">
        <is>
          <t>⏳ UPCOMING</t>
        </is>
      </c>
      <c r="I1105" s="4" t="inlineStr">
        <is>
          <t>Tendernotice_1.pdf</t>
        </is>
      </c>
      <c r="J1105" s="6" t="inlineStr">
        <is>
          <t>📕 PDF Document</t>
        </is>
      </c>
      <c r="K1105" s="9" t="n">
        <v>17.8</v>
      </c>
      <c r="L1105" s="10">
        <f>HYPERLINK("http://127.0.0.1:8000/api/documents/download?id=646&amp;attachment=true", "⬇ Download Tendernotice_1.pdf")</f>
        <v/>
      </c>
      <c r="M1105" s="10">
        <f>HYPERLINK("http://localhost:5173/?state=Delhi&amp;keyword=ICT&amp;tender=2026_DTTDC_298592_1", "🚀 Open in Portal")</f>
        <v/>
      </c>
    </row>
    <row r="1106" ht="24" customHeight="1">
      <c r="A1106" s="11" t="inlineStr">
        <is>
          <t>Delhi</t>
        </is>
      </c>
      <c r="B1106" s="12" t="inlineStr">
        <is>
          <t>ICT</t>
        </is>
      </c>
      <c r="C1106" s="13" t="inlineStr">
        <is>
          <t>2026_DTTDC_298592_1</t>
        </is>
      </c>
      <c r="D1106" s="14" t="inlineStr">
        <is>
          <t>[Construction of 500 Nos. of Public Toilet Blocks Across Delhi (Phase-1) (SH Construction of 244 Nos. Public Toilet Blocks Under Jurisdiction of Project Division, Wazirabad Division and Sriniwaspuri Division - II]</t>
        </is>
      </c>
      <c r="E1106" s="14" t="inlineStr">
        <is>
          <t>Delhi Public Works &amp; Technology Department</t>
        </is>
      </c>
      <c r="F1106" s="13" t="inlineStr">
        <is>
          <t>25 Aug 2026</t>
        </is>
      </c>
      <c r="G1106" s="12" t="inlineStr">
        <is>
          <t>22 Sep 2026</t>
        </is>
      </c>
      <c r="H1106" s="8" t="inlineStr">
        <is>
          <t>⏳ UPCOMING</t>
        </is>
      </c>
      <c r="I1106" s="11" t="inlineStr">
        <is>
          <t>BOQ_398276.xls</t>
        </is>
      </c>
      <c r="J1106" s="13" t="inlineStr">
        <is>
          <t>📊 Excel BOQ</t>
        </is>
      </c>
      <c r="K1106" s="15" t="n">
        <v>2.5</v>
      </c>
      <c r="L1106" s="16">
        <f>HYPERLINK("http://127.0.0.1:8000/api/documents/download?id=647&amp;attachment=true", "⬇ Download BOQ_398276.xls")</f>
        <v/>
      </c>
      <c r="M1106" s="16">
        <f>HYPERLINK("http://localhost:5173/?state=Delhi&amp;keyword=ICT&amp;tender=2026_DTTDC_298592_1", "🚀 Open in Portal")</f>
        <v/>
      </c>
    </row>
    <row r="1107" ht="24" customHeight="1">
      <c r="A1107" s="4" t="inlineStr">
        <is>
          <t>Delhi</t>
        </is>
      </c>
      <c r="B1107" s="5" t="inlineStr">
        <is>
          <t>ICT</t>
        </is>
      </c>
      <c r="C1107" s="6" t="inlineStr">
        <is>
          <t>2026_DTTDC_298592_1</t>
        </is>
      </c>
      <c r="D1107" s="7" t="inlineStr">
        <is>
          <t>[Construction of 500 Nos. of Public Toilet Blocks Across Delhi (Phase-1) (SH Construction of 244 Nos. Public Toilet Blocks Under Jurisdiction of Project Division, Wazirabad Division and Sriniwaspuri Division - II]</t>
        </is>
      </c>
      <c r="E1107" s="7" t="inlineStr">
        <is>
          <t>Delhi Public Works &amp; Technology Department</t>
        </is>
      </c>
      <c r="F1107" s="6" t="inlineStr">
        <is>
          <t>25 Aug 2026</t>
        </is>
      </c>
      <c r="G1107" s="5" t="inlineStr">
        <is>
          <t>22 Sep 2026</t>
        </is>
      </c>
      <c r="H1107" s="8" t="inlineStr">
        <is>
          <t>⏳ UPCOMING</t>
        </is>
      </c>
      <c r="I1107" s="4" t="inlineStr">
        <is>
          <t>Tender_2026_DTTDC_298592_1_All_Documents.zip</t>
        </is>
      </c>
      <c r="J1107" s="6" t="inlineStr">
        <is>
          <t>📦 ZIP Package</t>
        </is>
      </c>
      <c r="K1107" s="9" t="n">
        <v>11.6</v>
      </c>
      <c r="L1107" s="10">
        <f>HYPERLINK("http://127.0.0.1:8000/api/documents/download?id=648&amp;attachment=true", "⬇ Download Tender_2026_DTTDC_298592")</f>
        <v/>
      </c>
      <c r="M1107" s="10">
        <f>HYPERLINK("http://localhost:5173/?state=Delhi&amp;keyword=ICT&amp;tender=2026_DTTDC_298592_1", "🚀 Open in Portal")</f>
        <v/>
      </c>
    </row>
    <row r="1108" ht="24" customHeight="1">
      <c r="A1108" s="11" t="inlineStr">
        <is>
          <t>Delhi</t>
        </is>
      </c>
      <c r="B1108" s="12" t="inlineStr">
        <is>
          <t>ICT</t>
        </is>
      </c>
      <c r="C1108" s="13" t="inlineStr">
        <is>
          <t>2026_DTTDC_298645_1</t>
        </is>
      </c>
      <c r="D1108" s="14" t="inlineStr">
        <is>
          <t>[Construction of 500 Nos of Public Toilet Blocks Across Delhi Phase 1 SH Construction of 256 Nos Public Toilet Blocks Under Jurisdiction of Janakpuri Division Prembari Division and Sriniwaspuri Division I]</t>
        </is>
      </c>
      <c r="E1108" s="14" t="inlineStr">
        <is>
          <t>Delhi Public Works &amp; Technology Department</t>
        </is>
      </c>
      <c r="F1108" s="13" t="inlineStr">
        <is>
          <t>10 Aug 2026</t>
        </is>
      </c>
      <c r="G1108" s="12" t="inlineStr">
        <is>
          <t>02 Sep 2026</t>
        </is>
      </c>
      <c r="H1108" s="8" t="inlineStr">
        <is>
          <t>⏳ UPCOMING</t>
        </is>
      </c>
      <c r="I1108" s="11" t="inlineStr">
        <is>
          <t>Tendernotice_1.pdf</t>
        </is>
      </c>
      <c r="J1108" s="13" t="inlineStr">
        <is>
          <t>📕 PDF Document</t>
        </is>
      </c>
      <c r="K1108" s="15" t="n">
        <v>17.8</v>
      </c>
      <c r="L1108" s="16">
        <f>HYPERLINK("http://127.0.0.1:8000/api/documents/download?id=642&amp;attachment=true", "⬇ Download Tendernotice_1.pdf")</f>
        <v/>
      </c>
      <c r="M1108" s="16">
        <f>HYPERLINK("http://localhost:5173/?state=Delhi&amp;keyword=ICT&amp;tender=2026_DTTDC_298645_1", "🚀 Open in Portal")</f>
        <v/>
      </c>
    </row>
    <row r="1109" ht="24" customHeight="1">
      <c r="A1109" s="4" t="inlineStr">
        <is>
          <t>Delhi</t>
        </is>
      </c>
      <c r="B1109" s="5" t="inlineStr">
        <is>
          <t>ICT</t>
        </is>
      </c>
      <c r="C1109" s="6" t="inlineStr">
        <is>
          <t>2026_DTTDC_298645_1</t>
        </is>
      </c>
      <c r="D1109" s="7" t="inlineStr">
        <is>
          <t>[Construction of 500 Nos of Public Toilet Blocks Across Delhi Phase 1 SH Construction of 256 Nos Public Toilet Blocks Under Jurisdiction of Janakpuri Division Prembari Division and Sriniwaspuri Division I]</t>
        </is>
      </c>
      <c r="E1109" s="7" t="inlineStr">
        <is>
          <t>Delhi Public Works &amp; Technology Department</t>
        </is>
      </c>
      <c r="F1109" s="6" t="inlineStr">
        <is>
          <t>10 Aug 2026</t>
        </is>
      </c>
      <c r="G1109" s="5" t="inlineStr">
        <is>
          <t>02 Sep 2026</t>
        </is>
      </c>
      <c r="H1109" s="8" t="inlineStr">
        <is>
          <t>⏳ UPCOMING</t>
        </is>
      </c>
      <c r="I1109" s="4" t="inlineStr">
        <is>
          <t>tech_prebid_398337.pdf</t>
        </is>
      </c>
      <c r="J1109" s="6" t="inlineStr">
        <is>
          <t>📕 PDF Document</t>
        </is>
      </c>
      <c r="K1109" s="9" t="n">
        <v>17.8</v>
      </c>
      <c r="L1109" s="10">
        <f>HYPERLINK("http://127.0.0.1:8000/api/documents/download?id=643&amp;attachment=true", "⬇ Download tech_prebid_398337.pdf")</f>
        <v/>
      </c>
      <c r="M1109" s="10">
        <f>HYPERLINK("http://localhost:5173/?state=Delhi&amp;keyword=ICT&amp;tender=2026_DTTDC_298645_1", "🚀 Open in Portal")</f>
        <v/>
      </c>
    </row>
    <row r="1110" ht="24" customHeight="1">
      <c r="A1110" s="11" t="inlineStr">
        <is>
          <t>Delhi</t>
        </is>
      </c>
      <c r="B1110" s="12" t="inlineStr">
        <is>
          <t>ICT</t>
        </is>
      </c>
      <c r="C1110" s="13" t="inlineStr">
        <is>
          <t>2026_DTTDC_298645_1</t>
        </is>
      </c>
      <c r="D1110" s="14" t="inlineStr">
        <is>
          <t>[Construction of 500 Nos of Public Toilet Blocks Across Delhi Phase 1 SH Construction of 256 Nos Public Toilet Blocks Under Jurisdiction of Janakpuri Division Prembari Division and Sriniwaspuri Division I]</t>
        </is>
      </c>
      <c r="E1110" s="14" t="inlineStr">
        <is>
          <t>Delhi Public Works &amp; Technology Department</t>
        </is>
      </c>
      <c r="F1110" s="13" t="inlineStr">
        <is>
          <t>10 Aug 2026</t>
        </is>
      </c>
      <c r="G1110" s="12" t="inlineStr">
        <is>
          <t>02 Sep 2026</t>
        </is>
      </c>
      <c r="H1110" s="8" t="inlineStr">
        <is>
          <t>⏳ UPCOMING</t>
        </is>
      </c>
      <c r="I1110" s="11" t="inlineStr">
        <is>
          <t>BOQ_398337.xls</t>
        </is>
      </c>
      <c r="J1110" s="13" t="inlineStr">
        <is>
          <t>📊 Excel BOQ</t>
        </is>
      </c>
      <c r="K1110" s="15" t="n">
        <v>2.5</v>
      </c>
      <c r="L1110" s="16">
        <f>HYPERLINK("http://127.0.0.1:8000/api/documents/download?id=644&amp;attachment=true", "⬇ Download BOQ_398337.xls")</f>
        <v/>
      </c>
      <c r="M1110" s="16">
        <f>HYPERLINK("http://localhost:5173/?state=Delhi&amp;keyword=ICT&amp;tender=2026_DTTDC_298645_1", "🚀 Open in Portal")</f>
        <v/>
      </c>
    </row>
    <row r="1111" ht="24" customHeight="1">
      <c r="A1111" s="4" t="inlineStr">
        <is>
          <t>Delhi</t>
        </is>
      </c>
      <c r="B1111" s="5" t="inlineStr">
        <is>
          <t>ICT</t>
        </is>
      </c>
      <c r="C1111" s="6" t="inlineStr">
        <is>
          <t>2026_DTTDC_298645_1</t>
        </is>
      </c>
      <c r="D1111" s="7" t="inlineStr">
        <is>
          <t>[Construction of 500 Nos of Public Toilet Blocks Across Delhi Phase 1 SH Construction of 256 Nos Public Toilet Blocks Under Jurisdiction of Janakpuri Division Prembari Division and Sriniwaspuri Division I]</t>
        </is>
      </c>
      <c r="E1111" s="7" t="inlineStr">
        <is>
          <t>Delhi Public Works &amp; Technology Department</t>
        </is>
      </c>
      <c r="F1111" s="6" t="inlineStr">
        <is>
          <t>10 Aug 2026</t>
        </is>
      </c>
      <c r="G1111" s="5" t="inlineStr">
        <is>
          <t>02 Sep 2026</t>
        </is>
      </c>
      <c r="H1111" s="8" t="inlineStr">
        <is>
          <t>⏳ UPCOMING</t>
        </is>
      </c>
      <c r="I1111" s="4" t="inlineStr">
        <is>
          <t>Tender_2026_DTTDC_298645_1_All_Documents.zip</t>
        </is>
      </c>
      <c r="J1111" s="6" t="inlineStr">
        <is>
          <t>📦 ZIP Package</t>
        </is>
      </c>
      <c r="K1111" s="9" t="n">
        <v>20.8</v>
      </c>
      <c r="L1111" s="10">
        <f>HYPERLINK("http://127.0.0.1:8000/api/documents/download?id=645&amp;attachment=true", "⬇ Download Tender_2026_DTTDC_298645")</f>
        <v/>
      </c>
      <c r="M1111" s="10">
        <f>HYPERLINK("http://localhost:5173/?state=Delhi&amp;keyword=ICT&amp;tender=2026_DTTDC_298645_1", "🚀 Open in Portal")</f>
        <v/>
      </c>
    </row>
    <row r="1112" ht="24" customHeight="1">
      <c r="A1112" s="11" t="inlineStr">
        <is>
          <t>Delhi</t>
        </is>
      </c>
      <c r="B1112" s="12" t="inlineStr">
        <is>
          <t>ICT</t>
        </is>
      </c>
      <c r="C1112" s="13" t="inlineStr">
        <is>
          <t>2026_IFC_299408_1</t>
        </is>
      </c>
      <c r="D1112" s="14" t="inlineStr">
        <is>
          <t>[Making temporary arrangements for performing Idol Immersion to celebrate Durga Visarjan at ghat Deer park Dilshad Garden, Pond opposite Purvi Delhi Khel Parisar Tahirpur, Krishna market park Jhilmil Colony in District Shahdara during the year 202]</t>
        </is>
      </c>
      <c r="E1112" s="14" t="inlineStr">
        <is>
          <t>Delhi Public Works &amp; Technology Department</t>
        </is>
      </c>
      <c r="F1112" s="13" t="inlineStr">
        <is>
          <t>03 Sep 2026</t>
        </is>
      </c>
      <c r="G1112" s="12" t="inlineStr">
        <is>
          <t>30 Sep 2026</t>
        </is>
      </c>
      <c r="H1112" s="8" t="inlineStr">
        <is>
          <t>⏳ UPCOMING</t>
        </is>
      </c>
      <c r="I1112" s="11" t="inlineStr">
        <is>
          <t>Tendernotice_1.pdf</t>
        </is>
      </c>
      <c r="J1112" s="13" t="inlineStr">
        <is>
          <t>📕 PDF Document</t>
        </is>
      </c>
      <c r="K1112" s="15" t="n">
        <v>17.8</v>
      </c>
      <c r="L1112" s="16">
        <f>HYPERLINK("http://127.0.0.1:8000/api/documents/download?id=42&amp;attachment=true", "⬇ Download Tendernotice_1.pdf")</f>
        <v/>
      </c>
      <c r="M1112" s="16">
        <f>HYPERLINK("http://localhost:5173/?state=Delhi&amp;keyword=ICT&amp;tender=2026_IFC_299408_1", "🚀 Open in Portal")</f>
        <v/>
      </c>
    </row>
    <row r="1113" ht="24" customHeight="1">
      <c r="A1113" s="4" t="inlineStr">
        <is>
          <t>Delhi</t>
        </is>
      </c>
      <c r="B1113" s="5" t="inlineStr">
        <is>
          <t>ICT</t>
        </is>
      </c>
      <c r="C1113" s="6" t="inlineStr">
        <is>
          <t>2026_IFC_299408_1</t>
        </is>
      </c>
      <c r="D1113" s="7" t="inlineStr">
        <is>
          <t>[Making temporary arrangements for performing Idol Immersion to celebrate Durga Visarjan at ghat Deer park Dilshad Garden, Pond opposite Purvi Delhi Khel Parisar Tahirpur, Krishna market park Jhilmil Colony in District Shahdara during the year 202]</t>
        </is>
      </c>
      <c r="E1113" s="7" t="inlineStr">
        <is>
          <t>Delhi Public Works &amp; Technology Department</t>
        </is>
      </c>
      <c r="F1113" s="6" t="inlineStr">
        <is>
          <t>03 Sep 2026</t>
        </is>
      </c>
      <c r="G1113" s="5" t="inlineStr">
        <is>
          <t>30 Sep 2026</t>
        </is>
      </c>
      <c r="H1113" s="8" t="inlineStr">
        <is>
          <t>⏳ UPCOMING</t>
        </is>
      </c>
      <c r="I1113" s="4" t="inlineStr">
        <is>
          <t>NIT39.pdf</t>
        </is>
      </c>
      <c r="J1113" s="6" t="inlineStr">
        <is>
          <t>📕 PDF Document</t>
        </is>
      </c>
      <c r="K1113" s="9" t="n">
        <v>17.8</v>
      </c>
      <c r="L1113" s="10">
        <f>HYPERLINK("http://127.0.0.1:8000/api/documents/download?id=43&amp;attachment=true", "⬇ Download NIT39.pdf")</f>
        <v/>
      </c>
      <c r="M1113" s="10">
        <f>HYPERLINK("http://localhost:5173/?state=Delhi&amp;keyword=ICT&amp;tender=2026_IFC_299408_1", "🚀 Open in Portal")</f>
        <v/>
      </c>
    </row>
    <row r="1114" ht="24" customHeight="1">
      <c r="A1114" s="11" t="inlineStr">
        <is>
          <t>Delhi</t>
        </is>
      </c>
      <c r="B1114" s="12" t="inlineStr">
        <is>
          <t>ICT</t>
        </is>
      </c>
      <c r="C1114" s="13" t="inlineStr">
        <is>
          <t>2026_IFC_299408_1</t>
        </is>
      </c>
      <c r="D1114" s="14" t="inlineStr">
        <is>
          <t>[Making temporary arrangements for performing Idol Immersion to celebrate Durga Visarjan at ghat Deer park Dilshad Garden, Pond opposite Purvi Delhi Khel Parisar Tahirpur, Krishna market park Jhilmil Colony in District Shahdara during the year 202]</t>
        </is>
      </c>
      <c r="E1114" s="14" t="inlineStr">
        <is>
          <t>Delhi Public Works &amp; Technology Department</t>
        </is>
      </c>
      <c r="F1114" s="13" t="inlineStr">
        <is>
          <t>03 Sep 2026</t>
        </is>
      </c>
      <c r="G1114" s="12" t="inlineStr">
        <is>
          <t>30 Sep 2026</t>
        </is>
      </c>
      <c r="H1114" s="8" t="inlineStr">
        <is>
          <t>⏳ UPCOMING</t>
        </is>
      </c>
      <c r="I1114" s="11" t="inlineStr">
        <is>
          <t>BOQ_399589.xls</t>
        </is>
      </c>
      <c r="J1114" s="13" t="inlineStr">
        <is>
          <t>📊 Excel BOQ</t>
        </is>
      </c>
      <c r="K1114" s="15" t="n">
        <v>2.6</v>
      </c>
      <c r="L1114" s="16">
        <f>HYPERLINK("http://127.0.0.1:8000/api/documents/download?id=44&amp;attachment=true", "⬇ Download BOQ_399589.xls")</f>
        <v/>
      </c>
      <c r="M1114" s="16">
        <f>HYPERLINK("http://localhost:5173/?state=Delhi&amp;keyword=ICT&amp;tender=2026_IFC_299408_1", "🚀 Open in Portal")</f>
        <v/>
      </c>
    </row>
    <row r="1115" ht="24" customHeight="1">
      <c r="A1115" s="4" t="inlineStr">
        <is>
          <t>Delhi</t>
        </is>
      </c>
      <c r="B1115" s="5" t="inlineStr">
        <is>
          <t>ICT</t>
        </is>
      </c>
      <c r="C1115" s="6" t="inlineStr">
        <is>
          <t>2026_IFC_299408_1</t>
        </is>
      </c>
      <c r="D1115" s="7" t="inlineStr">
        <is>
          <t>[Making temporary arrangements for performing Idol Immersion to celebrate Durga Visarjan at ghat Deer park Dilshad Garden, Pond opposite Purvi Delhi Khel Parisar Tahirpur, Krishna market park Jhilmil Colony in District Shahdara during the year 202]</t>
        </is>
      </c>
      <c r="E1115" s="7" t="inlineStr">
        <is>
          <t>Delhi Public Works &amp; Technology Department</t>
        </is>
      </c>
      <c r="F1115" s="6" t="inlineStr">
        <is>
          <t>03 Sep 2026</t>
        </is>
      </c>
      <c r="G1115" s="5" t="inlineStr">
        <is>
          <t>30 Sep 2026</t>
        </is>
      </c>
      <c r="H1115" s="8" t="inlineStr">
        <is>
          <t>⏳ UPCOMING</t>
        </is>
      </c>
      <c r="I1115" s="4" t="inlineStr">
        <is>
          <t>TERM.pdf</t>
        </is>
      </c>
      <c r="J1115" s="6" t="inlineStr">
        <is>
          <t>📕 PDF Document</t>
        </is>
      </c>
      <c r="K1115" s="9" t="n">
        <v>17.8</v>
      </c>
      <c r="L1115" s="10">
        <f>HYPERLINK("http://127.0.0.1:8000/api/documents/download?id=45&amp;attachment=true", "⬇ Download TERM.pdf")</f>
        <v/>
      </c>
      <c r="M1115" s="10">
        <f>HYPERLINK("http://localhost:5173/?state=Delhi&amp;keyword=ICT&amp;tender=2026_IFC_299408_1", "🚀 Open in Portal")</f>
        <v/>
      </c>
    </row>
    <row r="1116" ht="24" customHeight="1">
      <c r="A1116" s="11" t="inlineStr">
        <is>
          <t>Delhi</t>
        </is>
      </c>
      <c r="B1116" s="12" t="inlineStr">
        <is>
          <t>ICT</t>
        </is>
      </c>
      <c r="C1116" s="13" t="inlineStr">
        <is>
          <t>2026_IFC_299408_1</t>
        </is>
      </c>
      <c r="D1116" s="14" t="inlineStr">
        <is>
          <t>[Making temporary arrangements for performing Idol Immersion to celebrate Durga Visarjan at ghat Deer park Dilshad Garden, Pond opposite Purvi Delhi Khel Parisar Tahirpur, Krishna market park Jhilmil Colony in District Shahdara during the year 202]</t>
        </is>
      </c>
      <c r="E1116" s="14" t="inlineStr">
        <is>
          <t>Delhi Public Works &amp; Technology Department</t>
        </is>
      </c>
      <c r="F1116" s="13" t="inlineStr">
        <is>
          <t>03 Sep 2026</t>
        </is>
      </c>
      <c r="G1116" s="12" t="inlineStr">
        <is>
          <t>30 Sep 2026</t>
        </is>
      </c>
      <c r="H1116" s="8" t="inlineStr">
        <is>
          <t>⏳ UPCOMING</t>
        </is>
      </c>
      <c r="I1116" s="11" t="inlineStr">
        <is>
          <t>Tender_2026_IFC_299408_1_All_Documents.zip</t>
        </is>
      </c>
      <c r="J1116" s="13" t="inlineStr">
        <is>
          <t>📦 ZIP Package</t>
        </is>
      </c>
      <c r="K1116" s="15" t="n">
        <v>30</v>
      </c>
      <c r="L1116" s="16">
        <f>HYPERLINK("http://127.0.0.1:8000/api/documents/download?id=46&amp;attachment=true", "⬇ Download Tender_2026_IFC_299408_1")</f>
        <v/>
      </c>
      <c r="M1116" s="16">
        <f>HYPERLINK("http://localhost:5173/?state=Delhi&amp;keyword=ICT&amp;tender=2026_IFC_299408_1", "🚀 Open in Portal")</f>
        <v/>
      </c>
    </row>
    <row r="1117" ht="24" customHeight="1">
      <c r="A1117" s="4" t="inlineStr">
        <is>
          <t>Delhi</t>
        </is>
      </c>
      <c r="B1117" s="5" t="inlineStr">
        <is>
          <t>ICT</t>
        </is>
      </c>
      <c r="C1117" s="6" t="inlineStr">
        <is>
          <t>2026_IFC_299684_1</t>
        </is>
      </c>
      <c r="D1117" s="7" t="inlineStr">
        <is>
          <t>[Redressal of Air Pollution complaints by repair of pot holes under Jurisdiction of Civil Division-X.]</t>
        </is>
      </c>
      <c r="E1117" s="7" t="inlineStr">
        <is>
          <t>Delhi Public Works &amp; Technology Department</t>
        </is>
      </c>
      <c r="F1117" s="6" t="inlineStr">
        <is>
          <t>19 Oct 2026</t>
        </is>
      </c>
      <c r="G1117" s="5" t="inlineStr">
        <is>
          <t>21 Nov 2026</t>
        </is>
      </c>
      <c r="H1117" s="17" t="inlineStr">
        <is>
          <t>🟢 LIVE ACTIVE</t>
        </is>
      </c>
      <c r="I1117" s="4" t="inlineStr">
        <is>
          <t>Tendernotice_1.pdf</t>
        </is>
      </c>
      <c r="J1117" s="6" t="inlineStr">
        <is>
          <t>📕 PDF Document</t>
        </is>
      </c>
      <c r="K1117" s="9" t="n">
        <v>17.8</v>
      </c>
      <c r="L1117" s="10">
        <f>HYPERLINK("http://127.0.0.1:8000/api/documents/download?id=591&amp;attachment=true", "⬇ Download Tendernotice_1.pdf")</f>
        <v/>
      </c>
      <c r="M1117" s="10">
        <f>HYPERLINK("http://localhost:5173/?state=Delhi&amp;keyword=ICT&amp;tender=2026_IFC_299684_1", "🚀 Open in Portal")</f>
        <v/>
      </c>
    </row>
    <row r="1118" ht="24" customHeight="1">
      <c r="A1118" s="11" t="inlineStr">
        <is>
          <t>Delhi</t>
        </is>
      </c>
      <c r="B1118" s="12" t="inlineStr">
        <is>
          <t>ICT</t>
        </is>
      </c>
      <c r="C1118" s="13" t="inlineStr">
        <is>
          <t>2026_IFC_299684_1</t>
        </is>
      </c>
      <c r="D1118" s="14" t="inlineStr">
        <is>
          <t>[Redressal of Air Pollution complaints by repair of pot holes under Jurisdiction of Civil Division-X.]</t>
        </is>
      </c>
      <c r="E1118" s="14" t="inlineStr">
        <is>
          <t>Delhi Public Works &amp; Technology Department</t>
        </is>
      </c>
      <c r="F1118" s="13" t="inlineStr">
        <is>
          <t>19 Oct 2026</t>
        </is>
      </c>
      <c r="G1118" s="12" t="inlineStr">
        <is>
          <t>21 Nov 2026</t>
        </is>
      </c>
      <c r="H1118" s="17" t="inlineStr">
        <is>
          <t>🟢 LIVE ACTIVE</t>
        </is>
      </c>
      <c r="I1118" s="11" t="inlineStr">
        <is>
          <t>BOQ_399974.xls</t>
        </is>
      </c>
      <c r="J1118" s="13" t="inlineStr">
        <is>
          <t>📊 Excel BOQ</t>
        </is>
      </c>
      <c r="K1118" s="15" t="n">
        <v>2.5</v>
      </c>
      <c r="L1118" s="16">
        <f>HYPERLINK("http://127.0.0.1:8000/api/documents/download?id=592&amp;attachment=true", "⬇ Download BOQ_399974.xls")</f>
        <v/>
      </c>
      <c r="M1118" s="16">
        <f>HYPERLINK("http://localhost:5173/?state=Delhi&amp;keyword=ICT&amp;tender=2026_IFC_299684_1", "🚀 Open in Portal")</f>
        <v/>
      </c>
    </row>
    <row r="1119" ht="24" customHeight="1">
      <c r="A1119" s="4" t="inlineStr">
        <is>
          <t>Delhi</t>
        </is>
      </c>
      <c r="B1119" s="5" t="inlineStr">
        <is>
          <t>ICT</t>
        </is>
      </c>
      <c r="C1119" s="6" t="inlineStr">
        <is>
          <t>2026_IFC_299684_1</t>
        </is>
      </c>
      <c r="D1119" s="7" t="inlineStr">
        <is>
          <t>[Redressal of Air Pollution complaints by repair of pot holes under Jurisdiction of Civil Division-X.]</t>
        </is>
      </c>
      <c r="E1119" s="7" t="inlineStr">
        <is>
          <t>Delhi Public Works &amp; Technology Department</t>
        </is>
      </c>
      <c r="F1119" s="6" t="inlineStr">
        <is>
          <t>19 Oct 2026</t>
        </is>
      </c>
      <c r="G1119" s="5" t="inlineStr">
        <is>
          <t>21 Nov 2026</t>
        </is>
      </c>
      <c r="H1119" s="17" t="inlineStr">
        <is>
          <t>🟢 LIVE ACTIVE</t>
        </is>
      </c>
      <c r="I1119" s="4" t="inlineStr">
        <is>
          <t>Tender_2026_IFC_299684_1_All_Documents.zip</t>
        </is>
      </c>
      <c r="J1119" s="6" t="inlineStr">
        <is>
          <t>📦 ZIP Package</t>
        </is>
      </c>
      <c r="K1119" s="9" t="n">
        <v>11.6</v>
      </c>
      <c r="L1119" s="10">
        <f>HYPERLINK("http://127.0.0.1:8000/api/documents/download?id=593&amp;attachment=true", "⬇ Download Tender_2026_IFC_299684_1")</f>
        <v/>
      </c>
      <c r="M1119" s="10">
        <f>HYPERLINK("http://localhost:5173/?state=Delhi&amp;keyword=ICT&amp;tender=2026_IFC_299684_1", "🚀 Open in Portal")</f>
        <v/>
      </c>
    </row>
    <row r="1120" ht="24" customHeight="1">
      <c r="A1120" s="11" t="inlineStr">
        <is>
          <t>Delhi</t>
        </is>
      </c>
      <c r="B1120" s="12" t="inlineStr">
        <is>
          <t>ICT</t>
        </is>
      </c>
      <c r="C1120" s="13" t="inlineStr">
        <is>
          <t>2026_IFC_299699_1</t>
        </is>
      </c>
      <c r="D1120" s="14" t="inlineStr">
        <is>
          <t>[Making arrangement of Chhath Puja 2026 at E-Block Mukund Vihar and Panchayat Ghar nearby Alok Kunj School Ankur Enclave in Karawal Nagar Constituency (AC-70) in District North East.]</t>
        </is>
      </c>
      <c r="E1120" s="14" t="inlineStr">
        <is>
          <t>Delhi Public Works &amp; Technology Department</t>
        </is>
      </c>
      <c r="F1120" s="13" t="inlineStr">
        <is>
          <t>22 Sep 2026</t>
        </is>
      </c>
      <c r="G1120" s="12" t="inlineStr">
        <is>
          <t>15 Oct 2026</t>
        </is>
      </c>
      <c r="H1120" s="8" t="inlineStr">
        <is>
          <t>⏳ UPCOMING</t>
        </is>
      </c>
      <c r="I1120" s="11" t="inlineStr">
        <is>
          <t>Tendernotice_1.pdf</t>
        </is>
      </c>
      <c r="J1120" s="13" t="inlineStr">
        <is>
          <t>📕 PDF Document</t>
        </is>
      </c>
      <c r="K1120" s="15" t="n">
        <v>17.8</v>
      </c>
      <c r="L1120" s="16">
        <f>HYPERLINK("http://127.0.0.1:8000/api/documents/download?id=584&amp;attachment=true", "⬇ Download Tendernotice_1.pdf")</f>
        <v/>
      </c>
      <c r="M1120" s="16">
        <f>HYPERLINK("http://localhost:5173/?state=Delhi&amp;keyword=ICT&amp;tender=2026_IFC_299699_1", "🚀 Open in Portal")</f>
        <v/>
      </c>
    </row>
    <row r="1121" ht="24" customHeight="1">
      <c r="A1121" s="4" t="inlineStr">
        <is>
          <t>Delhi</t>
        </is>
      </c>
      <c r="B1121" s="5" t="inlineStr">
        <is>
          <t>ICT</t>
        </is>
      </c>
      <c r="C1121" s="6" t="inlineStr">
        <is>
          <t>2026_IFC_299699_1</t>
        </is>
      </c>
      <c r="D1121" s="7" t="inlineStr">
        <is>
          <t>[Making arrangement of Chhath Puja 2026 at E-Block Mukund Vihar and Panchayat Ghar nearby Alok Kunj School Ankur Enclave in Karawal Nagar Constituency (AC-70) in District North East.]</t>
        </is>
      </c>
      <c r="E1121" s="7" t="inlineStr">
        <is>
          <t>Delhi Public Works &amp; Technology Department</t>
        </is>
      </c>
      <c r="F1121" s="6" t="inlineStr">
        <is>
          <t>22 Sep 2026</t>
        </is>
      </c>
      <c r="G1121" s="5" t="inlineStr">
        <is>
          <t>15 Oct 2026</t>
        </is>
      </c>
      <c r="H1121" s="8" t="inlineStr">
        <is>
          <t>⏳ UPCOMING</t>
        </is>
      </c>
      <c r="I1121" s="4" t="inlineStr">
        <is>
          <t>76tenderdocs.pdf</t>
        </is>
      </c>
      <c r="J1121" s="6" t="inlineStr">
        <is>
          <t>📕 PDF Document</t>
        </is>
      </c>
      <c r="K1121" s="9" t="n">
        <v>17.8</v>
      </c>
      <c r="L1121" s="10">
        <f>HYPERLINK("http://127.0.0.1:8000/api/documents/download?id=585&amp;attachment=true", "⬇ Download 76tenderdocs.pdf")</f>
        <v/>
      </c>
      <c r="M1121" s="10">
        <f>HYPERLINK("http://localhost:5173/?state=Delhi&amp;keyword=ICT&amp;tender=2026_IFC_299699_1", "🚀 Open in Portal")</f>
        <v/>
      </c>
    </row>
    <row r="1122" ht="24" customHeight="1">
      <c r="A1122" s="11" t="inlineStr">
        <is>
          <t>Delhi</t>
        </is>
      </c>
      <c r="B1122" s="12" t="inlineStr">
        <is>
          <t>ICT</t>
        </is>
      </c>
      <c r="C1122" s="13" t="inlineStr">
        <is>
          <t>2026_IFC_299699_1</t>
        </is>
      </c>
      <c r="D1122" s="14" t="inlineStr">
        <is>
          <t>[Making arrangement of Chhath Puja 2026 at E-Block Mukund Vihar and Panchayat Ghar nearby Alok Kunj School Ankur Enclave in Karawal Nagar Constituency (AC-70) in District North East.]</t>
        </is>
      </c>
      <c r="E1122" s="14" t="inlineStr">
        <is>
          <t>Delhi Public Works &amp; Technology Department</t>
        </is>
      </c>
      <c r="F1122" s="13" t="inlineStr">
        <is>
          <t>22 Sep 2026</t>
        </is>
      </c>
      <c r="G1122" s="12" t="inlineStr">
        <is>
          <t>15 Oct 2026</t>
        </is>
      </c>
      <c r="H1122" s="8" t="inlineStr">
        <is>
          <t>⏳ UPCOMING</t>
        </is>
      </c>
      <c r="I1122" s="11" t="inlineStr">
        <is>
          <t>BOQ_399992.xls</t>
        </is>
      </c>
      <c r="J1122" s="13" t="inlineStr">
        <is>
          <t>📊 Excel BOQ</t>
        </is>
      </c>
      <c r="K1122" s="15" t="n">
        <v>2.5</v>
      </c>
      <c r="L1122" s="16">
        <f>HYPERLINK("http://127.0.0.1:8000/api/documents/download?id=586&amp;attachment=true", "⬇ Download BOQ_399992.xls")</f>
        <v/>
      </c>
      <c r="M1122" s="16">
        <f>HYPERLINK("http://localhost:5173/?state=Delhi&amp;keyword=ICT&amp;tender=2026_IFC_299699_1", "🚀 Open in Portal")</f>
        <v/>
      </c>
    </row>
    <row r="1123" ht="24" customHeight="1">
      <c r="A1123" s="4" t="inlineStr">
        <is>
          <t>Delhi</t>
        </is>
      </c>
      <c r="B1123" s="5" t="inlineStr">
        <is>
          <t>ICT</t>
        </is>
      </c>
      <c r="C1123" s="6" t="inlineStr">
        <is>
          <t>2026_IFC_299699_1</t>
        </is>
      </c>
      <c r="D1123" s="7" t="inlineStr">
        <is>
          <t>[Making arrangement of Chhath Puja 2026 at E-Block Mukund Vihar and Panchayat Ghar nearby Alok Kunj School Ankur Enclave in Karawal Nagar Constituency (AC-70) in District North East.]</t>
        </is>
      </c>
      <c r="E1123" s="7" t="inlineStr">
        <is>
          <t>Delhi Public Works &amp; Technology Department</t>
        </is>
      </c>
      <c r="F1123" s="6" t="inlineStr">
        <is>
          <t>22 Sep 2026</t>
        </is>
      </c>
      <c r="G1123" s="5" t="inlineStr">
        <is>
          <t>15 Oct 2026</t>
        </is>
      </c>
      <c r="H1123" s="8" t="inlineStr">
        <is>
          <t>⏳ UPCOMING</t>
        </is>
      </c>
      <c r="I1123" s="4" t="inlineStr">
        <is>
          <t>Tender_2026_IFC_299699_1_All_Documents.zip</t>
        </is>
      </c>
      <c r="J1123" s="6" t="inlineStr">
        <is>
          <t>📦 ZIP Package</t>
        </is>
      </c>
      <c r="K1123" s="9" t="n">
        <v>20.8</v>
      </c>
      <c r="L1123" s="10">
        <f>HYPERLINK("http://127.0.0.1:8000/api/documents/download?id=587&amp;attachment=true", "⬇ Download Tender_2026_IFC_299699_1")</f>
        <v/>
      </c>
      <c r="M1123" s="10">
        <f>HYPERLINK("http://localhost:5173/?state=Delhi&amp;keyword=ICT&amp;tender=2026_IFC_299699_1", "🚀 Open in Portal")</f>
        <v/>
      </c>
    </row>
    <row r="1124" ht="24" customHeight="1">
      <c r="A1124" s="11" t="inlineStr">
        <is>
          <t>Delhi</t>
        </is>
      </c>
      <c r="B1124" s="12" t="inlineStr">
        <is>
          <t>ICT</t>
        </is>
      </c>
      <c r="C1124" s="13" t="inlineStr">
        <is>
          <t>2026_IFC_299705_1</t>
        </is>
      </c>
      <c r="D1124" s="14" t="inlineStr">
        <is>
          <t>[Making arrangement for Chhath Puja 2026 near Ganga Vihar (Trunk Drain No.I), Tikona Park, Tila Mandoli and Ambedkar Park D-Block and RD. 500M on Left bank of Escape Drain No.1 in Gokalpur Constituency (AC-68) in District North East.]</t>
        </is>
      </c>
      <c r="E1124" s="14" t="inlineStr">
        <is>
          <t>Delhi Public Works &amp; Technology Department</t>
        </is>
      </c>
      <c r="F1124" s="13" t="inlineStr">
        <is>
          <t>08 Sep 2026</t>
        </is>
      </c>
      <c r="G1124" s="12" t="inlineStr">
        <is>
          <t>30 Sep 2026</t>
        </is>
      </c>
      <c r="H1124" s="8" t="inlineStr">
        <is>
          <t>⏳ UPCOMING</t>
        </is>
      </c>
      <c r="I1124" s="11" t="inlineStr">
        <is>
          <t>Tendernotice_1.pdf</t>
        </is>
      </c>
      <c r="J1124" s="13" t="inlineStr">
        <is>
          <t>📕 PDF Document</t>
        </is>
      </c>
      <c r="K1124" s="15" t="n">
        <v>17.8</v>
      </c>
      <c r="L1124" s="16">
        <f>HYPERLINK("http://127.0.0.1:8000/api/documents/download?id=580&amp;attachment=true", "⬇ Download Tendernotice_1.pdf")</f>
        <v/>
      </c>
      <c r="M1124" s="16">
        <f>HYPERLINK("http://localhost:5173/?state=Delhi&amp;keyword=ICT&amp;tender=2026_IFC_299705_1", "🚀 Open in Portal")</f>
        <v/>
      </c>
    </row>
    <row r="1125" ht="24" customHeight="1">
      <c r="A1125" s="4" t="inlineStr">
        <is>
          <t>Delhi</t>
        </is>
      </c>
      <c r="B1125" s="5" t="inlineStr">
        <is>
          <t>ICT</t>
        </is>
      </c>
      <c r="C1125" s="6" t="inlineStr">
        <is>
          <t>2026_IFC_299705_1</t>
        </is>
      </c>
      <c r="D1125" s="7" t="inlineStr">
        <is>
          <t>[Making arrangement for Chhath Puja 2026 near Ganga Vihar (Trunk Drain No.I), Tikona Park, Tila Mandoli and Ambedkar Park D-Block and RD. 500M on Left bank of Escape Drain No.1 in Gokalpur Constituency (AC-68) in District North East.]</t>
        </is>
      </c>
      <c r="E1125" s="7" t="inlineStr">
        <is>
          <t>Delhi Public Works &amp; Technology Department</t>
        </is>
      </c>
      <c r="F1125" s="6" t="inlineStr">
        <is>
          <t>08 Sep 2026</t>
        </is>
      </c>
      <c r="G1125" s="5" t="inlineStr">
        <is>
          <t>30 Sep 2026</t>
        </is>
      </c>
      <c r="H1125" s="8" t="inlineStr">
        <is>
          <t>⏳ UPCOMING</t>
        </is>
      </c>
      <c r="I1125" s="4" t="inlineStr">
        <is>
          <t>80tenderdocs.pdf</t>
        </is>
      </c>
      <c r="J1125" s="6" t="inlineStr">
        <is>
          <t>📕 PDF Document</t>
        </is>
      </c>
      <c r="K1125" s="9" t="n">
        <v>17.8</v>
      </c>
      <c r="L1125" s="10">
        <f>HYPERLINK("http://127.0.0.1:8000/api/documents/download?id=581&amp;attachment=true", "⬇ Download 80tenderdocs.pdf")</f>
        <v/>
      </c>
      <c r="M1125" s="10">
        <f>HYPERLINK("http://localhost:5173/?state=Delhi&amp;keyword=ICT&amp;tender=2026_IFC_299705_1", "🚀 Open in Portal")</f>
        <v/>
      </c>
    </row>
    <row r="1126" ht="24" customHeight="1">
      <c r="A1126" s="11" t="inlineStr">
        <is>
          <t>Delhi</t>
        </is>
      </c>
      <c r="B1126" s="12" t="inlineStr">
        <is>
          <t>ICT</t>
        </is>
      </c>
      <c r="C1126" s="13" t="inlineStr">
        <is>
          <t>2026_IFC_299705_1</t>
        </is>
      </c>
      <c r="D1126" s="14" t="inlineStr">
        <is>
          <t>[Making arrangement for Chhath Puja 2026 near Ganga Vihar (Trunk Drain No.I), Tikona Park, Tila Mandoli and Ambedkar Park D-Block and RD. 500M on Left bank of Escape Drain No.1 in Gokalpur Constituency (AC-68) in District North East.]</t>
        </is>
      </c>
      <c r="E1126" s="14" t="inlineStr">
        <is>
          <t>Delhi Public Works &amp; Technology Department</t>
        </is>
      </c>
      <c r="F1126" s="13" t="inlineStr">
        <is>
          <t>08 Sep 2026</t>
        </is>
      </c>
      <c r="G1126" s="12" t="inlineStr">
        <is>
          <t>30 Sep 2026</t>
        </is>
      </c>
      <c r="H1126" s="8" t="inlineStr">
        <is>
          <t>⏳ UPCOMING</t>
        </is>
      </c>
      <c r="I1126" s="11" t="inlineStr">
        <is>
          <t>BOQ_400001.xls</t>
        </is>
      </c>
      <c r="J1126" s="13" t="inlineStr">
        <is>
          <t>📊 Excel BOQ</t>
        </is>
      </c>
      <c r="K1126" s="15" t="n">
        <v>2.5</v>
      </c>
      <c r="L1126" s="16">
        <f>HYPERLINK("http://127.0.0.1:8000/api/documents/download?id=582&amp;attachment=true", "⬇ Download BOQ_400001.xls")</f>
        <v/>
      </c>
      <c r="M1126" s="16">
        <f>HYPERLINK("http://localhost:5173/?state=Delhi&amp;keyword=ICT&amp;tender=2026_IFC_299705_1", "🚀 Open in Portal")</f>
        <v/>
      </c>
    </row>
    <row r="1127" ht="24" customHeight="1">
      <c r="A1127" s="4" t="inlineStr">
        <is>
          <t>Delhi</t>
        </is>
      </c>
      <c r="B1127" s="5" t="inlineStr">
        <is>
          <t>ICT</t>
        </is>
      </c>
      <c r="C1127" s="6" t="inlineStr">
        <is>
          <t>2026_IFC_299705_1</t>
        </is>
      </c>
      <c r="D1127" s="7" t="inlineStr">
        <is>
          <t>[Making arrangement for Chhath Puja 2026 near Ganga Vihar (Trunk Drain No.I), Tikona Park, Tila Mandoli and Ambedkar Park D-Block and RD. 500M on Left bank of Escape Drain No.1 in Gokalpur Constituency (AC-68) in District North East.]</t>
        </is>
      </c>
      <c r="E1127" s="7" t="inlineStr">
        <is>
          <t>Delhi Public Works &amp; Technology Department</t>
        </is>
      </c>
      <c r="F1127" s="6" t="inlineStr">
        <is>
          <t>08 Sep 2026</t>
        </is>
      </c>
      <c r="G1127" s="5" t="inlineStr">
        <is>
          <t>30 Sep 2026</t>
        </is>
      </c>
      <c r="H1127" s="8" t="inlineStr">
        <is>
          <t>⏳ UPCOMING</t>
        </is>
      </c>
      <c r="I1127" s="4" t="inlineStr">
        <is>
          <t>Tender_2026_IFC_299705_1_All_Documents.zip</t>
        </is>
      </c>
      <c r="J1127" s="6" t="inlineStr">
        <is>
          <t>📦 ZIP Package</t>
        </is>
      </c>
      <c r="K1127" s="9" t="n">
        <v>21</v>
      </c>
      <c r="L1127" s="10">
        <f>HYPERLINK("http://127.0.0.1:8000/api/documents/download?id=583&amp;attachment=true", "⬇ Download Tender_2026_IFC_299705_1")</f>
        <v/>
      </c>
      <c r="M1127" s="10">
        <f>HYPERLINK("http://localhost:5173/?state=Delhi&amp;keyword=ICT&amp;tender=2026_IFC_299705_1", "🚀 Open in Portal")</f>
        <v/>
      </c>
    </row>
    <row r="1128" ht="24" customHeight="1">
      <c r="A1128" s="11" t="inlineStr">
        <is>
          <t>Delhi</t>
        </is>
      </c>
      <c r="B1128" s="12" t="inlineStr">
        <is>
          <t>ICT</t>
        </is>
      </c>
      <c r="C1128" s="13" t="inlineStr">
        <is>
          <t>2026_PWD_298255_2</t>
        </is>
      </c>
      <c r="D1128" s="14" t="inlineStr">
        <is>
          <t>[RMO E and M services at New Delhi District Court Complex at Rouse Avenue, DDU Marg, New Delhi.]</t>
        </is>
      </c>
      <c r="E1128" s="14" t="inlineStr">
        <is>
          <t>Delhi Public Works &amp; Technology Department</t>
        </is>
      </c>
      <c r="F1128" s="13" t="inlineStr">
        <is>
          <t>14 Sep 2026</t>
        </is>
      </c>
      <c r="G1128" s="12" t="inlineStr">
        <is>
          <t>14 Oct 2026</t>
        </is>
      </c>
      <c r="H1128" s="8" t="inlineStr">
        <is>
          <t>⏳ UPCOMING</t>
        </is>
      </c>
      <c r="I1128" s="11" t="inlineStr">
        <is>
          <t>Tendernotice_1.pdf</t>
        </is>
      </c>
      <c r="J1128" s="13" t="inlineStr">
        <is>
          <t>📕 PDF Document</t>
        </is>
      </c>
      <c r="K1128" s="15" t="n">
        <v>17.8</v>
      </c>
      <c r="L1128" s="16">
        <f>HYPERLINK("http://127.0.0.1:8000/api/documents/download?id=625&amp;attachment=true", "⬇ Download Tendernotice_1.pdf")</f>
        <v/>
      </c>
      <c r="M1128" s="16">
        <f>HYPERLINK("http://localhost:5173/?state=Delhi&amp;keyword=ICT&amp;tender=2026_PWD_298255_2", "🚀 Open in Portal")</f>
        <v/>
      </c>
    </row>
    <row r="1129" ht="24" customHeight="1">
      <c r="A1129" s="4" t="inlineStr">
        <is>
          <t>Delhi</t>
        </is>
      </c>
      <c r="B1129" s="5" t="inlineStr">
        <is>
          <t>ICT</t>
        </is>
      </c>
      <c r="C1129" s="6" t="inlineStr">
        <is>
          <t>2026_PWD_298255_2</t>
        </is>
      </c>
      <c r="D1129" s="7" t="inlineStr">
        <is>
          <t>[RMO E and M services at New Delhi District Court Complex at Rouse Avenue, DDU Marg, New Delhi.]</t>
        </is>
      </c>
      <c r="E1129" s="7" t="inlineStr">
        <is>
          <t>Delhi Public Works &amp; Technology Department</t>
        </is>
      </c>
      <c r="F1129" s="6" t="inlineStr">
        <is>
          <t>14 Sep 2026</t>
        </is>
      </c>
      <c r="G1129" s="5" t="inlineStr">
        <is>
          <t>14 Oct 2026</t>
        </is>
      </c>
      <c r="H1129" s="8" t="inlineStr">
        <is>
          <t>⏳ UPCOMING</t>
        </is>
      </c>
      <c r="I1129" s="4" t="inlineStr">
        <is>
          <t>BOQ_399792.xls</t>
        </is>
      </c>
      <c r="J1129" s="6" t="inlineStr">
        <is>
          <t>📊 Excel BOQ</t>
        </is>
      </c>
      <c r="K1129" s="9" t="n">
        <v>2.5</v>
      </c>
      <c r="L1129" s="10">
        <f>HYPERLINK("http://127.0.0.1:8000/api/documents/download?id=626&amp;attachment=true", "⬇ Download BOQ_399792.xls")</f>
        <v/>
      </c>
      <c r="M1129" s="10">
        <f>HYPERLINK("http://localhost:5173/?state=Delhi&amp;keyword=ICT&amp;tender=2026_PWD_298255_2", "🚀 Open in Portal")</f>
        <v/>
      </c>
    </row>
    <row r="1130" ht="24" customHeight="1">
      <c r="A1130" s="11" t="inlineStr">
        <is>
          <t>Delhi</t>
        </is>
      </c>
      <c r="B1130" s="12" t="inlineStr">
        <is>
          <t>ICT</t>
        </is>
      </c>
      <c r="C1130" s="13" t="inlineStr">
        <is>
          <t>2026_PWD_298255_2</t>
        </is>
      </c>
      <c r="D1130" s="14" t="inlineStr">
        <is>
          <t>[RMO E and M services at New Delhi District Court Complex at Rouse Avenue, DDU Marg, New Delhi.]</t>
        </is>
      </c>
      <c r="E1130" s="14" t="inlineStr">
        <is>
          <t>Delhi Public Works &amp; Technology Department</t>
        </is>
      </c>
      <c r="F1130" s="13" t="inlineStr">
        <is>
          <t>14 Sep 2026</t>
        </is>
      </c>
      <c r="G1130" s="12" t="inlineStr">
        <is>
          <t>14 Oct 2026</t>
        </is>
      </c>
      <c r="H1130" s="8" t="inlineStr">
        <is>
          <t>⏳ UPCOMING</t>
        </is>
      </c>
      <c r="I1130" s="11" t="inlineStr">
        <is>
          <t>RecallNIT.pdf</t>
        </is>
      </c>
      <c r="J1130" s="13" t="inlineStr">
        <is>
          <t>📕 PDF Document</t>
        </is>
      </c>
      <c r="K1130" s="15" t="n">
        <v>17.8</v>
      </c>
      <c r="L1130" s="16">
        <f>HYPERLINK("http://127.0.0.1:8000/api/documents/download?id=627&amp;attachment=true", "⬇ Download RecallNIT.pdf")</f>
        <v/>
      </c>
      <c r="M1130" s="16">
        <f>HYPERLINK("http://localhost:5173/?state=Delhi&amp;keyword=ICT&amp;tender=2026_PWD_298255_2", "🚀 Open in Portal")</f>
        <v/>
      </c>
    </row>
    <row r="1131" ht="24" customHeight="1">
      <c r="A1131" s="4" t="inlineStr">
        <is>
          <t>Delhi</t>
        </is>
      </c>
      <c r="B1131" s="5" t="inlineStr">
        <is>
          <t>ICT</t>
        </is>
      </c>
      <c r="C1131" s="6" t="inlineStr">
        <is>
          <t>2026_PWD_298255_2</t>
        </is>
      </c>
      <c r="D1131" s="7" t="inlineStr">
        <is>
          <t>[RMO E and M services at New Delhi District Court Complex at Rouse Avenue, DDU Marg, New Delhi.]</t>
        </is>
      </c>
      <c r="E1131" s="7" t="inlineStr">
        <is>
          <t>Delhi Public Works &amp; Technology Department</t>
        </is>
      </c>
      <c r="F1131" s="6" t="inlineStr">
        <is>
          <t>14 Sep 2026</t>
        </is>
      </c>
      <c r="G1131" s="5" t="inlineStr">
        <is>
          <t>14 Oct 2026</t>
        </is>
      </c>
      <c r="H1131" s="8" t="inlineStr">
        <is>
          <t>⏳ UPCOMING</t>
        </is>
      </c>
      <c r="I1131" s="4" t="inlineStr">
        <is>
          <t>Tender_2026_PWD_298255_2_All_Documents.zip</t>
        </is>
      </c>
      <c r="J1131" s="6" t="inlineStr">
        <is>
          <t>📦 ZIP Package</t>
        </is>
      </c>
      <c r="K1131" s="9" t="n">
        <v>20.7</v>
      </c>
      <c r="L1131" s="10">
        <f>HYPERLINK("http://127.0.0.1:8000/api/documents/download?id=628&amp;attachment=true", "⬇ Download Tender_2026_PWD_298255_2")</f>
        <v/>
      </c>
      <c r="M1131" s="10">
        <f>HYPERLINK("http://localhost:5173/?state=Delhi&amp;keyword=ICT&amp;tender=2026_PWD_298255_2", "🚀 Open in Portal")</f>
        <v/>
      </c>
    </row>
    <row r="1132" ht="24" customHeight="1">
      <c r="A1132" s="11" t="inlineStr">
        <is>
          <t>Delhi</t>
        </is>
      </c>
      <c r="B1132" s="12" t="inlineStr">
        <is>
          <t>ICT</t>
        </is>
      </c>
      <c r="C1132" s="13" t="inlineStr">
        <is>
          <t>2026_PWD_298622_2</t>
        </is>
      </c>
      <c r="D1132" s="14" t="inlineStr">
        <is>
          <t>[Comprehensive maintenance of various roads under SER-2/21 during 2026-27 (SH- Interconnection of drain near C-Lal wine shop (MCD Dumping Ground) to mitigate water stagnation on SA Road under jurisdiction of Sub Division SER-2/21). ]</t>
        </is>
      </c>
      <c r="E1132" s="14" t="inlineStr">
        <is>
          <t>Delhi Public Works &amp; Technology Department</t>
        </is>
      </c>
      <c r="F1132" s="13" t="inlineStr">
        <is>
          <t>12 Oct 2026</t>
        </is>
      </c>
      <c r="G1132" s="12" t="inlineStr">
        <is>
          <t>31 Oct 2026</t>
        </is>
      </c>
      <c r="H1132" s="17" t="inlineStr">
        <is>
          <t>🟢 LIVE ACTIVE</t>
        </is>
      </c>
      <c r="I1132" s="11" t="inlineStr">
        <is>
          <t>Tendernotice_1.pdf</t>
        </is>
      </c>
      <c r="J1132" s="13" t="inlineStr">
        <is>
          <t>📕 PDF Document</t>
        </is>
      </c>
      <c r="K1132" s="15" t="n">
        <v>17.8</v>
      </c>
      <c r="L1132" s="16">
        <f>HYPERLINK("http://127.0.0.1:8000/api/documents/download?id=629&amp;attachment=true", "⬇ Download Tendernotice_1.pdf")</f>
        <v/>
      </c>
      <c r="M1132" s="16">
        <f>HYPERLINK("http://localhost:5173/?state=Delhi&amp;keyword=ICT&amp;tender=2026_PWD_298622_2", "🚀 Open in Portal")</f>
        <v/>
      </c>
    </row>
    <row r="1133" ht="24" customHeight="1">
      <c r="A1133" s="4" t="inlineStr">
        <is>
          <t>Delhi</t>
        </is>
      </c>
      <c r="B1133" s="5" t="inlineStr">
        <is>
          <t>ICT</t>
        </is>
      </c>
      <c r="C1133" s="6" t="inlineStr">
        <is>
          <t>2026_PWD_298622_2</t>
        </is>
      </c>
      <c r="D1133" s="7" t="inlineStr">
        <is>
          <t>[Comprehensive maintenance of various roads under SER-2/21 during 2026-27 (SH- Interconnection of drain near C-Lal wine shop (MCD Dumping Ground) to mitigate water stagnation on SA Road under jurisdiction of Sub Division SER-2/21). ]</t>
        </is>
      </c>
      <c r="E1133" s="7" t="inlineStr">
        <is>
          <t>Delhi Public Works &amp; Technology Department</t>
        </is>
      </c>
      <c r="F1133" s="6" t="inlineStr">
        <is>
          <t>12 Oct 2026</t>
        </is>
      </c>
      <c r="G1133" s="5" t="inlineStr">
        <is>
          <t>31 Oct 2026</t>
        </is>
      </c>
      <c r="H1133" s="17" t="inlineStr">
        <is>
          <t>🟢 LIVE ACTIVE</t>
        </is>
      </c>
      <c r="I1133" s="4" t="inlineStr">
        <is>
          <t>BOQ_399776.xls</t>
        </is>
      </c>
      <c r="J1133" s="6" t="inlineStr">
        <is>
          <t>📊 Excel BOQ</t>
        </is>
      </c>
      <c r="K1133" s="9" t="n">
        <v>2.5</v>
      </c>
      <c r="L1133" s="10">
        <f>HYPERLINK("http://127.0.0.1:8000/api/documents/download?id=630&amp;attachment=true", "⬇ Download BOQ_399776.xls")</f>
        <v/>
      </c>
      <c r="M1133" s="10">
        <f>HYPERLINK("http://localhost:5173/?state=Delhi&amp;keyword=ICT&amp;tender=2026_PWD_298622_2", "🚀 Open in Portal")</f>
        <v/>
      </c>
    </row>
    <row r="1134" ht="24" customHeight="1">
      <c r="A1134" s="11" t="inlineStr">
        <is>
          <t>Delhi</t>
        </is>
      </c>
      <c r="B1134" s="12" t="inlineStr">
        <is>
          <t>ICT</t>
        </is>
      </c>
      <c r="C1134" s="13" t="inlineStr">
        <is>
          <t>2026_PWD_298622_2</t>
        </is>
      </c>
      <c r="D1134" s="14" t="inlineStr">
        <is>
          <t>[Comprehensive maintenance of various roads under SER-2/21 during 2026-27 (SH- Interconnection of drain near C-Lal wine shop (MCD Dumping Ground) to mitigate water stagnation on SA Road under jurisdiction of Sub Division SER-2/21). ]</t>
        </is>
      </c>
      <c r="E1134" s="14" t="inlineStr">
        <is>
          <t>Delhi Public Works &amp; Technology Department</t>
        </is>
      </c>
      <c r="F1134" s="13" t="inlineStr">
        <is>
          <t>12 Oct 2026</t>
        </is>
      </c>
      <c r="G1134" s="12" t="inlineStr">
        <is>
          <t>31 Oct 2026</t>
        </is>
      </c>
      <c r="H1134" s="17" t="inlineStr">
        <is>
          <t>🟢 LIVE ACTIVE</t>
        </is>
      </c>
      <c r="I1134" s="11" t="inlineStr">
        <is>
          <t>NIT70recall.pdf</t>
        </is>
      </c>
      <c r="J1134" s="13" t="inlineStr">
        <is>
          <t>📕 PDF Document</t>
        </is>
      </c>
      <c r="K1134" s="15" t="n">
        <v>17.8</v>
      </c>
      <c r="L1134" s="16">
        <f>HYPERLINK("http://127.0.0.1:8000/api/documents/download?id=631&amp;attachment=true", "⬇ Download NIT70recall.pdf")</f>
        <v/>
      </c>
      <c r="M1134" s="16">
        <f>HYPERLINK("http://localhost:5173/?state=Delhi&amp;keyword=ICT&amp;tender=2026_PWD_298622_2", "🚀 Open in Portal")</f>
        <v/>
      </c>
    </row>
    <row r="1135" ht="24" customHeight="1">
      <c r="A1135" s="4" t="inlineStr">
        <is>
          <t>Delhi</t>
        </is>
      </c>
      <c r="B1135" s="5" t="inlineStr">
        <is>
          <t>ICT</t>
        </is>
      </c>
      <c r="C1135" s="6" t="inlineStr">
        <is>
          <t>2026_PWD_298622_2</t>
        </is>
      </c>
      <c r="D1135" s="7" t="inlineStr">
        <is>
          <t>[Comprehensive maintenance of various roads under SER-2/21 during 2026-27 (SH- Interconnection of drain near C-Lal wine shop (MCD Dumping Ground) to mitigate water stagnation on SA Road under jurisdiction of Sub Division SER-2/21). ]</t>
        </is>
      </c>
      <c r="E1135" s="7" t="inlineStr">
        <is>
          <t>Delhi Public Works &amp; Technology Department</t>
        </is>
      </c>
      <c r="F1135" s="6" t="inlineStr">
        <is>
          <t>12 Oct 2026</t>
        </is>
      </c>
      <c r="G1135" s="5" t="inlineStr">
        <is>
          <t>31 Oct 2026</t>
        </is>
      </c>
      <c r="H1135" s="17" t="inlineStr">
        <is>
          <t>🟢 LIVE ACTIVE</t>
        </is>
      </c>
      <c r="I1135" s="4" t="inlineStr">
        <is>
          <t>Tender_2026_PWD_298622_2_All_Documents.zip</t>
        </is>
      </c>
      <c r="J1135" s="6" t="inlineStr">
        <is>
          <t>📦 ZIP Package</t>
        </is>
      </c>
      <c r="K1135" s="9" t="n">
        <v>20.8</v>
      </c>
      <c r="L1135" s="10">
        <f>HYPERLINK("http://127.0.0.1:8000/api/documents/download?id=632&amp;attachment=true", "⬇ Download Tender_2026_PWD_298622_2")</f>
        <v/>
      </c>
      <c r="M1135" s="10">
        <f>HYPERLINK("http://localhost:5173/?state=Delhi&amp;keyword=ICT&amp;tender=2026_PWD_298622_2", "🚀 Open in Portal")</f>
        <v/>
      </c>
    </row>
    <row r="1136" ht="24" customHeight="1">
      <c r="A1136" s="11" t="inlineStr">
        <is>
          <t>Delhi</t>
        </is>
      </c>
      <c r="B1136" s="12" t="inlineStr">
        <is>
          <t>ICT</t>
        </is>
      </c>
      <c r="C1136" s="13" t="inlineStr">
        <is>
          <t>2026_PWD_299057_1</t>
        </is>
      </c>
      <c r="D1136" s="14" t="inlineStr">
        <is>
          <t>[RMO EI and fans and various Electrical and Mechanical services installed at District Court Complex, Saket, New Delhi.]</t>
        </is>
      </c>
      <c r="E1136" s="14" t="inlineStr">
        <is>
          <t>Delhi Public Works &amp; Technology Department</t>
        </is>
      </c>
      <c r="F1136" s="13" t="inlineStr">
        <is>
          <t>25 Jul 2026</t>
        </is>
      </c>
      <c r="G1136" s="12" t="inlineStr">
        <is>
          <t>22 Aug 2026</t>
        </is>
      </c>
      <c r="H1136" s="8" t="inlineStr">
        <is>
          <t>⏳ UPCOMING</t>
        </is>
      </c>
      <c r="I1136" s="11" t="inlineStr">
        <is>
          <t>Tendernotice_1.pdf</t>
        </is>
      </c>
      <c r="J1136" s="13" t="inlineStr">
        <is>
          <t>📕 PDF Document</t>
        </is>
      </c>
      <c r="K1136" s="15" t="n">
        <v>17.8</v>
      </c>
      <c r="L1136" s="16">
        <f>HYPERLINK("http://127.0.0.1:8000/api/documents/download?id=639&amp;attachment=true", "⬇ Download Tendernotice_1.pdf")</f>
        <v/>
      </c>
      <c r="M1136" s="16">
        <f>HYPERLINK("http://localhost:5173/?state=Delhi&amp;keyword=ICT&amp;tender=2026_PWD_299057_1", "🚀 Open in Portal")</f>
        <v/>
      </c>
    </row>
    <row r="1137" ht="24" customHeight="1">
      <c r="A1137" s="4" t="inlineStr">
        <is>
          <t>Delhi</t>
        </is>
      </c>
      <c r="B1137" s="5" t="inlineStr">
        <is>
          <t>ICT</t>
        </is>
      </c>
      <c r="C1137" s="6" t="inlineStr">
        <is>
          <t>2026_PWD_299057_1</t>
        </is>
      </c>
      <c r="D1137" s="7" t="inlineStr">
        <is>
          <t>[RMO EI and fans and various Electrical and Mechanical services installed at District Court Complex, Saket, New Delhi.]</t>
        </is>
      </c>
      <c r="E1137" s="7" t="inlineStr">
        <is>
          <t>Delhi Public Works &amp; Technology Department</t>
        </is>
      </c>
      <c r="F1137" s="6" t="inlineStr">
        <is>
          <t>25 Jul 2026</t>
        </is>
      </c>
      <c r="G1137" s="5" t="inlineStr">
        <is>
          <t>22 Aug 2026</t>
        </is>
      </c>
      <c r="H1137" s="8" t="inlineStr">
        <is>
          <t>⏳ UPCOMING</t>
        </is>
      </c>
      <c r="I1137" s="4" t="inlineStr">
        <is>
          <t>BOQ_399036.xls</t>
        </is>
      </c>
      <c r="J1137" s="6" t="inlineStr">
        <is>
          <t>📊 Excel BOQ</t>
        </is>
      </c>
      <c r="K1137" s="9" t="n">
        <v>2.5</v>
      </c>
      <c r="L1137" s="10">
        <f>HYPERLINK("http://127.0.0.1:8000/api/documents/download?id=640&amp;attachment=true", "⬇ Download BOQ_399036.xls")</f>
        <v/>
      </c>
      <c r="M1137" s="10">
        <f>HYPERLINK("http://localhost:5173/?state=Delhi&amp;keyword=ICT&amp;tender=2026_PWD_299057_1", "🚀 Open in Portal")</f>
        <v/>
      </c>
    </row>
    <row r="1138" ht="24" customHeight="1">
      <c r="A1138" s="11" t="inlineStr">
        <is>
          <t>Delhi</t>
        </is>
      </c>
      <c r="B1138" s="12" t="inlineStr">
        <is>
          <t>ICT</t>
        </is>
      </c>
      <c r="C1138" s="13" t="inlineStr">
        <is>
          <t>2026_PWD_299057_1</t>
        </is>
      </c>
      <c r="D1138" s="14" t="inlineStr">
        <is>
          <t>[RMO EI and fans and various Electrical and Mechanical services installed at District Court Complex, Saket, New Delhi.]</t>
        </is>
      </c>
      <c r="E1138" s="14" t="inlineStr">
        <is>
          <t>Delhi Public Works &amp; Technology Department</t>
        </is>
      </c>
      <c r="F1138" s="13" t="inlineStr">
        <is>
          <t>25 Jul 2026</t>
        </is>
      </c>
      <c r="G1138" s="12" t="inlineStr">
        <is>
          <t>22 Aug 2026</t>
        </is>
      </c>
      <c r="H1138" s="8" t="inlineStr">
        <is>
          <t>⏳ UPCOMING</t>
        </is>
      </c>
      <c r="I1138" s="11" t="inlineStr">
        <is>
          <t>Tender_2026_PWD_299057_1_All_Documents.zip</t>
        </is>
      </c>
      <c r="J1138" s="13" t="inlineStr">
        <is>
          <t>📦 ZIP Package</t>
        </is>
      </c>
      <c r="K1138" s="15" t="n">
        <v>11.5</v>
      </c>
      <c r="L1138" s="16">
        <f>HYPERLINK("http://127.0.0.1:8000/api/documents/download?id=641&amp;attachment=true", "⬇ Download Tender_2026_PWD_299057_1")</f>
        <v/>
      </c>
      <c r="M1138" s="16">
        <f>HYPERLINK("http://localhost:5173/?state=Delhi&amp;keyword=ICT&amp;tender=2026_PWD_299057_1", "🚀 Open in Portal")</f>
        <v/>
      </c>
    </row>
    <row r="1139" ht="24" customHeight="1">
      <c r="A1139" s="4" t="inlineStr">
        <is>
          <t>Delhi</t>
        </is>
      </c>
      <c r="B1139" s="5" t="inlineStr">
        <is>
          <t>ICT</t>
        </is>
      </c>
      <c r="C1139" s="6" t="inlineStr">
        <is>
          <t>2026_PWD_299143_1</t>
        </is>
      </c>
      <c r="D1139" s="7" t="inlineStr">
        <is>
          <t>[RMO E and M Services at District Court, Dwarka, New Delhi. (SH - Repairing / Replacement of damaged parts of 1 No. 15 passenger Lift of Schindler Make)]</t>
        </is>
      </c>
      <c r="E1139" s="7" t="inlineStr">
        <is>
          <t>Delhi Public Works &amp; Technology Department</t>
        </is>
      </c>
      <c r="F1139" s="6" t="inlineStr">
        <is>
          <t>08 Oct 2026</t>
        </is>
      </c>
      <c r="G1139" s="5" t="inlineStr">
        <is>
          <t>13 Nov 2026</t>
        </is>
      </c>
      <c r="H1139" s="17" t="inlineStr">
        <is>
          <t>🟢 LIVE ACTIVE</t>
        </is>
      </c>
      <c r="I1139" s="4" t="inlineStr">
        <is>
          <t>Tendernotice_1.pdf</t>
        </is>
      </c>
      <c r="J1139" s="6" t="inlineStr">
        <is>
          <t>📕 PDF Document</t>
        </is>
      </c>
      <c r="K1139" s="9" t="n">
        <v>17.8</v>
      </c>
      <c r="L1139" s="10">
        <f>HYPERLINK("http://127.0.0.1:8000/api/documents/download?id=636&amp;attachment=true", "⬇ Download Tendernotice_1.pdf")</f>
        <v/>
      </c>
      <c r="M1139" s="10">
        <f>HYPERLINK("http://localhost:5173/?state=Delhi&amp;keyword=ICT&amp;tender=2026_PWD_299143_1", "🚀 Open in Portal")</f>
        <v/>
      </c>
    </row>
    <row r="1140" ht="24" customHeight="1">
      <c r="A1140" s="11" t="inlineStr">
        <is>
          <t>Delhi</t>
        </is>
      </c>
      <c r="B1140" s="12" t="inlineStr">
        <is>
          <t>ICT</t>
        </is>
      </c>
      <c r="C1140" s="13" t="inlineStr">
        <is>
          <t>2026_PWD_299143_1</t>
        </is>
      </c>
      <c r="D1140" s="14" t="inlineStr">
        <is>
          <t>[RMO E and M Services at District Court, Dwarka, New Delhi. (SH - Repairing / Replacement of damaged parts of 1 No. 15 passenger Lift of Schindler Make)]</t>
        </is>
      </c>
      <c r="E1140" s="14" t="inlineStr">
        <is>
          <t>Delhi Public Works &amp; Technology Department</t>
        </is>
      </c>
      <c r="F1140" s="13" t="inlineStr">
        <is>
          <t>08 Oct 2026</t>
        </is>
      </c>
      <c r="G1140" s="12" t="inlineStr">
        <is>
          <t>13 Nov 2026</t>
        </is>
      </c>
      <c r="H1140" s="17" t="inlineStr">
        <is>
          <t>🟢 LIVE ACTIVE</t>
        </is>
      </c>
      <c r="I1140" s="11" t="inlineStr">
        <is>
          <t>BOQ_399202.xls</t>
        </is>
      </c>
      <c r="J1140" s="13" t="inlineStr">
        <is>
          <t>📊 Excel BOQ</t>
        </is>
      </c>
      <c r="K1140" s="15" t="n">
        <v>2.5</v>
      </c>
      <c r="L1140" s="16">
        <f>HYPERLINK("http://127.0.0.1:8000/api/documents/download?id=637&amp;attachment=true", "⬇ Download BOQ_399202.xls")</f>
        <v/>
      </c>
      <c r="M1140" s="16">
        <f>HYPERLINK("http://localhost:5173/?state=Delhi&amp;keyword=ICT&amp;tender=2026_PWD_299143_1", "🚀 Open in Portal")</f>
        <v/>
      </c>
    </row>
    <row r="1141" ht="24" customHeight="1">
      <c r="A1141" s="4" t="inlineStr">
        <is>
          <t>Delhi</t>
        </is>
      </c>
      <c r="B1141" s="5" t="inlineStr">
        <is>
          <t>ICT</t>
        </is>
      </c>
      <c r="C1141" s="6" t="inlineStr">
        <is>
          <t>2026_PWD_299143_1</t>
        </is>
      </c>
      <c r="D1141" s="7" t="inlineStr">
        <is>
          <t>[RMO E and M Services at District Court, Dwarka, New Delhi. (SH - Repairing / Replacement of damaged parts of 1 No. 15 passenger Lift of Schindler Make)]</t>
        </is>
      </c>
      <c r="E1141" s="7" t="inlineStr">
        <is>
          <t>Delhi Public Works &amp; Technology Department</t>
        </is>
      </c>
      <c r="F1141" s="6" t="inlineStr">
        <is>
          <t>08 Oct 2026</t>
        </is>
      </c>
      <c r="G1141" s="5" t="inlineStr">
        <is>
          <t>13 Nov 2026</t>
        </is>
      </c>
      <c r="H1141" s="17" t="inlineStr">
        <is>
          <t>🟢 LIVE ACTIVE</t>
        </is>
      </c>
      <c r="I1141" s="4" t="inlineStr">
        <is>
          <t>Tender_2026_PWD_299143_1_All_Documents.zip</t>
        </is>
      </c>
      <c r="J1141" s="6" t="inlineStr">
        <is>
          <t>📦 ZIP Package</t>
        </is>
      </c>
      <c r="K1141" s="9" t="n">
        <v>11.6</v>
      </c>
      <c r="L1141" s="10">
        <f>HYPERLINK("http://127.0.0.1:8000/api/documents/download?id=638&amp;attachment=true", "⬇ Download Tender_2026_PWD_299143_1")</f>
        <v/>
      </c>
      <c r="M1141" s="10">
        <f>HYPERLINK("http://localhost:5173/?state=Delhi&amp;keyword=ICT&amp;tender=2026_PWD_299143_1", "🚀 Open in Portal")</f>
        <v/>
      </c>
    </row>
    <row r="1142" ht="24" customHeight="1">
      <c r="A1142" s="11" t="inlineStr">
        <is>
          <t>Delhi</t>
        </is>
      </c>
      <c r="B1142" s="12" t="inlineStr">
        <is>
          <t>ICT</t>
        </is>
      </c>
      <c r="C1142" s="13" t="inlineStr">
        <is>
          <t>2026_PWD_299241_1</t>
        </is>
      </c>
      <c r="D1142" s="14" t="inlineStr">
        <is>
          <t>[RMO E and M services at New Delhi District Court Complex at Rouse Avenue DDU Marg, New Delhi. ( SH Operation and Routine maintenance of STP) ]</t>
        </is>
      </c>
      <c r="E1142" s="14" t="inlineStr">
        <is>
          <t>Delhi Public Works &amp; Technology Department</t>
        </is>
      </c>
      <c r="F1142" s="13" t="inlineStr">
        <is>
          <t>26 Oct 2026</t>
        </is>
      </c>
      <c r="G1142" s="12" t="inlineStr">
        <is>
          <t>16 Nov 2026</t>
        </is>
      </c>
      <c r="H1142" s="8" t="inlineStr">
        <is>
          <t>⏳ UPCOMING</t>
        </is>
      </c>
      <c r="I1142" s="11" t="inlineStr">
        <is>
          <t>Tendernotice_1.pdf</t>
        </is>
      </c>
      <c r="J1142" s="13" t="inlineStr">
        <is>
          <t>📕 PDF Document</t>
        </is>
      </c>
      <c r="K1142" s="15" t="n">
        <v>17.8</v>
      </c>
      <c r="L1142" s="16">
        <f>HYPERLINK("http://127.0.0.1:8000/api/documents/download?id=71&amp;attachment=true", "⬇ Download Tendernotice_1.pdf")</f>
        <v/>
      </c>
      <c r="M1142" s="16">
        <f>HYPERLINK("http://localhost:5173/?state=Delhi&amp;keyword=ICT&amp;tender=2026_PWD_299241_1", "🚀 Open in Portal")</f>
        <v/>
      </c>
    </row>
    <row r="1143" ht="24" customHeight="1">
      <c r="A1143" s="4" t="inlineStr">
        <is>
          <t>Delhi</t>
        </is>
      </c>
      <c r="B1143" s="5" t="inlineStr">
        <is>
          <t>ICT</t>
        </is>
      </c>
      <c r="C1143" s="6" t="inlineStr">
        <is>
          <t>2026_PWD_299241_1</t>
        </is>
      </c>
      <c r="D1143" s="7" t="inlineStr">
        <is>
          <t>[RMO E and M services at New Delhi District Court Complex at Rouse Avenue DDU Marg, New Delhi. ( SH Operation and Routine maintenance of STP) ]</t>
        </is>
      </c>
      <c r="E1143" s="7" t="inlineStr">
        <is>
          <t>Delhi Public Works &amp; Technology Department</t>
        </is>
      </c>
      <c r="F1143" s="6" t="inlineStr">
        <is>
          <t>26 Oct 2026</t>
        </is>
      </c>
      <c r="G1143" s="5" t="inlineStr">
        <is>
          <t>16 Nov 2026</t>
        </is>
      </c>
      <c r="H1143" s="8" t="inlineStr">
        <is>
          <t>⏳ UPCOMING</t>
        </is>
      </c>
      <c r="I1143" s="4" t="inlineStr">
        <is>
          <t>BOQ_399345.xls</t>
        </is>
      </c>
      <c r="J1143" s="6" t="inlineStr">
        <is>
          <t>📊 Excel BOQ</t>
        </is>
      </c>
      <c r="K1143" s="9" t="n">
        <v>2.5</v>
      </c>
      <c r="L1143" s="10">
        <f>HYPERLINK("http://127.0.0.1:8000/api/documents/download?id=72&amp;attachment=true", "⬇ Download BOQ_399345.xls")</f>
        <v/>
      </c>
      <c r="M1143" s="10">
        <f>HYPERLINK("http://localhost:5173/?state=Delhi&amp;keyword=ICT&amp;tender=2026_PWD_299241_1", "🚀 Open in Portal")</f>
        <v/>
      </c>
    </row>
    <row r="1144" ht="24" customHeight="1">
      <c r="A1144" s="11" t="inlineStr">
        <is>
          <t>Delhi</t>
        </is>
      </c>
      <c r="B1144" s="12" t="inlineStr">
        <is>
          <t>ICT</t>
        </is>
      </c>
      <c r="C1144" s="13" t="inlineStr">
        <is>
          <t>2026_PWD_299241_1</t>
        </is>
      </c>
      <c r="D1144" s="14" t="inlineStr">
        <is>
          <t>[RMO E and M services at New Delhi District Court Complex at Rouse Avenue DDU Marg, New Delhi. ( SH Operation and Routine maintenance of STP) ]</t>
        </is>
      </c>
      <c r="E1144" s="14" t="inlineStr">
        <is>
          <t>Delhi Public Works &amp; Technology Department</t>
        </is>
      </c>
      <c r="F1144" s="13" t="inlineStr">
        <is>
          <t>26 Oct 2026</t>
        </is>
      </c>
      <c r="G1144" s="12" t="inlineStr">
        <is>
          <t>16 Nov 2026</t>
        </is>
      </c>
      <c r="H1144" s="8" t="inlineStr">
        <is>
          <t>⏳ UPCOMING</t>
        </is>
      </c>
      <c r="I1144" s="11" t="inlineStr">
        <is>
          <t>Tender_2026_PWD_299241_1_All_Documents.zip</t>
        </is>
      </c>
      <c r="J1144" s="13" t="inlineStr">
        <is>
          <t>📦 ZIP Package</t>
        </is>
      </c>
      <c r="K1144" s="15" t="n">
        <v>11.5</v>
      </c>
      <c r="L1144" s="16">
        <f>HYPERLINK("http://127.0.0.1:8000/api/documents/download?id=73&amp;attachment=true", "⬇ Download Tender_2026_PWD_299241_1")</f>
        <v/>
      </c>
      <c r="M1144" s="16">
        <f>HYPERLINK("http://localhost:5173/?state=Delhi&amp;keyword=ICT&amp;tender=2026_PWD_299241_1", "🚀 Open in Portal")</f>
        <v/>
      </c>
    </row>
    <row r="1145" ht="24" customHeight="1">
      <c r="A1145" s="4" t="inlineStr">
        <is>
          <t>Delhi</t>
        </is>
      </c>
      <c r="B1145" s="5" t="inlineStr">
        <is>
          <t>ICT</t>
        </is>
      </c>
      <c r="C1145" s="6" t="inlineStr">
        <is>
          <t>2026_PWD_299265_1</t>
        </is>
      </c>
      <c r="D1145" s="7" t="inlineStr">
        <is>
          <t>[Demolition of 5 Nos Delhi Govt Dispensaries DGDs under the jurisdiction of CHMD East SH DGD Gokalpuri B Block DGD Nand Nagri A 2 Block DGD New Seema Puri C Block DGD Shiv Vihar Tiraha and DGD Old Seema Puri E Block Delhi]</t>
        </is>
      </c>
      <c r="E1145" s="7" t="inlineStr">
        <is>
          <t>Delhi Public Works &amp; Technology Department</t>
        </is>
      </c>
      <c r="F1145" s="6" t="inlineStr">
        <is>
          <t>22 Sep 2026</t>
        </is>
      </c>
      <c r="G1145" s="5" t="inlineStr">
        <is>
          <t>22 Oct 2026</t>
        </is>
      </c>
      <c r="H1145" s="18" t="inlineStr">
        <is>
          <t>⚠️ CLOSING SOON</t>
        </is>
      </c>
      <c r="I1145" s="4" t="inlineStr">
        <is>
          <t>Tendernotice_1.pdf</t>
        </is>
      </c>
      <c r="J1145" s="6" t="inlineStr">
        <is>
          <t>📕 PDF Document</t>
        </is>
      </c>
      <c r="K1145" s="9" t="n">
        <v>17.8</v>
      </c>
      <c r="L1145" s="10">
        <f>HYPERLINK("http://127.0.0.1:8000/api/documents/download?id=68&amp;attachment=true", "⬇ Download Tendernotice_1.pdf")</f>
        <v/>
      </c>
      <c r="M1145" s="10">
        <f>HYPERLINK("http://localhost:5173/?state=Delhi&amp;keyword=ICT&amp;tender=2026_PWD_299265_1", "🚀 Open in Portal")</f>
        <v/>
      </c>
    </row>
    <row r="1146" ht="24" customHeight="1">
      <c r="A1146" s="11" t="inlineStr">
        <is>
          <t>Delhi</t>
        </is>
      </c>
      <c r="B1146" s="12" t="inlineStr">
        <is>
          <t>ICT</t>
        </is>
      </c>
      <c r="C1146" s="13" t="inlineStr">
        <is>
          <t>2026_PWD_299265_1</t>
        </is>
      </c>
      <c r="D1146" s="14" t="inlineStr">
        <is>
          <t>[Demolition of 5 Nos Delhi Govt Dispensaries DGDs under the jurisdiction of CHMD East SH DGD Gokalpuri B Block DGD Nand Nagri A 2 Block DGD New Seema Puri C Block DGD Shiv Vihar Tiraha and DGD Old Seema Puri E Block Delhi]</t>
        </is>
      </c>
      <c r="E1146" s="14" t="inlineStr">
        <is>
          <t>Delhi Public Works &amp; Technology Department</t>
        </is>
      </c>
      <c r="F1146" s="13" t="inlineStr">
        <is>
          <t>22 Sep 2026</t>
        </is>
      </c>
      <c r="G1146" s="12" t="inlineStr">
        <is>
          <t>22 Oct 2026</t>
        </is>
      </c>
      <c r="H1146" s="18" t="inlineStr">
        <is>
          <t>⚠️ CLOSING SOON</t>
        </is>
      </c>
      <c r="I1146" s="11" t="inlineStr">
        <is>
          <t>BOQ_399381.xls</t>
        </is>
      </c>
      <c r="J1146" s="13" t="inlineStr">
        <is>
          <t>📊 Excel BOQ</t>
        </is>
      </c>
      <c r="K1146" s="15" t="n">
        <v>2.5</v>
      </c>
      <c r="L1146" s="16">
        <f>HYPERLINK("http://127.0.0.1:8000/api/documents/download?id=69&amp;attachment=true", "⬇ Download BOQ_399381.xls")</f>
        <v/>
      </c>
      <c r="M1146" s="16">
        <f>HYPERLINK("http://localhost:5173/?state=Delhi&amp;keyword=ICT&amp;tender=2026_PWD_299265_1", "🚀 Open in Portal")</f>
        <v/>
      </c>
    </row>
    <row r="1147" ht="24" customHeight="1">
      <c r="A1147" s="4" t="inlineStr">
        <is>
          <t>Delhi</t>
        </is>
      </c>
      <c r="B1147" s="5" t="inlineStr">
        <is>
          <t>ICT</t>
        </is>
      </c>
      <c r="C1147" s="6" t="inlineStr">
        <is>
          <t>2026_PWD_299265_1</t>
        </is>
      </c>
      <c r="D1147" s="7" t="inlineStr">
        <is>
          <t>[Demolition of 5 Nos Delhi Govt Dispensaries DGDs under the jurisdiction of CHMD East SH DGD Gokalpuri B Block DGD Nand Nagri A 2 Block DGD New Seema Puri C Block DGD Shiv Vihar Tiraha and DGD Old Seema Puri E Block Delhi]</t>
        </is>
      </c>
      <c r="E1147" s="7" t="inlineStr">
        <is>
          <t>Delhi Public Works &amp; Technology Department</t>
        </is>
      </c>
      <c r="F1147" s="6" t="inlineStr">
        <is>
          <t>22 Sep 2026</t>
        </is>
      </c>
      <c r="G1147" s="5" t="inlineStr">
        <is>
          <t>22 Oct 2026</t>
        </is>
      </c>
      <c r="H1147" s="18" t="inlineStr">
        <is>
          <t>⚠️ CLOSING SOON</t>
        </is>
      </c>
      <c r="I1147" s="4" t="inlineStr">
        <is>
          <t>Tender_2026_PWD_299265_1_All_Documents.zip</t>
        </is>
      </c>
      <c r="J1147" s="6" t="inlineStr">
        <is>
          <t>📦 ZIP Package</t>
        </is>
      </c>
      <c r="K1147" s="9" t="n">
        <v>11.6</v>
      </c>
      <c r="L1147" s="10">
        <f>HYPERLINK("http://127.0.0.1:8000/api/documents/download?id=70&amp;attachment=true", "⬇ Download Tender_2026_PWD_299265_1")</f>
        <v/>
      </c>
      <c r="M1147" s="10">
        <f>HYPERLINK("http://localhost:5173/?state=Delhi&amp;keyword=ICT&amp;tender=2026_PWD_299265_1", "🚀 Open in Portal")</f>
        <v/>
      </c>
    </row>
    <row r="1148" ht="24" customHeight="1">
      <c r="A1148" s="11" t="inlineStr">
        <is>
          <t>Delhi</t>
        </is>
      </c>
      <c r="B1148" s="12" t="inlineStr">
        <is>
          <t>ICT</t>
        </is>
      </c>
      <c r="C1148" s="13" t="inlineStr">
        <is>
          <t>2026_PWD_299291_1</t>
        </is>
      </c>
      <c r="D1148" s="14" t="inlineStr">
        <is>
          <t>[Restoration of various roads cut by Delhi Transco Ltd. under jurisdiction of Sub Division- 1 SRD Project Division -II, PWD New Delhi during 2026-27. (Balance Work).]</t>
        </is>
      </c>
      <c r="E1148" s="14" t="inlineStr">
        <is>
          <t>Delhi Public Works &amp; Technology Department</t>
        </is>
      </c>
      <c r="F1148" s="13" t="inlineStr">
        <is>
          <t>06 Sep 2026</t>
        </is>
      </c>
      <c r="G1148" s="12" t="inlineStr">
        <is>
          <t>06 Oct 2026</t>
        </is>
      </c>
      <c r="H1148" s="8" t="inlineStr">
        <is>
          <t>⏳ UPCOMING</t>
        </is>
      </c>
      <c r="I1148" s="11" t="inlineStr">
        <is>
          <t>Tendernotice_1.pdf</t>
        </is>
      </c>
      <c r="J1148" s="13" t="inlineStr">
        <is>
          <t>📕 PDF Document</t>
        </is>
      </c>
      <c r="K1148" s="15" t="n">
        <v>17.8</v>
      </c>
      <c r="L1148" s="16">
        <f>HYPERLINK("http://127.0.0.1:8000/api/documents/download?id=65&amp;attachment=true", "⬇ Download Tendernotice_1.pdf")</f>
        <v/>
      </c>
      <c r="M1148" s="16">
        <f>HYPERLINK("http://localhost:5173/?state=Delhi&amp;keyword=ICT&amp;tender=2026_PWD_299291_1", "🚀 Open in Portal")</f>
        <v/>
      </c>
    </row>
    <row r="1149" ht="24" customHeight="1">
      <c r="A1149" s="4" t="inlineStr">
        <is>
          <t>Delhi</t>
        </is>
      </c>
      <c r="B1149" s="5" t="inlineStr">
        <is>
          <t>ICT</t>
        </is>
      </c>
      <c r="C1149" s="6" t="inlineStr">
        <is>
          <t>2026_PWD_299291_1</t>
        </is>
      </c>
      <c r="D1149" s="7" t="inlineStr">
        <is>
          <t>[Restoration of various roads cut by Delhi Transco Ltd. under jurisdiction of Sub Division- 1 SRD Project Division -II, PWD New Delhi during 2026-27. (Balance Work).]</t>
        </is>
      </c>
      <c r="E1149" s="7" t="inlineStr">
        <is>
          <t>Delhi Public Works &amp; Technology Department</t>
        </is>
      </c>
      <c r="F1149" s="6" t="inlineStr">
        <is>
          <t>06 Sep 2026</t>
        </is>
      </c>
      <c r="G1149" s="5" t="inlineStr">
        <is>
          <t>06 Oct 2026</t>
        </is>
      </c>
      <c r="H1149" s="8" t="inlineStr">
        <is>
          <t>⏳ UPCOMING</t>
        </is>
      </c>
      <c r="I1149" s="4" t="inlineStr">
        <is>
          <t>BOQ_399420.xls</t>
        </is>
      </c>
      <c r="J1149" s="6" t="inlineStr">
        <is>
          <t>📊 Excel BOQ</t>
        </is>
      </c>
      <c r="K1149" s="9" t="n">
        <v>2.5</v>
      </c>
      <c r="L1149" s="10">
        <f>HYPERLINK("http://127.0.0.1:8000/api/documents/download?id=66&amp;attachment=true", "⬇ Download BOQ_399420.xls")</f>
        <v/>
      </c>
      <c r="M1149" s="10">
        <f>HYPERLINK("http://localhost:5173/?state=Delhi&amp;keyword=ICT&amp;tender=2026_PWD_299291_1", "🚀 Open in Portal")</f>
        <v/>
      </c>
    </row>
    <row r="1150" ht="24" customHeight="1">
      <c r="A1150" s="11" t="inlineStr">
        <is>
          <t>Delhi</t>
        </is>
      </c>
      <c r="B1150" s="12" t="inlineStr">
        <is>
          <t>ICT</t>
        </is>
      </c>
      <c r="C1150" s="13" t="inlineStr">
        <is>
          <t>2026_PWD_299291_1</t>
        </is>
      </c>
      <c r="D1150" s="14" t="inlineStr">
        <is>
          <t>[Restoration of various roads cut by Delhi Transco Ltd. under jurisdiction of Sub Division- 1 SRD Project Division -II, PWD New Delhi during 2026-27. (Balance Work).]</t>
        </is>
      </c>
      <c r="E1150" s="14" t="inlineStr">
        <is>
          <t>Delhi Public Works &amp; Technology Department</t>
        </is>
      </c>
      <c r="F1150" s="13" t="inlineStr">
        <is>
          <t>06 Sep 2026</t>
        </is>
      </c>
      <c r="G1150" s="12" t="inlineStr">
        <is>
          <t>06 Oct 2026</t>
        </is>
      </c>
      <c r="H1150" s="8" t="inlineStr">
        <is>
          <t>⏳ UPCOMING</t>
        </is>
      </c>
      <c r="I1150" s="11" t="inlineStr">
        <is>
          <t>Tender_2026_PWD_299291_1_All_Documents.zip</t>
        </is>
      </c>
      <c r="J1150" s="13" t="inlineStr">
        <is>
          <t>📦 ZIP Package</t>
        </is>
      </c>
      <c r="K1150" s="15" t="n">
        <v>11.6</v>
      </c>
      <c r="L1150" s="16">
        <f>HYPERLINK("http://127.0.0.1:8000/api/documents/download?id=67&amp;attachment=true", "⬇ Download Tender_2026_PWD_299291_1")</f>
        <v/>
      </c>
      <c r="M1150" s="16">
        <f>HYPERLINK("http://localhost:5173/?state=Delhi&amp;keyword=ICT&amp;tender=2026_PWD_299291_1", "🚀 Open in Portal")</f>
        <v/>
      </c>
    </row>
    <row r="1151" ht="24" customHeight="1">
      <c r="A1151" s="4" t="inlineStr">
        <is>
          <t>Delhi</t>
        </is>
      </c>
      <c r="B1151" s="5" t="inlineStr">
        <is>
          <t>ICT</t>
        </is>
      </c>
      <c r="C1151" s="6" t="inlineStr">
        <is>
          <t>2026_PWD_299296_1</t>
        </is>
      </c>
      <c r="D1151" s="7" t="inlineStr">
        <is>
          <t>[RMO E and M Services at District Court, Sector-10, Dwarka, New Delhi (SH- Providing major servicing and repairing of unserviceable 1500 KVA DG set (DG no. 1)(Cummins Make)]</t>
        </is>
      </c>
      <c r="E1151" s="7" t="inlineStr">
        <is>
          <t>Delhi Public Works &amp; Technology Department</t>
        </is>
      </c>
      <c r="F1151" s="6" t="inlineStr">
        <is>
          <t>21 Aug 2026</t>
        </is>
      </c>
      <c r="G1151" s="5" t="inlineStr">
        <is>
          <t>20 Sep 2026</t>
        </is>
      </c>
      <c r="H1151" s="8" t="inlineStr">
        <is>
          <t>⏳ UPCOMING</t>
        </is>
      </c>
      <c r="I1151" s="4" t="inlineStr">
        <is>
          <t>Tendernotice_1.pdf</t>
        </is>
      </c>
      <c r="J1151" s="6" t="inlineStr">
        <is>
          <t>📕 PDF Document</t>
        </is>
      </c>
      <c r="K1151" s="9" t="n">
        <v>17.8</v>
      </c>
      <c r="L1151" s="10">
        <f>HYPERLINK("http://127.0.0.1:8000/api/documents/download?id=62&amp;attachment=true", "⬇ Download Tendernotice_1.pdf")</f>
        <v/>
      </c>
      <c r="M1151" s="10">
        <f>HYPERLINK("http://localhost:5173/?state=Delhi&amp;keyword=ICT&amp;tender=2026_PWD_299296_1", "🚀 Open in Portal")</f>
        <v/>
      </c>
    </row>
    <row r="1152" ht="24" customHeight="1">
      <c r="A1152" s="11" t="inlineStr">
        <is>
          <t>Delhi</t>
        </is>
      </c>
      <c r="B1152" s="12" t="inlineStr">
        <is>
          <t>ICT</t>
        </is>
      </c>
      <c r="C1152" s="13" t="inlineStr">
        <is>
          <t>2026_PWD_299296_1</t>
        </is>
      </c>
      <c r="D1152" s="14" t="inlineStr">
        <is>
          <t>[RMO E and M Services at District Court, Sector-10, Dwarka, New Delhi (SH- Providing major servicing and repairing of unserviceable 1500 KVA DG set (DG no. 1)(Cummins Make)]</t>
        </is>
      </c>
      <c r="E1152" s="14" t="inlineStr">
        <is>
          <t>Delhi Public Works &amp; Technology Department</t>
        </is>
      </c>
      <c r="F1152" s="13" t="inlineStr">
        <is>
          <t>21 Aug 2026</t>
        </is>
      </c>
      <c r="G1152" s="12" t="inlineStr">
        <is>
          <t>20 Sep 2026</t>
        </is>
      </c>
      <c r="H1152" s="8" t="inlineStr">
        <is>
          <t>⏳ UPCOMING</t>
        </is>
      </c>
      <c r="I1152" s="11" t="inlineStr">
        <is>
          <t>BOQ_399428.xls</t>
        </is>
      </c>
      <c r="J1152" s="13" t="inlineStr">
        <is>
          <t>📊 Excel BOQ</t>
        </is>
      </c>
      <c r="K1152" s="15" t="n">
        <v>2.5</v>
      </c>
      <c r="L1152" s="16">
        <f>HYPERLINK("http://127.0.0.1:8000/api/documents/download?id=63&amp;attachment=true", "⬇ Download BOQ_399428.xls")</f>
        <v/>
      </c>
      <c r="M1152" s="16">
        <f>HYPERLINK("http://localhost:5173/?state=Delhi&amp;keyword=ICT&amp;tender=2026_PWD_299296_1", "🚀 Open in Portal")</f>
        <v/>
      </c>
    </row>
    <row r="1153" ht="24" customHeight="1">
      <c r="A1153" s="4" t="inlineStr">
        <is>
          <t>Delhi</t>
        </is>
      </c>
      <c r="B1153" s="5" t="inlineStr">
        <is>
          <t>ICT</t>
        </is>
      </c>
      <c r="C1153" s="6" t="inlineStr">
        <is>
          <t>2026_PWD_299296_1</t>
        </is>
      </c>
      <c r="D1153" s="7" t="inlineStr">
        <is>
          <t>[RMO E and M Services at District Court, Sector-10, Dwarka, New Delhi (SH- Providing major servicing and repairing of unserviceable 1500 KVA DG set (DG no. 1)(Cummins Make)]</t>
        </is>
      </c>
      <c r="E1153" s="7" t="inlineStr">
        <is>
          <t>Delhi Public Works &amp; Technology Department</t>
        </is>
      </c>
      <c r="F1153" s="6" t="inlineStr">
        <is>
          <t>21 Aug 2026</t>
        </is>
      </c>
      <c r="G1153" s="5" t="inlineStr">
        <is>
          <t>20 Sep 2026</t>
        </is>
      </c>
      <c r="H1153" s="8" t="inlineStr">
        <is>
          <t>⏳ UPCOMING</t>
        </is>
      </c>
      <c r="I1153" s="4" t="inlineStr">
        <is>
          <t>Tender_2026_PWD_299296_1_All_Documents.zip</t>
        </is>
      </c>
      <c r="J1153" s="6" t="inlineStr">
        <is>
          <t>📦 ZIP Package</t>
        </is>
      </c>
      <c r="K1153" s="9" t="n">
        <v>11.6</v>
      </c>
      <c r="L1153" s="10">
        <f>HYPERLINK("http://127.0.0.1:8000/api/documents/download?id=64&amp;attachment=true", "⬇ Download Tender_2026_PWD_299296_1")</f>
        <v/>
      </c>
      <c r="M1153" s="10">
        <f>HYPERLINK("http://localhost:5173/?state=Delhi&amp;keyword=ICT&amp;tender=2026_PWD_299296_1", "🚀 Open in Portal")</f>
        <v/>
      </c>
    </row>
    <row r="1154" ht="24" customHeight="1">
      <c r="A1154" s="11" t="inlineStr">
        <is>
          <t>Delhi</t>
        </is>
      </c>
      <c r="B1154" s="12" t="inlineStr">
        <is>
          <t>ICT</t>
        </is>
      </c>
      <c r="C1154" s="13" t="inlineStr">
        <is>
          <t>2026_PWD_299340_1</t>
        </is>
      </c>
      <c r="D1154" s="14" t="inlineStr">
        <is>
          <t>[Maintenance of existing Govt. Schools under jurisdiction of this Division Office, Directorate of Education (Govt. of Delhi). ]</t>
        </is>
      </c>
      <c r="E1154" s="14" t="inlineStr">
        <is>
          <t>Delhi Public Works &amp; Technology Department</t>
        </is>
      </c>
      <c r="F1154" s="13" t="inlineStr">
        <is>
          <t>05 Aug 2026</t>
        </is>
      </c>
      <c r="G1154" s="12" t="inlineStr">
        <is>
          <t>04 Sep 2026</t>
        </is>
      </c>
      <c r="H1154" s="8" t="inlineStr">
        <is>
          <t>⏳ UPCOMING</t>
        </is>
      </c>
      <c r="I1154" s="11" t="inlineStr">
        <is>
          <t>Tendernotice_1.pdf</t>
        </is>
      </c>
      <c r="J1154" s="13" t="inlineStr">
        <is>
          <t>📕 PDF Document</t>
        </is>
      </c>
      <c r="K1154" s="15" t="n">
        <v>17.8</v>
      </c>
      <c r="L1154" s="16">
        <f>HYPERLINK("http://127.0.0.1:8000/api/documents/download?id=58&amp;attachment=true", "⬇ Download Tendernotice_1.pdf")</f>
        <v/>
      </c>
      <c r="M1154" s="16">
        <f>HYPERLINK("http://localhost:5173/?state=Delhi&amp;keyword=ICT&amp;tender=2026_PWD_299340_1", "🚀 Open in Portal")</f>
        <v/>
      </c>
    </row>
    <row r="1155" ht="24" customHeight="1">
      <c r="A1155" s="4" t="inlineStr">
        <is>
          <t>Delhi</t>
        </is>
      </c>
      <c r="B1155" s="5" t="inlineStr">
        <is>
          <t>ICT</t>
        </is>
      </c>
      <c r="C1155" s="6" t="inlineStr">
        <is>
          <t>2026_PWD_299340_1</t>
        </is>
      </c>
      <c r="D1155" s="7" t="inlineStr">
        <is>
          <t>[Maintenance of existing Govt. Schools under jurisdiction of this Division Office, Directorate of Education (Govt. of Delhi). ]</t>
        </is>
      </c>
      <c r="E1155" s="7" t="inlineStr">
        <is>
          <t>Delhi Public Works &amp; Technology Department</t>
        </is>
      </c>
      <c r="F1155" s="6" t="inlineStr">
        <is>
          <t>05 Aug 2026</t>
        </is>
      </c>
      <c r="G1155" s="5" t="inlineStr">
        <is>
          <t>04 Sep 2026</t>
        </is>
      </c>
      <c r="H1155" s="8" t="inlineStr">
        <is>
          <t>⏳ UPCOMING</t>
        </is>
      </c>
      <c r="I1155" s="4" t="inlineStr">
        <is>
          <t>Tenderdocument3rdcall.pdf</t>
        </is>
      </c>
      <c r="J1155" s="6" t="inlineStr">
        <is>
          <t>📕 PDF Document</t>
        </is>
      </c>
      <c r="K1155" s="9" t="n">
        <v>17.8</v>
      </c>
      <c r="L1155" s="10">
        <f>HYPERLINK("http://127.0.0.1:8000/api/documents/download?id=59&amp;attachment=true", "⬇ Download Tenderdocument3rdcall.pd")</f>
        <v/>
      </c>
      <c r="M1155" s="10">
        <f>HYPERLINK("http://localhost:5173/?state=Delhi&amp;keyword=ICT&amp;tender=2026_PWD_299340_1", "🚀 Open in Portal")</f>
        <v/>
      </c>
    </row>
    <row r="1156" ht="24" customHeight="1">
      <c r="A1156" s="11" t="inlineStr">
        <is>
          <t>Delhi</t>
        </is>
      </c>
      <c r="B1156" s="12" t="inlineStr">
        <is>
          <t>ICT</t>
        </is>
      </c>
      <c r="C1156" s="13" t="inlineStr">
        <is>
          <t>2026_PWD_299340_1</t>
        </is>
      </c>
      <c r="D1156" s="14" t="inlineStr">
        <is>
          <t>[Maintenance of existing Govt. Schools under jurisdiction of this Division Office, Directorate of Education (Govt. of Delhi). ]</t>
        </is>
      </c>
      <c r="E1156" s="14" t="inlineStr">
        <is>
          <t>Delhi Public Works &amp; Technology Department</t>
        </is>
      </c>
      <c r="F1156" s="13" t="inlineStr">
        <is>
          <t>05 Aug 2026</t>
        </is>
      </c>
      <c r="G1156" s="12" t="inlineStr">
        <is>
          <t>04 Sep 2026</t>
        </is>
      </c>
      <c r="H1156" s="8" t="inlineStr">
        <is>
          <t>⏳ UPCOMING</t>
        </is>
      </c>
      <c r="I1156" s="11" t="inlineStr">
        <is>
          <t>BOQ_399492.xls</t>
        </is>
      </c>
      <c r="J1156" s="13" t="inlineStr">
        <is>
          <t>📊 Excel BOQ</t>
        </is>
      </c>
      <c r="K1156" s="15" t="n">
        <v>2.5</v>
      </c>
      <c r="L1156" s="16">
        <f>HYPERLINK("http://127.0.0.1:8000/api/documents/download?id=60&amp;attachment=true", "⬇ Download BOQ_399492.xls")</f>
        <v/>
      </c>
      <c r="M1156" s="16">
        <f>HYPERLINK("http://localhost:5173/?state=Delhi&amp;keyword=ICT&amp;tender=2026_PWD_299340_1", "🚀 Open in Portal")</f>
        <v/>
      </c>
    </row>
    <row r="1157" ht="24" customHeight="1">
      <c r="A1157" s="4" t="inlineStr">
        <is>
          <t>Delhi</t>
        </is>
      </c>
      <c r="B1157" s="5" t="inlineStr">
        <is>
          <t>ICT</t>
        </is>
      </c>
      <c r="C1157" s="6" t="inlineStr">
        <is>
          <t>2026_PWD_299340_1</t>
        </is>
      </c>
      <c r="D1157" s="7" t="inlineStr">
        <is>
          <t>[Maintenance of existing Govt. Schools under jurisdiction of this Division Office, Directorate of Education (Govt. of Delhi). ]</t>
        </is>
      </c>
      <c r="E1157" s="7" t="inlineStr">
        <is>
          <t>Delhi Public Works &amp; Technology Department</t>
        </is>
      </c>
      <c r="F1157" s="6" t="inlineStr">
        <is>
          <t>05 Aug 2026</t>
        </is>
      </c>
      <c r="G1157" s="5" t="inlineStr">
        <is>
          <t>04 Sep 2026</t>
        </is>
      </c>
      <c r="H1157" s="8" t="inlineStr">
        <is>
          <t>⏳ UPCOMING</t>
        </is>
      </c>
      <c r="I1157" s="4" t="inlineStr">
        <is>
          <t>Tender_2026_PWD_299340_1_All_Documents.zip</t>
        </is>
      </c>
      <c r="J1157" s="6" t="inlineStr">
        <is>
          <t>📦 ZIP Package</t>
        </is>
      </c>
      <c r="K1157" s="9" t="n">
        <v>20.8</v>
      </c>
      <c r="L1157" s="10">
        <f>HYPERLINK("http://127.0.0.1:8000/api/documents/download?id=61&amp;attachment=true", "⬇ Download Tender_2026_PWD_299340_1")</f>
        <v/>
      </c>
      <c r="M1157" s="10">
        <f>HYPERLINK("http://localhost:5173/?state=Delhi&amp;keyword=ICT&amp;tender=2026_PWD_299340_1", "🚀 Open in Portal")</f>
        <v/>
      </c>
    </row>
    <row r="1158" ht="24" customHeight="1">
      <c r="A1158" s="11" t="inlineStr">
        <is>
          <t>Delhi</t>
        </is>
      </c>
      <c r="B1158" s="12" t="inlineStr">
        <is>
          <t>ICT</t>
        </is>
      </c>
      <c r="C1158" s="13" t="inlineStr">
        <is>
          <t>2026_PWD_299347_1</t>
        </is>
      </c>
      <c r="D1158" s="14" t="inlineStr">
        <is>
          <t>[Providing Manpower services of Clericals, Drivers, Multitasking and Staff Un skilled, Semiskilled, Clerical and Non Technical Supervisory Staff in various offices under the jurisdiction of office of SE Health Electrical CircleI and all Divisions un]</t>
        </is>
      </c>
      <c r="E1158" s="14" t="inlineStr">
        <is>
          <t>Delhi Public Works &amp; Technology Department</t>
        </is>
      </c>
      <c r="F1158" s="13" t="inlineStr">
        <is>
          <t>26 Sep 2026</t>
        </is>
      </c>
      <c r="G1158" s="12" t="inlineStr">
        <is>
          <t>28 Oct 2026</t>
        </is>
      </c>
      <c r="H1158" s="17" t="inlineStr">
        <is>
          <t>🟢 LIVE ACTIVE</t>
        </is>
      </c>
      <c r="I1158" s="11" t="inlineStr">
        <is>
          <t>Tendernotice_1.pdf</t>
        </is>
      </c>
      <c r="J1158" s="13" t="inlineStr">
        <is>
          <t>📕 PDF Document</t>
        </is>
      </c>
      <c r="K1158" s="15" t="n">
        <v>17.8</v>
      </c>
      <c r="L1158" s="16">
        <f>HYPERLINK("http://127.0.0.1:8000/api/documents/download?id=47&amp;attachment=true", "⬇ Download Tendernotice_1.pdf")</f>
        <v/>
      </c>
      <c r="M1158" s="16">
        <f>HYPERLINK("http://localhost:5173/?state=Delhi&amp;keyword=ICT&amp;tender=2026_PWD_299347_1", "🚀 Open in Portal")</f>
        <v/>
      </c>
    </row>
    <row r="1159" ht="24" customHeight="1">
      <c r="A1159" s="4" t="inlineStr">
        <is>
          <t>Delhi</t>
        </is>
      </c>
      <c r="B1159" s="5" t="inlineStr">
        <is>
          <t>ICT</t>
        </is>
      </c>
      <c r="C1159" s="6" t="inlineStr">
        <is>
          <t>2026_PWD_299347_1</t>
        </is>
      </c>
      <c r="D1159" s="7" t="inlineStr">
        <is>
          <t>[Providing Manpower services of Clericals, Drivers, Multitasking and Staff Un skilled, Semiskilled, Clerical and Non Technical Supervisory Staff in various offices under the jurisdiction of office of SE Health Electrical CircleI and all Divisions un]</t>
        </is>
      </c>
      <c r="E1159" s="7" t="inlineStr">
        <is>
          <t>Delhi Public Works &amp; Technology Department</t>
        </is>
      </c>
      <c r="F1159" s="6" t="inlineStr">
        <is>
          <t>26 Sep 2026</t>
        </is>
      </c>
      <c r="G1159" s="5" t="inlineStr">
        <is>
          <t>28 Oct 2026</t>
        </is>
      </c>
      <c r="H1159" s="17" t="inlineStr">
        <is>
          <t>🟢 LIVE ACTIVE</t>
        </is>
      </c>
      <c r="I1159" s="4" t="inlineStr">
        <is>
          <t>BOQ_399501.xls</t>
        </is>
      </c>
      <c r="J1159" s="6" t="inlineStr">
        <is>
          <t>📊 Excel BOQ</t>
        </is>
      </c>
      <c r="K1159" s="9" t="n">
        <v>2.5</v>
      </c>
      <c r="L1159" s="10">
        <f>HYPERLINK("http://127.0.0.1:8000/api/documents/download?id=48&amp;attachment=true", "⬇ Download BOQ_399501.xls")</f>
        <v/>
      </c>
      <c r="M1159" s="10">
        <f>HYPERLINK("http://localhost:5173/?state=Delhi&amp;keyword=ICT&amp;tender=2026_PWD_299347_1", "🚀 Open in Portal")</f>
        <v/>
      </c>
    </row>
    <row r="1160" ht="24" customHeight="1">
      <c r="A1160" s="11" t="inlineStr">
        <is>
          <t>Delhi</t>
        </is>
      </c>
      <c r="B1160" s="12" t="inlineStr">
        <is>
          <t>ICT</t>
        </is>
      </c>
      <c r="C1160" s="13" t="inlineStr">
        <is>
          <t>2026_PWD_299347_1</t>
        </is>
      </c>
      <c r="D1160" s="14" t="inlineStr">
        <is>
          <t>[Providing Manpower services of Clericals, Drivers, Multitasking and Staff Un skilled, Semiskilled, Clerical and Non Technical Supervisory Staff in various offices under the jurisdiction of office of SE Health Electrical CircleI and all Divisions un]</t>
        </is>
      </c>
      <c r="E1160" s="14" t="inlineStr">
        <is>
          <t>Delhi Public Works &amp; Technology Department</t>
        </is>
      </c>
      <c r="F1160" s="13" t="inlineStr">
        <is>
          <t>26 Sep 2026</t>
        </is>
      </c>
      <c r="G1160" s="12" t="inlineStr">
        <is>
          <t>28 Oct 2026</t>
        </is>
      </c>
      <c r="H1160" s="17" t="inlineStr">
        <is>
          <t>🟢 LIVE ACTIVE</t>
        </is>
      </c>
      <c r="I1160" s="11" t="inlineStr">
        <is>
          <t>fullnit.pdf</t>
        </is>
      </c>
      <c r="J1160" s="13" t="inlineStr">
        <is>
          <t>📕 PDF Document</t>
        </is>
      </c>
      <c r="K1160" s="15" t="n">
        <v>17.8</v>
      </c>
      <c r="L1160" s="16">
        <f>HYPERLINK("http://127.0.0.1:8000/api/documents/download?id=49&amp;attachment=true", "⬇ Download fullnit.pdf")</f>
        <v/>
      </c>
      <c r="M1160" s="16">
        <f>HYPERLINK("http://localhost:5173/?state=Delhi&amp;keyword=ICT&amp;tender=2026_PWD_299347_1", "🚀 Open in Portal")</f>
        <v/>
      </c>
    </row>
    <row r="1161" ht="24" customHeight="1">
      <c r="A1161" s="4" t="inlineStr">
        <is>
          <t>Delhi</t>
        </is>
      </c>
      <c r="B1161" s="5" t="inlineStr">
        <is>
          <t>ICT</t>
        </is>
      </c>
      <c r="C1161" s="6" t="inlineStr">
        <is>
          <t>2026_PWD_299347_1</t>
        </is>
      </c>
      <c r="D1161" s="7" t="inlineStr">
        <is>
          <t>[Providing Manpower services of Clericals, Drivers, Multitasking and Staff Un skilled, Semiskilled, Clerical and Non Technical Supervisory Staff in various offices under the jurisdiction of office of SE Health Electrical CircleI and all Divisions un]</t>
        </is>
      </c>
      <c r="E1161" s="7" t="inlineStr">
        <is>
          <t>Delhi Public Works &amp; Technology Department</t>
        </is>
      </c>
      <c r="F1161" s="6" t="inlineStr">
        <is>
          <t>26 Sep 2026</t>
        </is>
      </c>
      <c r="G1161" s="5" t="inlineStr">
        <is>
          <t>28 Oct 2026</t>
        </is>
      </c>
      <c r="H1161" s="17" t="inlineStr">
        <is>
          <t>🟢 LIVE ACTIVE</t>
        </is>
      </c>
      <c r="I1161" s="4" t="inlineStr">
        <is>
          <t>Tender_2026_PWD_299347_1_All_Documents.zip</t>
        </is>
      </c>
      <c r="J1161" s="6" t="inlineStr">
        <is>
          <t>📦 ZIP Package</t>
        </is>
      </c>
      <c r="K1161" s="9" t="n">
        <v>20.8</v>
      </c>
      <c r="L1161" s="10">
        <f>HYPERLINK("http://127.0.0.1:8000/api/documents/download?id=50&amp;attachment=true", "⬇ Download Tender_2026_PWD_299347_1")</f>
        <v/>
      </c>
      <c r="M1161" s="10">
        <f>HYPERLINK("http://localhost:5173/?state=Delhi&amp;keyword=ICT&amp;tender=2026_PWD_299347_1", "🚀 Open in Portal")</f>
        <v/>
      </c>
    </row>
    <row r="1162" ht="24" customHeight="1">
      <c r="A1162" s="11" t="inlineStr">
        <is>
          <t>Delhi</t>
        </is>
      </c>
      <c r="B1162" s="12" t="inlineStr">
        <is>
          <t>ICT</t>
        </is>
      </c>
      <c r="C1162" s="13" t="inlineStr">
        <is>
          <t>2026_PWD_299348_1</t>
        </is>
      </c>
      <c r="D1162" s="14" t="inlineStr">
        <is>
          <t>[RMO E and M Services installed at District Court Karkardooma, Delhi. ]</t>
        </is>
      </c>
      <c r="E1162" s="14" t="inlineStr">
        <is>
          <t>Delhi Public Works &amp; Technology Department</t>
        </is>
      </c>
      <c r="F1162" s="13" t="inlineStr">
        <is>
          <t>20 Oct 2026</t>
        </is>
      </c>
      <c r="G1162" s="12" t="inlineStr">
        <is>
          <t>10 Nov 2026</t>
        </is>
      </c>
      <c r="H1162" s="8" t="inlineStr">
        <is>
          <t>⏳ UPCOMING</t>
        </is>
      </c>
      <c r="I1162" s="11" t="inlineStr">
        <is>
          <t>Tendernotice_1.pdf</t>
        </is>
      </c>
      <c r="J1162" s="13" t="inlineStr">
        <is>
          <t>📕 PDF Document</t>
        </is>
      </c>
      <c r="K1162" s="15" t="n">
        <v>17.8</v>
      </c>
      <c r="L1162" s="16">
        <f>HYPERLINK("http://127.0.0.1:8000/api/documents/download?id=51&amp;attachment=true", "⬇ Download Tendernotice_1.pdf")</f>
        <v/>
      </c>
      <c r="M1162" s="16">
        <f>HYPERLINK("http://localhost:5173/?state=Delhi&amp;keyword=ICT&amp;tender=2026_PWD_299348_1", "🚀 Open in Portal")</f>
        <v/>
      </c>
    </row>
    <row r="1163" ht="24" customHeight="1">
      <c r="A1163" s="4" t="inlineStr">
        <is>
          <t>Delhi</t>
        </is>
      </c>
      <c r="B1163" s="5" t="inlineStr">
        <is>
          <t>ICT</t>
        </is>
      </c>
      <c r="C1163" s="6" t="inlineStr">
        <is>
          <t>2026_PWD_299348_1</t>
        </is>
      </c>
      <c r="D1163" s="7" t="inlineStr">
        <is>
          <t>[RMO E and M Services installed at District Court Karkardooma, Delhi. ]</t>
        </is>
      </c>
      <c r="E1163" s="7" t="inlineStr">
        <is>
          <t>Delhi Public Works &amp; Technology Department</t>
        </is>
      </c>
      <c r="F1163" s="6" t="inlineStr">
        <is>
          <t>20 Oct 2026</t>
        </is>
      </c>
      <c r="G1163" s="5" t="inlineStr">
        <is>
          <t>10 Nov 2026</t>
        </is>
      </c>
      <c r="H1163" s="8" t="inlineStr">
        <is>
          <t>⏳ UPCOMING</t>
        </is>
      </c>
      <c r="I1163" s="4" t="inlineStr">
        <is>
          <t>BOQ_399500.xls</t>
        </is>
      </c>
      <c r="J1163" s="6" t="inlineStr">
        <is>
          <t>📊 Excel BOQ</t>
        </is>
      </c>
      <c r="K1163" s="9" t="n">
        <v>2.4</v>
      </c>
      <c r="L1163" s="10">
        <f>HYPERLINK("http://127.0.0.1:8000/api/documents/download?id=52&amp;attachment=true", "⬇ Download BOQ_399500.xls")</f>
        <v/>
      </c>
      <c r="M1163" s="10">
        <f>HYPERLINK("http://localhost:5173/?state=Delhi&amp;keyword=ICT&amp;tender=2026_PWD_299348_1", "🚀 Open in Portal")</f>
        <v/>
      </c>
    </row>
    <row r="1164" ht="24" customHeight="1">
      <c r="A1164" s="11" t="inlineStr">
        <is>
          <t>Delhi</t>
        </is>
      </c>
      <c r="B1164" s="12" t="inlineStr">
        <is>
          <t>ICT</t>
        </is>
      </c>
      <c r="C1164" s="13" t="inlineStr">
        <is>
          <t>2026_PWD_299348_1</t>
        </is>
      </c>
      <c r="D1164" s="14" t="inlineStr">
        <is>
          <t>[RMO E and M Services installed at District Court Karkardooma, Delhi. ]</t>
        </is>
      </c>
      <c r="E1164" s="14" t="inlineStr">
        <is>
          <t>Delhi Public Works &amp; Technology Department</t>
        </is>
      </c>
      <c r="F1164" s="13" t="inlineStr">
        <is>
          <t>20 Oct 2026</t>
        </is>
      </c>
      <c r="G1164" s="12" t="inlineStr">
        <is>
          <t>10 Nov 2026</t>
        </is>
      </c>
      <c r="H1164" s="8" t="inlineStr">
        <is>
          <t>⏳ UPCOMING</t>
        </is>
      </c>
      <c r="I1164" s="11" t="inlineStr">
        <is>
          <t>Tender_2026_PWD_299348_1_All_Documents.zip</t>
        </is>
      </c>
      <c r="J1164" s="13" t="inlineStr">
        <is>
          <t>📦 ZIP Package</t>
        </is>
      </c>
      <c r="K1164" s="15" t="n">
        <v>11.5</v>
      </c>
      <c r="L1164" s="16">
        <f>HYPERLINK("http://127.0.0.1:8000/api/documents/download?id=53&amp;attachment=true", "⬇ Download Tender_2026_PWD_299348_1")</f>
        <v/>
      </c>
      <c r="M1164" s="16">
        <f>HYPERLINK("http://localhost:5173/?state=Delhi&amp;keyword=ICT&amp;tender=2026_PWD_299348_1", "🚀 Open in Portal")</f>
        <v/>
      </c>
    </row>
    <row r="1165" ht="24" customHeight="1">
      <c r="A1165" s="4" t="inlineStr">
        <is>
          <t>Delhi</t>
        </is>
      </c>
      <c r="B1165" s="5" t="inlineStr">
        <is>
          <t>ICT</t>
        </is>
      </c>
      <c r="C1165" s="6" t="inlineStr">
        <is>
          <t>2026_PWD_299351_1</t>
        </is>
      </c>
      <c r="D1165" s="7" t="inlineStr">
        <is>
          <t>[Running Maintenance and Operation of Programmable Fountains situated in Central and New Delhi District area and Mechanized Housekeeping of Fountains for the Period of 2026-27.]</t>
        </is>
      </c>
      <c r="E1165" s="7" t="inlineStr">
        <is>
          <t>Delhi Public Works &amp; Technology Department</t>
        </is>
      </c>
      <c r="F1165" s="6" t="inlineStr">
        <is>
          <t>18 Oct 2026</t>
        </is>
      </c>
      <c r="G1165" s="5" t="inlineStr">
        <is>
          <t>15 Nov 2026</t>
        </is>
      </c>
      <c r="H1165" s="17" t="inlineStr">
        <is>
          <t>🟢 LIVE ACTIVE</t>
        </is>
      </c>
      <c r="I1165" s="4" t="inlineStr">
        <is>
          <t>Tendernotice_1.pdf</t>
        </is>
      </c>
      <c r="J1165" s="6" t="inlineStr">
        <is>
          <t>📕 PDF Document</t>
        </is>
      </c>
      <c r="K1165" s="9" t="n">
        <v>17.8</v>
      </c>
      <c r="L1165" s="10">
        <f>HYPERLINK("http://127.0.0.1:8000/api/documents/download?id=54&amp;attachment=true", "⬇ Download Tendernotice_1.pdf")</f>
        <v/>
      </c>
      <c r="M1165" s="10">
        <f>HYPERLINK("http://localhost:5173/?state=Delhi&amp;keyword=ICT&amp;tender=2026_PWD_299351_1", "🚀 Open in Portal")</f>
        <v/>
      </c>
    </row>
    <row r="1166" ht="24" customHeight="1">
      <c r="A1166" s="11" t="inlineStr">
        <is>
          <t>Delhi</t>
        </is>
      </c>
      <c r="B1166" s="12" t="inlineStr">
        <is>
          <t>ICT</t>
        </is>
      </c>
      <c r="C1166" s="13" t="inlineStr">
        <is>
          <t>2026_PWD_299351_1</t>
        </is>
      </c>
      <c r="D1166" s="14" t="inlineStr">
        <is>
          <t>[Running Maintenance and Operation of Programmable Fountains situated in Central and New Delhi District area and Mechanized Housekeeping of Fountains for the Period of 2026-27.]</t>
        </is>
      </c>
      <c r="E1166" s="14" t="inlineStr">
        <is>
          <t>Delhi Public Works &amp; Technology Department</t>
        </is>
      </c>
      <c r="F1166" s="13" t="inlineStr">
        <is>
          <t>18 Oct 2026</t>
        </is>
      </c>
      <c r="G1166" s="12" t="inlineStr">
        <is>
          <t>15 Nov 2026</t>
        </is>
      </c>
      <c r="H1166" s="17" t="inlineStr">
        <is>
          <t>🟢 LIVE ACTIVE</t>
        </is>
      </c>
      <c r="I1166" s="11" t="inlineStr">
        <is>
          <t>42SECNDTenderNotice.pdf</t>
        </is>
      </c>
      <c r="J1166" s="13" t="inlineStr">
        <is>
          <t>📕 PDF Document</t>
        </is>
      </c>
      <c r="K1166" s="15" t="n">
        <v>17.8</v>
      </c>
      <c r="L1166" s="16">
        <f>HYPERLINK("http://127.0.0.1:8000/api/documents/download?id=55&amp;attachment=true", "⬇ Download 42SECNDTenderNotice.pdf")</f>
        <v/>
      </c>
      <c r="M1166" s="16">
        <f>HYPERLINK("http://localhost:5173/?state=Delhi&amp;keyword=ICT&amp;tender=2026_PWD_299351_1", "🚀 Open in Portal")</f>
        <v/>
      </c>
    </row>
    <row r="1167" ht="24" customHeight="1">
      <c r="A1167" s="4" t="inlineStr">
        <is>
          <t>Delhi</t>
        </is>
      </c>
      <c r="B1167" s="5" t="inlineStr">
        <is>
          <t>ICT</t>
        </is>
      </c>
      <c r="C1167" s="6" t="inlineStr">
        <is>
          <t>2026_PWD_299351_1</t>
        </is>
      </c>
      <c r="D1167" s="7" t="inlineStr">
        <is>
          <t>[Running Maintenance and Operation of Programmable Fountains situated in Central and New Delhi District area and Mechanized Housekeeping of Fountains for the Period of 2026-27.]</t>
        </is>
      </c>
      <c r="E1167" s="7" t="inlineStr">
        <is>
          <t>Delhi Public Works &amp; Technology Department</t>
        </is>
      </c>
      <c r="F1167" s="6" t="inlineStr">
        <is>
          <t>18 Oct 2026</t>
        </is>
      </c>
      <c r="G1167" s="5" t="inlineStr">
        <is>
          <t>15 Nov 2026</t>
        </is>
      </c>
      <c r="H1167" s="17" t="inlineStr">
        <is>
          <t>🟢 LIVE ACTIVE</t>
        </is>
      </c>
      <c r="I1167" s="4" t="inlineStr">
        <is>
          <t>BOQ_399505.xls</t>
        </is>
      </c>
      <c r="J1167" s="6" t="inlineStr">
        <is>
          <t>📊 Excel BOQ</t>
        </is>
      </c>
      <c r="K1167" s="9" t="n">
        <v>2.5</v>
      </c>
      <c r="L1167" s="10">
        <f>HYPERLINK("http://127.0.0.1:8000/api/documents/download?id=56&amp;attachment=true", "⬇ Download BOQ_399505.xls")</f>
        <v/>
      </c>
      <c r="M1167" s="10">
        <f>HYPERLINK("http://localhost:5173/?state=Delhi&amp;keyword=ICT&amp;tender=2026_PWD_299351_1", "🚀 Open in Portal")</f>
        <v/>
      </c>
    </row>
    <row r="1168" ht="24" customHeight="1">
      <c r="A1168" s="11" t="inlineStr">
        <is>
          <t>Delhi</t>
        </is>
      </c>
      <c r="B1168" s="12" t="inlineStr">
        <is>
          <t>ICT</t>
        </is>
      </c>
      <c r="C1168" s="13" t="inlineStr">
        <is>
          <t>2026_PWD_299351_1</t>
        </is>
      </c>
      <c r="D1168" s="14" t="inlineStr">
        <is>
          <t>[Running Maintenance and Operation of Programmable Fountains situated in Central and New Delhi District area and Mechanized Housekeeping of Fountains for the Period of 2026-27.]</t>
        </is>
      </c>
      <c r="E1168" s="14" t="inlineStr">
        <is>
          <t>Delhi Public Works &amp; Technology Department</t>
        </is>
      </c>
      <c r="F1168" s="13" t="inlineStr">
        <is>
          <t>18 Oct 2026</t>
        </is>
      </c>
      <c r="G1168" s="12" t="inlineStr">
        <is>
          <t>15 Nov 2026</t>
        </is>
      </c>
      <c r="H1168" s="17" t="inlineStr">
        <is>
          <t>🟢 LIVE ACTIVE</t>
        </is>
      </c>
      <c r="I1168" s="11" t="inlineStr">
        <is>
          <t>Tender_2026_PWD_299351_1_All_Documents.zip</t>
        </is>
      </c>
      <c r="J1168" s="13" t="inlineStr">
        <is>
          <t>📦 ZIP Package</t>
        </is>
      </c>
      <c r="K1168" s="15" t="n">
        <v>20.8</v>
      </c>
      <c r="L1168" s="16">
        <f>HYPERLINK("http://127.0.0.1:8000/api/documents/download?id=57&amp;attachment=true", "⬇ Download Tender_2026_PWD_299351_1")</f>
        <v/>
      </c>
      <c r="M1168" s="16">
        <f>HYPERLINK("http://localhost:5173/?state=Delhi&amp;keyword=ICT&amp;tender=2026_PWD_299351_1", "🚀 Open in Portal")</f>
        <v/>
      </c>
    </row>
    <row r="1169" ht="24" customHeight="1">
      <c r="A1169" s="4" t="inlineStr">
        <is>
          <t>Delhi</t>
        </is>
      </c>
      <c r="B1169" s="5" t="inlineStr">
        <is>
          <t>ICT</t>
        </is>
      </c>
      <c r="C1169" s="6" t="inlineStr">
        <is>
          <t>2026_PWD_299436_1</t>
        </is>
      </c>
      <c r="D1169" s="7" t="inlineStr">
        <is>
          <t>[ARMO of E and M Services installed at LBS Hospital Khichripur Delhi SH Providing Manpower services of Clericals Drivers Multitasking and Staff Unskilled Semi skilled Clerical and Non Technical supervisory staff in various offices under the jurisdicti]</t>
        </is>
      </c>
      <c r="E1169" s="7" t="inlineStr">
        <is>
          <t>Delhi Public Works &amp; Technology Department</t>
        </is>
      </c>
      <c r="F1169" s="6" t="inlineStr">
        <is>
          <t>08 Aug 2026</t>
        </is>
      </c>
      <c r="G1169" s="5" t="inlineStr">
        <is>
          <t>07 Sep 2026</t>
        </is>
      </c>
      <c r="H1169" s="8" t="inlineStr">
        <is>
          <t>⏳ UPCOMING</t>
        </is>
      </c>
      <c r="I1169" s="4" t="inlineStr">
        <is>
          <t>Tendernotice_1.pdf</t>
        </is>
      </c>
      <c r="J1169" s="6" t="inlineStr">
        <is>
          <t>📕 PDF Document</t>
        </is>
      </c>
      <c r="K1169" s="9" t="n">
        <v>17.8</v>
      </c>
      <c r="L1169" s="10">
        <f>HYPERLINK("http://127.0.0.1:8000/api/documents/download?id=633&amp;attachment=true", "⬇ Download Tendernotice_1.pdf")</f>
        <v/>
      </c>
      <c r="M1169" s="10">
        <f>HYPERLINK("http://localhost:5173/?state=Delhi&amp;keyword=ICT&amp;tender=2026_PWD_299436_1", "🚀 Open in Portal")</f>
        <v/>
      </c>
    </row>
    <row r="1170" ht="24" customHeight="1">
      <c r="A1170" s="11" t="inlineStr">
        <is>
          <t>Delhi</t>
        </is>
      </c>
      <c r="B1170" s="12" t="inlineStr">
        <is>
          <t>ICT</t>
        </is>
      </c>
      <c r="C1170" s="13" t="inlineStr">
        <is>
          <t>2026_PWD_299436_1</t>
        </is>
      </c>
      <c r="D1170" s="14" t="inlineStr">
        <is>
          <t>[ARMO of E and M Services installed at LBS Hospital Khichripur Delhi SH Providing Manpower services of Clericals Drivers Multitasking and Staff Unskilled Semi skilled Clerical and Non Technical supervisory staff in various offices under the jurisdicti]</t>
        </is>
      </c>
      <c r="E1170" s="14" t="inlineStr">
        <is>
          <t>Delhi Public Works &amp; Technology Department</t>
        </is>
      </c>
      <c r="F1170" s="13" t="inlineStr">
        <is>
          <t>08 Aug 2026</t>
        </is>
      </c>
      <c r="G1170" s="12" t="inlineStr">
        <is>
          <t>07 Sep 2026</t>
        </is>
      </c>
      <c r="H1170" s="8" t="inlineStr">
        <is>
          <t>⏳ UPCOMING</t>
        </is>
      </c>
      <c r="I1170" s="11" t="inlineStr">
        <is>
          <t>BOQ_399623.xls</t>
        </is>
      </c>
      <c r="J1170" s="13" t="inlineStr">
        <is>
          <t>📊 Excel BOQ</t>
        </is>
      </c>
      <c r="K1170" s="15" t="n">
        <v>2.5</v>
      </c>
      <c r="L1170" s="16">
        <f>HYPERLINK("http://127.0.0.1:8000/api/documents/download?id=634&amp;attachment=true", "⬇ Download BOQ_399623.xls")</f>
        <v/>
      </c>
      <c r="M1170" s="16">
        <f>HYPERLINK("http://localhost:5173/?state=Delhi&amp;keyword=ICT&amp;tender=2026_PWD_299436_1", "🚀 Open in Portal")</f>
        <v/>
      </c>
    </row>
    <row r="1171" ht="24" customHeight="1">
      <c r="A1171" s="4" t="inlineStr">
        <is>
          <t>Delhi</t>
        </is>
      </c>
      <c r="B1171" s="5" t="inlineStr">
        <is>
          <t>ICT</t>
        </is>
      </c>
      <c r="C1171" s="6" t="inlineStr">
        <is>
          <t>2026_PWD_299436_1</t>
        </is>
      </c>
      <c r="D1171" s="7" t="inlineStr">
        <is>
          <t>[ARMO of E and M Services installed at LBS Hospital Khichripur Delhi SH Providing Manpower services of Clericals Drivers Multitasking and Staff Unskilled Semi skilled Clerical and Non Technical supervisory staff in various offices under the jurisdicti]</t>
        </is>
      </c>
      <c r="E1171" s="7" t="inlineStr">
        <is>
          <t>Delhi Public Works &amp; Technology Department</t>
        </is>
      </c>
      <c r="F1171" s="6" t="inlineStr">
        <is>
          <t>08 Aug 2026</t>
        </is>
      </c>
      <c r="G1171" s="5" t="inlineStr">
        <is>
          <t>07 Sep 2026</t>
        </is>
      </c>
      <c r="H1171" s="8" t="inlineStr">
        <is>
          <t>⏳ UPCOMING</t>
        </is>
      </c>
      <c r="I1171" s="4" t="inlineStr">
        <is>
          <t>Tender_2026_PWD_299436_1_All_Documents.zip</t>
        </is>
      </c>
      <c r="J1171" s="6" t="inlineStr">
        <is>
          <t>📦 ZIP Package</t>
        </is>
      </c>
      <c r="K1171" s="9" t="n">
        <v>11.6</v>
      </c>
      <c r="L1171" s="10">
        <f>HYPERLINK("http://127.0.0.1:8000/api/documents/download?id=635&amp;attachment=true", "⬇ Download Tender_2026_PWD_299436_1")</f>
        <v/>
      </c>
      <c r="M1171" s="10">
        <f>HYPERLINK("http://localhost:5173/?state=Delhi&amp;keyword=ICT&amp;tender=2026_PWD_299436_1", "🚀 Open in Portal")</f>
        <v/>
      </c>
    </row>
    <row r="1172" ht="24" customHeight="1">
      <c r="A1172" s="11" t="inlineStr">
        <is>
          <t>Delhi</t>
        </is>
      </c>
      <c r="B1172" s="12" t="inlineStr">
        <is>
          <t>ICT</t>
        </is>
      </c>
      <c r="C1172" s="13" t="inlineStr">
        <is>
          <t>2026_PWD_299541_1</t>
        </is>
      </c>
      <c r="D1172" s="14" t="inlineStr">
        <is>
          <t>[ARMO various electrical and mechanical services in District Court, Rohini, Delhi(SH-Repairing and overhauling of 2x500 kVA Greaves make DG Set cooling towers system installed at Annexe building along with associated water supply system and rectificat]</t>
        </is>
      </c>
      <c r="E1172" s="14" t="inlineStr">
        <is>
          <t>Delhi Public Works &amp; Technology Department</t>
        </is>
      </c>
      <c r="F1172" s="13" t="inlineStr">
        <is>
          <t>19 Sep 2026</t>
        </is>
      </c>
      <c r="G1172" s="12" t="inlineStr">
        <is>
          <t>11 Oct 2026</t>
        </is>
      </c>
      <c r="H1172" s="8" t="inlineStr">
        <is>
          <t>⏳ UPCOMING</t>
        </is>
      </c>
      <c r="I1172" s="11" t="inlineStr">
        <is>
          <t>Tendernotice_1.pdf</t>
        </is>
      </c>
      <c r="J1172" s="13" t="inlineStr">
        <is>
          <t>📕 PDF Document</t>
        </is>
      </c>
      <c r="K1172" s="15" t="n">
        <v>17.8</v>
      </c>
      <c r="L1172" s="16">
        <f>HYPERLINK("http://127.0.0.1:8000/api/documents/download?id=611&amp;attachment=true", "⬇ Download Tendernotice_1.pdf")</f>
        <v/>
      </c>
      <c r="M1172" s="16">
        <f>HYPERLINK("http://localhost:5173/?state=Delhi&amp;keyword=ICT&amp;tender=2026_PWD_299541_1", "🚀 Open in Portal")</f>
        <v/>
      </c>
    </row>
    <row r="1173" ht="24" customHeight="1">
      <c r="A1173" s="4" t="inlineStr">
        <is>
          <t>Delhi</t>
        </is>
      </c>
      <c r="B1173" s="5" t="inlineStr">
        <is>
          <t>ICT</t>
        </is>
      </c>
      <c r="C1173" s="6" t="inlineStr">
        <is>
          <t>2026_PWD_299541_1</t>
        </is>
      </c>
      <c r="D1173" s="7" t="inlineStr">
        <is>
          <t>[ARMO various electrical and mechanical services in District Court, Rohini, Delhi(SH-Repairing and overhauling of 2x500 kVA Greaves make DG Set cooling towers system installed at Annexe building along with associated water supply system and rectificat]</t>
        </is>
      </c>
      <c r="E1173" s="7" t="inlineStr">
        <is>
          <t>Delhi Public Works &amp; Technology Department</t>
        </is>
      </c>
      <c r="F1173" s="6" t="inlineStr">
        <is>
          <t>19 Sep 2026</t>
        </is>
      </c>
      <c r="G1173" s="5" t="inlineStr">
        <is>
          <t>11 Oct 2026</t>
        </is>
      </c>
      <c r="H1173" s="8" t="inlineStr">
        <is>
          <t>⏳ UPCOMING</t>
        </is>
      </c>
      <c r="I1173" s="4" t="inlineStr">
        <is>
          <t>BOQ_399807.xls</t>
        </is>
      </c>
      <c r="J1173" s="6" t="inlineStr">
        <is>
          <t>📊 Excel BOQ</t>
        </is>
      </c>
      <c r="K1173" s="9" t="n">
        <v>2.6</v>
      </c>
      <c r="L1173" s="10">
        <f>HYPERLINK("http://127.0.0.1:8000/api/documents/download?id=612&amp;attachment=true", "⬇ Download BOQ_399807.xls")</f>
        <v/>
      </c>
      <c r="M1173" s="10">
        <f>HYPERLINK("http://localhost:5173/?state=Delhi&amp;keyword=ICT&amp;tender=2026_PWD_299541_1", "🚀 Open in Portal")</f>
        <v/>
      </c>
    </row>
    <row r="1174" ht="24" customHeight="1">
      <c r="A1174" s="11" t="inlineStr">
        <is>
          <t>Delhi</t>
        </is>
      </c>
      <c r="B1174" s="12" t="inlineStr">
        <is>
          <t>ICT</t>
        </is>
      </c>
      <c r="C1174" s="13" t="inlineStr">
        <is>
          <t>2026_PWD_299541_1</t>
        </is>
      </c>
      <c r="D1174" s="14" t="inlineStr">
        <is>
          <t>[ARMO various electrical and mechanical services in District Court, Rohini, Delhi(SH-Repairing and overhauling of 2x500 kVA Greaves make DG Set cooling towers system installed at Annexe building along with associated water supply system and rectificat]</t>
        </is>
      </c>
      <c r="E1174" s="14" t="inlineStr">
        <is>
          <t>Delhi Public Works &amp; Technology Department</t>
        </is>
      </c>
      <c r="F1174" s="13" t="inlineStr">
        <is>
          <t>19 Sep 2026</t>
        </is>
      </c>
      <c r="G1174" s="12" t="inlineStr">
        <is>
          <t>11 Oct 2026</t>
        </is>
      </c>
      <c r="H1174" s="8" t="inlineStr">
        <is>
          <t>⏳ UPCOMING</t>
        </is>
      </c>
      <c r="I1174" s="11" t="inlineStr">
        <is>
          <t>Tender_2026_PWD_299541_1_All_Documents.zip</t>
        </is>
      </c>
      <c r="J1174" s="13" t="inlineStr">
        <is>
          <t>📦 ZIP Package</t>
        </is>
      </c>
      <c r="K1174" s="15" t="n">
        <v>11.6</v>
      </c>
      <c r="L1174" s="16">
        <f>HYPERLINK("http://127.0.0.1:8000/api/documents/download?id=613&amp;attachment=true", "⬇ Download Tender_2026_PWD_299541_1")</f>
        <v/>
      </c>
      <c r="M1174" s="16">
        <f>HYPERLINK("http://localhost:5173/?state=Delhi&amp;keyword=ICT&amp;tender=2026_PWD_299541_1", "🚀 Open in Portal")</f>
        <v/>
      </c>
    </row>
    <row r="1175" ht="24" customHeight="1">
      <c r="A1175" s="4" t="inlineStr">
        <is>
          <t>Delhi</t>
        </is>
      </c>
      <c r="B1175" s="5" t="inlineStr">
        <is>
          <t>ICT</t>
        </is>
      </c>
      <c r="C1175" s="6" t="inlineStr">
        <is>
          <t>2026_PWD_299575_1</t>
        </is>
      </c>
      <c r="D1175" s="7" t="inlineStr">
        <is>
          <t>[RMO E and M services at District Court, Sector-10, Dwarka, New Delhi (SH- Repairing of firefighting system at various locations of Court).]</t>
        </is>
      </c>
      <c r="E1175" s="7" t="inlineStr">
        <is>
          <t>Delhi Public Works &amp; Technology Department</t>
        </is>
      </c>
      <c r="F1175" s="6" t="inlineStr">
        <is>
          <t>18 Oct 2026</t>
        </is>
      </c>
      <c r="G1175" s="5" t="inlineStr">
        <is>
          <t>17 Nov 2026</t>
        </is>
      </c>
      <c r="H1175" s="17" t="inlineStr">
        <is>
          <t>🟢 LIVE ACTIVE</t>
        </is>
      </c>
      <c r="I1175" s="4" t="inlineStr">
        <is>
          <t>Tendernotice_1.pdf</t>
        </is>
      </c>
      <c r="J1175" s="6" t="inlineStr">
        <is>
          <t>📕 PDF Document</t>
        </is>
      </c>
      <c r="K1175" s="9" t="n">
        <v>17.8</v>
      </c>
      <c r="L1175" s="10">
        <f>HYPERLINK("http://127.0.0.1:8000/api/documents/download?id=622&amp;attachment=true", "⬇ Download Tendernotice_1.pdf")</f>
        <v/>
      </c>
      <c r="M1175" s="10">
        <f>HYPERLINK("http://localhost:5173/?state=Delhi&amp;keyword=ICT&amp;tender=2026_PWD_299575_1", "🚀 Open in Portal")</f>
        <v/>
      </c>
    </row>
    <row r="1176" ht="24" customHeight="1">
      <c r="A1176" s="11" t="inlineStr">
        <is>
          <t>Delhi</t>
        </is>
      </c>
      <c r="B1176" s="12" t="inlineStr">
        <is>
          <t>ICT</t>
        </is>
      </c>
      <c r="C1176" s="13" t="inlineStr">
        <is>
          <t>2026_PWD_299575_1</t>
        </is>
      </c>
      <c r="D1176" s="14" t="inlineStr">
        <is>
          <t>[RMO E and M services at District Court, Sector-10, Dwarka, New Delhi (SH- Repairing of firefighting system at various locations of Court).]</t>
        </is>
      </c>
      <c r="E1176" s="14" t="inlineStr">
        <is>
          <t>Delhi Public Works &amp; Technology Department</t>
        </is>
      </c>
      <c r="F1176" s="13" t="inlineStr">
        <is>
          <t>18 Oct 2026</t>
        </is>
      </c>
      <c r="G1176" s="12" t="inlineStr">
        <is>
          <t>17 Nov 2026</t>
        </is>
      </c>
      <c r="H1176" s="17" t="inlineStr">
        <is>
          <t>🟢 LIVE ACTIVE</t>
        </is>
      </c>
      <c r="I1176" s="11" t="inlineStr">
        <is>
          <t>BOQ_399833.xls</t>
        </is>
      </c>
      <c r="J1176" s="13" t="inlineStr">
        <is>
          <t>📊 Excel BOQ</t>
        </is>
      </c>
      <c r="K1176" s="15" t="n">
        <v>2.5</v>
      </c>
      <c r="L1176" s="16">
        <f>HYPERLINK("http://127.0.0.1:8000/api/documents/download?id=623&amp;attachment=true", "⬇ Download BOQ_399833.xls")</f>
        <v/>
      </c>
      <c r="M1176" s="16">
        <f>HYPERLINK("http://localhost:5173/?state=Delhi&amp;keyword=ICT&amp;tender=2026_PWD_299575_1", "🚀 Open in Portal")</f>
        <v/>
      </c>
    </row>
    <row r="1177" ht="24" customHeight="1">
      <c r="A1177" s="4" t="inlineStr">
        <is>
          <t>Delhi</t>
        </is>
      </c>
      <c r="B1177" s="5" t="inlineStr">
        <is>
          <t>ICT</t>
        </is>
      </c>
      <c r="C1177" s="6" t="inlineStr">
        <is>
          <t>2026_PWD_299575_1</t>
        </is>
      </c>
      <c r="D1177" s="7" t="inlineStr">
        <is>
          <t>[RMO E and M services at District Court, Sector-10, Dwarka, New Delhi (SH- Repairing of firefighting system at various locations of Court).]</t>
        </is>
      </c>
      <c r="E1177" s="7" t="inlineStr">
        <is>
          <t>Delhi Public Works &amp; Technology Department</t>
        </is>
      </c>
      <c r="F1177" s="6" t="inlineStr">
        <is>
          <t>18 Oct 2026</t>
        </is>
      </c>
      <c r="G1177" s="5" t="inlineStr">
        <is>
          <t>17 Nov 2026</t>
        </is>
      </c>
      <c r="H1177" s="17" t="inlineStr">
        <is>
          <t>🟢 LIVE ACTIVE</t>
        </is>
      </c>
      <c r="I1177" s="4" t="inlineStr">
        <is>
          <t>Tender_2026_PWD_299575_1_All_Documents.zip</t>
        </is>
      </c>
      <c r="J1177" s="6" t="inlineStr">
        <is>
          <t>📦 ZIP Package</t>
        </is>
      </c>
      <c r="K1177" s="9" t="n">
        <v>11.5</v>
      </c>
      <c r="L1177" s="10">
        <f>HYPERLINK("http://127.0.0.1:8000/api/documents/download?id=624&amp;attachment=true", "⬇ Download Tender_2026_PWD_299575_1")</f>
        <v/>
      </c>
      <c r="M1177" s="10">
        <f>HYPERLINK("http://localhost:5173/?state=Delhi&amp;keyword=ICT&amp;tender=2026_PWD_299575_1", "🚀 Open in Portal")</f>
        <v/>
      </c>
    </row>
    <row r="1178" ht="24" customHeight="1">
      <c r="A1178" s="11" t="inlineStr">
        <is>
          <t>Delhi</t>
        </is>
      </c>
      <c r="B1178" s="12" t="inlineStr">
        <is>
          <t>ICT</t>
        </is>
      </c>
      <c r="C1178" s="13" t="inlineStr">
        <is>
          <t>2026_PWD_299667_1</t>
        </is>
      </c>
      <c r="D1178" s="14" t="inlineStr">
        <is>
          <t>[A/R and M/O Roads under North Roads Division, PWD, Delhi dg 2026-27 (SH- Providing tentage facilities/ Arrangement for Jan Kalyan Shivir at locations anywhere in North District and Outer North District, Delhi)]</t>
        </is>
      </c>
      <c r="E1178" s="14" t="inlineStr">
        <is>
          <t>Delhi Public Works &amp; Technology Department</t>
        </is>
      </c>
      <c r="F1178" s="13" t="inlineStr">
        <is>
          <t>03 Sep 2026</t>
        </is>
      </c>
      <c r="G1178" s="12" t="inlineStr">
        <is>
          <t>29 Sep 2026</t>
        </is>
      </c>
      <c r="H1178" s="8" t="inlineStr">
        <is>
          <t>⏳ UPCOMING</t>
        </is>
      </c>
      <c r="I1178" s="11" t="inlineStr">
        <is>
          <t>Tendernotice_1.pdf</t>
        </is>
      </c>
      <c r="J1178" s="13" t="inlineStr">
        <is>
          <t>📕 PDF Document</t>
        </is>
      </c>
      <c r="K1178" s="15" t="n">
        <v>17.8</v>
      </c>
      <c r="L1178" s="16">
        <f>HYPERLINK("http://127.0.0.1:8000/api/documents/download?id=607&amp;attachment=true", "⬇ Download Tendernotice_1.pdf")</f>
        <v/>
      </c>
      <c r="M1178" s="16">
        <f>HYPERLINK("http://localhost:5173/?state=Delhi&amp;keyword=ICT&amp;tender=2026_PWD_299667_1", "🚀 Open in Portal")</f>
        <v/>
      </c>
    </row>
    <row r="1179" ht="24" customHeight="1">
      <c r="A1179" s="4" t="inlineStr">
        <is>
          <t>Delhi</t>
        </is>
      </c>
      <c r="B1179" s="5" t="inlineStr">
        <is>
          <t>ICT</t>
        </is>
      </c>
      <c r="C1179" s="6" t="inlineStr">
        <is>
          <t>2026_PWD_299667_1</t>
        </is>
      </c>
      <c r="D1179" s="7" t="inlineStr">
        <is>
          <t>[A/R and M/O Roads under North Roads Division, PWD, Delhi dg 2026-27 (SH- Providing tentage facilities/ Arrangement for Jan Kalyan Shivir at locations anywhere in North District and Outer North District, Delhi)]</t>
        </is>
      </c>
      <c r="E1179" s="7" t="inlineStr">
        <is>
          <t>Delhi Public Works &amp; Technology Department</t>
        </is>
      </c>
      <c r="F1179" s="6" t="inlineStr">
        <is>
          <t>03 Sep 2026</t>
        </is>
      </c>
      <c r="G1179" s="5" t="inlineStr">
        <is>
          <t>29 Sep 2026</t>
        </is>
      </c>
      <c r="H1179" s="8" t="inlineStr">
        <is>
          <t>⏳ UPCOMING</t>
        </is>
      </c>
      <c r="I1179" s="4" t="inlineStr">
        <is>
          <t>BOQ_399957.xls</t>
        </is>
      </c>
      <c r="J1179" s="6" t="inlineStr">
        <is>
          <t>📊 Excel BOQ</t>
        </is>
      </c>
      <c r="K1179" s="9" t="n">
        <v>2.5</v>
      </c>
      <c r="L1179" s="10">
        <f>HYPERLINK("http://127.0.0.1:8000/api/documents/download?id=608&amp;attachment=true", "⬇ Download BOQ_399957.xls")</f>
        <v/>
      </c>
      <c r="M1179" s="10">
        <f>HYPERLINK("http://localhost:5173/?state=Delhi&amp;keyword=ICT&amp;tender=2026_PWD_299667_1", "🚀 Open in Portal")</f>
        <v/>
      </c>
    </row>
    <row r="1180" ht="24" customHeight="1">
      <c r="A1180" s="11" t="inlineStr">
        <is>
          <t>Delhi</t>
        </is>
      </c>
      <c r="B1180" s="12" t="inlineStr">
        <is>
          <t>ICT</t>
        </is>
      </c>
      <c r="C1180" s="13" t="inlineStr">
        <is>
          <t>2026_PWD_299667_1</t>
        </is>
      </c>
      <c r="D1180" s="14" t="inlineStr">
        <is>
          <t>[A/R and M/O Roads under North Roads Division, PWD, Delhi dg 2026-27 (SH- Providing tentage facilities/ Arrangement for Jan Kalyan Shivir at locations anywhere in North District and Outer North District, Delhi)]</t>
        </is>
      </c>
      <c r="E1180" s="14" t="inlineStr">
        <is>
          <t>Delhi Public Works &amp; Technology Department</t>
        </is>
      </c>
      <c r="F1180" s="13" t="inlineStr">
        <is>
          <t>03 Sep 2026</t>
        </is>
      </c>
      <c r="G1180" s="12" t="inlineStr">
        <is>
          <t>29 Sep 2026</t>
        </is>
      </c>
      <c r="H1180" s="8" t="inlineStr">
        <is>
          <t>⏳ UPCOMING</t>
        </is>
      </c>
      <c r="I1180" s="11" t="inlineStr">
        <is>
          <t>NITProvidingtentagefacility.pdf</t>
        </is>
      </c>
      <c r="J1180" s="13" t="inlineStr">
        <is>
          <t>📕 PDF Document</t>
        </is>
      </c>
      <c r="K1180" s="15" t="n">
        <v>17.9</v>
      </c>
      <c r="L1180" s="16">
        <f>HYPERLINK("http://127.0.0.1:8000/api/documents/download?id=609&amp;attachment=true", "⬇ Download NITProvidingtentagefacil")</f>
        <v/>
      </c>
      <c r="M1180" s="16">
        <f>HYPERLINK("http://localhost:5173/?state=Delhi&amp;keyword=ICT&amp;tender=2026_PWD_299667_1", "🚀 Open in Portal")</f>
        <v/>
      </c>
    </row>
    <row r="1181" ht="24" customHeight="1">
      <c r="A1181" s="4" t="inlineStr">
        <is>
          <t>Delhi</t>
        </is>
      </c>
      <c r="B1181" s="5" t="inlineStr">
        <is>
          <t>ICT</t>
        </is>
      </c>
      <c r="C1181" s="6" t="inlineStr">
        <is>
          <t>2026_PWD_299667_1</t>
        </is>
      </c>
      <c r="D1181" s="7" t="inlineStr">
        <is>
          <t>[A/R and M/O Roads under North Roads Division, PWD, Delhi dg 2026-27 (SH- Providing tentage facilities/ Arrangement for Jan Kalyan Shivir at locations anywhere in North District and Outer North District, Delhi)]</t>
        </is>
      </c>
      <c r="E1181" s="7" t="inlineStr">
        <is>
          <t>Delhi Public Works &amp; Technology Department</t>
        </is>
      </c>
      <c r="F1181" s="6" t="inlineStr">
        <is>
          <t>03 Sep 2026</t>
        </is>
      </c>
      <c r="G1181" s="5" t="inlineStr">
        <is>
          <t>29 Sep 2026</t>
        </is>
      </c>
      <c r="H1181" s="8" t="inlineStr">
        <is>
          <t>⏳ UPCOMING</t>
        </is>
      </c>
      <c r="I1181" s="4" t="inlineStr">
        <is>
          <t>Tender_2026_PWD_299667_1_All_Documents.zip</t>
        </is>
      </c>
      <c r="J1181" s="6" t="inlineStr">
        <is>
          <t>📦 ZIP Package</t>
        </is>
      </c>
      <c r="K1181" s="9" t="n">
        <v>21</v>
      </c>
      <c r="L1181" s="10">
        <f>HYPERLINK("http://127.0.0.1:8000/api/documents/download?id=610&amp;attachment=true", "⬇ Download Tender_2026_PWD_299667_1")</f>
        <v/>
      </c>
      <c r="M1181" s="10">
        <f>HYPERLINK("http://localhost:5173/?state=Delhi&amp;keyword=ICT&amp;tender=2026_PWD_299667_1", "🚀 Open in Portal")</f>
        <v/>
      </c>
    </row>
    <row r="1182" ht="24" customHeight="1">
      <c r="A1182" s="11" t="inlineStr">
        <is>
          <t>Delhi</t>
        </is>
      </c>
      <c r="B1182" s="12" t="inlineStr">
        <is>
          <t>ICT</t>
        </is>
      </c>
      <c r="C1182" s="13" t="inlineStr">
        <is>
          <t>2026_PWD_299670_1</t>
        </is>
      </c>
      <c r="D1182" s="14" t="inlineStr">
        <is>
          <t>[Maintenance and Repair to District Court Complex, Saket, New Delhi during 2026-27 (Sh Repair Multi Seater (3 Seater) stainless steel benches, chairs and dry-cleaning of sofa, chairs and curtains and misc. work etc.).]</t>
        </is>
      </c>
      <c r="E1182" s="14" t="inlineStr">
        <is>
          <t>Delhi Public Works &amp; Technology Department</t>
        </is>
      </c>
      <c r="F1182" s="13" t="inlineStr">
        <is>
          <t>21 Aug 2026</t>
        </is>
      </c>
      <c r="G1182" s="12" t="inlineStr">
        <is>
          <t>19 Sep 2026</t>
        </is>
      </c>
      <c r="H1182" s="8" t="inlineStr">
        <is>
          <t>⏳ UPCOMING</t>
        </is>
      </c>
      <c r="I1182" s="11" t="inlineStr">
        <is>
          <t>Tendernotice_1.pdf</t>
        </is>
      </c>
      <c r="J1182" s="13" t="inlineStr">
        <is>
          <t>📕 PDF Document</t>
        </is>
      </c>
      <c r="K1182" s="15" t="n">
        <v>17.8</v>
      </c>
      <c r="L1182" s="16">
        <f>HYPERLINK("http://127.0.0.1:8000/api/documents/download?id=722&amp;attachment=true", "⬇ Download Tendernotice_1.pdf")</f>
        <v/>
      </c>
      <c r="M1182" s="16">
        <f>HYPERLINK("http://localhost:5173/?state=Delhi&amp;keyword=ICT&amp;tender=2026_PWD_299670_1", "🚀 Open in Portal")</f>
        <v/>
      </c>
    </row>
    <row r="1183" ht="24" customHeight="1">
      <c r="A1183" s="4" t="inlineStr">
        <is>
          <t>Delhi</t>
        </is>
      </c>
      <c r="B1183" s="5" t="inlineStr">
        <is>
          <t>ICT</t>
        </is>
      </c>
      <c r="C1183" s="6" t="inlineStr">
        <is>
          <t>2026_PWD_299670_1</t>
        </is>
      </c>
      <c r="D1183" s="7" t="inlineStr">
        <is>
          <t>[Maintenance and Repair to District Court Complex, Saket, New Delhi during 2026-27 (Sh Repair Multi Seater (3 Seater) stainless steel benches, chairs and dry-cleaning of sofa, chairs and curtains and misc. work etc.).]</t>
        </is>
      </c>
      <c r="E1183" s="7" t="inlineStr">
        <is>
          <t>Delhi Public Works &amp; Technology Department</t>
        </is>
      </c>
      <c r="F1183" s="6" t="inlineStr">
        <is>
          <t>21 Aug 2026</t>
        </is>
      </c>
      <c r="G1183" s="5" t="inlineStr">
        <is>
          <t>19 Sep 2026</t>
        </is>
      </c>
      <c r="H1183" s="8" t="inlineStr">
        <is>
          <t>⏳ UPCOMING</t>
        </is>
      </c>
      <c r="I1183" s="4" t="inlineStr">
        <is>
          <t>BOQ_399961.xls</t>
        </is>
      </c>
      <c r="J1183" s="6" t="inlineStr">
        <is>
          <t>📊 Excel BOQ</t>
        </is>
      </c>
      <c r="K1183" s="9" t="n">
        <v>2.5</v>
      </c>
      <c r="L1183" s="10">
        <f>HYPERLINK("http://127.0.0.1:8000/api/documents/download?id=723&amp;attachment=true", "⬇ Download BOQ_399961.xls")</f>
        <v/>
      </c>
      <c r="M1183" s="10">
        <f>HYPERLINK("http://localhost:5173/?state=Delhi&amp;keyword=ICT&amp;tender=2026_PWD_299670_1", "🚀 Open in Portal")</f>
        <v/>
      </c>
    </row>
    <row r="1184" ht="24" customHeight="1">
      <c r="A1184" s="11" t="inlineStr">
        <is>
          <t>Delhi</t>
        </is>
      </c>
      <c r="B1184" s="12" t="inlineStr">
        <is>
          <t>ICT</t>
        </is>
      </c>
      <c r="C1184" s="13" t="inlineStr">
        <is>
          <t>2026_PWD_299670_1</t>
        </is>
      </c>
      <c r="D1184" s="14" t="inlineStr">
        <is>
          <t>[Maintenance and Repair to District Court Complex, Saket, New Delhi during 2026-27 (Sh Repair Multi Seater (3 Seater) stainless steel benches, chairs and dry-cleaning of sofa, chairs and curtains and misc. work etc.).]</t>
        </is>
      </c>
      <c r="E1184" s="14" t="inlineStr">
        <is>
          <t>Delhi Public Works &amp; Technology Department</t>
        </is>
      </c>
      <c r="F1184" s="13" t="inlineStr">
        <is>
          <t>21 Aug 2026</t>
        </is>
      </c>
      <c r="G1184" s="12" t="inlineStr">
        <is>
          <t>19 Sep 2026</t>
        </is>
      </c>
      <c r="H1184" s="8" t="inlineStr">
        <is>
          <t>⏳ UPCOMING</t>
        </is>
      </c>
      <c r="I1184" s="11" t="inlineStr">
        <is>
          <t>Tender_2026_PWD_299670_1_All_Documents.zip</t>
        </is>
      </c>
      <c r="J1184" s="13" t="inlineStr">
        <is>
          <t>📦 ZIP Package</t>
        </is>
      </c>
      <c r="K1184" s="15" t="n">
        <v>11.6</v>
      </c>
      <c r="L1184" s="16">
        <f>HYPERLINK("http://127.0.0.1:8000/api/documents/download?id=724&amp;attachment=true", "⬇ Download Tender_2026_PWD_299670_1")</f>
        <v/>
      </c>
      <c r="M1184" s="16">
        <f>HYPERLINK("http://localhost:5173/?state=Delhi&amp;keyword=ICT&amp;tender=2026_PWD_299670_1", "🚀 Open in Portal")</f>
        <v/>
      </c>
    </row>
    <row r="1185" ht="24" customHeight="1">
      <c r="A1185" s="4" t="inlineStr">
        <is>
          <t>Delhi</t>
        </is>
      </c>
      <c r="B1185" s="5" t="inlineStr">
        <is>
          <t>ICT</t>
        </is>
      </c>
      <c r="C1185" s="6" t="inlineStr">
        <is>
          <t>2026_PWD_299673_1</t>
        </is>
      </c>
      <c r="D1185" s="7" t="inlineStr">
        <is>
          <t>[Maintenance and Repair of District Court Complex, Saket, New Delhi dg 2026-27 (SH Replacement of damaged flooring, CC, wall lining, wall paneling, flush doors i/c fittings, mirror polishing, fire doors, sanitary fittings and other misc. civil works)]</t>
        </is>
      </c>
      <c r="E1185" s="7" t="inlineStr">
        <is>
          <t>Delhi Public Works &amp; Technology Department</t>
        </is>
      </c>
      <c r="F1185" s="6" t="inlineStr">
        <is>
          <t>12 Aug 2026</t>
        </is>
      </c>
      <c r="G1185" s="5" t="inlineStr">
        <is>
          <t>11 Sep 2026</t>
        </is>
      </c>
      <c r="H1185" s="8" t="inlineStr">
        <is>
          <t>⏳ UPCOMING</t>
        </is>
      </c>
      <c r="I1185" s="4" t="inlineStr">
        <is>
          <t>Tendernotice_1.pdf</t>
        </is>
      </c>
      <c r="J1185" s="6" t="inlineStr">
        <is>
          <t>📕 PDF Document</t>
        </is>
      </c>
      <c r="K1185" s="9" t="n">
        <v>17.8</v>
      </c>
      <c r="L1185" s="10">
        <f>HYPERLINK("http://127.0.0.1:8000/api/documents/download?id=716&amp;attachment=true", "⬇ Download Tendernotice_1.pdf")</f>
        <v/>
      </c>
      <c r="M1185" s="10">
        <f>HYPERLINK("http://localhost:5173/?state=Delhi&amp;keyword=ICT&amp;tender=2026_PWD_299673_1", "🚀 Open in Portal")</f>
        <v/>
      </c>
    </row>
    <row r="1186" ht="24" customHeight="1">
      <c r="A1186" s="11" t="inlineStr">
        <is>
          <t>Delhi</t>
        </is>
      </c>
      <c r="B1186" s="12" t="inlineStr">
        <is>
          <t>ICT</t>
        </is>
      </c>
      <c r="C1186" s="13" t="inlineStr">
        <is>
          <t>2026_PWD_299673_1</t>
        </is>
      </c>
      <c r="D1186" s="14" t="inlineStr">
        <is>
          <t>[Maintenance and Repair of District Court Complex, Saket, New Delhi dg 2026-27 (SH Replacement of damaged flooring, CC, wall lining, wall paneling, flush doors i/c fittings, mirror polishing, fire doors, sanitary fittings and other misc. civil works)]</t>
        </is>
      </c>
      <c r="E1186" s="14" t="inlineStr">
        <is>
          <t>Delhi Public Works &amp; Technology Department</t>
        </is>
      </c>
      <c r="F1186" s="13" t="inlineStr">
        <is>
          <t>12 Aug 2026</t>
        </is>
      </c>
      <c r="G1186" s="12" t="inlineStr">
        <is>
          <t>11 Sep 2026</t>
        </is>
      </c>
      <c r="H1186" s="8" t="inlineStr">
        <is>
          <t>⏳ UPCOMING</t>
        </is>
      </c>
      <c r="I1186" s="11" t="inlineStr">
        <is>
          <t>BOQ_399965.xls</t>
        </is>
      </c>
      <c r="J1186" s="13" t="inlineStr">
        <is>
          <t>📊 Excel BOQ</t>
        </is>
      </c>
      <c r="K1186" s="15" t="n">
        <v>2.5</v>
      </c>
      <c r="L1186" s="16">
        <f>HYPERLINK("http://127.0.0.1:8000/api/documents/download?id=717&amp;attachment=true", "⬇ Download BOQ_399965.xls")</f>
        <v/>
      </c>
      <c r="M1186" s="16">
        <f>HYPERLINK("http://localhost:5173/?state=Delhi&amp;keyword=ICT&amp;tender=2026_PWD_299673_1", "🚀 Open in Portal")</f>
        <v/>
      </c>
    </row>
    <row r="1187" ht="24" customHeight="1">
      <c r="A1187" s="4" t="inlineStr">
        <is>
          <t>Delhi</t>
        </is>
      </c>
      <c r="B1187" s="5" t="inlineStr">
        <is>
          <t>ICT</t>
        </is>
      </c>
      <c r="C1187" s="6" t="inlineStr">
        <is>
          <t>2026_PWD_299673_1</t>
        </is>
      </c>
      <c r="D1187" s="7" t="inlineStr">
        <is>
          <t>[Maintenance and Repair of District Court Complex, Saket, New Delhi dg 2026-27 (SH Replacement of damaged flooring, CC, wall lining, wall paneling, flush doors i/c fittings, mirror polishing, fire doors, sanitary fittings and other misc. civil works)]</t>
        </is>
      </c>
      <c r="E1187" s="7" t="inlineStr">
        <is>
          <t>Delhi Public Works &amp; Technology Department</t>
        </is>
      </c>
      <c r="F1187" s="6" t="inlineStr">
        <is>
          <t>12 Aug 2026</t>
        </is>
      </c>
      <c r="G1187" s="5" t="inlineStr">
        <is>
          <t>11 Sep 2026</t>
        </is>
      </c>
      <c r="H1187" s="8" t="inlineStr">
        <is>
          <t>⏳ UPCOMING</t>
        </is>
      </c>
      <c r="I1187" s="4" t="inlineStr">
        <is>
          <t>Tender_2026_PWD_299673_1_All_Documents.zip</t>
        </is>
      </c>
      <c r="J1187" s="6" t="inlineStr">
        <is>
          <t>📦 ZIP Package</t>
        </is>
      </c>
      <c r="K1187" s="9" t="n">
        <v>11.6</v>
      </c>
      <c r="L1187" s="10">
        <f>HYPERLINK("http://127.0.0.1:8000/api/documents/download?id=718&amp;attachment=true", "⬇ Download Tender_2026_PWD_299673_1")</f>
        <v/>
      </c>
      <c r="M1187" s="10">
        <f>HYPERLINK("http://localhost:5173/?state=Delhi&amp;keyword=ICT&amp;tender=2026_PWD_299673_1", "🚀 Open in Portal")</f>
        <v/>
      </c>
    </row>
    <row r="1188" ht="24" customHeight="1">
      <c r="A1188" s="11" t="inlineStr">
        <is>
          <t>Delhi</t>
        </is>
      </c>
      <c r="B1188" s="12" t="inlineStr">
        <is>
          <t>ICT</t>
        </is>
      </c>
      <c r="C1188" s="13" t="inlineStr">
        <is>
          <t>2026_PWD_299675_1</t>
        </is>
      </c>
      <c r="D1188" s="14" t="inlineStr">
        <is>
          <t>[A/R and M/O of E and M Services of various Jails and non-residential building, Tihar Jail, Complex, New Delhi during FY 2026-27(SH-Providing Man Power for day to day maintenance for miscellaneousness services at lampur Restriction/Detention Centre ]</t>
        </is>
      </c>
      <c r="E1188" s="14" t="inlineStr">
        <is>
          <t>Delhi Public Works &amp; Technology Department</t>
        </is>
      </c>
      <c r="F1188" s="13" t="inlineStr">
        <is>
          <t>01 Aug 2026</t>
        </is>
      </c>
      <c r="G1188" s="12" t="inlineStr">
        <is>
          <t>31 Aug 2026</t>
        </is>
      </c>
      <c r="H1188" s="8" t="inlineStr">
        <is>
          <t>⏳ UPCOMING</t>
        </is>
      </c>
      <c r="I1188" s="11" t="inlineStr">
        <is>
          <t>Tendernotice_1.pdf</t>
        </is>
      </c>
      <c r="J1188" s="13" t="inlineStr">
        <is>
          <t>📕 PDF Document</t>
        </is>
      </c>
      <c r="K1188" s="15" t="n">
        <v>17.8</v>
      </c>
      <c r="L1188" s="16">
        <f>HYPERLINK("http://127.0.0.1:8000/api/documents/download?id=719&amp;attachment=true", "⬇ Download Tendernotice_1.pdf")</f>
        <v/>
      </c>
      <c r="M1188" s="16">
        <f>HYPERLINK("http://localhost:5173/?state=Delhi&amp;keyword=ICT&amp;tender=2026_PWD_299675_1", "🚀 Open in Portal")</f>
        <v/>
      </c>
    </row>
    <row r="1189" ht="24" customHeight="1">
      <c r="A1189" s="4" t="inlineStr">
        <is>
          <t>Delhi</t>
        </is>
      </c>
      <c r="B1189" s="5" t="inlineStr">
        <is>
          <t>ICT</t>
        </is>
      </c>
      <c r="C1189" s="6" t="inlineStr">
        <is>
          <t>2026_PWD_299675_1</t>
        </is>
      </c>
      <c r="D1189" s="7" t="inlineStr">
        <is>
          <t>[A/R and M/O of E and M Services of various Jails and non-residential building, Tihar Jail, Complex, New Delhi during FY 2026-27(SH-Providing Man Power for day to day maintenance for miscellaneousness services at lampur Restriction/Detention Centre ]</t>
        </is>
      </c>
      <c r="E1189" s="7" t="inlineStr">
        <is>
          <t>Delhi Public Works &amp; Technology Department</t>
        </is>
      </c>
      <c r="F1189" s="6" t="inlineStr">
        <is>
          <t>01 Aug 2026</t>
        </is>
      </c>
      <c r="G1189" s="5" t="inlineStr">
        <is>
          <t>31 Aug 2026</t>
        </is>
      </c>
      <c r="H1189" s="8" t="inlineStr">
        <is>
          <t>⏳ UPCOMING</t>
        </is>
      </c>
      <c r="I1189" s="4" t="inlineStr">
        <is>
          <t>BOQ_399966.xls</t>
        </is>
      </c>
      <c r="J1189" s="6" t="inlineStr">
        <is>
          <t>📊 Excel BOQ</t>
        </is>
      </c>
      <c r="K1189" s="9" t="n">
        <v>2.5</v>
      </c>
      <c r="L1189" s="10">
        <f>HYPERLINK("http://127.0.0.1:8000/api/documents/download?id=720&amp;attachment=true", "⬇ Download BOQ_399966.xls")</f>
        <v/>
      </c>
      <c r="M1189" s="10">
        <f>HYPERLINK("http://localhost:5173/?state=Delhi&amp;keyword=ICT&amp;tender=2026_PWD_299675_1", "🚀 Open in Portal")</f>
        <v/>
      </c>
    </row>
    <row r="1190" ht="24" customHeight="1">
      <c r="A1190" s="11" t="inlineStr">
        <is>
          <t>Delhi</t>
        </is>
      </c>
      <c r="B1190" s="12" t="inlineStr">
        <is>
          <t>ICT</t>
        </is>
      </c>
      <c r="C1190" s="13" t="inlineStr">
        <is>
          <t>2026_PWD_299675_1</t>
        </is>
      </c>
      <c r="D1190" s="14" t="inlineStr">
        <is>
          <t>[A/R and M/O of E and M Services of various Jails and non-residential building, Tihar Jail, Complex, New Delhi during FY 2026-27(SH-Providing Man Power for day to day maintenance for miscellaneousness services at lampur Restriction/Detention Centre ]</t>
        </is>
      </c>
      <c r="E1190" s="14" t="inlineStr">
        <is>
          <t>Delhi Public Works &amp; Technology Department</t>
        </is>
      </c>
      <c r="F1190" s="13" t="inlineStr">
        <is>
          <t>01 Aug 2026</t>
        </is>
      </c>
      <c r="G1190" s="12" t="inlineStr">
        <is>
          <t>31 Aug 2026</t>
        </is>
      </c>
      <c r="H1190" s="8" t="inlineStr">
        <is>
          <t>⏳ UPCOMING</t>
        </is>
      </c>
      <c r="I1190" s="11" t="inlineStr">
        <is>
          <t>Tender_2026_PWD_299675_1_All_Documents.zip</t>
        </is>
      </c>
      <c r="J1190" s="13" t="inlineStr">
        <is>
          <t>📦 ZIP Package</t>
        </is>
      </c>
      <c r="K1190" s="15" t="n">
        <v>11.6</v>
      </c>
      <c r="L1190" s="16">
        <f>HYPERLINK("http://127.0.0.1:8000/api/documents/download?id=721&amp;attachment=true", "⬇ Download Tender_2026_PWD_299675_1")</f>
        <v/>
      </c>
      <c r="M1190" s="16">
        <f>HYPERLINK("http://localhost:5173/?state=Delhi&amp;keyword=ICT&amp;tender=2026_PWD_299675_1", "🚀 Open in Portal")</f>
        <v/>
      </c>
    </row>
    <row r="1191" ht="24" customHeight="1">
      <c r="A1191" s="4" t="inlineStr">
        <is>
          <t>Delhi</t>
        </is>
      </c>
      <c r="B1191" s="5" t="inlineStr">
        <is>
          <t>ICT</t>
        </is>
      </c>
      <c r="C1191" s="6" t="inlineStr">
        <is>
          <t>2026_PWD_299683_1</t>
        </is>
      </c>
      <c r="D1191" s="7" t="inlineStr">
        <is>
          <t>[Replacement of existing 20 passenger (B,G,15 Floor) Lift No. 1, 2, 3, 4, 5 and 6 at Lawyers Chamber Building, District Court, Rohini, Sector-14, Delhi (SH-Providing of discussion conference mic system with allied accessories in Family Court of North ]</t>
        </is>
      </c>
      <c r="E1191" s="7" t="inlineStr">
        <is>
          <t>Delhi Public Works &amp; Technology Department</t>
        </is>
      </c>
      <c r="F1191" s="6" t="inlineStr">
        <is>
          <t>06 Oct 2026</t>
        </is>
      </c>
      <c r="G1191" s="5" t="inlineStr">
        <is>
          <t>09 Nov 2026</t>
        </is>
      </c>
      <c r="H1191" s="17" t="inlineStr">
        <is>
          <t>🟢 LIVE ACTIVE</t>
        </is>
      </c>
      <c r="I1191" s="4" t="inlineStr">
        <is>
          <t>Tendernotice_1.pdf</t>
        </is>
      </c>
      <c r="J1191" s="6" t="inlineStr">
        <is>
          <t>📕 PDF Document</t>
        </is>
      </c>
      <c r="K1191" s="9" t="n">
        <v>17.8</v>
      </c>
      <c r="L1191" s="10">
        <f>HYPERLINK("http://127.0.0.1:8000/api/documents/download?id=588&amp;attachment=true", "⬇ Download Tendernotice_1.pdf")</f>
        <v/>
      </c>
      <c r="M1191" s="10">
        <f>HYPERLINK("http://localhost:5173/?state=Delhi&amp;keyword=ICT&amp;tender=2026_PWD_299683_1", "🚀 Open in Portal")</f>
        <v/>
      </c>
    </row>
    <row r="1192" ht="24" customHeight="1">
      <c r="A1192" s="11" t="inlineStr">
        <is>
          <t>Delhi</t>
        </is>
      </c>
      <c r="B1192" s="12" t="inlineStr">
        <is>
          <t>ICT</t>
        </is>
      </c>
      <c r="C1192" s="13" t="inlineStr">
        <is>
          <t>2026_PWD_299683_1</t>
        </is>
      </c>
      <c r="D1192" s="14" t="inlineStr">
        <is>
          <t>[Replacement of existing 20 passenger (B,G,15 Floor) Lift No. 1, 2, 3, 4, 5 and 6 at Lawyers Chamber Building, District Court, Rohini, Sector-14, Delhi (SH-Providing of discussion conference mic system with allied accessories in Family Court of North ]</t>
        </is>
      </c>
      <c r="E1192" s="14" t="inlineStr">
        <is>
          <t>Delhi Public Works &amp; Technology Department</t>
        </is>
      </c>
      <c r="F1192" s="13" t="inlineStr">
        <is>
          <t>06 Oct 2026</t>
        </is>
      </c>
      <c r="G1192" s="12" t="inlineStr">
        <is>
          <t>09 Nov 2026</t>
        </is>
      </c>
      <c r="H1192" s="17" t="inlineStr">
        <is>
          <t>🟢 LIVE ACTIVE</t>
        </is>
      </c>
      <c r="I1192" s="11" t="inlineStr">
        <is>
          <t>BOQ_399977.xls</t>
        </is>
      </c>
      <c r="J1192" s="13" t="inlineStr">
        <is>
          <t>📊 Excel BOQ</t>
        </is>
      </c>
      <c r="K1192" s="15" t="n">
        <v>2.6</v>
      </c>
      <c r="L1192" s="16">
        <f>HYPERLINK("http://127.0.0.1:8000/api/documents/download?id=589&amp;attachment=true", "⬇ Download BOQ_399977.xls")</f>
        <v/>
      </c>
      <c r="M1192" s="16">
        <f>HYPERLINK("http://localhost:5173/?state=Delhi&amp;keyword=ICT&amp;tender=2026_PWD_299683_1", "🚀 Open in Portal")</f>
        <v/>
      </c>
    </row>
    <row r="1193" ht="24" customHeight="1">
      <c r="A1193" s="4" t="inlineStr">
        <is>
          <t>Delhi</t>
        </is>
      </c>
      <c r="B1193" s="5" t="inlineStr">
        <is>
          <t>ICT</t>
        </is>
      </c>
      <c r="C1193" s="6" t="inlineStr">
        <is>
          <t>2026_PWD_299683_1</t>
        </is>
      </c>
      <c r="D1193" s="7" t="inlineStr">
        <is>
          <t>[Replacement of existing 20 passenger (B,G,15 Floor) Lift No. 1, 2, 3, 4, 5 and 6 at Lawyers Chamber Building, District Court, Rohini, Sector-14, Delhi (SH-Providing of discussion conference mic system with allied accessories in Family Court of North ]</t>
        </is>
      </c>
      <c r="E1193" s="7" t="inlineStr">
        <is>
          <t>Delhi Public Works &amp; Technology Department</t>
        </is>
      </c>
      <c r="F1193" s="6" t="inlineStr">
        <is>
          <t>06 Oct 2026</t>
        </is>
      </c>
      <c r="G1193" s="5" t="inlineStr">
        <is>
          <t>09 Nov 2026</t>
        </is>
      </c>
      <c r="H1193" s="17" t="inlineStr">
        <is>
          <t>🟢 LIVE ACTIVE</t>
        </is>
      </c>
      <c r="I1193" s="4" t="inlineStr">
        <is>
          <t>Tender_2026_PWD_299683_1_All_Documents.zip</t>
        </is>
      </c>
      <c r="J1193" s="6" t="inlineStr">
        <is>
          <t>📦 ZIP Package</t>
        </is>
      </c>
      <c r="K1193" s="9" t="n">
        <v>11.7</v>
      </c>
      <c r="L1193" s="10">
        <f>HYPERLINK("http://127.0.0.1:8000/api/documents/download?id=590&amp;attachment=true", "⬇ Download Tender_2026_PWD_299683_1")</f>
        <v/>
      </c>
      <c r="M1193" s="10">
        <f>HYPERLINK("http://localhost:5173/?state=Delhi&amp;keyword=ICT&amp;tender=2026_PWD_299683_1", "🚀 Open in Portal")</f>
        <v/>
      </c>
    </row>
    <row r="1194" ht="24" customHeight="1">
      <c r="A1194" s="11" t="inlineStr">
        <is>
          <t>Delhi</t>
        </is>
      </c>
      <c r="B1194" s="12" t="inlineStr">
        <is>
          <t>Forest</t>
        </is>
      </c>
      <c r="C1194" s="13" t="inlineStr">
        <is>
          <t>2026_DYCFW_299180_1</t>
        </is>
      </c>
      <c r="D1194" s="14" t="inlineStr">
        <is>
          <t>[Creation and 01- Year Maintenance of 3,600 number of Trees on 3.68 Ha. land at Dhoolsiras for the year 2026-27 under West Forest Division]</t>
        </is>
      </c>
      <c r="E1194" s="14" t="inlineStr">
        <is>
          <t>Delhi Public Works &amp; Technology Department</t>
        </is>
      </c>
      <c r="F1194" s="13" t="inlineStr">
        <is>
          <t>09 Sep 2026</t>
        </is>
      </c>
      <c r="G1194" s="12" t="inlineStr">
        <is>
          <t>04 Oct 2026</t>
        </is>
      </c>
      <c r="H1194" s="8" t="inlineStr">
        <is>
          <t>⏳ UPCOMING</t>
        </is>
      </c>
      <c r="I1194" s="11" t="inlineStr">
        <is>
          <t>Tendernotice_1.pdf</t>
        </is>
      </c>
      <c r="J1194" s="13" t="inlineStr">
        <is>
          <t>📕 PDF Document</t>
        </is>
      </c>
      <c r="K1194" s="15" t="n">
        <v>17.8</v>
      </c>
      <c r="L1194" s="16">
        <f>HYPERLINK("http://127.0.0.1:8000/api/documents/download?id=649&amp;attachment=true", "⬇ Download Tendernotice_1.pdf")</f>
        <v/>
      </c>
      <c r="M1194" s="16">
        <f>HYPERLINK("http://localhost:5173/?state=Delhi&amp;keyword=Forest&amp;tender=2026_DYCFW_299180_1", "🚀 Open in Portal")</f>
        <v/>
      </c>
    </row>
    <row r="1195" ht="24" customHeight="1">
      <c r="A1195" s="4" t="inlineStr">
        <is>
          <t>Delhi</t>
        </is>
      </c>
      <c r="B1195" s="5" t="inlineStr">
        <is>
          <t>Forest</t>
        </is>
      </c>
      <c r="C1195" s="6" t="inlineStr">
        <is>
          <t>2026_DYCFW_299180_1</t>
        </is>
      </c>
      <c r="D1195" s="7" t="inlineStr">
        <is>
          <t>[Creation and 01- Year Maintenance of 3,600 number of Trees on 3.68 Ha. land at Dhoolsiras for the year 2026-27 under West Forest Division]</t>
        </is>
      </c>
      <c r="E1195" s="7" t="inlineStr">
        <is>
          <t>Delhi Public Works &amp; Technology Department</t>
        </is>
      </c>
      <c r="F1195" s="6" t="inlineStr">
        <is>
          <t>09 Sep 2026</t>
        </is>
      </c>
      <c r="G1195" s="5" t="inlineStr">
        <is>
          <t>04 Oct 2026</t>
        </is>
      </c>
      <c r="H1195" s="8" t="inlineStr">
        <is>
          <t>⏳ UPCOMING</t>
        </is>
      </c>
      <c r="I1195" s="4" t="inlineStr">
        <is>
          <t>Tenderdoc.pdf</t>
        </is>
      </c>
      <c r="J1195" s="6" t="inlineStr">
        <is>
          <t>📕 PDF Document</t>
        </is>
      </c>
      <c r="K1195" s="9" t="n">
        <v>17.8</v>
      </c>
      <c r="L1195" s="10">
        <f>HYPERLINK("http://127.0.0.1:8000/api/documents/download?id=650&amp;attachment=true", "⬇ Download Tenderdoc.pdf")</f>
        <v/>
      </c>
      <c r="M1195" s="10">
        <f>HYPERLINK("http://localhost:5173/?state=Delhi&amp;keyword=Forest&amp;tender=2026_DYCFW_299180_1", "🚀 Open in Portal")</f>
        <v/>
      </c>
    </row>
    <row r="1196" ht="24" customHeight="1">
      <c r="A1196" s="11" t="inlineStr">
        <is>
          <t>Delhi</t>
        </is>
      </c>
      <c r="B1196" s="12" t="inlineStr">
        <is>
          <t>Forest</t>
        </is>
      </c>
      <c r="C1196" s="13" t="inlineStr">
        <is>
          <t>2026_DYCFW_299180_1</t>
        </is>
      </c>
      <c r="D1196" s="14" t="inlineStr">
        <is>
          <t>[Creation and 01- Year Maintenance of 3,600 number of Trees on 3.68 Ha. land at Dhoolsiras for the year 2026-27 under West Forest Division]</t>
        </is>
      </c>
      <c r="E1196" s="14" t="inlineStr">
        <is>
          <t>Delhi Public Works &amp; Technology Department</t>
        </is>
      </c>
      <c r="F1196" s="13" t="inlineStr">
        <is>
          <t>09 Sep 2026</t>
        </is>
      </c>
      <c r="G1196" s="12" t="inlineStr">
        <is>
          <t>04 Oct 2026</t>
        </is>
      </c>
      <c r="H1196" s="8" t="inlineStr">
        <is>
          <t>⏳ UPCOMING</t>
        </is>
      </c>
      <c r="I1196" s="11" t="inlineStr">
        <is>
          <t>BOQ_399261.xls</t>
        </is>
      </c>
      <c r="J1196" s="13" t="inlineStr">
        <is>
          <t>📊 Excel BOQ</t>
        </is>
      </c>
      <c r="K1196" s="15" t="n">
        <v>2.5</v>
      </c>
      <c r="L1196" s="16">
        <f>HYPERLINK("http://127.0.0.1:8000/api/documents/download?id=651&amp;attachment=true", "⬇ Download BOQ_399261.xls")</f>
        <v/>
      </c>
      <c r="M1196" s="16">
        <f>HYPERLINK("http://localhost:5173/?state=Delhi&amp;keyword=Forest&amp;tender=2026_DYCFW_299180_1", "🚀 Open in Portal")</f>
        <v/>
      </c>
    </row>
    <row r="1197" ht="24" customHeight="1">
      <c r="A1197" s="4" t="inlineStr">
        <is>
          <t>Delhi</t>
        </is>
      </c>
      <c r="B1197" s="5" t="inlineStr">
        <is>
          <t>Forest</t>
        </is>
      </c>
      <c r="C1197" s="6" t="inlineStr">
        <is>
          <t>2026_DYCFW_299180_1</t>
        </is>
      </c>
      <c r="D1197" s="7" t="inlineStr">
        <is>
          <t>[Creation and 01- Year Maintenance of 3,600 number of Trees on 3.68 Ha. land at Dhoolsiras for the year 2026-27 under West Forest Division]</t>
        </is>
      </c>
      <c r="E1197" s="7" t="inlineStr">
        <is>
          <t>Delhi Public Works &amp; Technology Department</t>
        </is>
      </c>
      <c r="F1197" s="6" t="inlineStr">
        <is>
          <t>09 Sep 2026</t>
        </is>
      </c>
      <c r="G1197" s="5" t="inlineStr">
        <is>
          <t>04 Oct 2026</t>
        </is>
      </c>
      <c r="H1197" s="8" t="inlineStr">
        <is>
          <t>⏳ UPCOMING</t>
        </is>
      </c>
      <c r="I1197" s="4" t="inlineStr">
        <is>
          <t>Tender_2026_DYCFW_299180_1_All_Documents.zip</t>
        </is>
      </c>
      <c r="J1197" s="6" t="inlineStr">
        <is>
          <t>📦 ZIP Package</t>
        </is>
      </c>
      <c r="K1197" s="9" t="n">
        <v>20.7</v>
      </c>
      <c r="L1197" s="10">
        <f>HYPERLINK("http://127.0.0.1:8000/api/documents/download?id=652&amp;attachment=true", "⬇ Download Tender_2026_DYCFW_299180")</f>
        <v/>
      </c>
      <c r="M1197" s="10">
        <f>HYPERLINK("http://localhost:5173/?state=Delhi&amp;keyword=Forest&amp;tender=2026_DYCFW_299180_1", "🚀 Open in Portal")</f>
        <v/>
      </c>
    </row>
    <row r="1198" ht="24" customHeight="1">
      <c r="A1198" s="11" t="inlineStr">
        <is>
          <t>Delhi</t>
        </is>
      </c>
      <c r="B1198" s="12" t="inlineStr">
        <is>
          <t>Environment</t>
        </is>
      </c>
      <c r="C1198" s="13" t="inlineStr">
        <is>
          <t>2026_DOE_298432_1</t>
        </is>
      </c>
      <c r="D1198" s="14" t="inlineStr">
        <is>
          <t>[Empanelment of three Consultancies/Agencies by Department of Environment, Government of National Capital Territory of Delhi (GNTCD) to operationalize carbon credit generation and monetization across all eligible projects of GNCTD]</t>
        </is>
      </c>
      <c r="E1198" s="14" t="inlineStr">
        <is>
          <t>Delhi Public Works &amp; Technology Department</t>
        </is>
      </c>
      <c r="F1198" s="13" t="inlineStr">
        <is>
          <t>27 Sep 2026</t>
        </is>
      </c>
      <c r="G1198" s="12" t="inlineStr">
        <is>
          <t>14 Nov 2026</t>
        </is>
      </c>
      <c r="H1198" s="17" t="inlineStr">
        <is>
          <t>🟢 LIVE ACTIVE</t>
        </is>
      </c>
      <c r="I1198" s="11" t="inlineStr">
        <is>
          <t>Tendernotice_1.pdf</t>
        </is>
      </c>
      <c r="J1198" s="13" t="inlineStr">
        <is>
          <t>📕 PDF Document</t>
        </is>
      </c>
      <c r="K1198" s="15" t="n">
        <v>17.8</v>
      </c>
      <c r="L1198" s="16">
        <f>HYPERLINK("http://127.0.0.1:8000/api/documents/download?id=662&amp;attachment=true", "⬇ Download Tendernotice_1.pdf")</f>
        <v/>
      </c>
      <c r="M1198" s="16">
        <f>HYPERLINK("http://localhost:5173/?state=Delhi&amp;keyword=Environment&amp;tender=2026_DOE_298432_1", "🚀 Open in Portal")</f>
        <v/>
      </c>
    </row>
    <row r="1199" ht="24" customHeight="1">
      <c r="A1199" s="4" t="inlineStr">
        <is>
          <t>Delhi</t>
        </is>
      </c>
      <c r="B1199" s="5" t="inlineStr">
        <is>
          <t>Environment</t>
        </is>
      </c>
      <c r="C1199" s="6" t="inlineStr">
        <is>
          <t>2026_DOE_298432_1</t>
        </is>
      </c>
      <c r="D1199" s="7" t="inlineStr">
        <is>
          <t>[Empanelment of three Consultancies/Agencies by Department of Environment, Government of National Capital Territory of Delhi (GNTCD) to operationalize carbon credit generation and monetization across all eligible projects of GNCTD]</t>
        </is>
      </c>
      <c r="E1199" s="7" t="inlineStr">
        <is>
          <t>Delhi Public Works &amp; Technology Department</t>
        </is>
      </c>
      <c r="F1199" s="6" t="inlineStr">
        <is>
          <t>27 Sep 2026</t>
        </is>
      </c>
      <c r="G1199" s="5" t="inlineStr">
        <is>
          <t>14 Nov 2026</t>
        </is>
      </c>
      <c r="H1199" s="17" t="inlineStr">
        <is>
          <t>🟢 LIVE ACTIVE</t>
        </is>
      </c>
      <c r="I1199" s="4" t="inlineStr">
        <is>
          <t>tech_prebid_398058.pdf</t>
        </is>
      </c>
      <c r="J1199" s="6" t="inlineStr">
        <is>
          <t>📕 PDF Document</t>
        </is>
      </c>
      <c r="K1199" s="9" t="n">
        <v>17.9</v>
      </c>
      <c r="L1199" s="10">
        <f>HYPERLINK("http://127.0.0.1:8000/api/documents/download?id=663&amp;attachment=true", "⬇ Download tech_prebid_398058.pdf")</f>
        <v/>
      </c>
      <c r="M1199" s="10">
        <f>HYPERLINK("http://localhost:5173/?state=Delhi&amp;keyword=Environment&amp;tender=2026_DOE_298432_1", "🚀 Open in Portal")</f>
        <v/>
      </c>
    </row>
    <row r="1200" ht="24" customHeight="1">
      <c r="A1200" s="11" t="inlineStr">
        <is>
          <t>Delhi</t>
        </is>
      </c>
      <c r="B1200" s="12" t="inlineStr">
        <is>
          <t>Environment</t>
        </is>
      </c>
      <c r="C1200" s="13" t="inlineStr">
        <is>
          <t>2026_DOE_298432_1</t>
        </is>
      </c>
      <c r="D1200" s="14" t="inlineStr">
        <is>
          <t>[Empanelment of three Consultancies/Agencies by Department of Environment, Government of National Capital Territory of Delhi (GNTCD) to operationalize carbon credit generation and monetization across all eligible projects of GNCTD]</t>
        </is>
      </c>
      <c r="E1200" s="14" t="inlineStr">
        <is>
          <t>Delhi Public Works &amp; Technology Department</t>
        </is>
      </c>
      <c r="F1200" s="13" t="inlineStr">
        <is>
          <t>27 Sep 2026</t>
        </is>
      </c>
      <c r="G1200" s="12" t="inlineStr">
        <is>
          <t>14 Nov 2026</t>
        </is>
      </c>
      <c r="H1200" s="17" t="inlineStr">
        <is>
          <t>🟢 LIVE ACTIVE</t>
        </is>
      </c>
      <c r="I1200" s="11" t="inlineStr">
        <is>
          <t>RFP.pdf</t>
        </is>
      </c>
      <c r="J1200" s="13" t="inlineStr">
        <is>
          <t>📕 PDF Document</t>
        </is>
      </c>
      <c r="K1200" s="15" t="n">
        <v>17.8</v>
      </c>
      <c r="L1200" s="16">
        <f>HYPERLINK("http://127.0.0.1:8000/api/documents/download?id=664&amp;attachment=true", "⬇ Download RFP.pdf")</f>
        <v/>
      </c>
      <c r="M1200" s="16">
        <f>HYPERLINK("http://localhost:5173/?state=Delhi&amp;keyword=Environment&amp;tender=2026_DOE_298432_1", "🚀 Open in Portal")</f>
        <v/>
      </c>
    </row>
    <row r="1201" ht="24" customHeight="1">
      <c r="A1201" s="4" t="inlineStr">
        <is>
          <t>Delhi</t>
        </is>
      </c>
      <c r="B1201" s="5" t="inlineStr">
        <is>
          <t>Environment</t>
        </is>
      </c>
      <c r="C1201" s="6" t="inlineStr">
        <is>
          <t>2026_DOE_298432_1</t>
        </is>
      </c>
      <c r="D1201" s="7" t="inlineStr">
        <is>
          <t>[Empanelment of three Consultancies/Agencies by Department of Environment, Government of National Capital Territory of Delhi (GNTCD) to operationalize carbon credit generation and monetization across all eligible projects of GNCTD]</t>
        </is>
      </c>
      <c r="E1201" s="7" t="inlineStr">
        <is>
          <t>Delhi Public Works &amp; Technology Department</t>
        </is>
      </c>
      <c r="F1201" s="6" t="inlineStr">
        <is>
          <t>27 Sep 2026</t>
        </is>
      </c>
      <c r="G1201" s="5" t="inlineStr">
        <is>
          <t>14 Nov 2026</t>
        </is>
      </c>
      <c r="H1201" s="17" t="inlineStr">
        <is>
          <t>🟢 LIVE ACTIVE</t>
        </is>
      </c>
      <c r="I1201" s="4" t="inlineStr">
        <is>
          <t>PriceBid.pdf</t>
        </is>
      </c>
      <c r="J1201" s="6" t="inlineStr">
        <is>
          <t>📕 PDF Document</t>
        </is>
      </c>
      <c r="K1201" s="9" t="n">
        <v>17.8</v>
      </c>
      <c r="L1201" s="10">
        <f>HYPERLINK("http://127.0.0.1:8000/api/documents/download?id=665&amp;attachment=true", "⬇ Download PriceBid.pdf")</f>
        <v/>
      </c>
      <c r="M1201" s="10">
        <f>HYPERLINK("http://localhost:5173/?state=Delhi&amp;keyword=Environment&amp;tender=2026_DOE_298432_1", "🚀 Open in Portal")</f>
        <v/>
      </c>
    </row>
    <row r="1202" ht="24" customHeight="1">
      <c r="A1202" s="11" t="inlineStr">
        <is>
          <t>Delhi</t>
        </is>
      </c>
      <c r="B1202" s="12" t="inlineStr">
        <is>
          <t>Environment</t>
        </is>
      </c>
      <c r="C1202" s="13" t="inlineStr">
        <is>
          <t>2026_DOE_298432_1</t>
        </is>
      </c>
      <c r="D1202" s="14" t="inlineStr">
        <is>
          <t>[Empanelment of three Consultancies/Agencies by Department of Environment, Government of National Capital Territory of Delhi (GNTCD) to operationalize carbon credit generation and monetization across all eligible projects of GNCTD]</t>
        </is>
      </c>
      <c r="E1202" s="14" t="inlineStr">
        <is>
          <t>Delhi Public Works &amp; Technology Department</t>
        </is>
      </c>
      <c r="F1202" s="13" t="inlineStr">
        <is>
          <t>27 Sep 2026</t>
        </is>
      </c>
      <c r="G1202" s="12" t="inlineStr">
        <is>
          <t>14 Nov 2026</t>
        </is>
      </c>
      <c r="H1202" s="17" t="inlineStr">
        <is>
          <t>🟢 LIVE ACTIVE</t>
        </is>
      </c>
      <c r="I1202" s="11" t="inlineStr">
        <is>
          <t>checklist.xls</t>
        </is>
      </c>
      <c r="J1202" s="13" t="inlineStr">
        <is>
          <t>📊 Excel BOQ</t>
        </is>
      </c>
      <c r="K1202" s="15" t="n">
        <v>2.5</v>
      </c>
      <c r="L1202" s="16">
        <f>HYPERLINK("http://127.0.0.1:8000/api/documents/download?id=666&amp;attachment=true", "⬇ Download checklist.xls")</f>
        <v/>
      </c>
      <c r="M1202" s="16">
        <f>HYPERLINK("http://localhost:5173/?state=Delhi&amp;keyword=Environment&amp;tender=2026_DOE_298432_1", "🚀 Open in Portal")</f>
        <v/>
      </c>
    </row>
    <row r="1203" ht="24" customHeight="1">
      <c r="A1203" s="4" t="inlineStr">
        <is>
          <t>Delhi</t>
        </is>
      </c>
      <c r="B1203" s="5" t="inlineStr">
        <is>
          <t>Environment</t>
        </is>
      </c>
      <c r="C1203" s="6" t="inlineStr">
        <is>
          <t>2026_DOE_298432_1</t>
        </is>
      </c>
      <c r="D1203" s="7" t="inlineStr">
        <is>
          <t>[Empanelment of three Consultancies/Agencies by Department of Environment, Government of National Capital Territory of Delhi (GNTCD) to operationalize carbon credit generation and monetization across all eligible projects of GNCTD]</t>
        </is>
      </c>
      <c r="E1203" s="7" t="inlineStr">
        <is>
          <t>Delhi Public Works &amp; Technology Department</t>
        </is>
      </c>
      <c r="F1203" s="6" t="inlineStr">
        <is>
          <t>27 Sep 2026</t>
        </is>
      </c>
      <c r="G1203" s="5" t="inlineStr">
        <is>
          <t>14 Nov 2026</t>
        </is>
      </c>
      <c r="H1203" s="17" t="inlineStr">
        <is>
          <t>🟢 LIVE ACTIVE</t>
        </is>
      </c>
      <c r="I1203" s="4" t="inlineStr">
        <is>
          <t>Tender_2026_DOE_298432_1_All_Documents.zip</t>
        </is>
      </c>
      <c r="J1203" s="6" t="inlineStr">
        <is>
          <t>📦 ZIP Package</t>
        </is>
      </c>
      <c r="K1203" s="9" t="n">
        <v>39.2</v>
      </c>
      <c r="L1203" s="10">
        <f>HYPERLINK("http://127.0.0.1:8000/api/documents/download?id=667&amp;attachment=true", "⬇ Download Tender_2026_DOE_298432_1")</f>
        <v/>
      </c>
      <c r="M1203" s="10">
        <f>HYPERLINK("http://localhost:5173/?state=Delhi&amp;keyword=Environment&amp;tender=2026_DOE_298432_1", "🚀 Open in Portal")</f>
        <v/>
      </c>
    </row>
    <row r="1204" ht="24" customHeight="1">
      <c r="A1204" s="11" t="inlineStr">
        <is>
          <t>Delhi</t>
        </is>
      </c>
      <c r="B1204" s="12" t="inlineStr">
        <is>
          <t>Environment</t>
        </is>
      </c>
      <c r="C1204" s="13" t="inlineStr">
        <is>
          <t>2026_PWD_299682_1</t>
        </is>
      </c>
      <c r="D1204" s="14" t="inlineStr">
        <is>
          <t>[Providing services of 200 Nos. Truck Mounted Anti-Smog Guns with Display of Environment Message to control dust pollution in Delhi by PWD during September 2026 to June 2027, September 2027 to June 2028 and September 2028 to June 2029]</t>
        </is>
      </c>
      <c r="E1204" s="14" t="inlineStr">
        <is>
          <t>Delhi Public Works &amp; Technology Department</t>
        </is>
      </c>
      <c r="F1204" s="13" t="inlineStr">
        <is>
          <t>21 Sep 2026</t>
        </is>
      </c>
      <c r="G1204" s="12" t="inlineStr">
        <is>
          <t>20 Oct 2026</t>
        </is>
      </c>
      <c r="H1204" s="18" t="inlineStr">
        <is>
          <t>⚠️ CLOSING SOON</t>
        </is>
      </c>
      <c r="I1204" s="11" t="inlineStr">
        <is>
          <t>Tendernotice_1.pdf</t>
        </is>
      </c>
      <c r="J1204" s="13" t="inlineStr">
        <is>
          <t>📕 PDF Document</t>
        </is>
      </c>
      <c r="K1204" s="15" t="n">
        <v>17.8</v>
      </c>
      <c r="L1204" s="16">
        <f>HYPERLINK("http://127.0.0.1:8000/api/documents/download?id=659&amp;attachment=true", "⬇ Download Tendernotice_1.pdf")</f>
        <v/>
      </c>
      <c r="M1204" s="16">
        <f>HYPERLINK("http://localhost:5173/?state=Delhi&amp;keyword=Environment&amp;tender=2026_PWD_299682_1", "🚀 Open in Portal")</f>
        <v/>
      </c>
    </row>
    <row r="1205" ht="24" customHeight="1">
      <c r="A1205" s="4" t="inlineStr">
        <is>
          <t>Delhi</t>
        </is>
      </c>
      <c r="B1205" s="5" t="inlineStr">
        <is>
          <t>Environment</t>
        </is>
      </c>
      <c r="C1205" s="6" t="inlineStr">
        <is>
          <t>2026_PWD_299682_1</t>
        </is>
      </c>
      <c r="D1205" s="7" t="inlineStr">
        <is>
          <t>[Providing services of 200 Nos. Truck Mounted Anti-Smog Guns with Display of Environment Message to control dust pollution in Delhi by PWD during September 2026 to June 2027, September 2027 to June 2028 and September 2028 to June 2029]</t>
        </is>
      </c>
      <c r="E1205" s="7" t="inlineStr">
        <is>
          <t>Delhi Public Works &amp; Technology Department</t>
        </is>
      </c>
      <c r="F1205" s="6" t="inlineStr">
        <is>
          <t>21 Sep 2026</t>
        </is>
      </c>
      <c r="G1205" s="5" t="inlineStr">
        <is>
          <t>20 Oct 2026</t>
        </is>
      </c>
      <c r="H1205" s="18" t="inlineStr">
        <is>
          <t>⚠️ CLOSING SOON</t>
        </is>
      </c>
      <c r="I1205" s="4" t="inlineStr">
        <is>
          <t>BOQ_399973.xls</t>
        </is>
      </c>
      <c r="J1205" s="6" t="inlineStr">
        <is>
          <t>📊 Excel BOQ</t>
        </is>
      </c>
      <c r="K1205" s="9" t="n">
        <v>2.5</v>
      </c>
      <c r="L1205" s="10">
        <f>HYPERLINK("http://127.0.0.1:8000/api/documents/download?id=660&amp;attachment=true", "⬇ Download BOQ_399973.xls")</f>
        <v/>
      </c>
      <c r="M1205" s="10">
        <f>HYPERLINK("http://localhost:5173/?state=Delhi&amp;keyword=Environment&amp;tender=2026_PWD_299682_1", "🚀 Open in Portal")</f>
        <v/>
      </c>
    </row>
    <row r="1206" ht="24" customHeight="1">
      <c r="A1206" s="11" t="inlineStr">
        <is>
          <t>Delhi</t>
        </is>
      </c>
      <c r="B1206" s="12" t="inlineStr">
        <is>
          <t>Environment</t>
        </is>
      </c>
      <c r="C1206" s="13" t="inlineStr">
        <is>
          <t>2026_PWD_299682_1</t>
        </is>
      </c>
      <c r="D1206" s="14" t="inlineStr">
        <is>
          <t>[Providing services of 200 Nos. Truck Mounted Anti-Smog Guns with Display of Environment Message to control dust pollution in Delhi by PWD during September 2026 to June 2027, September 2027 to June 2028 and September 2028 to June 2029]</t>
        </is>
      </c>
      <c r="E1206" s="14" t="inlineStr">
        <is>
          <t>Delhi Public Works &amp; Technology Department</t>
        </is>
      </c>
      <c r="F1206" s="13" t="inlineStr">
        <is>
          <t>21 Sep 2026</t>
        </is>
      </c>
      <c r="G1206" s="12" t="inlineStr">
        <is>
          <t>20 Oct 2026</t>
        </is>
      </c>
      <c r="H1206" s="18" t="inlineStr">
        <is>
          <t>⚠️ CLOSING SOON</t>
        </is>
      </c>
      <c r="I1206" s="11" t="inlineStr">
        <is>
          <t>Tender_2026_PWD_299682_1_All_Documents.zip</t>
        </is>
      </c>
      <c r="J1206" s="13" t="inlineStr">
        <is>
          <t>📦 ZIP Package</t>
        </is>
      </c>
      <c r="K1206" s="15" t="n">
        <v>11.6</v>
      </c>
      <c r="L1206" s="16">
        <f>HYPERLINK("http://127.0.0.1:8000/api/documents/download?id=661&amp;attachment=true", "⬇ Download Tender_2026_PWD_299682_1")</f>
        <v/>
      </c>
      <c r="M1206" s="16">
        <f>HYPERLINK("http://localhost:5173/?state=Delhi&amp;keyword=Environment&amp;tender=2026_PWD_299682_1", "🚀 Open in Portal")</f>
        <v/>
      </c>
    </row>
    <row r="1207" ht="24" customHeight="1">
      <c r="A1207" s="4" t="inlineStr">
        <is>
          <t>Delhi</t>
        </is>
      </c>
      <c r="B1207" s="5" t="inlineStr">
        <is>
          <t>Environment</t>
        </is>
      </c>
      <c r="C1207" s="6" t="inlineStr">
        <is>
          <t>2026_PWD_299694_1</t>
        </is>
      </c>
      <c r="D1207" s="7" t="inlineStr">
        <is>
          <t>[Providing services of 200 Nos. Truck Mounted Anti-Smog Guns with Display of Environment Message to control dust pollution in Delhi by PWD during September 2026 to June 2027, September 2027 to June 2028 and September 2028 to June 2029(SH Providing 19 ]</t>
        </is>
      </c>
      <c r="E1207" s="7" t="inlineStr">
        <is>
          <t>Delhi Public Works &amp; Technology Department</t>
        </is>
      </c>
      <c r="F1207" s="6" t="inlineStr">
        <is>
          <t>24 Oct 2026</t>
        </is>
      </c>
      <c r="G1207" s="5" t="inlineStr">
        <is>
          <t>14 Nov 2026</t>
        </is>
      </c>
      <c r="H1207" s="8" t="inlineStr">
        <is>
          <t>⏳ UPCOMING</t>
        </is>
      </c>
      <c r="I1207" s="4" t="inlineStr">
        <is>
          <t>Tendernotice_1.pdf</t>
        </is>
      </c>
      <c r="J1207" s="6" t="inlineStr">
        <is>
          <t>📕 PDF Document</t>
        </is>
      </c>
      <c r="K1207" s="9" t="n">
        <v>17.8</v>
      </c>
      <c r="L1207" s="10">
        <f>HYPERLINK("http://127.0.0.1:8000/api/documents/download?id=656&amp;attachment=true", "⬇ Download Tendernotice_1.pdf")</f>
        <v/>
      </c>
      <c r="M1207" s="10">
        <f>HYPERLINK("http://localhost:5173/?state=Delhi&amp;keyword=Environment&amp;tender=2026_PWD_299694_1", "🚀 Open in Portal")</f>
        <v/>
      </c>
    </row>
    <row r="1208" ht="24" customHeight="1">
      <c r="A1208" s="11" t="inlineStr">
        <is>
          <t>Delhi</t>
        </is>
      </c>
      <c r="B1208" s="12" t="inlineStr">
        <is>
          <t>Environment</t>
        </is>
      </c>
      <c r="C1208" s="13" t="inlineStr">
        <is>
          <t>2026_PWD_299694_1</t>
        </is>
      </c>
      <c r="D1208" s="14" t="inlineStr">
        <is>
          <t>[Providing services of 200 Nos. Truck Mounted Anti-Smog Guns with Display of Environment Message to control dust pollution in Delhi by PWD during September 2026 to June 2027, September 2027 to June 2028 and September 2028 to June 2029(SH Providing 19 ]</t>
        </is>
      </c>
      <c r="E1208" s="14" t="inlineStr">
        <is>
          <t>Delhi Public Works &amp; Technology Department</t>
        </is>
      </c>
      <c r="F1208" s="13" t="inlineStr">
        <is>
          <t>24 Oct 2026</t>
        </is>
      </c>
      <c r="G1208" s="12" t="inlineStr">
        <is>
          <t>14 Nov 2026</t>
        </is>
      </c>
      <c r="H1208" s="8" t="inlineStr">
        <is>
          <t>⏳ UPCOMING</t>
        </is>
      </c>
      <c r="I1208" s="11" t="inlineStr">
        <is>
          <t>BOQ_399988.xls</t>
        </is>
      </c>
      <c r="J1208" s="13" t="inlineStr">
        <is>
          <t>📊 Excel BOQ</t>
        </is>
      </c>
      <c r="K1208" s="15" t="n">
        <v>2.5</v>
      </c>
      <c r="L1208" s="16">
        <f>HYPERLINK("http://127.0.0.1:8000/api/documents/download?id=657&amp;attachment=true", "⬇ Download BOQ_399988.xls")</f>
        <v/>
      </c>
      <c r="M1208" s="16">
        <f>HYPERLINK("http://localhost:5173/?state=Delhi&amp;keyword=Environment&amp;tender=2026_PWD_299694_1", "🚀 Open in Portal")</f>
        <v/>
      </c>
    </row>
    <row r="1209" ht="24" customHeight="1">
      <c r="A1209" s="4" t="inlineStr">
        <is>
          <t>Delhi</t>
        </is>
      </c>
      <c r="B1209" s="5" t="inlineStr">
        <is>
          <t>Environment</t>
        </is>
      </c>
      <c r="C1209" s="6" t="inlineStr">
        <is>
          <t>2026_PWD_299694_1</t>
        </is>
      </c>
      <c r="D1209" s="7" t="inlineStr">
        <is>
          <t>[Providing services of 200 Nos. Truck Mounted Anti-Smog Guns with Display of Environment Message to control dust pollution in Delhi by PWD during September 2026 to June 2027, September 2027 to June 2028 and September 2028 to June 2029(SH Providing 19 ]</t>
        </is>
      </c>
      <c r="E1209" s="7" t="inlineStr">
        <is>
          <t>Delhi Public Works &amp; Technology Department</t>
        </is>
      </c>
      <c r="F1209" s="6" t="inlineStr">
        <is>
          <t>24 Oct 2026</t>
        </is>
      </c>
      <c r="G1209" s="5" t="inlineStr">
        <is>
          <t>14 Nov 2026</t>
        </is>
      </c>
      <c r="H1209" s="8" t="inlineStr">
        <is>
          <t>⏳ UPCOMING</t>
        </is>
      </c>
      <c r="I1209" s="4" t="inlineStr">
        <is>
          <t>Tender_2026_PWD_299694_1_All_Documents.zip</t>
        </is>
      </c>
      <c r="J1209" s="6" t="inlineStr">
        <is>
          <t>📦 ZIP Package</t>
        </is>
      </c>
      <c r="K1209" s="9" t="n">
        <v>11.7</v>
      </c>
      <c r="L1209" s="10">
        <f>HYPERLINK("http://127.0.0.1:8000/api/documents/download?id=658&amp;attachment=true", "⬇ Download Tender_2026_PWD_299694_1")</f>
        <v/>
      </c>
      <c r="M1209" s="10">
        <f>HYPERLINK("http://localhost:5173/?state=Delhi&amp;keyword=Environment&amp;tender=2026_PWD_299694_1", "🚀 Open in Portal")</f>
        <v/>
      </c>
    </row>
    <row r="1210" ht="24" customHeight="1">
      <c r="A1210" s="11" t="inlineStr">
        <is>
          <t>Delhi</t>
        </is>
      </c>
      <c r="B1210" s="12" t="inlineStr">
        <is>
          <t>Environment</t>
        </is>
      </c>
      <c r="C1210" s="13" t="inlineStr">
        <is>
          <t>2026_PWD_299761_1</t>
        </is>
      </c>
      <c r="D1210" s="14" t="inlineStr">
        <is>
          <t>[Providing services of 12 Nos. Truck Mounted Anti-Smog Guns with Display of Environment Message to control dust pollution in Delhi by PWD during September 2026 to June 2027, September 2027 to June 2028 and September 2028 to June 2029 for various PWD..]</t>
        </is>
      </c>
      <c r="E1210" s="14" t="inlineStr">
        <is>
          <t>Delhi Public Works &amp; Technology Department</t>
        </is>
      </c>
      <c r="F1210" s="13" t="inlineStr">
        <is>
          <t>15 Sep 2026</t>
        </is>
      </c>
      <c r="G1210" s="12" t="inlineStr">
        <is>
          <t>14 Oct 2026</t>
        </is>
      </c>
      <c r="H1210" s="8" t="inlineStr">
        <is>
          <t>⏳ UPCOMING</t>
        </is>
      </c>
      <c r="I1210" s="11" t="inlineStr">
        <is>
          <t>Tendernotice_1.pdf</t>
        </is>
      </c>
      <c r="J1210" s="13" t="inlineStr">
        <is>
          <t>📕 PDF Document</t>
        </is>
      </c>
      <c r="K1210" s="15" t="n">
        <v>17.8</v>
      </c>
      <c r="L1210" s="16">
        <f>HYPERLINK("http://127.0.0.1:8000/api/documents/download?id=653&amp;attachment=true", "⬇ Download Tendernotice_1.pdf")</f>
        <v/>
      </c>
      <c r="M1210" s="16">
        <f>HYPERLINK("http://localhost:5173/?state=Delhi&amp;keyword=Environment&amp;tender=2026_PWD_299761_1", "🚀 Open in Portal")</f>
        <v/>
      </c>
    </row>
    <row r="1211" ht="24" customHeight="1">
      <c r="A1211" s="4" t="inlineStr">
        <is>
          <t>Delhi</t>
        </is>
      </c>
      <c r="B1211" s="5" t="inlineStr">
        <is>
          <t>Environment</t>
        </is>
      </c>
      <c r="C1211" s="6" t="inlineStr">
        <is>
          <t>2026_PWD_299761_1</t>
        </is>
      </c>
      <c r="D1211" s="7" t="inlineStr">
        <is>
          <t>[Providing services of 12 Nos. Truck Mounted Anti-Smog Guns with Display of Environment Message to control dust pollution in Delhi by PWD during September 2026 to June 2027, September 2027 to June 2028 and September 2028 to June 2029 for various PWD..]</t>
        </is>
      </c>
      <c r="E1211" s="7" t="inlineStr">
        <is>
          <t>Delhi Public Works &amp; Technology Department</t>
        </is>
      </c>
      <c r="F1211" s="6" t="inlineStr">
        <is>
          <t>15 Sep 2026</t>
        </is>
      </c>
      <c r="G1211" s="5" t="inlineStr">
        <is>
          <t>14 Oct 2026</t>
        </is>
      </c>
      <c r="H1211" s="8" t="inlineStr">
        <is>
          <t>⏳ UPCOMING</t>
        </is>
      </c>
      <c r="I1211" s="4" t="inlineStr">
        <is>
          <t>BOQ_400076.xls</t>
        </is>
      </c>
      <c r="J1211" s="6" t="inlineStr">
        <is>
          <t>📊 Excel BOQ</t>
        </is>
      </c>
      <c r="K1211" s="9" t="n">
        <v>2.5</v>
      </c>
      <c r="L1211" s="10">
        <f>HYPERLINK("http://127.0.0.1:8000/api/documents/download?id=654&amp;attachment=true", "⬇ Download BOQ_400076.xls")</f>
        <v/>
      </c>
      <c r="M1211" s="10">
        <f>HYPERLINK("http://localhost:5173/?state=Delhi&amp;keyword=Environment&amp;tender=2026_PWD_299761_1", "🚀 Open in Portal")</f>
        <v/>
      </c>
    </row>
    <row r="1212" ht="24" customHeight="1">
      <c r="A1212" s="11" t="inlineStr">
        <is>
          <t>Delhi</t>
        </is>
      </c>
      <c r="B1212" s="12" t="inlineStr">
        <is>
          <t>Environment</t>
        </is>
      </c>
      <c r="C1212" s="13" t="inlineStr">
        <is>
          <t>2026_PWD_299761_1</t>
        </is>
      </c>
      <c r="D1212" s="14" t="inlineStr">
        <is>
          <t>[Providing services of 12 Nos. Truck Mounted Anti-Smog Guns with Display of Environment Message to control dust pollution in Delhi by PWD during September 2026 to June 2027, September 2027 to June 2028 and September 2028 to June 2029 for various PWD..]</t>
        </is>
      </c>
      <c r="E1212" s="14" t="inlineStr">
        <is>
          <t>Delhi Public Works &amp; Technology Department</t>
        </is>
      </c>
      <c r="F1212" s="13" t="inlineStr">
        <is>
          <t>15 Sep 2026</t>
        </is>
      </c>
      <c r="G1212" s="12" t="inlineStr">
        <is>
          <t>14 Oct 2026</t>
        </is>
      </c>
      <c r="H1212" s="8" t="inlineStr">
        <is>
          <t>⏳ UPCOMING</t>
        </is>
      </c>
      <c r="I1212" s="11" t="inlineStr">
        <is>
          <t>Tender_2026_PWD_299761_1_All_Documents.zip</t>
        </is>
      </c>
      <c r="J1212" s="13" t="inlineStr">
        <is>
          <t>📦 ZIP Package</t>
        </is>
      </c>
      <c r="K1212" s="15" t="n">
        <v>11.6</v>
      </c>
      <c r="L1212" s="16">
        <f>HYPERLINK("http://127.0.0.1:8000/api/documents/download?id=655&amp;attachment=true", "⬇ Download Tender_2026_PWD_299761_1")</f>
        <v/>
      </c>
      <c r="M1212" s="16">
        <f>HYPERLINK("http://localhost:5173/?state=Delhi&amp;keyword=Environment&amp;tender=2026_PWD_299761_1", "🚀 Open in Portal")</f>
        <v/>
      </c>
    </row>
    <row r="1213" ht="24" customHeight="1">
      <c r="A1213" s="4" t="inlineStr">
        <is>
          <t>Delhi</t>
        </is>
      </c>
      <c r="B1213" s="5" t="inlineStr">
        <is>
          <t>Water Resources</t>
        </is>
      </c>
      <c r="C1213" s="6" t="inlineStr">
        <is>
          <t>2026_DEL_4985012_51</t>
        </is>
      </c>
      <c r="D1213" s="7" t="inlineStr">
        <is>
          <t>Water Resources-Based River Basin Hydro-Meteorological Sensor Network &amp; GIS Flood Simulation</t>
        </is>
      </c>
      <c r="E1213" s="7" t="inlineStr">
        <is>
          <t>WATER RESOURCES &amp; IRRIGATION DEPARTMENT</t>
        </is>
      </c>
      <c r="F1213" s="6" t="inlineStr">
        <is>
          <t>30 Sep 2026</t>
        </is>
      </c>
      <c r="G1213" s="5" t="inlineStr">
        <is>
          <t>02 Nov 2026</t>
        </is>
      </c>
      <c r="H1213" s="17" t="inlineStr">
        <is>
          <t>🟢 LIVE ACTIVE</t>
        </is>
      </c>
      <c r="I1213" s="4" t="inlineStr">
        <is>
          <t>Tendernotice_2026_DEL_4985012_51.pdf</t>
        </is>
      </c>
      <c r="J1213" s="6" t="inlineStr">
        <is>
          <t>📕 PDF Document</t>
        </is>
      </c>
      <c r="K1213" s="9" t="n">
        <v>7.7</v>
      </c>
      <c r="L1213" s="10">
        <f>HYPERLINK("http://127.0.0.1:8000/api/documents/download?id=3457&amp;attachment=true", "⬇ Download Tendernotice_2026_DEL_49")</f>
        <v/>
      </c>
      <c r="M1213" s="10">
        <f>HYPERLINK("http://localhost:5173/?state=Delhi&amp;keyword=Water%20Resources&amp;tender=2026_DEL_4985012_51", "🚀 Open in Portal")</f>
        <v/>
      </c>
    </row>
    <row r="1214" ht="24" customHeight="1">
      <c r="A1214" s="11" t="inlineStr">
        <is>
          <t>Delhi</t>
        </is>
      </c>
      <c r="B1214" s="12" t="inlineStr">
        <is>
          <t>Water Resources</t>
        </is>
      </c>
      <c r="C1214" s="13" t="inlineStr">
        <is>
          <t>2026_DEL_4985012_51</t>
        </is>
      </c>
      <c r="D1214" s="14" t="inlineStr">
        <is>
          <t>Water Resources-Based River Basin Hydro-Meteorological Sensor Network &amp; GIS Flood Simulation</t>
        </is>
      </c>
      <c r="E1214" s="14" t="inlineStr">
        <is>
          <t>WATER RESOURCES &amp; IRRIGATION DEPARTMENT</t>
        </is>
      </c>
      <c r="F1214" s="13" t="inlineStr">
        <is>
          <t>30 Sep 2026</t>
        </is>
      </c>
      <c r="G1214" s="12" t="inlineStr">
        <is>
          <t>02 Nov 2026</t>
        </is>
      </c>
      <c r="H1214" s="17" t="inlineStr">
        <is>
          <t>🟢 LIVE ACTIVE</t>
        </is>
      </c>
      <c r="I1214" s="11" t="inlineStr">
        <is>
          <t>Technical_RFP_Specification_Water Resources.pdf</t>
        </is>
      </c>
      <c r="J1214" s="13" t="inlineStr">
        <is>
          <t>📕 PDF Document</t>
        </is>
      </c>
      <c r="K1214" s="15" t="n">
        <v>7.7</v>
      </c>
      <c r="L1214" s="16">
        <f>HYPERLINK("http://127.0.0.1:8000/api/documents/download?id=3458&amp;attachment=true", "⬇ Download Technical_RFP_Specificat")</f>
        <v/>
      </c>
      <c r="M1214" s="16">
        <f>HYPERLINK("http://localhost:5173/?state=Delhi&amp;keyword=Water%20Resources&amp;tender=2026_DEL_4985012_51", "🚀 Open in Portal")</f>
        <v/>
      </c>
    </row>
    <row r="1215" ht="24" customHeight="1">
      <c r="A1215" s="4" t="inlineStr">
        <is>
          <t>Delhi</t>
        </is>
      </c>
      <c r="B1215" s="5" t="inlineStr">
        <is>
          <t>Water Resources</t>
        </is>
      </c>
      <c r="C1215" s="6" t="inlineStr">
        <is>
          <t>2026_DEL_4985012_51</t>
        </is>
      </c>
      <c r="D1215" s="7" t="inlineStr">
        <is>
          <t>Water Resources-Based River Basin Hydro-Meteorological Sensor Network &amp; GIS Flood Simulation</t>
        </is>
      </c>
      <c r="E1215" s="7" t="inlineStr">
        <is>
          <t>WATER RESOURCES &amp; IRRIGATION DEPARTMENT</t>
        </is>
      </c>
      <c r="F1215" s="6" t="inlineStr">
        <is>
          <t>30 Sep 2026</t>
        </is>
      </c>
      <c r="G1215" s="5" t="inlineStr">
        <is>
          <t>02 Nov 2026</t>
        </is>
      </c>
      <c r="H1215" s="17" t="inlineStr">
        <is>
          <t>🟢 LIVE ACTIVE</t>
        </is>
      </c>
      <c r="I1215" s="4" t="inlineStr">
        <is>
          <t>BOQ_Financial_Schedule_2026_DEL_4985012_51.xlsx</t>
        </is>
      </c>
      <c r="J1215" s="6" t="inlineStr">
        <is>
          <t>📊 Excel BOQ</t>
        </is>
      </c>
      <c r="K1215" s="9" t="n">
        <v>5.9</v>
      </c>
      <c r="L1215" s="10">
        <f>HYPERLINK("http://127.0.0.1:8000/api/documents/download?id=3459&amp;attachment=true", "⬇ Download BOQ_Financial_Schedule_2")</f>
        <v/>
      </c>
      <c r="M1215" s="10">
        <f>HYPERLINK("http://localhost:5173/?state=Delhi&amp;keyword=Water%20Resources&amp;tender=2026_DEL_4985012_51", "🚀 Open in Portal")</f>
        <v/>
      </c>
    </row>
    <row r="1216" ht="24" customHeight="1">
      <c r="A1216" s="11" t="inlineStr">
        <is>
          <t>Delhi</t>
        </is>
      </c>
      <c r="B1216" s="12" t="inlineStr">
        <is>
          <t>Water Resources</t>
        </is>
      </c>
      <c r="C1216" s="13" t="inlineStr">
        <is>
          <t>2026_DEL_4985012_51</t>
        </is>
      </c>
      <c r="D1216" s="14" t="inlineStr">
        <is>
          <t>Water Resources-Based River Basin Hydro-Meteorological Sensor Network &amp; GIS Flood Simulation</t>
        </is>
      </c>
      <c r="E1216" s="14" t="inlineStr">
        <is>
          <t>WATER RESOURCES &amp; IRRIGATION DEPARTMENT</t>
        </is>
      </c>
      <c r="F1216" s="13" t="inlineStr">
        <is>
          <t>30 Sep 2026</t>
        </is>
      </c>
      <c r="G1216" s="12" t="inlineStr">
        <is>
          <t>02 Nov 2026</t>
        </is>
      </c>
      <c r="H1216" s="17" t="inlineStr">
        <is>
          <t>🟢 LIVE ACTIVE</t>
        </is>
      </c>
      <c r="I1216" s="11" t="inlineStr">
        <is>
          <t>Tender_2026_DEL_4985012_51_All_Documents.zip</t>
        </is>
      </c>
      <c r="J1216" s="13" t="inlineStr">
        <is>
          <t>📦 ZIP Package</t>
        </is>
      </c>
      <c r="K1216" s="15" t="n">
        <v>45</v>
      </c>
      <c r="L1216" s="16">
        <f>HYPERLINK("https://govtprocurement.delhi.gov.in/tender/2026_DEL_4985012_51", "⬇ Download Tender_2026_DEL_4985012_")</f>
        <v/>
      </c>
      <c r="M1216" s="16">
        <f>HYPERLINK("http://localhost:5173/?state=Delhi&amp;keyword=Water%20Resources&amp;tender=2026_DEL_4985012_51", "🚀 Open in Portal")</f>
        <v/>
      </c>
    </row>
    <row r="1217" ht="24" customHeight="1">
      <c r="A1217" s="4" t="inlineStr">
        <is>
          <t>Delhi</t>
        </is>
      </c>
      <c r="B1217" s="5" t="inlineStr">
        <is>
          <t>Health</t>
        </is>
      </c>
      <c r="C1217" s="6" t="inlineStr">
        <is>
          <t>2026_DBCWB_299729_1</t>
        </is>
      </c>
      <c r="D1217" s="7" t="inlineStr">
        <is>
          <t>[Selection of a Project Implementing Agency (PIA) for implementing Delhi Building Workers the Health Scheme under DBOCWW Board]</t>
        </is>
      </c>
      <c r="E1217" s="7" t="inlineStr">
        <is>
          <t>Delhi Public Works &amp; Technology Department</t>
        </is>
      </c>
      <c r="F1217" s="6" t="inlineStr">
        <is>
          <t>02 Oct 2026</t>
        </is>
      </c>
      <c r="G1217" s="5" t="inlineStr">
        <is>
          <t>30 Oct 2026</t>
        </is>
      </c>
      <c r="H1217" s="17" t="inlineStr">
        <is>
          <t>🟢 LIVE ACTIVE</t>
        </is>
      </c>
      <c r="I1217" s="4" t="inlineStr">
        <is>
          <t>Tendernotice_1.pdf</t>
        </is>
      </c>
      <c r="J1217" s="6" t="inlineStr">
        <is>
          <t>📕 PDF Document</t>
        </is>
      </c>
      <c r="K1217" s="9" t="n">
        <v>17.8</v>
      </c>
      <c r="L1217" s="10">
        <f>HYPERLINK("http://127.0.0.1:8000/api/documents/download?id=668&amp;attachment=true", "⬇ Download Tendernotice_1.pdf")</f>
        <v/>
      </c>
      <c r="M1217" s="10">
        <f>HYPERLINK("http://localhost:5173/?state=Delhi&amp;keyword=Health&amp;tender=2026_DBCWB_299729_1", "🚀 Open in Portal")</f>
        <v/>
      </c>
    </row>
    <row r="1218" ht="24" customHeight="1">
      <c r="A1218" s="11" t="inlineStr">
        <is>
          <t>Delhi</t>
        </is>
      </c>
      <c r="B1218" s="12" t="inlineStr">
        <is>
          <t>Health</t>
        </is>
      </c>
      <c r="C1218" s="13" t="inlineStr">
        <is>
          <t>2026_DBCWB_299729_1</t>
        </is>
      </c>
      <c r="D1218" s="14" t="inlineStr">
        <is>
          <t>[Selection of a Project Implementing Agency (PIA) for implementing Delhi Building Workers the Health Scheme under DBOCWW Board]</t>
        </is>
      </c>
      <c r="E1218" s="14" t="inlineStr">
        <is>
          <t>Delhi Public Works &amp; Technology Department</t>
        </is>
      </c>
      <c r="F1218" s="13" t="inlineStr">
        <is>
          <t>02 Oct 2026</t>
        </is>
      </c>
      <c r="G1218" s="12" t="inlineStr">
        <is>
          <t>30 Oct 2026</t>
        </is>
      </c>
      <c r="H1218" s="17" t="inlineStr">
        <is>
          <t>🟢 LIVE ACTIVE</t>
        </is>
      </c>
      <c r="I1218" s="11" t="inlineStr">
        <is>
          <t>PriceBid.pdf</t>
        </is>
      </c>
      <c r="J1218" s="13" t="inlineStr">
        <is>
          <t>📕 PDF Document</t>
        </is>
      </c>
      <c r="K1218" s="15" t="n">
        <v>17.8</v>
      </c>
      <c r="L1218" s="16">
        <f>HYPERLINK("http://127.0.0.1:8000/api/documents/download?id=669&amp;attachment=true", "⬇ Download PriceBid.pdf")</f>
        <v/>
      </c>
      <c r="M1218" s="16">
        <f>HYPERLINK("http://localhost:5173/?state=Delhi&amp;keyword=Health&amp;tender=2026_DBCWB_299729_1", "🚀 Open in Portal")</f>
        <v/>
      </c>
    </row>
    <row r="1219" ht="24" customHeight="1">
      <c r="A1219" s="4" t="inlineStr">
        <is>
          <t>Delhi</t>
        </is>
      </c>
      <c r="B1219" s="5" t="inlineStr">
        <is>
          <t>Health</t>
        </is>
      </c>
      <c r="C1219" s="6" t="inlineStr">
        <is>
          <t>2026_DBCWB_299729_1</t>
        </is>
      </c>
      <c r="D1219" s="7" t="inlineStr">
        <is>
          <t>[Selection of a Project Implementing Agency (PIA) for implementing Delhi Building Workers the Health Scheme under DBOCWW Board]</t>
        </is>
      </c>
      <c r="E1219" s="7" t="inlineStr">
        <is>
          <t>Delhi Public Works &amp; Technology Department</t>
        </is>
      </c>
      <c r="F1219" s="6" t="inlineStr">
        <is>
          <t>02 Oct 2026</t>
        </is>
      </c>
      <c r="G1219" s="5" t="inlineStr">
        <is>
          <t>30 Oct 2026</t>
        </is>
      </c>
      <c r="H1219" s="17" t="inlineStr">
        <is>
          <t>🟢 LIVE ACTIVE</t>
        </is>
      </c>
      <c r="I1219" s="4" t="inlineStr">
        <is>
          <t>checklist.xls</t>
        </is>
      </c>
      <c r="J1219" s="6" t="inlineStr">
        <is>
          <t>📊 Excel BOQ</t>
        </is>
      </c>
      <c r="K1219" s="9" t="n">
        <v>2.5</v>
      </c>
      <c r="L1219" s="10">
        <f>HYPERLINK("http://127.0.0.1:8000/api/documents/download?id=670&amp;attachment=true", "⬇ Download checklist.xls")</f>
        <v/>
      </c>
      <c r="M1219" s="10">
        <f>HYPERLINK("http://localhost:5173/?state=Delhi&amp;keyword=Health&amp;tender=2026_DBCWB_299729_1", "🚀 Open in Portal")</f>
        <v/>
      </c>
    </row>
    <row r="1220" ht="24" customHeight="1">
      <c r="A1220" s="11" t="inlineStr">
        <is>
          <t>Delhi</t>
        </is>
      </c>
      <c r="B1220" s="12" t="inlineStr">
        <is>
          <t>Health</t>
        </is>
      </c>
      <c r="C1220" s="13" t="inlineStr">
        <is>
          <t>2026_DBCWB_299729_1</t>
        </is>
      </c>
      <c r="D1220" s="14" t="inlineStr">
        <is>
          <t>[Selection of a Project Implementing Agency (PIA) for implementing Delhi Building Workers the Health Scheme under DBOCWW Board]</t>
        </is>
      </c>
      <c r="E1220" s="14" t="inlineStr">
        <is>
          <t>Delhi Public Works &amp; Technology Department</t>
        </is>
      </c>
      <c r="F1220" s="13" t="inlineStr">
        <is>
          <t>02 Oct 2026</t>
        </is>
      </c>
      <c r="G1220" s="12" t="inlineStr">
        <is>
          <t>30 Oct 2026</t>
        </is>
      </c>
      <c r="H1220" s="17" t="inlineStr">
        <is>
          <t>🟢 LIVE ACTIVE</t>
        </is>
      </c>
      <c r="I1220" s="11" t="inlineStr">
        <is>
          <t>TenderDoc.pdf</t>
        </is>
      </c>
      <c r="J1220" s="13" t="inlineStr">
        <is>
          <t>📕 PDF Document</t>
        </is>
      </c>
      <c r="K1220" s="15" t="n">
        <v>17.8</v>
      </c>
      <c r="L1220" s="16">
        <f>HYPERLINK("http://127.0.0.1:8000/api/documents/download?id=671&amp;attachment=true", "⬇ Download TenderDoc.pdf")</f>
        <v/>
      </c>
      <c r="M1220" s="16">
        <f>HYPERLINK("http://localhost:5173/?state=Delhi&amp;keyword=Health&amp;tender=2026_DBCWB_299729_1", "🚀 Open in Portal")</f>
        <v/>
      </c>
    </row>
    <row r="1221" ht="24" customHeight="1">
      <c r="A1221" s="4" t="inlineStr">
        <is>
          <t>Delhi</t>
        </is>
      </c>
      <c r="B1221" s="5" t="inlineStr">
        <is>
          <t>Health</t>
        </is>
      </c>
      <c r="C1221" s="6" t="inlineStr">
        <is>
          <t>2026_DBCWB_299729_1</t>
        </is>
      </c>
      <c r="D1221" s="7" t="inlineStr">
        <is>
          <t>[Selection of a Project Implementing Agency (PIA) for implementing Delhi Building Workers the Health Scheme under DBOCWW Board]</t>
        </is>
      </c>
      <c r="E1221" s="7" t="inlineStr">
        <is>
          <t>Delhi Public Works &amp; Technology Department</t>
        </is>
      </c>
      <c r="F1221" s="6" t="inlineStr">
        <is>
          <t>02 Oct 2026</t>
        </is>
      </c>
      <c r="G1221" s="5" t="inlineStr">
        <is>
          <t>30 Oct 2026</t>
        </is>
      </c>
      <c r="H1221" s="17" t="inlineStr">
        <is>
          <t>🟢 LIVE ACTIVE</t>
        </is>
      </c>
      <c r="I1221" s="4" t="inlineStr">
        <is>
          <t>Tender_2026_DBCWB_299729_1_All_Documents.zip</t>
        </is>
      </c>
      <c r="J1221" s="6" t="inlineStr">
        <is>
          <t>📦 ZIP Package</t>
        </is>
      </c>
      <c r="K1221" s="9" t="n">
        <v>29.9</v>
      </c>
      <c r="L1221" s="10">
        <f>HYPERLINK("http://127.0.0.1:8000/api/documents/download?id=672&amp;attachment=true", "⬇ Download Tender_2026_DBCWB_299729")</f>
        <v/>
      </c>
      <c r="M1221" s="10">
        <f>HYPERLINK("http://localhost:5173/?state=Delhi&amp;keyword=Health&amp;tender=2026_DBCWB_299729_1", "🚀 Open in Portal")</f>
        <v/>
      </c>
    </row>
    <row r="1222" ht="24" customHeight="1">
      <c r="A1222" s="11" t="inlineStr">
        <is>
          <t>Delhi</t>
        </is>
      </c>
      <c r="B1222" s="12" t="inlineStr">
        <is>
          <t>Health</t>
        </is>
      </c>
      <c r="C1222" s="13" t="inlineStr">
        <is>
          <t>2026_PWD_299380_1</t>
        </is>
      </c>
      <c r="D1222" s="14" t="inlineStr">
        <is>
          <t>[Conversion of Community Centre, Swabhiman Apartment Ashok Vihar, Delhi (Land-Owning Agency- DDA) into Ayushman Arogya Mandir- Urban Primary Health Centre (UPHC) during 2026-27.]</t>
        </is>
      </c>
      <c r="E1222" s="14" t="inlineStr">
        <is>
          <t>Delhi Public Works &amp; Technology Department</t>
        </is>
      </c>
      <c r="F1222" s="13" t="inlineStr">
        <is>
          <t>28 Jul 2026</t>
        </is>
      </c>
      <c r="G1222" s="12" t="inlineStr">
        <is>
          <t>23 Aug 2026</t>
        </is>
      </c>
      <c r="H1222" s="8" t="inlineStr">
        <is>
          <t>⏳ UPCOMING</t>
        </is>
      </c>
      <c r="I1222" s="11" t="inlineStr">
        <is>
          <t>Tendernotice_1.pdf</t>
        </is>
      </c>
      <c r="J1222" s="13" t="inlineStr">
        <is>
          <t>📕 PDF Document</t>
        </is>
      </c>
      <c r="K1222" s="15" t="n">
        <v>17.8</v>
      </c>
      <c r="L1222" s="16">
        <f>HYPERLINK("http://127.0.0.1:8000/api/documents/download?id=689&amp;attachment=true", "⬇ Download Tendernotice_1.pdf")</f>
        <v/>
      </c>
      <c r="M1222" s="16">
        <f>HYPERLINK("http://localhost:5173/?state=Delhi&amp;keyword=Health&amp;tender=2026_PWD_299380_1", "🚀 Open in Portal")</f>
        <v/>
      </c>
    </row>
    <row r="1223" ht="24" customHeight="1">
      <c r="A1223" s="4" t="inlineStr">
        <is>
          <t>Delhi</t>
        </is>
      </c>
      <c r="B1223" s="5" t="inlineStr">
        <is>
          <t>Health</t>
        </is>
      </c>
      <c r="C1223" s="6" t="inlineStr">
        <is>
          <t>2026_PWD_299380_1</t>
        </is>
      </c>
      <c r="D1223" s="7" t="inlineStr">
        <is>
          <t>[Conversion of Community Centre, Swabhiman Apartment Ashok Vihar, Delhi (Land-Owning Agency- DDA) into Ayushman Arogya Mandir- Urban Primary Health Centre (UPHC) during 2026-27.]</t>
        </is>
      </c>
      <c r="E1223" s="7" t="inlineStr">
        <is>
          <t>Delhi Public Works &amp; Technology Department</t>
        </is>
      </c>
      <c r="F1223" s="6" t="inlineStr">
        <is>
          <t>28 Jul 2026</t>
        </is>
      </c>
      <c r="G1223" s="5" t="inlineStr">
        <is>
          <t>23 Aug 2026</t>
        </is>
      </c>
      <c r="H1223" s="8" t="inlineStr">
        <is>
          <t>⏳ UPCOMING</t>
        </is>
      </c>
      <c r="I1223" s="4" t="inlineStr">
        <is>
          <t>BOQ_399564.xls</t>
        </is>
      </c>
      <c r="J1223" s="6" t="inlineStr">
        <is>
          <t>📊 Excel BOQ</t>
        </is>
      </c>
      <c r="K1223" s="9" t="n">
        <v>2.5</v>
      </c>
      <c r="L1223" s="10">
        <f>HYPERLINK("http://127.0.0.1:8000/api/documents/download?id=690&amp;attachment=true", "⬇ Download BOQ_399564.xls")</f>
        <v/>
      </c>
      <c r="M1223" s="10">
        <f>HYPERLINK("http://localhost:5173/?state=Delhi&amp;keyword=Health&amp;tender=2026_PWD_299380_1", "🚀 Open in Portal")</f>
        <v/>
      </c>
    </row>
    <row r="1224" ht="24" customHeight="1">
      <c r="A1224" s="11" t="inlineStr">
        <is>
          <t>Delhi</t>
        </is>
      </c>
      <c r="B1224" s="12" t="inlineStr">
        <is>
          <t>Health</t>
        </is>
      </c>
      <c r="C1224" s="13" t="inlineStr">
        <is>
          <t>2026_PWD_299380_1</t>
        </is>
      </c>
      <c r="D1224" s="14" t="inlineStr">
        <is>
          <t>[Conversion of Community Centre, Swabhiman Apartment Ashok Vihar, Delhi (Land-Owning Agency- DDA) into Ayushman Arogya Mandir- Urban Primary Health Centre (UPHC) during 2026-27.]</t>
        </is>
      </c>
      <c r="E1224" s="14" t="inlineStr">
        <is>
          <t>Delhi Public Works &amp; Technology Department</t>
        </is>
      </c>
      <c r="F1224" s="13" t="inlineStr">
        <is>
          <t>28 Jul 2026</t>
        </is>
      </c>
      <c r="G1224" s="12" t="inlineStr">
        <is>
          <t>23 Aug 2026</t>
        </is>
      </c>
      <c r="H1224" s="8" t="inlineStr">
        <is>
          <t>⏳ UPCOMING</t>
        </is>
      </c>
      <c r="I1224" s="11" t="inlineStr">
        <is>
          <t>Tender_2026_PWD_299380_1_All_Documents.zip</t>
        </is>
      </c>
      <c r="J1224" s="13" t="inlineStr">
        <is>
          <t>📦 ZIP Package</t>
        </is>
      </c>
      <c r="K1224" s="15" t="n">
        <v>11.6</v>
      </c>
      <c r="L1224" s="16">
        <f>HYPERLINK("http://127.0.0.1:8000/api/documents/download?id=691&amp;attachment=true", "⬇ Download Tender_2026_PWD_299380_1")</f>
        <v/>
      </c>
      <c r="M1224" s="16">
        <f>HYPERLINK("http://localhost:5173/?state=Delhi&amp;keyword=Health&amp;tender=2026_PWD_299380_1", "🚀 Open in Portal")</f>
        <v/>
      </c>
    </row>
    <row r="1225" ht="24" customHeight="1">
      <c r="A1225" s="4" t="inlineStr">
        <is>
          <t>Delhi</t>
        </is>
      </c>
      <c r="B1225" s="5" t="inlineStr">
        <is>
          <t>Health</t>
        </is>
      </c>
      <c r="C1225" s="6" t="inlineStr">
        <is>
          <t>2026_PWD_299384_1</t>
        </is>
      </c>
      <c r="D1225" s="7" t="inlineStr">
        <is>
          <t>[Conversion of Community Centre, Sannoth, Delhi (Land-Owning Agency- DDA) into Ayushman Arogya Mandir - Urban Primary Health Centre (UPHC) during 2026-27]</t>
        </is>
      </c>
      <c r="E1225" s="7" t="inlineStr">
        <is>
          <t>Delhi Public Works &amp; Technology Department</t>
        </is>
      </c>
      <c r="F1225" s="6" t="inlineStr">
        <is>
          <t>01 Aug 2026</t>
        </is>
      </c>
      <c r="G1225" s="5" t="inlineStr">
        <is>
          <t>27 Aug 2026</t>
        </is>
      </c>
      <c r="H1225" s="8" t="inlineStr">
        <is>
          <t>⏳ UPCOMING</t>
        </is>
      </c>
      <c r="I1225" s="4" t="inlineStr">
        <is>
          <t>Tendernotice_1.pdf</t>
        </is>
      </c>
      <c r="J1225" s="6" t="inlineStr">
        <is>
          <t>📕 PDF Document</t>
        </is>
      </c>
      <c r="K1225" s="9" t="n">
        <v>17.8</v>
      </c>
      <c r="L1225" s="10">
        <f>HYPERLINK("http://127.0.0.1:8000/api/documents/download?id=692&amp;attachment=true", "⬇ Download Tendernotice_1.pdf")</f>
        <v/>
      </c>
      <c r="M1225" s="10">
        <f>HYPERLINK("http://localhost:5173/?state=Delhi&amp;keyword=Health&amp;tender=2026_PWD_299384_1", "🚀 Open in Portal")</f>
        <v/>
      </c>
    </row>
    <row r="1226" ht="24" customHeight="1">
      <c r="A1226" s="11" t="inlineStr">
        <is>
          <t>Delhi</t>
        </is>
      </c>
      <c r="B1226" s="12" t="inlineStr">
        <is>
          <t>Health</t>
        </is>
      </c>
      <c r="C1226" s="13" t="inlineStr">
        <is>
          <t>2026_PWD_299384_1</t>
        </is>
      </c>
      <c r="D1226" s="14" t="inlineStr">
        <is>
          <t>[Conversion of Community Centre, Sannoth, Delhi (Land-Owning Agency- DDA) into Ayushman Arogya Mandir - Urban Primary Health Centre (UPHC) during 2026-27]</t>
        </is>
      </c>
      <c r="E1226" s="14" t="inlineStr">
        <is>
          <t>Delhi Public Works &amp; Technology Department</t>
        </is>
      </c>
      <c r="F1226" s="13" t="inlineStr">
        <is>
          <t>01 Aug 2026</t>
        </is>
      </c>
      <c r="G1226" s="12" t="inlineStr">
        <is>
          <t>27 Aug 2026</t>
        </is>
      </c>
      <c r="H1226" s="8" t="inlineStr">
        <is>
          <t>⏳ UPCOMING</t>
        </is>
      </c>
      <c r="I1226" s="11" t="inlineStr">
        <is>
          <t>BOQ_399565.xls</t>
        </is>
      </c>
      <c r="J1226" s="13" t="inlineStr">
        <is>
          <t>📊 Excel BOQ</t>
        </is>
      </c>
      <c r="K1226" s="15" t="n">
        <v>2.5</v>
      </c>
      <c r="L1226" s="16">
        <f>HYPERLINK("http://127.0.0.1:8000/api/documents/download?id=693&amp;attachment=true", "⬇ Download BOQ_399565.xls")</f>
        <v/>
      </c>
      <c r="M1226" s="16">
        <f>HYPERLINK("http://localhost:5173/?state=Delhi&amp;keyword=Health&amp;tender=2026_PWD_299384_1", "🚀 Open in Portal")</f>
        <v/>
      </c>
    </row>
    <row r="1227" ht="24" customHeight="1">
      <c r="A1227" s="4" t="inlineStr">
        <is>
          <t>Delhi</t>
        </is>
      </c>
      <c r="B1227" s="5" t="inlineStr">
        <is>
          <t>Health</t>
        </is>
      </c>
      <c r="C1227" s="6" t="inlineStr">
        <is>
          <t>2026_PWD_299384_1</t>
        </is>
      </c>
      <c r="D1227" s="7" t="inlineStr">
        <is>
          <t>[Conversion of Community Centre, Sannoth, Delhi (Land-Owning Agency- DDA) into Ayushman Arogya Mandir - Urban Primary Health Centre (UPHC) during 2026-27]</t>
        </is>
      </c>
      <c r="E1227" s="7" t="inlineStr">
        <is>
          <t>Delhi Public Works &amp; Technology Department</t>
        </is>
      </c>
      <c r="F1227" s="6" t="inlineStr">
        <is>
          <t>01 Aug 2026</t>
        </is>
      </c>
      <c r="G1227" s="5" t="inlineStr">
        <is>
          <t>27 Aug 2026</t>
        </is>
      </c>
      <c r="H1227" s="8" t="inlineStr">
        <is>
          <t>⏳ UPCOMING</t>
        </is>
      </c>
      <c r="I1227" s="4" t="inlineStr">
        <is>
          <t>Tender_2026_PWD_299384_1_All_Documents.zip</t>
        </is>
      </c>
      <c r="J1227" s="6" t="inlineStr">
        <is>
          <t>📦 ZIP Package</t>
        </is>
      </c>
      <c r="K1227" s="9" t="n">
        <v>11.6</v>
      </c>
      <c r="L1227" s="10">
        <f>HYPERLINK("http://127.0.0.1:8000/api/documents/download?id=694&amp;attachment=true", "⬇ Download Tender_2026_PWD_299384_1")</f>
        <v/>
      </c>
      <c r="M1227" s="10">
        <f>HYPERLINK("http://localhost:5173/?state=Delhi&amp;keyword=Health&amp;tender=2026_PWD_299384_1", "🚀 Open in Portal")</f>
        <v/>
      </c>
    </row>
    <row r="1228" ht="24" customHeight="1">
      <c r="A1228" s="11" t="inlineStr">
        <is>
          <t>Delhi</t>
        </is>
      </c>
      <c r="B1228" s="12" t="inlineStr">
        <is>
          <t>Health</t>
        </is>
      </c>
      <c r="C1228" s="13" t="inlineStr">
        <is>
          <t>2026_PWD_299386_1</t>
        </is>
      </c>
      <c r="D1228" s="14" t="inlineStr">
        <is>
          <t>[Conversion of Community Centre, Holambi Kalan (Land-Owning Agency- DDA) into Ayushman Arogya Mandir - Urban Primary Health Centre (UPHC) during 2026-27]</t>
        </is>
      </c>
      <c r="E1228" s="14" t="inlineStr">
        <is>
          <t>Delhi Public Works &amp; Technology Department</t>
        </is>
      </c>
      <c r="F1228" s="13" t="inlineStr">
        <is>
          <t>05 Aug 2026</t>
        </is>
      </c>
      <c r="G1228" s="12" t="inlineStr">
        <is>
          <t>31 Aug 2026</t>
        </is>
      </c>
      <c r="H1228" s="8" t="inlineStr">
        <is>
          <t>⏳ UPCOMING</t>
        </is>
      </c>
      <c r="I1228" s="11" t="inlineStr">
        <is>
          <t>Tendernotice_1.pdf</t>
        </is>
      </c>
      <c r="J1228" s="13" t="inlineStr">
        <is>
          <t>📕 PDF Document</t>
        </is>
      </c>
      <c r="K1228" s="15" t="n">
        <v>17.8</v>
      </c>
      <c r="L1228" s="16">
        <f>HYPERLINK("http://127.0.0.1:8000/api/documents/download?id=695&amp;attachment=true", "⬇ Download Tendernotice_1.pdf")</f>
        <v/>
      </c>
      <c r="M1228" s="16">
        <f>HYPERLINK("http://localhost:5173/?state=Delhi&amp;keyword=Health&amp;tender=2026_PWD_299386_1", "🚀 Open in Portal")</f>
        <v/>
      </c>
    </row>
    <row r="1229" ht="24" customHeight="1">
      <c r="A1229" s="4" t="inlineStr">
        <is>
          <t>Delhi</t>
        </is>
      </c>
      <c r="B1229" s="5" t="inlineStr">
        <is>
          <t>Health</t>
        </is>
      </c>
      <c r="C1229" s="6" t="inlineStr">
        <is>
          <t>2026_PWD_299386_1</t>
        </is>
      </c>
      <c r="D1229" s="7" t="inlineStr">
        <is>
          <t>[Conversion of Community Centre, Holambi Kalan (Land-Owning Agency- DDA) into Ayushman Arogya Mandir - Urban Primary Health Centre (UPHC) during 2026-27]</t>
        </is>
      </c>
      <c r="E1229" s="7" t="inlineStr">
        <is>
          <t>Delhi Public Works &amp; Technology Department</t>
        </is>
      </c>
      <c r="F1229" s="6" t="inlineStr">
        <is>
          <t>05 Aug 2026</t>
        </is>
      </c>
      <c r="G1229" s="5" t="inlineStr">
        <is>
          <t>31 Aug 2026</t>
        </is>
      </c>
      <c r="H1229" s="8" t="inlineStr">
        <is>
          <t>⏳ UPCOMING</t>
        </is>
      </c>
      <c r="I1229" s="4" t="inlineStr">
        <is>
          <t>BOQ_399567.xls</t>
        </is>
      </c>
      <c r="J1229" s="6" t="inlineStr">
        <is>
          <t>📊 Excel BOQ</t>
        </is>
      </c>
      <c r="K1229" s="9" t="n">
        <v>2.5</v>
      </c>
      <c r="L1229" s="10">
        <f>HYPERLINK("http://127.0.0.1:8000/api/documents/download?id=696&amp;attachment=true", "⬇ Download BOQ_399567.xls")</f>
        <v/>
      </c>
      <c r="M1229" s="10">
        <f>HYPERLINK("http://localhost:5173/?state=Delhi&amp;keyword=Health&amp;tender=2026_PWD_299386_1", "🚀 Open in Portal")</f>
        <v/>
      </c>
    </row>
    <row r="1230" ht="24" customHeight="1">
      <c r="A1230" s="11" t="inlineStr">
        <is>
          <t>Delhi</t>
        </is>
      </c>
      <c r="B1230" s="12" t="inlineStr">
        <is>
          <t>Health</t>
        </is>
      </c>
      <c r="C1230" s="13" t="inlineStr">
        <is>
          <t>2026_PWD_299386_1</t>
        </is>
      </c>
      <c r="D1230" s="14" t="inlineStr">
        <is>
          <t>[Conversion of Community Centre, Holambi Kalan (Land-Owning Agency- DDA) into Ayushman Arogya Mandir - Urban Primary Health Centre (UPHC) during 2026-27]</t>
        </is>
      </c>
      <c r="E1230" s="14" t="inlineStr">
        <is>
          <t>Delhi Public Works &amp; Technology Department</t>
        </is>
      </c>
      <c r="F1230" s="13" t="inlineStr">
        <is>
          <t>05 Aug 2026</t>
        </is>
      </c>
      <c r="G1230" s="12" t="inlineStr">
        <is>
          <t>31 Aug 2026</t>
        </is>
      </c>
      <c r="H1230" s="8" t="inlineStr">
        <is>
          <t>⏳ UPCOMING</t>
        </is>
      </c>
      <c r="I1230" s="11" t="inlineStr">
        <is>
          <t>Tender_2026_PWD_299386_1_All_Documents.zip</t>
        </is>
      </c>
      <c r="J1230" s="13" t="inlineStr">
        <is>
          <t>📦 ZIP Package</t>
        </is>
      </c>
      <c r="K1230" s="15" t="n">
        <v>11.6</v>
      </c>
      <c r="L1230" s="16">
        <f>HYPERLINK("http://127.0.0.1:8000/api/documents/download?id=697&amp;attachment=true", "⬇ Download Tender_2026_PWD_299386_1")</f>
        <v/>
      </c>
      <c r="M1230" s="16">
        <f>HYPERLINK("http://localhost:5173/?state=Delhi&amp;keyword=Health&amp;tender=2026_PWD_299386_1", "🚀 Open in Portal")</f>
        <v/>
      </c>
    </row>
    <row r="1231" ht="24" customHeight="1">
      <c r="A1231" s="4" t="inlineStr">
        <is>
          <t>Delhi</t>
        </is>
      </c>
      <c r="B1231" s="5" t="inlineStr">
        <is>
          <t>Health</t>
        </is>
      </c>
      <c r="C1231" s="6" t="inlineStr">
        <is>
          <t>2026_PWD_299431_1</t>
        </is>
      </c>
      <c r="D1231" s="7" t="inlineStr">
        <is>
          <t>[M/o Horticulture Work at Tihar Jail Complex under Hort. Sub-H and J-I, HD-Health and Judiciary, PWD, New Delhi dg. 2026-27. SH-Providing and making arrangement of Flower Decoration]</t>
        </is>
      </c>
      <c r="E1231" s="7" t="inlineStr">
        <is>
          <t>Delhi Public Works &amp; Technology Department</t>
        </is>
      </c>
      <c r="F1231" s="6" t="inlineStr">
        <is>
          <t>17 Oct 2026</t>
        </is>
      </c>
      <c r="G1231" s="5" t="inlineStr">
        <is>
          <t>09 Nov 2026</t>
        </is>
      </c>
      <c r="H1231" s="17" t="inlineStr">
        <is>
          <t>🟢 LIVE ACTIVE</t>
        </is>
      </c>
      <c r="I1231" s="4" t="inlineStr">
        <is>
          <t>Tendernotice_1.pdf</t>
        </is>
      </c>
      <c r="J1231" s="6" t="inlineStr">
        <is>
          <t>📕 PDF Document</t>
        </is>
      </c>
      <c r="K1231" s="9" t="n">
        <v>17.8</v>
      </c>
      <c r="L1231" s="10">
        <f>HYPERLINK("http://127.0.0.1:8000/api/documents/download?id=681&amp;attachment=true", "⬇ Download Tendernotice_1.pdf")</f>
        <v/>
      </c>
      <c r="M1231" s="10">
        <f>HYPERLINK("http://localhost:5173/?state=Delhi&amp;keyword=Health&amp;tender=2026_PWD_299431_1", "🚀 Open in Portal")</f>
        <v/>
      </c>
    </row>
    <row r="1232" ht="24" customHeight="1">
      <c r="A1232" s="11" t="inlineStr">
        <is>
          <t>Delhi</t>
        </is>
      </c>
      <c r="B1232" s="12" t="inlineStr">
        <is>
          <t>Health</t>
        </is>
      </c>
      <c r="C1232" s="13" t="inlineStr">
        <is>
          <t>2026_PWD_299431_1</t>
        </is>
      </c>
      <c r="D1232" s="14" t="inlineStr">
        <is>
          <t>[M/o Horticulture Work at Tihar Jail Complex under Hort. Sub-H and J-I, HD-Health and Judiciary, PWD, New Delhi dg. 2026-27. SH-Providing and making arrangement of Flower Decoration]</t>
        </is>
      </c>
      <c r="E1232" s="14" t="inlineStr">
        <is>
          <t>Delhi Public Works &amp; Technology Department</t>
        </is>
      </c>
      <c r="F1232" s="13" t="inlineStr">
        <is>
          <t>17 Oct 2026</t>
        </is>
      </c>
      <c r="G1232" s="12" t="inlineStr">
        <is>
          <t>09 Nov 2026</t>
        </is>
      </c>
      <c r="H1232" s="17" t="inlineStr">
        <is>
          <t>🟢 LIVE ACTIVE</t>
        </is>
      </c>
      <c r="I1232" s="11" t="inlineStr">
        <is>
          <t>BOQ_399619.xls</t>
        </is>
      </c>
      <c r="J1232" s="13" t="inlineStr">
        <is>
          <t>📊 Excel BOQ</t>
        </is>
      </c>
      <c r="K1232" s="15" t="n">
        <v>2.5</v>
      </c>
      <c r="L1232" s="16">
        <f>HYPERLINK("http://127.0.0.1:8000/api/documents/download?id=682&amp;attachment=true", "⬇ Download BOQ_399619.xls")</f>
        <v/>
      </c>
      <c r="M1232" s="16">
        <f>HYPERLINK("http://localhost:5173/?state=Delhi&amp;keyword=Health&amp;tender=2026_PWD_299431_1", "🚀 Open in Portal")</f>
        <v/>
      </c>
    </row>
    <row r="1233" ht="24" customHeight="1">
      <c r="A1233" s="4" t="inlineStr">
        <is>
          <t>Delhi</t>
        </is>
      </c>
      <c r="B1233" s="5" t="inlineStr">
        <is>
          <t>Health</t>
        </is>
      </c>
      <c r="C1233" s="6" t="inlineStr">
        <is>
          <t>2026_PWD_299431_1</t>
        </is>
      </c>
      <c r="D1233" s="7" t="inlineStr">
        <is>
          <t>[M/o Horticulture Work at Tihar Jail Complex under Hort. Sub-H and J-I, HD-Health and Judiciary, PWD, New Delhi dg. 2026-27. SH-Providing and making arrangement of Flower Decoration]</t>
        </is>
      </c>
      <c r="E1233" s="7" t="inlineStr">
        <is>
          <t>Delhi Public Works &amp; Technology Department</t>
        </is>
      </c>
      <c r="F1233" s="6" t="inlineStr">
        <is>
          <t>17 Oct 2026</t>
        </is>
      </c>
      <c r="G1233" s="5" t="inlineStr">
        <is>
          <t>09 Nov 2026</t>
        </is>
      </c>
      <c r="H1233" s="17" t="inlineStr">
        <is>
          <t>🟢 LIVE ACTIVE</t>
        </is>
      </c>
      <c r="I1233" s="4" t="inlineStr">
        <is>
          <t>TNIT76.pdf</t>
        </is>
      </c>
      <c r="J1233" s="6" t="inlineStr">
        <is>
          <t>📕 PDF Document</t>
        </is>
      </c>
      <c r="K1233" s="9" t="n">
        <v>17.8</v>
      </c>
      <c r="L1233" s="10">
        <f>HYPERLINK("http://127.0.0.1:8000/api/documents/download?id=683&amp;attachment=true", "⬇ Download TNIT76.pdf")</f>
        <v/>
      </c>
      <c r="M1233" s="10">
        <f>HYPERLINK("http://localhost:5173/?state=Delhi&amp;keyword=Health&amp;tender=2026_PWD_299431_1", "🚀 Open in Portal")</f>
        <v/>
      </c>
    </row>
    <row r="1234" ht="24" customHeight="1">
      <c r="A1234" s="11" t="inlineStr">
        <is>
          <t>Delhi</t>
        </is>
      </c>
      <c r="B1234" s="12" t="inlineStr">
        <is>
          <t>Health</t>
        </is>
      </c>
      <c r="C1234" s="13" t="inlineStr">
        <is>
          <t>2026_PWD_299431_1</t>
        </is>
      </c>
      <c r="D1234" s="14" t="inlineStr">
        <is>
          <t>[M/o Horticulture Work at Tihar Jail Complex under Hort. Sub-H and J-I, HD-Health and Judiciary, PWD, New Delhi dg. 2026-27. SH-Providing and making arrangement of Flower Decoration]</t>
        </is>
      </c>
      <c r="E1234" s="14" t="inlineStr">
        <is>
          <t>Delhi Public Works &amp; Technology Department</t>
        </is>
      </c>
      <c r="F1234" s="13" t="inlineStr">
        <is>
          <t>17 Oct 2026</t>
        </is>
      </c>
      <c r="G1234" s="12" t="inlineStr">
        <is>
          <t>09 Nov 2026</t>
        </is>
      </c>
      <c r="H1234" s="17" t="inlineStr">
        <is>
          <t>🟢 LIVE ACTIVE</t>
        </is>
      </c>
      <c r="I1234" s="11" t="inlineStr">
        <is>
          <t>Tender_2026_PWD_299431_1_All_Documents.zip</t>
        </is>
      </c>
      <c r="J1234" s="13" t="inlineStr">
        <is>
          <t>📦 ZIP Package</t>
        </is>
      </c>
      <c r="K1234" s="15" t="n">
        <v>20.8</v>
      </c>
      <c r="L1234" s="16">
        <f>HYPERLINK("http://127.0.0.1:8000/api/documents/download?id=684&amp;attachment=true", "⬇ Download Tender_2026_PWD_299431_1")</f>
        <v/>
      </c>
      <c r="M1234" s="16">
        <f>HYPERLINK("http://localhost:5173/?state=Delhi&amp;keyword=Health&amp;tender=2026_PWD_299431_1", "🚀 Open in Portal")</f>
        <v/>
      </c>
    </row>
    <row r="1235" ht="24" customHeight="1">
      <c r="A1235" s="4" t="inlineStr">
        <is>
          <t>Delhi</t>
        </is>
      </c>
      <c r="B1235" s="5" t="inlineStr">
        <is>
          <t>Health</t>
        </is>
      </c>
      <c r="C1235" s="6" t="inlineStr">
        <is>
          <t>2026_PWD_299433_1</t>
        </is>
      </c>
      <c r="D1235" s="7" t="inlineStr">
        <is>
          <t>[M/o Horticulture work at Different Court (Delhi Judiciary Academy and Dwarka Court) under HSD H and J-I, HD-Health and Judiciary, PWD, Delhi, during 2026-27]</t>
        </is>
      </c>
      <c r="E1235" s="7" t="inlineStr">
        <is>
          <t>Delhi Public Works &amp; Technology Department</t>
        </is>
      </c>
      <c r="F1235" s="6" t="inlineStr">
        <is>
          <t>23 Jul 2026</t>
        </is>
      </c>
      <c r="G1235" s="5" t="inlineStr">
        <is>
          <t>16 Aug 2026</t>
        </is>
      </c>
      <c r="H1235" s="8" t="inlineStr">
        <is>
          <t>⏳ UPCOMING</t>
        </is>
      </c>
      <c r="I1235" s="4" t="inlineStr">
        <is>
          <t>Tendernotice_1.pdf</t>
        </is>
      </c>
      <c r="J1235" s="6" t="inlineStr">
        <is>
          <t>📕 PDF Document</t>
        </is>
      </c>
      <c r="K1235" s="9" t="n">
        <v>17.8</v>
      </c>
      <c r="L1235" s="10">
        <f>HYPERLINK("http://127.0.0.1:8000/api/documents/download?id=685&amp;attachment=true", "⬇ Download Tendernotice_1.pdf")</f>
        <v/>
      </c>
      <c r="M1235" s="10">
        <f>HYPERLINK("http://localhost:5173/?state=Delhi&amp;keyword=Health&amp;tender=2026_PWD_299433_1", "🚀 Open in Portal")</f>
        <v/>
      </c>
    </row>
    <row r="1236" ht="24" customHeight="1">
      <c r="A1236" s="11" t="inlineStr">
        <is>
          <t>Delhi</t>
        </is>
      </c>
      <c r="B1236" s="12" t="inlineStr">
        <is>
          <t>Health</t>
        </is>
      </c>
      <c r="C1236" s="13" t="inlineStr">
        <is>
          <t>2026_PWD_299433_1</t>
        </is>
      </c>
      <c r="D1236" s="14" t="inlineStr">
        <is>
          <t>[M/o Horticulture work at Different Court (Delhi Judiciary Academy and Dwarka Court) under HSD H and J-I, HD-Health and Judiciary, PWD, Delhi, during 2026-27]</t>
        </is>
      </c>
      <c r="E1236" s="14" t="inlineStr">
        <is>
          <t>Delhi Public Works &amp; Technology Department</t>
        </is>
      </c>
      <c r="F1236" s="13" t="inlineStr">
        <is>
          <t>23 Jul 2026</t>
        </is>
      </c>
      <c r="G1236" s="12" t="inlineStr">
        <is>
          <t>16 Aug 2026</t>
        </is>
      </c>
      <c r="H1236" s="8" t="inlineStr">
        <is>
          <t>⏳ UPCOMING</t>
        </is>
      </c>
      <c r="I1236" s="11" t="inlineStr">
        <is>
          <t>TNIT75.pdf</t>
        </is>
      </c>
      <c r="J1236" s="13" t="inlineStr">
        <is>
          <t>📕 PDF Document</t>
        </is>
      </c>
      <c r="K1236" s="15" t="n">
        <v>17.8</v>
      </c>
      <c r="L1236" s="16">
        <f>HYPERLINK("http://127.0.0.1:8000/api/documents/download?id=686&amp;attachment=true", "⬇ Download TNIT75.pdf")</f>
        <v/>
      </c>
      <c r="M1236" s="16">
        <f>HYPERLINK("http://localhost:5173/?state=Delhi&amp;keyword=Health&amp;tender=2026_PWD_299433_1", "🚀 Open in Portal")</f>
        <v/>
      </c>
    </row>
    <row r="1237" ht="24" customHeight="1">
      <c r="A1237" s="4" t="inlineStr">
        <is>
          <t>Delhi</t>
        </is>
      </c>
      <c r="B1237" s="5" t="inlineStr">
        <is>
          <t>Health</t>
        </is>
      </c>
      <c r="C1237" s="6" t="inlineStr">
        <is>
          <t>2026_PWD_299433_1</t>
        </is>
      </c>
      <c r="D1237" s="7" t="inlineStr">
        <is>
          <t>[M/o Horticulture work at Different Court (Delhi Judiciary Academy and Dwarka Court) under HSD H and J-I, HD-Health and Judiciary, PWD, Delhi, during 2026-27]</t>
        </is>
      </c>
      <c r="E1237" s="7" t="inlineStr">
        <is>
          <t>Delhi Public Works &amp; Technology Department</t>
        </is>
      </c>
      <c r="F1237" s="6" t="inlineStr">
        <is>
          <t>23 Jul 2026</t>
        </is>
      </c>
      <c r="G1237" s="5" t="inlineStr">
        <is>
          <t>16 Aug 2026</t>
        </is>
      </c>
      <c r="H1237" s="8" t="inlineStr">
        <is>
          <t>⏳ UPCOMING</t>
        </is>
      </c>
      <c r="I1237" s="4" t="inlineStr">
        <is>
          <t>BOQ_399629.xls</t>
        </is>
      </c>
      <c r="J1237" s="6" t="inlineStr">
        <is>
          <t>📊 Excel BOQ</t>
        </is>
      </c>
      <c r="K1237" s="9" t="n">
        <v>2.5</v>
      </c>
      <c r="L1237" s="10">
        <f>HYPERLINK("http://127.0.0.1:8000/api/documents/download?id=687&amp;attachment=true", "⬇ Download BOQ_399629.xls")</f>
        <v/>
      </c>
      <c r="M1237" s="10">
        <f>HYPERLINK("http://localhost:5173/?state=Delhi&amp;keyword=Health&amp;tender=2026_PWD_299433_1", "🚀 Open in Portal")</f>
        <v/>
      </c>
    </row>
    <row r="1238" ht="24" customHeight="1">
      <c r="A1238" s="11" t="inlineStr">
        <is>
          <t>Delhi</t>
        </is>
      </c>
      <c r="B1238" s="12" t="inlineStr">
        <is>
          <t>Health</t>
        </is>
      </c>
      <c r="C1238" s="13" t="inlineStr">
        <is>
          <t>2026_PWD_299433_1</t>
        </is>
      </c>
      <c r="D1238" s="14" t="inlineStr">
        <is>
          <t>[M/o Horticulture work at Different Court (Delhi Judiciary Academy and Dwarka Court) under HSD H and J-I, HD-Health and Judiciary, PWD, Delhi, during 2026-27]</t>
        </is>
      </c>
      <c r="E1238" s="14" t="inlineStr">
        <is>
          <t>Delhi Public Works &amp; Technology Department</t>
        </is>
      </c>
      <c r="F1238" s="13" t="inlineStr">
        <is>
          <t>23 Jul 2026</t>
        </is>
      </c>
      <c r="G1238" s="12" t="inlineStr">
        <is>
          <t>16 Aug 2026</t>
        </is>
      </c>
      <c r="H1238" s="8" t="inlineStr">
        <is>
          <t>⏳ UPCOMING</t>
        </is>
      </c>
      <c r="I1238" s="11" t="inlineStr">
        <is>
          <t>Tender_2026_PWD_299433_1_All_Documents.zip</t>
        </is>
      </c>
      <c r="J1238" s="13" t="inlineStr">
        <is>
          <t>📦 ZIP Package</t>
        </is>
      </c>
      <c r="K1238" s="15" t="n">
        <v>20.9</v>
      </c>
      <c r="L1238" s="16">
        <f>HYPERLINK("http://127.0.0.1:8000/api/documents/download?id=688&amp;attachment=true", "⬇ Download Tender_2026_PWD_299433_1")</f>
        <v/>
      </c>
      <c r="M1238" s="16">
        <f>HYPERLINK("http://localhost:5173/?state=Delhi&amp;keyword=Health&amp;tender=2026_PWD_299433_1", "🚀 Open in Portal")</f>
        <v/>
      </c>
    </row>
    <row r="1239" ht="24" customHeight="1">
      <c r="A1239" s="4" t="inlineStr">
        <is>
          <t>Delhi</t>
        </is>
      </c>
      <c r="B1239" s="5" t="inlineStr">
        <is>
          <t>Health</t>
        </is>
      </c>
      <c r="C1239" s="6" t="inlineStr">
        <is>
          <t>2026_PWD_299434_1</t>
        </is>
      </c>
      <c r="D1239" s="7" t="inlineStr">
        <is>
          <t>[M/o Hort. Work garden area attached to Karkardooma Courts under Hort. Sub-Division H and J-II, Horticulture Division-Health and Judiciary, PWD Delhi during -2026-27. ]</t>
        </is>
      </c>
      <c r="E1239" s="7" t="inlineStr">
        <is>
          <t>Delhi Public Works &amp; Technology Department</t>
        </is>
      </c>
      <c r="F1239" s="6" t="inlineStr">
        <is>
          <t>12 Oct 2026</t>
        </is>
      </c>
      <c r="G1239" s="5" t="inlineStr">
        <is>
          <t>02 Nov 2026</t>
        </is>
      </c>
      <c r="H1239" s="17" t="inlineStr">
        <is>
          <t>🟢 LIVE ACTIVE</t>
        </is>
      </c>
      <c r="I1239" s="4" t="inlineStr">
        <is>
          <t>Tendernotice_1.pdf</t>
        </is>
      </c>
      <c r="J1239" s="6" t="inlineStr">
        <is>
          <t>📕 PDF Document</t>
        </is>
      </c>
      <c r="K1239" s="9" t="n">
        <v>17.8</v>
      </c>
      <c r="L1239" s="10">
        <f>HYPERLINK("http://127.0.0.1:8000/api/documents/download?id=677&amp;attachment=true", "⬇ Download Tendernotice_1.pdf")</f>
        <v/>
      </c>
      <c r="M1239" s="10">
        <f>HYPERLINK("http://localhost:5173/?state=Delhi&amp;keyword=Health&amp;tender=2026_PWD_299434_1", "🚀 Open in Portal")</f>
        <v/>
      </c>
    </row>
    <row r="1240" ht="24" customHeight="1">
      <c r="A1240" s="11" t="inlineStr">
        <is>
          <t>Delhi</t>
        </is>
      </c>
      <c r="B1240" s="12" t="inlineStr">
        <is>
          <t>Health</t>
        </is>
      </c>
      <c r="C1240" s="13" t="inlineStr">
        <is>
          <t>2026_PWD_299434_1</t>
        </is>
      </c>
      <c r="D1240" s="14" t="inlineStr">
        <is>
          <t>[M/o Hort. Work garden area attached to Karkardooma Courts under Hort. Sub-Division H and J-II, Horticulture Division-Health and Judiciary, PWD Delhi during -2026-27. ]</t>
        </is>
      </c>
      <c r="E1240" s="14" t="inlineStr">
        <is>
          <t>Delhi Public Works &amp; Technology Department</t>
        </is>
      </c>
      <c r="F1240" s="13" t="inlineStr">
        <is>
          <t>12 Oct 2026</t>
        </is>
      </c>
      <c r="G1240" s="12" t="inlineStr">
        <is>
          <t>02 Nov 2026</t>
        </is>
      </c>
      <c r="H1240" s="17" t="inlineStr">
        <is>
          <t>🟢 LIVE ACTIVE</t>
        </is>
      </c>
      <c r="I1240" s="11" t="inlineStr">
        <is>
          <t>BOQ_399625.xls</t>
        </is>
      </c>
      <c r="J1240" s="13" t="inlineStr">
        <is>
          <t>📊 Excel BOQ</t>
        </is>
      </c>
      <c r="K1240" s="15" t="n">
        <v>2.5</v>
      </c>
      <c r="L1240" s="16">
        <f>HYPERLINK("http://127.0.0.1:8000/api/documents/download?id=678&amp;attachment=true", "⬇ Download BOQ_399625.xls")</f>
        <v/>
      </c>
      <c r="M1240" s="16">
        <f>HYPERLINK("http://localhost:5173/?state=Delhi&amp;keyword=Health&amp;tender=2026_PWD_299434_1", "🚀 Open in Portal")</f>
        <v/>
      </c>
    </row>
    <row r="1241" ht="24" customHeight="1">
      <c r="A1241" s="4" t="inlineStr">
        <is>
          <t>Delhi</t>
        </is>
      </c>
      <c r="B1241" s="5" t="inlineStr">
        <is>
          <t>Health</t>
        </is>
      </c>
      <c r="C1241" s="6" t="inlineStr">
        <is>
          <t>2026_PWD_299434_1</t>
        </is>
      </c>
      <c r="D1241" s="7" t="inlineStr">
        <is>
          <t>[M/o Hort. Work garden area attached to Karkardooma Courts under Hort. Sub-Division H and J-II, Horticulture Division-Health and Judiciary, PWD Delhi during -2026-27. ]</t>
        </is>
      </c>
      <c r="E1241" s="7" t="inlineStr">
        <is>
          <t>Delhi Public Works &amp; Technology Department</t>
        </is>
      </c>
      <c r="F1241" s="6" t="inlineStr">
        <is>
          <t>12 Oct 2026</t>
        </is>
      </c>
      <c r="G1241" s="5" t="inlineStr">
        <is>
          <t>02 Nov 2026</t>
        </is>
      </c>
      <c r="H1241" s="17" t="inlineStr">
        <is>
          <t>🟢 LIVE ACTIVE</t>
        </is>
      </c>
      <c r="I1241" s="4" t="inlineStr">
        <is>
          <t>Tdoc74.pdf</t>
        </is>
      </c>
      <c r="J1241" s="6" t="inlineStr">
        <is>
          <t>📕 PDF Document</t>
        </is>
      </c>
      <c r="K1241" s="9" t="n">
        <v>17.8</v>
      </c>
      <c r="L1241" s="10">
        <f>HYPERLINK("http://127.0.0.1:8000/api/documents/download?id=679&amp;attachment=true", "⬇ Download Tdoc74.pdf")</f>
        <v/>
      </c>
      <c r="M1241" s="10">
        <f>HYPERLINK("http://localhost:5173/?state=Delhi&amp;keyword=Health&amp;tender=2026_PWD_299434_1", "🚀 Open in Portal")</f>
        <v/>
      </c>
    </row>
    <row r="1242" ht="24" customHeight="1">
      <c r="A1242" s="11" t="inlineStr">
        <is>
          <t>Delhi</t>
        </is>
      </c>
      <c r="B1242" s="12" t="inlineStr">
        <is>
          <t>Health</t>
        </is>
      </c>
      <c r="C1242" s="13" t="inlineStr">
        <is>
          <t>2026_PWD_299434_1</t>
        </is>
      </c>
      <c r="D1242" s="14" t="inlineStr">
        <is>
          <t>[M/o Hort. Work garden area attached to Karkardooma Courts under Hort. Sub-Division H and J-II, Horticulture Division-Health and Judiciary, PWD Delhi during -2026-27. ]</t>
        </is>
      </c>
      <c r="E1242" s="14" t="inlineStr">
        <is>
          <t>Delhi Public Works &amp; Technology Department</t>
        </is>
      </c>
      <c r="F1242" s="13" t="inlineStr">
        <is>
          <t>12 Oct 2026</t>
        </is>
      </c>
      <c r="G1242" s="12" t="inlineStr">
        <is>
          <t>02 Nov 2026</t>
        </is>
      </c>
      <c r="H1242" s="17" t="inlineStr">
        <is>
          <t>🟢 LIVE ACTIVE</t>
        </is>
      </c>
      <c r="I1242" s="11" t="inlineStr">
        <is>
          <t>Tender_2026_PWD_299434_1_All_Documents.zip</t>
        </is>
      </c>
      <c r="J1242" s="13" t="inlineStr">
        <is>
          <t>📦 ZIP Package</t>
        </is>
      </c>
      <c r="K1242" s="15" t="n">
        <v>20.8</v>
      </c>
      <c r="L1242" s="16">
        <f>HYPERLINK("http://127.0.0.1:8000/api/documents/download?id=680&amp;attachment=true", "⬇ Download Tender_2026_PWD_299434_1")</f>
        <v/>
      </c>
      <c r="M1242" s="16">
        <f>HYPERLINK("http://localhost:5173/?state=Delhi&amp;keyword=Health&amp;tender=2026_PWD_299434_1", "🚀 Open in Portal")</f>
        <v/>
      </c>
    </row>
    <row r="1243" ht="24" customHeight="1">
      <c r="A1243" s="4" t="inlineStr">
        <is>
          <t>Delhi</t>
        </is>
      </c>
      <c r="B1243" s="5" t="inlineStr">
        <is>
          <t>Health</t>
        </is>
      </c>
      <c r="C1243" s="6" t="inlineStr">
        <is>
          <t>2026_PWD_299488_1</t>
        </is>
      </c>
      <c r="D1243" s="7" t="inlineStr">
        <is>
          <t>[Comprehensive consultancy services for redevelopment planning for Maulana Azad Medical College including all Associated Hospital Complexes]</t>
        </is>
      </c>
      <c r="E1243" s="7" t="inlineStr">
        <is>
          <t>Delhi Public Works &amp; Technology Department</t>
        </is>
      </c>
      <c r="F1243" s="6" t="inlineStr">
        <is>
          <t>07 Oct 2026</t>
        </is>
      </c>
      <c r="G1243" s="5" t="inlineStr">
        <is>
          <t>12 Nov 2026</t>
        </is>
      </c>
      <c r="H1243" s="17" t="inlineStr">
        <is>
          <t>🟢 LIVE ACTIVE</t>
        </is>
      </c>
      <c r="I1243" s="4" t="inlineStr">
        <is>
          <t>Tendernotice_1.pdf</t>
        </is>
      </c>
      <c r="J1243" s="6" t="inlineStr">
        <is>
          <t>📕 PDF Document</t>
        </is>
      </c>
      <c r="K1243" s="9" t="n">
        <v>17.8</v>
      </c>
      <c r="L1243" s="10">
        <f>HYPERLINK("http://127.0.0.1:8000/api/documents/download?id=673&amp;attachment=true", "⬇ Download Tendernotice_1.pdf")</f>
        <v/>
      </c>
      <c r="M1243" s="10">
        <f>HYPERLINK("http://localhost:5173/?state=Delhi&amp;keyword=Health&amp;tender=2026_PWD_299488_1", "🚀 Open in Portal")</f>
        <v/>
      </c>
    </row>
    <row r="1244" ht="24" customHeight="1">
      <c r="A1244" s="11" t="inlineStr">
        <is>
          <t>Delhi</t>
        </is>
      </c>
      <c r="B1244" s="12" t="inlineStr">
        <is>
          <t>Health</t>
        </is>
      </c>
      <c r="C1244" s="13" t="inlineStr">
        <is>
          <t>2026_PWD_299488_1</t>
        </is>
      </c>
      <c r="D1244" s="14" t="inlineStr">
        <is>
          <t>[Comprehensive consultancy services for redevelopment planning for Maulana Azad Medical College including all Associated Hospital Complexes]</t>
        </is>
      </c>
      <c r="E1244" s="14" t="inlineStr">
        <is>
          <t>Delhi Public Works &amp; Technology Department</t>
        </is>
      </c>
      <c r="F1244" s="13" t="inlineStr">
        <is>
          <t>07 Oct 2026</t>
        </is>
      </c>
      <c r="G1244" s="12" t="inlineStr">
        <is>
          <t>12 Nov 2026</t>
        </is>
      </c>
      <c r="H1244" s="17" t="inlineStr">
        <is>
          <t>🟢 LIVE ACTIVE</t>
        </is>
      </c>
      <c r="I1244" s="11" t="inlineStr">
        <is>
          <t>NIT.pdf</t>
        </is>
      </c>
      <c r="J1244" s="13" t="inlineStr">
        <is>
          <t>📕 PDF Document</t>
        </is>
      </c>
      <c r="K1244" s="15" t="n">
        <v>17.8</v>
      </c>
      <c r="L1244" s="16">
        <f>HYPERLINK("http://127.0.0.1:8000/api/documents/download?id=674&amp;attachment=true", "⬇ Download NIT.pdf")</f>
        <v/>
      </c>
      <c r="M1244" s="16">
        <f>HYPERLINK("http://localhost:5173/?state=Delhi&amp;keyword=Health&amp;tender=2026_PWD_299488_1", "🚀 Open in Portal")</f>
        <v/>
      </c>
    </row>
    <row r="1245" ht="24" customHeight="1">
      <c r="A1245" s="4" t="inlineStr">
        <is>
          <t>Delhi</t>
        </is>
      </c>
      <c r="B1245" s="5" t="inlineStr">
        <is>
          <t>Health</t>
        </is>
      </c>
      <c r="C1245" s="6" t="inlineStr">
        <is>
          <t>2026_PWD_299488_1</t>
        </is>
      </c>
      <c r="D1245" s="7" t="inlineStr">
        <is>
          <t>[Comprehensive consultancy services for redevelopment planning for Maulana Azad Medical College including all Associated Hospital Complexes]</t>
        </is>
      </c>
      <c r="E1245" s="7" t="inlineStr">
        <is>
          <t>Delhi Public Works &amp; Technology Department</t>
        </is>
      </c>
      <c r="F1245" s="6" t="inlineStr">
        <is>
          <t>07 Oct 2026</t>
        </is>
      </c>
      <c r="G1245" s="5" t="inlineStr">
        <is>
          <t>12 Nov 2026</t>
        </is>
      </c>
      <c r="H1245" s="17" t="inlineStr">
        <is>
          <t>🟢 LIVE ACTIVE</t>
        </is>
      </c>
      <c r="I1245" s="4" t="inlineStr">
        <is>
          <t>BOQ_399692.xls</t>
        </is>
      </c>
      <c r="J1245" s="6" t="inlineStr">
        <is>
          <t>📊 Excel BOQ</t>
        </is>
      </c>
      <c r="K1245" s="9" t="n">
        <v>2.5</v>
      </c>
      <c r="L1245" s="10">
        <f>HYPERLINK("http://127.0.0.1:8000/api/documents/download?id=675&amp;attachment=true", "⬇ Download BOQ_399692.xls")</f>
        <v/>
      </c>
      <c r="M1245" s="10">
        <f>HYPERLINK("http://localhost:5173/?state=Delhi&amp;keyword=Health&amp;tender=2026_PWD_299488_1", "🚀 Open in Portal")</f>
        <v/>
      </c>
    </row>
    <row r="1246" ht="24" customHeight="1">
      <c r="A1246" s="11" t="inlineStr">
        <is>
          <t>Delhi</t>
        </is>
      </c>
      <c r="B1246" s="12" t="inlineStr">
        <is>
          <t>Health</t>
        </is>
      </c>
      <c r="C1246" s="13" t="inlineStr">
        <is>
          <t>2026_PWD_299488_1</t>
        </is>
      </c>
      <c r="D1246" s="14" t="inlineStr">
        <is>
          <t>[Comprehensive consultancy services for redevelopment planning for Maulana Azad Medical College including all Associated Hospital Complexes]</t>
        </is>
      </c>
      <c r="E1246" s="14" t="inlineStr">
        <is>
          <t>Delhi Public Works &amp; Technology Department</t>
        </is>
      </c>
      <c r="F1246" s="13" t="inlineStr">
        <is>
          <t>07 Oct 2026</t>
        </is>
      </c>
      <c r="G1246" s="12" t="inlineStr">
        <is>
          <t>12 Nov 2026</t>
        </is>
      </c>
      <c r="H1246" s="17" t="inlineStr">
        <is>
          <t>🟢 LIVE ACTIVE</t>
        </is>
      </c>
      <c r="I1246" s="11" t="inlineStr">
        <is>
          <t>Tender_2026_PWD_299488_1_All_Documents.zip</t>
        </is>
      </c>
      <c r="J1246" s="13" t="inlineStr">
        <is>
          <t>📦 ZIP Package</t>
        </is>
      </c>
      <c r="K1246" s="15" t="n">
        <v>20.7</v>
      </c>
      <c r="L1246" s="16">
        <f>HYPERLINK("http://127.0.0.1:8000/api/documents/download?id=676&amp;attachment=true", "⬇ Download Tender_2026_PWD_299488_1")</f>
        <v/>
      </c>
      <c r="M1246" s="16">
        <f>HYPERLINK("http://localhost:5173/?state=Delhi&amp;keyword=Health&amp;tender=2026_PWD_299488_1", "🚀 Open in Portal")</f>
        <v/>
      </c>
    </row>
    <row r="1247" ht="24" customHeight="1">
      <c r="A1247" s="4" t="inlineStr">
        <is>
          <t>Delhi</t>
        </is>
      </c>
      <c r="B1247" s="5" t="inlineStr">
        <is>
          <t>Spatial</t>
        </is>
      </c>
      <c r="C1247" s="6" t="inlineStr">
        <is>
          <t>2026_DEL_1201894_70</t>
        </is>
      </c>
      <c r="D1247" s="7" t="inlineStr">
        <is>
          <t>Spatial-Based Geospatial Road Asset Inventory &amp; Pavement Condition Digital Survey</t>
        </is>
      </c>
      <c r="E1247" s="7" t="inlineStr">
        <is>
          <t>PUBLIC WORKS &amp; HIGHWAYS DEPARTMENT</t>
        </is>
      </c>
      <c r="F1247" s="6" t="inlineStr">
        <is>
          <t>24 Sep 2026</t>
        </is>
      </c>
      <c r="G1247" s="5" t="inlineStr">
        <is>
          <t>15 Nov 2026</t>
        </is>
      </c>
      <c r="H1247" s="17" t="inlineStr">
        <is>
          <t>🟢 LIVE ACTIVE</t>
        </is>
      </c>
      <c r="I1247" s="4" t="inlineStr">
        <is>
          <t>Tendernotice_2026_DEL_1201894_70.pdf</t>
        </is>
      </c>
      <c r="J1247" s="6" t="inlineStr">
        <is>
          <t>📕 PDF Document</t>
        </is>
      </c>
      <c r="K1247" s="9" t="n">
        <v>7.6</v>
      </c>
      <c r="L1247" s="10">
        <f>HYPERLINK("http://127.0.0.1:8000/api/documents/download?id=3393&amp;attachment=true", "⬇ Download Tendernotice_2026_DEL_12")</f>
        <v/>
      </c>
      <c r="M1247" s="10">
        <f>HYPERLINK("http://localhost:5173/?state=Delhi&amp;keyword=Spatial&amp;tender=2026_DEL_1201894_70", "🚀 Open in Portal")</f>
        <v/>
      </c>
    </row>
    <row r="1248" ht="24" customHeight="1">
      <c r="A1248" s="11" t="inlineStr">
        <is>
          <t>Delhi</t>
        </is>
      </c>
      <c r="B1248" s="12" t="inlineStr">
        <is>
          <t>Spatial</t>
        </is>
      </c>
      <c r="C1248" s="13" t="inlineStr">
        <is>
          <t>2026_DEL_1201894_70</t>
        </is>
      </c>
      <c r="D1248" s="14" t="inlineStr">
        <is>
          <t>Spatial-Based Geospatial Road Asset Inventory &amp; Pavement Condition Digital Survey</t>
        </is>
      </c>
      <c r="E1248" s="14" t="inlineStr">
        <is>
          <t>PUBLIC WORKS &amp; HIGHWAYS DEPARTMENT</t>
        </is>
      </c>
      <c r="F1248" s="13" t="inlineStr">
        <is>
          <t>24 Sep 2026</t>
        </is>
      </c>
      <c r="G1248" s="12" t="inlineStr">
        <is>
          <t>15 Nov 2026</t>
        </is>
      </c>
      <c r="H1248" s="17" t="inlineStr">
        <is>
          <t>🟢 LIVE ACTIVE</t>
        </is>
      </c>
      <c r="I1248" s="11" t="inlineStr">
        <is>
          <t>Technical_RFP_Specification_Spatial.pdf</t>
        </is>
      </c>
      <c r="J1248" s="13" t="inlineStr">
        <is>
          <t>📕 PDF Document</t>
        </is>
      </c>
      <c r="K1248" s="15" t="n">
        <v>7.6</v>
      </c>
      <c r="L1248" s="16">
        <f>HYPERLINK("http://127.0.0.1:8000/api/documents/download?id=3394&amp;attachment=true", "⬇ Download Technical_RFP_Specificat")</f>
        <v/>
      </c>
      <c r="M1248" s="16">
        <f>HYPERLINK("http://localhost:5173/?state=Delhi&amp;keyword=Spatial&amp;tender=2026_DEL_1201894_70", "🚀 Open in Portal")</f>
        <v/>
      </c>
    </row>
    <row r="1249" ht="24" customHeight="1">
      <c r="A1249" s="4" t="inlineStr">
        <is>
          <t>Delhi</t>
        </is>
      </c>
      <c r="B1249" s="5" t="inlineStr">
        <is>
          <t>Spatial</t>
        </is>
      </c>
      <c r="C1249" s="6" t="inlineStr">
        <is>
          <t>2026_DEL_1201894_70</t>
        </is>
      </c>
      <c r="D1249" s="7" t="inlineStr">
        <is>
          <t>Spatial-Based Geospatial Road Asset Inventory &amp; Pavement Condition Digital Survey</t>
        </is>
      </c>
      <c r="E1249" s="7" t="inlineStr">
        <is>
          <t>PUBLIC WORKS &amp; HIGHWAYS DEPARTMENT</t>
        </is>
      </c>
      <c r="F1249" s="6" t="inlineStr">
        <is>
          <t>24 Sep 2026</t>
        </is>
      </c>
      <c r="G1249" s="5" t="inlineStr">
        <is>
          <t>15 Nov 2026</t>
        </is>
      </c>
      <c r="H1249" s="17" t="inlineStr">
        <is>
          <t>🟢 LIVE ACTIVE</t>
        </is>
      </c>
      <c r="I1249" s="4" t="inlineStr">
        <is>
          <t>BOQ_Financial_Schedule_2026_DEL_1201894_70.xlsx</t>
        </is>
      </c>
      <c r="J1249" s="6" t="inlineStr">
        <is>
          <t>📊 Excel BOQ</t>
        </is>
      </c>
      <c r="K1249" s="9" t="n">
        <v>5.9</v>
      </c>
      <c r="L1249" s="10">
        <f>HYPERLINK("http://127.0.0.1:8000/api/documents/download?id=3395&amp;attachment=true", "⬇ Download BOQ_Financial_Schedule_2")</f>
        <v/>
      </c>
      <c r="M1249" s="10">
        <f>HYPERLINK("http://localhost:5173/?state=Delhi&amp;keyword=Spatial&amp;tender=2026_DEL_1201894_70", "🚀 Open in Portal")</f>
        <v/>
      </c>
    </row>
    <row r="1250" ht="24" customHeight="1">
      <c r="A1250" s="11" t="inlineStr">
        <is>
          <t>Delhi</t>
        </is>
      </c>
      <c r="B1250" s="12" t="inlineStr">
        <is>
          <t>Spatial</t>
        </is>
      </c>
      <c r="C1250" s="13" t="inlineStr">
        <is>
          <t>2026_DEL_1201894_70</t>
        </is>
      </c>
      <c r="D1250" s="14" t="inlineStr">
        <is>
          <t>Spatial-Based Geospatial Road Asset Inventory &amp; Pavement Condition Digital Survey</t>
        </is>
      </c>
      <c r="E1250" s="14" t="inlineStr">
        <is>
          <t>PUBLIC WORKS &amp; HIGHWAYS DEPARTMENT</t>
        </is>
      </c>
      <c r="F1250" s="13" t="inlineStr">
        <is>
          <t>24 Sep 2026</t>
        </is>
      </c>
      <c r="G1250" s="12" t="inlineStr">
        <is>
          <t>15 Nov 2026</t>
        </is>
      </c>
      <c r="H1250" s="17" t="inlineStr">
        <is>
          <t>🟢 LIVE ACTIVE</t>
        </is>
      </c>
      <c r="I1250" s="11" t="inlineStr">
        <is>
          <t>Tender_2026_DEL_1201894_70_All_Documents.zip</t>
        </is>
      </c>
      <c r="J1250" s="13" t="inlineStr">
        <is>
          <t>📦 ZIP Package</t>
        </is>
      </c>
      <c r="K1250" s="15" t="n">
        <v>45</v>
      </c>
      <c r="L1250" s="16">
        <f>HYPERLINK("https://govtprocurement.delhi.gov.in/tender/2026_DEL_1201894_70", "⬇ Download Tender_2026_DEL_1201894_")</f>
        <v/>
      </c>
      <c r="M1250" s="16">
        <f>HYPERLINK("http://localhost:5173/?state=Delhi&amp;keyword=Spatial&amp;tender=2026_DEL_1201894_70", "🚀 Open in Portal")</f>
        <v/>
      </c>
    </row>
    <row r="1251" ht="24" customHeight="1">
      <c r="A1251" s="4" t="inlineStr">
        <is>
          <t>Delhi</t>
        </is>
      </c>
      <c r="B1251" s="5" t="inlineStr">
        <is>
          <t>Spatial</t>
        </is>
      </c>
      <c r="C1251" s="6" t="inlineStr">
        <is>
          <t>2026_PWD_299840_1</t>
        </is>
      </c>
      <c r="D1251" s="7" t="inlineStr">
        <is>
          <t>Geospatial Road Asset Inventory and Automated Pavement Condition Survey using Mobile LiDAR Scanning</t>
        </is>
      </c>
      <c r="E1251" s="7" t="inlineStr">
        <is>
          <t>PUBLIC WORKS DEPARTMENT DELHI-Roads &amp; Bridges</t>
        </is>
      </c>
      <c r="F1251" s="6" t="inlineStr">
        <is>
          <t>21 Sep 2026</t>
        </is>
      </c>
      <c r="G1251" s="5" t="inlineStr">
        <is>
          <t>21 Oct 2026</t>
        </is>
      </c>
      <c r="H1251" s="18" t="inlineStr">
        <is>
          <t>⚠️ CLOSING SOON</t>
        </is>
      </c>
      <c r="I1251" s="4" t="inlineStr">
        <is>
          <t>Tendernotice_LiDAR_Survey.pdf</t>
        </is>
      </c>
      <c r="J1251" s="6" t="inlineStr">
        <is>
          <t>📕 PDF Document</t>
        </is>
      </c>
      <c r="K1251" s="9" t="n">
        <v>17.9</v>
      </c>
      <c r="L1251" s="10">
        <f>HYPERLINK("http://127.0.0.1:8000/api/documents/download?id=2970&amp;attachment=true", "⬇ Download Tendernotice_LiDAR_Surve")</f>
        <v/>
      </c>
      <c r="M1251" s="10">
        <f>HYPERLINK("http://localhost:5173/?state=Delhi&amp;keyword=Spatial&amp;tender=2026_PWD_299840_1", "🚀 Open in Portal")</f>
        <v/>
      </c>
    </row>
    <row r="1252" ht="24" customHeight="1">
      <c r="A1252" s="11" t="inlineStr">
        <is>
          <t>Delhi</t>
        </is>
      </c>
      <c r="B1252" s="12" t="inlineStr">
        <is>
          <t>Spatial</t>
        </is>
      </c>
      <c r="C1252" s="13" t="inlineStr">
        <is>
          <t>2026_PWD_299840_1</t>
        </is>
      </c>
      <c r="D1252" s="14" t="inlineStr">
        <is>
          <t>Geospatial Road Asset Inventory and Automated Pavement Condition Survey using Mobile LiDAR Scanning</t>
        </is>
      </c>
      <c r="E1252" s="14" t="inlineStr">
        <is>
          <t>PUBLIC WORKS DEPARTMENT DELHI-Roads &amp; Bridges</t>
        </is>
      </c>
      <c r="F1252" s="13" t="inlineStr">
        <is>
          <t>21 Sep 2026</t>
        </is>
      </c>
      <c r="G1252" s="12" t="inlineStr">
        <is>
          <t>21 Oct 2026</t>
        </is>
      </c>
      <c r="H1252" s="18" t="inlineStr">
        <is>
          <t>⚠️ CLOSING SOON</t>
        </is>
      </c>
      <c r="I1252" s="11" t="inlineStr">
        <is>
          <t>RFP_Specification_PMS.pdf</t>
        </is>
      </c>
      <c r="J1252" s="13" t="inlineStr">
        <is>
          <t>📕 PDF Document</t>
        </is>
      </c>
      <c r="K1252" s="15" t="n">
        <v>17.9</v>
      </c>
      <c r="L1252" s="16">
        <f>HYPERLINK("http://127.0.0.1:8000/api/documents/download?id=2971&amp;attachment=true", "⬇ Download RFP_Specification_PMS.pd")</f>
        <v/>
      </c>
      <c r="M1252" s="16">
        <f>HYPERLINK("http://localhost:5173/?state=Delhi&amp;keyword=Spatial&amp;tender=2026_PWD_299840_1", "🚀 Open in Portal")</f>
        <v/>
      </c>
    </row>
    <row r="1253" ht="24" customHeight="1">
      <c r="A1253" s="4" t="inlineStr">
        <is>
          <t>Delhi</t>
        </is>
      </c>
      <c r="B1253" s="5" t="inlineStr">
        <is>
          <t>Spatial</t>
        </is>
      </c>
      <c r="C1253" s="6" t="inlineStr">
        <is>
          <t>2026_PWD_299840_1</t>
        </is>
      </c>
      <c r="D1253" s="7" t="inlineStr">
        <is>
          <t>Geospatial Road Asset Inventory and Automated Pavement Condition Survey using Mobile LiDAR Scanning</t>
        </is>
      </c>
      <c r="E1253" s="7" t="inlineStr">
        <is>
          <t>PUBLIC WORKS DEPARTMENT DELHI-Roads &amp; Bridges</t>
        </is>
      </c>
      <c r="F1253" s="6" t="inlineStr">
        <is>
          <t>21 Sep 2026</t>
        </is>
      </c>
      <c r="G1253" s="5" t="inlineStr">
        <is>
          <t>21 Oct 2026</t>
        </is>
      </c>
      <c r="H1253" s="18" t="inlineStr">
        <is>
          <t>⚠️ CLOSING SOON</t>
        </is>
      </c>
      <c r="I1253" s="4" t="inlineStr">
        <is>
          <t>BOQ_Financial_Schedule.xlsx</t>
        </is>
      </c>
      <c r="J1253" s="6" t="inlineStr">
        <is>
          <t>📊 Excel BOQ</t>
        </is>
      </c>
      <c r="K1253" s="9" t="n">
        <v>2.5</v>
      </c>
      <c r="L1253" s="10">
        <f>HYPERLINK("http://127.0.0.1:8000/api/documents/download?id=2972&amp;attachment=true", "⬇ Download BOQ_Financial_Schedule.x")</f>
        <v/>
      </c>
      <c r="M1253" s="10">
        <f>HYPERLINK("http://localhost:5173/?state=Delhi&amp;keyword=Spatial&amp;tender=2026_PWD_299840_1", "🚀 Open in Portal")</f>
        <v/>
      </c>
    </row>
    <row r="1254" ht="24" customHeight="1">
      <c r="A1254" s="11" t="inlineStr">
        <is>
          <t>Delhi</t>
        </is>
      </c>
      <c r="B1254" s="12" t="inlineStr">
        <is>
          <t>Spatial</t>
        </is>
      </c>
      <c r="C1254" s="13" t="inlineStr">
        <is>
          <t>2026_PWD_299840_1</t>
        </is>
      </c>
      <c r="D1254" s="14" t="inlineStr">
        <is>
          <t>Geospatial Road Asset Inventory and Automated Pavement Condition Survey using Mobile LiDAR Scanning</t>
        </is>
      </c>
      <c r="E1254" s="14" t="inlineStr">
        <is>
          <t>PUBLIC WORKS DEPARTMENT DELHI-Roads &amp; Bridges</t>
        </is>
      </c>
      <c r="F1254" s="13" t="inlineStr">
        <is>
          <t>21 Sep 2026</t>
        </is>
      </c>
      <c r="G1254" s="12" t="inlineStr">
        <is>
          <t>21 Oct 2026</t>
        </is>
      </c>
      <c r="H1254" s="18" t="inlineStr">
        <is>
          <t>⚠️ CLOSING SOON</t>
        </is>
      </c>
      <c r="I1254" s="11" t="inlineStr">
        <is>
          <t>Tender_2026_PWD_299840_1_All_Documents.zip</t>
        </is>
      </c>
      <c r="J1254" s="13" t="inlineStr">
        <is>
          <t>📦 ZIP Package</t>
        </is>
      </c>
      <c r="K1254" s="15" t="n">
        <v>20.9</v>
      </c>
      <c r="L1254" s="16">
        <f>HYPERLINK("http://127.0.0.1:8000/api/documents/download?id=3037&amp;attachment=true", "⬇ Download Tender_2026_PWD_299840_1")</f>
        <v/>
      </c>
      <c r="M1254" s="16">
        <f>HYPERLINK("http://localhost:5173/?state=Delhi&amp;keyword=Spatial&amp;tender=2026_PWD_299840_1", "🚀 Open in Portal")</f>
        <v/>
      </c>
    </row>
    <row r="1255" ht="24" customHeight="1">
      <c r="A1255" s="4" t="inlineStr">
        <is>
          <t>Delhi</t>
        </is>
      </c>
      <c r="B1255" s="5" t="inlineStr">
        <is>
          <t>MIS</t>
        </is>
      </c>
      <c r="C1255" s="6" t="inlineStr">
        <is>
          <t>2026_DTC_299741_1</t>
        </is>
      </c>
      <c r="D1255" s="7" t="inlineStr">
        <is>
          <t>[Supply, Installation, Testing and Commissioning of street light poles and high mast tower at Okhla Depot (CWS-II).]</t>
        </is>
      </c>
      <c r="E1255" s="7" t="inlineStr">
        <is>
          <t>Delhi Public Works &amp; Technology Department</t>
        </is>
      </c>
      <c r="F1255" s="6" t="inlineStr">
        <is>
          <t>24 Oct 2026</t>
        </is>
      </c>
      <c r="G1255" s="5" t="inlineStr">
        <is>
          <t>14 Nov 2026</t>
        </is>
      </c>
      <c r="H1255" s="8" t="inlineStr">
        <is>
          <t>⏳ UPCOMING</t>
        </is>
      </c>
      <c r="I1255" s="4" t="inlineStr">
        <is>
          <t>Tendernotice_1.pdf</t>
        </is>
      </c>
      <c r="J1255" s="6" t="inlineStr">
        <is>
          <t>📕 PDF Document</t>
        </is>
      </c>
      <c r="K1255" s="9" t="n">
        <v>17.8</v>
      </c>
      <c r="L1255" s="10">
        <f>HYPERLINK("http://127.0.0.1:8000/api/documents/download?id=701&amp;attachment=true", "⬇ Download Tendernotice_1.pdf")</f>
        <v/>
      </c>
      <c r="M1255" s="10">
        <f>HYPERLINK("http://localhost:5173/?state=Delhi&amp;keyword=MIS&amp;tender=2026_DTC_299741_1", "🚀 Open in Portal")</f>
        <v/>
      </c>
    </row>
    <row r="1256" ht="24" customHeight="1">
      <c r="A1256" s="11" t="inlineStr">
        <is>
          <t>Delhi</t>
        </is>
      </c>
      <c r="B1256" s="12" t="inlineStr">
        <is>
          <t>MIS</t>
        </is>
      </c>
      <c r="C1256" s="13" t="inlineStr">
        <is>
          <t>2026_DTC_299741_1</t>
        </is>
      </c>
      <c r="D1256" s="14" t="inlineStr">
        <is>
          <t>[Supply, Installation, Testing and Commissioning of street light poles and high mast tower at Okhla Depot (CWS-II).]</t>
        </is>
      </c>
      <c r="E1256" s="14" t="inlineStr">
        <is>
          <t>Delhi Public Works &amp; Technology Department</t>
        </is>
      </c>
      <c r="F1256" s="13" t="inlineStr">
        <is>
          <t>24 Oct 2026</t>
        </is>
      </c>
      <c r="G1256" s="12" t="inlineStr">
        <is>
          <t>14 Nov 2026</t>
        </is>
      </c>
      <c r="H1256" s="8" t="inlineStr">
        <is>
          <t>⏳ UPCOMING</t>
        </is>
      </c>
      <c r="I1256" s="11" t="inlineStr">
        <is>
          <t>tenderdocumentDTC.pdf</t>
        </is>
      </c>
      <c r="J1256" s="13" t="inlineStr">
        <is>
          <t>📕 PDF Document</t>
        </is>
      </c>
      <c r="K1256" s="15" t="n">
        <v>17.8</v>
      </c>
      <c r="L1256" s="16">
        <f>HYPERLINK("http://127.0.0.1:8000/api/documents/download?id=702&amp;attachment=true", "⬇ Download tenderdocumentDTC.pdf")</f>
        <v/>
      </c>
      <c r="M1256" s="16">
        <f>HYPERLINK("http://localhost:5173/?state=Delhi&amp;keyword=MIS&amp;tender=2026_DTC_299741_1", "🚀 Open in Portal")</f>
        <v/>
      </c>
    </row>
    <row r="1257" ht="24" customHeight="1">
      <c r="A1257" s="4" t="inlineStr">
        <is>
          <t>Delhi</t>
        </is>
      </c>
      <c r="B1257" s="5" t="inlineStr">
        <is>
          <t>MIS</t>
        </is>
      </c>
      <c r="C1257" s="6" t="inlineStr">
        <is>
          <t>2026_DTC_299741_1</t>
        </is>
      </c>
      <c r="D1257" s="7" t="inlineStr">
        <is>
          <t>[Supply, Installation, Testing and Commissioning of street light poles and high mast tower at Okhla Depot (CWS-II).]</t>
        </is>
      </c>
      <c r="E1257" s="7" t="inlineStr">
        <is>
          <t>Delhi Public Works &amp; Technology Department</t>
        </is>
      </c>
      <c r="F1257" s="6" t="inlineStr">
        <is>
          <t>24 Oct 2026</t>
        </is>
      </c>
      <c r="G1257" s="5" t="inlineStr">
        <is>
          <t>14 Nov 2026</t>
        </is>
      </c>
      <c r="H1257" s="8" t="inlineStr">
        <is>
          <t>⏳ UPCOMING</t>
        </is>
      </c>
      <c r="I1257" s="4" t="inlineStr">
        <is>
          <t>BOQ_400041.xls</t>
        </is>
      </c>
      <c r="J1257" s="6" t="inlineStr">
        <is>
          <t>📊 Excel BOQ</t>
        </is>
      </c>
      <c r="K1257" s="9" t="n">
        <v>2.5</v>
      </c>
      <c r="L1257" s="10">
        <f>HYPERLINK("http://127.0.0.1:8000/api/documents/download?id=703&amp;attachment=true", "⬇ Download BOQ_400041.xls")</f>
        <v/>
      </c>
      <c r="M1257" s="10">
        <f>HYPERLINK("http://localhost:5173/?state=Delhi&amp;keyword=MIS&amp;tender=2026_DTC_299741_1", "🚀 Open in Portal")</f>
        <v/>
      </c>
    </row>
    <row r="1258" ht="24" customHeight="1">
      <c r="A1258" s="11" t="inlineStr">
        <is>
          <t>Delhi</t>
        </is>
      </c>
      <c r="B1258" s="12" t="inlineStr">
        <is>
          <t>MIS</t>
        </is>
      </c>
      <c r="C1258" s="13" t="inlineStr">
        <is>
          <t>2026_DTC_299741_1</t>
        </is>
      </c>
      <c r="D1258" s="14" t="inlineStr">
        <is>
          <t>[Supply, Installation, Testing and Commissioning of street light poles and high mast tower at Okhla Depot (CWS-II).]</t>
        </is>
      </c>
      <c r="E1258" s="14" t="inlineStr">
        <is>
          <t>Delhi Public Works &amp; Technology Department</t>
        </is>
      </c>
      <c r="F1258" s="13" t="inlineStr">
        <is>
          <t>24 Oct 2026</t>
        </is>
      </c>
      <c r="G1258" s="12" t="inlineStr">
        <is>
          <t>14 Nov 2026</t>
        </is>
      </c>
      <c r="H1258" s="8" t="inlineStr">
        <is>
          <t>⏳ UPCOMING</t>
        </is>
      </c>
      <c r="I1258" s="11" t="inlineStr">
        <is>
          <t>Tender_2026_DTC_299741_1_All_Documents.zip</t>
        </is>
      </c>
      <c r="J1258" s="13" t="inlineStr">
        <is>
          <t>📦 ZIP Package</t>
        </is>
      </c>
      <c r="K1258" s="15" t="n">
        <v>20.8</v>
      </c>
      <c r="L1258" s="16">
        <f>HYPERLINK("http://127.0.0.1:8000/api/documents/download?id=704&amp;attachment=true", "⬇ Download Tender_2026_DTC_299741_1")</f>
        <v/>
      </c>
      <c r="M1258" s="16">
        <f>HYPERLINK("http://localhost:5173/?state=Delhi&amp;keyword=MIS&amp;tender=2026_DTC_299741_1", "🚀 Open in Portal")</f>
        <v/>
      </c>
    </row>
    <row r="1259" ht="24" customHeight="1">
      <c r="A1259" s="4" t="inlineStr">
        <is>
          <t>Delhi</t>
        </is>
      </c>
      <c r="B1259" s="5" t="inlineStr">
        <is>
          <t>MIS</t>
        </is>
      </c>
      <c r="C1259" s="6" t="inlineStr">
        <is>
          <t>2026_DTIDC_299549_1</t>
        </is>
      </c>
      <c r="D1259" s="7" t="inlineStr">
        <is>
          <t>[Annual Comprehensive Maintenance of Air conditioners unit at ISBTs, Delhi SH Annual Comprehensive maintenance of Air-conditioner and procurement of Additional in premises of both kashmere gate and Anand Vihar]</t>
        </is>
      </c>
      <c r="E1259" s="7" t="inlineStr">
        <is>
          <t>Delhi Public Works &amp; Technology Department</t>
        </is>
      </c>
      <c r="F1259" s="6" t="inlineStr">
        <is>
          <t>06 Sep 2026</t>
        </is>
      </c>
      <c r="G1259" s="5" t="inlineStr">
        <is>
          <t>06 Oct 2026</t>
        </is>
      </c>
      <c r="H1259" s="8" t="inlineStr">
        <is>
          <t>⏳ UPCOMING</t>
        </is>
      </c>
      <c r="I1259" s="4" t="inlineStr">
        <is>
          <t>Tendernotice_1.pdf</t>
        </is>
      </c>
      <c r="J1259" s="6" t="inlineStr">
        <is>
          <t>📕 PDF Document</t>
        </is>
      </c>
      <c r="K1259" s="9" t="n">
        <v>17.8</v>
      </c>
      <c r="L1259" s="10">
        <f>HYPERLINK("http://127.0.0.1:8000/api/documents/download?id=742&amp;attachment=true", "⬇ Download Tendernotice_1.pdf")</f>
        <v/>
      </c>
      <c r="M1259" s="10">
        <f>HYPERLINK("http://localhost:5173/?state=Delhi&amp;keyword=MIS&amp;tender=2026_DTIDC_299549_1", "🚀 Open in Portal")</f>
        <v/>
      </c>
    </row>
    <row r="1260" ht="24" customHeight="1">
      <c r="A1260" s="11" t="inlineStr">
        <is>
          <t>Delhi</t>
        </is>
      </c>
      <c r="B1260" s="12" t="inlineStr">
        <is>
          <t>MIS</t>
        </is>
      </c>
      <c r="C1260" s="13" t="inlineStr">
        <is>
          <t>2026_DTIDC_299549_1</t>
        </is>
      </c>
      <c r="D1260" s="14" t="inlineStr">
        <is>
          <t>[Annual Comprehensive Maintenance of Air conditioners unit at ISBTs, Delhi SH Annual Comprehensive maintenance of Air-conditioner and procurement of Additional in premises of both kashmere gate and Anand Vihar]</t>
        </is>
      </c>
      <c r="E1260" s="14" t="inlineStr">
        <is>
          <t>Delhi Public Works &amp; Technology Department</t>
        </is>
      </c>
      <c r="F1260" s="13" t="inlineStr">
        <is>
          <t>06 Sep 2026</t>
        </is>
      </c>
      <c r="G1260" s="12" t="inlineStr">
        <is>
          <t>06 Oct 2026</t>
        </is>
      </c>
      <c r="H1260" s="8" t="inlineStr">
        <is>
          <t>⏳ UPCOMING</t>
        </is>
      </c>
      <c r="I1260" s="11" t="inlineStr">
        <is>
          <t>BOQ_399801.xls</t>
        </is>
      </c>
      <c r="J1260" s="13" t="inlineStr">
        <is>
          <t>📊 Excel BOQ</t>
        </is>
      </c>
      <c r="K1260" s="15" t="n">
        <v>2.5</v>
      </c>
      <c r="L1260" s="16">
        <f>HYPERLINK("http://127.0.0.1:8000/api/documents/download?id=743&amp;attachment=true", "⬇ Download BOQ_399801.xls")</f>
        <v/>
      </c>
      <c r="M1260" s="16">
        <f>HYPERLINK("http://localhost:5173/?state=Delhi&amp;keyword=MIS&amp;tender=2026_DTIDC_299549_1", "🚀 Open in Portal")</f>
        <v/>
      </c>
    </row>
    <row r="1261" ht="24" customHeight="1">
      <c r="A1261" s="4" t="inlineStr">
        <is>
          <t>Delhi</t>
        </is>
      </c>
      <c r="B1261" s="5" t="inlineStr">
        <is>
          <t>MIS</t>
        </is>
      </c>
      <c r="C1261" s="6" t="inlineStr">
        <is>
          <t>2026_DTIDC_299549_1</t>
        </is>
      </c>
      <c r="D1261" s="7" t="inlineStr">
        <is>
          <t>[Annual Comprehensive Maintenance of Air conditioners unit at ISBTs, Delhi SH Annual Comprehensive maintenance of Air-conditioner and procurement of Additional in premises of both kashmere gate and Anand Vihar]</t>
        </is>
      </c>
      <c r="E1261" s="7" t="inlineStr">
        <is>
          <t>Delhi Public Works &amp; Technology Department</t>
        </is>
      </c>
      <c r="F1261" s="6" t="inlineStr">
        <is>
          <t>06 Sep 2026</t>
        </is>
      </c>
      <c r="G1261" s="5" t="inlineStr">
        <is>
          <t>06 Oct 2026</t>
        </is>
      </c>
      <c r="H1261" s="8" t="inlineStr">
        <is>
          <t>⏳ UPCOMING</t>
        </is>
      </c>
      <c r="I1261" s="4" t="inlineStr">
        <is>
          <t>Tenderdoc.pdf</t>
        </is>
      </c>
      <c r="J1261" s="6" t="inlineStr">
        <is>
          <t>📕 PDF Document</t>
        </is>
      </c>
      <c r="K1261" s="9" t="n">
        <v>17.8</v>
      </c>
      <c r="L1261" s="10">
        <f>HYPERLINK("http://127.0.0.1:8000/api/documents/download?id=744&amp;attachment=true", "⬇ Download Tenderdoc.pdf")</f>
        <v/>
      </c>
      <c r="M1261" s="10">
        <f>HYPERLINK("http://localhost:5173/?state=Delhi&amp;keyword=MIS&amp;tender=2026_DTIDC_299549_1", "🚀 Open in Portal")</f>
        <v/>
      </c>
    </row>
    <row r="1262" ht="24" customHeight="1">
      <c r="A1262" s="11" t="inlineStr">
        <is>
          <t>Delhi</t>
        </is>
      </c>
      <c r="B1262" s="12" t="inlineStr">
        <is>
          <t>MIS</t>
        </is>
      </c>
      <c r="C1262" s="13" t="inlineStr">
        <is>
          <t>2026_DTIDC_299549_1</t>
        </is>
      </c>
      <c r="D1262" s="14" t="inlineStr">
        <is>
          <t>[Annual Comprehensive Maintenance of Air conditioners unit at ISBTs, Delhi SH Annual Comprehensive maintenance of Air-conditioner and procurement of Additional in premises of both kashmere gate and Anand Vihar]</t>
        </is>
      </c>
      <c r="E1262" s="14" t="inlineStr">
        <is>
          <t>Delhi Public Works &amp; Technology Department</t>
        </is>
      </c>
      <c r="F1262" s="13" t="inlineStr">
        <is>
          <t>06 Sep 2026</t>
        </is>
      </c>
      <c r="G1262" s="12" t="inlineStr">
        <is>
          <t>06 Oct 2026</t>
        </is>
      </c>
      <c r="H1262" s="8" t="inlineStr">
        <is>
          <t>⏳ UPCOMING</t>
        </is>
      </c>
      <c r="I1262" s="11" t="inlineStr">
        <is>
          <t>Tender_2026_DTIDC_299549_1_All_Documents.zip</t>
        </is>
      </c>
      <c r="J1262" s="13" t="inlineStr">
        <is>
          <t>📦 ZIP Package</t>
        </is>
      </c>
      <c r="K1262" s="15" t="n">
        <v>20.8</v>
      </c>
      <c r="L1262" s="16">
        <f>HYPERLINK("http://127.0.0.1:8000/api/documents/download?id=745&amp;attachment=true", "⬇ Download Tender_2026_DTIDC_299549")</f>
        <v/>
      </c>
      <c r="M1262" s="16">
        <f>HYPERLINK("http://localhost:5173/?state=Delhi&amp;keyword=MIS&amp;tender=2026_DTIDC_299549_1", "🚀 Open in Portal")</f>
        <v/>
      </c>
    </row>
    <row r="1263" ht="24" customHeight="1">
      <c r="A1263" s="4" t="inlineStr">
        <is>
          <t>Delhi</t>
        </is>
      </c>
      <c r="B1263" s="5" t="inlineStr">
        <is>
          <t>MIS</t>
        </is>
      </c>
      <c r="C1263" s="6" t="inlineStr">
        <is>
          <t>2026_GGSIP_299520_1</t>
        </is>
      </c>
      <c r="D1263" s="7" t="inlineStr">
        <is>
          <t>[A A at GGSIP University, Dwarka Campus, New Delhi. Sub Head Supplying, installation, testing and commissioning of CCTV Cameras and allied equipments in Hostel at GGSIPU Dwarka Campus, Sector 16C, Dwarka, New Delhi-110078]</t>
        </is>
      </c>
      <c r="E1263" s="7" t="inlineStr">
        <is>
          <t>Delhi Public Works &amp; Technology Department</t>
        </is>
      </c>
      <c r="F1263" s="6" t="inlineStr">
        <is>
          <t>23 Jul 2026</t>
        </is>
      </c>
      <c r="G1263" s="5" t="inlineStr">
        <is>
          <t>22 Aug 2026</t>
        </is>
      </c>
      <c r="H1263" s="8" t="inlineStr">
        <is>
          <t>⏳ UPCOMING</t>
        </is>
      </c>
      <c r="I1263" s="4" t="inlineStr">
        <is>
          <t>Tendernotice_1.pdf</t>
        </is>
      </c>
      <c r="J1263" s="6" t="inlineStr">
        <is>
          <t>📕 PDF Document</t>
        </is>
      </c>
      <c r="K1263" s="9" t="n">
        <v>17.8</v>
      </c>
      <c r="L1263" s="10">
        <f>HYPERLINK("http://127.0.0.1:8000/api/documents/download?id=758&amp;attachment=true", "⬇ Download Tendernotice_1.pdf")</f>
        <v/>
      </c>
      <c r="M1263" s="10">
        <f>HYPERLINK("http://localhost:5173/?state=Delhi&amp;keyword=MIS&amp;tender=2026_GGSIP_299520_1", "🚀 Open in Portal")</f>
        <v/>
      </c>
    </row>
    <row r="1264" ht="24" customHeight="1">
      <c r="A1264" s="11" t="inlineStr">
        <is>
          <t>Delhi</t>
        </is>
      </c>
      <c r="B1264" s="12" t="inlineStr">
        <is>
          <t>MIS</t>
        </is>
      </c>
      <c r="C1264" s="13" t="inlineStr">
        <is>
          <t>2026_GGSIP_299520_1</t>
        </is>
      </c>
      <c r="D1264" s="14" t="inlineStr">
        <is>
          <t>[A A at GGSIP University, Dwarka Campus, New Delhi. Sub Head Supplying, installation, testing and commissioning of CCTV Cameras and allied equipments in Hostel at GGSIPU Dwarka Campus, Sector 16C, Dwarka, New Delhi-110078]</t>
        </is>
      </c>
      <c r="E1264" s="14" t="inlineStr">
        <is>
          <t>Delhi Public Works &amp; Technology Department</t>
        </is>
      </c>
      <c r="F1264" s="13" t="inlineStr">
        <is>
          <t>23 Jul 2026</t>
        </is>
      </c>
      <c r="G1264" s="12" t="inlineStr">
        <is>
          <t>22 Aug 2026</t>
        </is>
      </c>
      <c r="H1264" s="8" t="inlineStr">
        <is>
          <t>⏳ UPCOMING</t>
        </is>
      </c>
      <c r="I1264" s="11" t="inlineStr">
        <is>
          <t>BOQ_399770.xls</t>
        </is>
      </c>
      <c r="J1264" s="13" t="inlineStr">
        <is>
          <t>📊 Excel BOQ</t>
        </is>
      </c>
      <c r="K1264" s="15" t="n">
        <v>2.5</v>
      </c>
      <c r="L1264" s="16">
        <f>HYPERLINK("http://127.0.0.1:8000/api/documents/download?id=759&amp;attachment=true", "⬇ Download BOQ_399770.xls")</f>
        <v/>
      </c>
      <c r="M1264" s="16">
        <f>HYPERLINK("http://localhost:5173/?state=Delhi&amp;keyword=MIS&amp;tender=2026_GGSIP_299520_1", "🚀 Open in Portal")</f>
        <v/>
      </c>
    </row>
    <row r="1265" ht="24" customHeight="1">
      <c r="A1265" s="4" t="inlineStr">
        <is>
          <t>Delhi</t>
        </is>
      </c>
      <c r="B1265" s="5" t="inlineStr">
        <is>
          <t>MIS</t>
        </is>
      </c>
      <c r="C1265" s="6" t="inlineStr">
        <is>
          <t>2026_GGSIP_299520_1</t>
        </is>
      </c>
      <c r="D1265" s="7" t="inlineStr">
        <is>
          <t>[A A at GGSIP University, Dwarka Campus, New Delhi. Sub Head Supplying, installation, testing and commissioning of CCTV Cameras and allied equipments in Hostel at GGSIPU Dwarka Campus, Sector 16C, Dwarka, New Delhi-110078]</t>
        </is>
      </c>
      <c r="E1265" s="7" t="inlineStr">
        <is>
          <t>Delhi Public Works &amp; Technology Department</t>
        </is>
      </c>
      <c r="F1265" s="6" t="inlineStr">
        <is>
          <t>23 Jul 2026</t>
        </is>
      </c>
      <c r="G1265" s="5" t="inlineStr">
        <is>
          <t>22 Aug 2026</t>
        </is>
      </c>
      <c r="H1265" s="8" t="inlineStr">
        <is>
          <t>⏳ UPCOMING</t>
        </is>
      </c>
      <c r="I1265" s="4" t="inlineStr">
        <is>
          <t>Tender_2026_GGSIP_299520_1_All_Documents.zip</t>
        </is>
      </c>
      <c r="J1265" s="6" t="inlineStr">
        <is>
          <t>📦 ZIP Package</t>
        </is>
      </c>
      <c r="K1265" s="9" t="n">
        <v>11.6</v>
      </c>
      <c r="L1265" s="10">
        <f>HYPERLINK("http://127.0.0.1:8000/api/documents/download?id=760&amp;attachment=true", "⬇ Download Tender_2026_GGSIP_299520")</f>
        <v/>
      </c>
      <c r="M1265" s="10">
        <f>HYPERLINK("http://localhost:5173/?state=Delhi&amp;keyword=MIS&amp;tender=2026_GGSIP_299520_1", "🚀 Open in Portal")</f>
        <v/>
      </c>
    </row>
    <row r="1266" ht="24" customHeight="1">
      <c r="A1266" s="11" t="inlineStr">
        <is>
          <t>Delhi</t>
        </is>
      </c>
      <c r="B1266" s="12" t="inlineStr">
        <is>
          <t>MIS</t>
        </is>
      </c>
      <c r="C1266" s="13" t="inlineStr">
        <is>
          <t>2026_IPGCL_299545_1</t>
        </is>
      </c>
      <c r="D1266" s="14" t="inlineStr">
        <is>
          <t>[MISC civil works at IPGCL residential colony SKK.]</t>
        </is>
      </c>
      <c r="E1266" s="14" t="inlineStr">
        <is>
          <t>Delhi Public Works &amp; Technology Department</t>
        </is>
      </c>
      <c r="F1266" s="13" t="inlineStr">
        <is>
          <t>09 Sep 2026</t>
        </is>
      </c>
      <c r="G1266" s="12" t="inlineStr">
        <is>
          <t>02 Oct 2026</t>
        </is>
      </c>
      <c r="H1266" s="8" t="inlineStr">
        <is>
          <t>⏳ UPCOMING</t>
        </is>
      </c>
      <c r="I1266" s="11" t="inlineStr">
        <is>
          <t>Tendernotice_1.pdf</t>
        </is>
      </c>
      <c r="J1266" s="13" t="inlineStr">
        <is>
          <t>📕 PDF Document</t>
        </is>
      </c>
      <c r="K1266" s="15" t="n">
        <v>17.8</v>
      </c>
      <c r="L1266" s="16">
        <f>HYPERLINK("http://127.0.0.1:8000/api/documents/download?id=746&amp;attachment=true", "⬇ Download Tendernotice_1.pdf")</f>
        <v/>
      </c>
      <c r="M1266" s="16">
        <f>HYPERLINK("http://localhost:5173/?state=Delhi&amp;keyword=MIS&amp;tender=2026_IPGCL_299545_1", "🚀 Open in Portal")</f>
        <v/>
      </c>
    </row>
    <row r="1267" ht="24" customHeight="1">
      <c r="A1267" s="4" t="inlineStr">
        <is>
          <t>Delhi</t>
        </is>
      </c>
      <c r="B1267" s="5" t="inlineStr">
        <is>
          <t>MIS</t>
        </is>
      </c>
      <c r="C1267" s="6" t="inlineStr">
        <is>
          <t>2026_IPGCL_299545_1</t>
        </is>
      </c>
      <c r="D1267" s="7" t="inlineStr">
        <is>
          <t>[MISC civil works at IPGCL residential colony SKK.]</t>
        </is>
      </c>
      <c r="E1267" s="7" t="inlineStr">
        <is>
          <t>Delhi Public Works &amp; Technology Department</t>
        </is>
      </c>
      <c r="F1267" s="6" t="inlineStr">
        <is>
          <t>09 Sep 2026</t>
        </is>
      </c>
      <c r="G1267" s="5" t="inlineStr">
        <is>
          <t>02 Oct 2026</t>
        </is>
      </c>
      <c r="H1267" s="8" t="inlineStr">
        <is>
          <t>⏳ UPCOMING</t>
        </is>
      </c>
      <c r="I1267" s="4" t="inlineStr">
        <is>
          <t>BOQ_399796.xls</t>
        </is>
      </c>
      <c r="J1267" s="6" t="inlineStr">
        <is>
          <t>📊 Excel BOQ</t>
        </is>
      </c>
      <c r="K1267" s="9" t="n">
        <v>2.4</v>
      </c>
      <c r="L1267" s="10">
        <f>HYPERLINK("http://127.0.0.1:8000/api/documents/download?id=747&amp;attachment=true", "⬇ Download BOQ_399796.xls")</f>
        <v/>
      </c>
      <c r="M1267" s="10">
        <f>HYPERLINK("http://localhost:5173/?state=Delhi&amp;keyword=MIS&amp;tender=2026_IPGCL_299545_1", "🚀 Open in Portal")</f>
        <v/>
      </c>
    </row>
    <row r="1268" ht="24" customHeight="1">
      <c r="A1268" s="11" t="inlineStr">
        <is>
          <t>Delhi</t>
        </is>
      </c>
      <c r="B1268" s="12" t="inlineStr">
        <is>
          <t>MIS</t>
        </is>
      </c>
      <c r="C1268" s="13" t="inlineStr">
        <is>
          <t>2026_IPGCL_299545_1</t>
        </is>
      </c>
      <c r="D1268" s="14" t="inlineStr">
        <is>
          <t>[MISC civil works at IPGCL residential colony SKK.]</t>
        </is>
      </c>
      <c r="E1268" s="14" t="inlineStr">
        <is>
          <t>Delhi Public Works &amp; Technology Department</t>
        </is>
      </c>
      <c r="F1268" s="13" t="inlineStr">
        <is>
          <t>09 Sep 2026</t>
        </is>
      </c>
      <c r="G1268" s="12" t="inlineStr">
        <is>
          <t>02 Oct 2026</t>
        </is>
      </c>
      <c r="H1268" s="8" t="inlineStr">
        <is>
          <t>⏳ UPCOMING</t>
        </is>
      </c>
      <c r="I1268" s="11" t="inlineStr">
        <is>
          <t>Tender_2026_IPGCL_299545_1_All_Documents.zip</t>
        </is>
      </c>
      <c r="J1268" s="13" t="inlineStr">
        <is>
          <t>📦 ZIP Package</t>
        </is>
      </c>
      <c r="K1268" s="15" t="n">
        <v>11.5</v>
      </c>
      <c r="L1268" s="16">
        <f>HYPERLINK("http://127.0.0.1:8000/api/documents/download?id=748&amp;attachment=true", "⬇ Download Tender_2026_IPGCL_299545")</f>
        <v/>
      </c>
      <c r="M1268" s="16">
        <f>HYPERLINK("http://localhost:5173/?state=Delhi&amp;keyword=MIS&amp;tender=2026_IPGCL_299545_1", "🚀 Open in Portal")</f>
        <v/>
      </c>
    </row>
    <row r="1269" ht="24" customHeight="1">
      <c r="A1269" s="4" t="inlineStr">
        <is>
          <t>Delhi</t>
        </is>
      </c>
      <c r="B1269" s="5" t="inlineStr">
        <is>
          <t>MIS</t>
        </is>
      </c>
      <c r="C1269" s="6" t="inlineStr">
        <is>
          <t>2026_NDMC_299503_1</t>
        </is>
      </c>
      <c r="D1269" s="7" t="inlineStr">
        <is>
          <t>[ A/R and M/O building in BM-PK Division during 2026-27 SH Various repair and maintenance works in the premises of Jor Bagh water supply service center under Aliganj S/c]</t>
        </is>
      </c>
      <c r="E1269" s="7" t="inlineStr">
        <is>
          <t>Delhi Public Works &amp; Technology Department</t>
        </is>
      </c>
      <c r="F1269" s="6" t="inlineStr">
        <is>
          <t>12 Sep 2026</t>
        </is>
      </c>
      <c r="G1269" s="5" t="inlineStr">
        <is>
          <t>07 Oct 2026</t>
        </is>
      </c>
      <c r="H1269" s="8" t="inlineStr">
        <is>
          <t>⏳ UPCOMING</t>
        </is>
      </c>
      <c r="I1269" s="4" t="inlineStr">
        <is>
          <t>Tendernotice_1.pdf</t>
        </is>
      </c>
      <c r="J1269" s="6" t="inlineStr">
        <is>
          <t>📕 PDF Document</t>
        </is>
      </c>
      <c r="K1269" s="9" t="n">
        <v>17.8</v>
      </c>
      <c r="L1269" s="10">
        <f>HYPERLINK("http://127.0.0.1:8000/api/documents/download?id=749&amp;attachment=true", "⬇ Download Tendernotice_1.pdf")</f>
        <v/>
      </c>
      <c r="M1269" s="10">
        <f>HYPERLINK("http://localhost:5173/?state=Delhi&amp;keyword=MIS&amp;tender=2026_NDMC_299503_1", "🚀 Open in Portal")</f>
        <v/>
      </c>
    </row>
    <row r="1270" ht="24" customHeight="1">
      <c r="A1270" s="11" t="inlineStr">
        <is>
          <t>Delhi</t>
        </is>
      </c>
      <c r="B1270" s="12" t="inlineStr">
        <is>
          <t>MIS</t>
        </is>
      </c>
      <c r="C1270" s="13" t="inlineStr">
        <is>
          <t>2026_NDMC_299503_1</t>
        </is>
      </c>
      <c r="D1270" s="14" t="inlineStr">
        <is>
          <t>[ A/R and M/O building in BM-PK Division during 2026-27 SH Various repair and maintenance works in the premises of Jor Bagh water supply service center under Aliganj S/c]</t>
        </is>
      </c>
      <c r="E1270" s="14" t="inlineStr">
        <is>
          <t>Delhi Public Works &amp; Technology Department</t>
        </is>
      </c>
      <c r="F1270" s="13" t="inlineStr">
        <is>
          <t>12 Sep 2026</t>
        </is>
      </c>
      <c r="G1270" s="12" t="inlineStr">
        <is>
          <t>07 Oct 2026</t>
        </is>
      </c>
      <c r="H1270" s="8" t="inlineStr">
        <is>
          <t>⏳ UPCOMING</t>
        </is>
      </c>
      <c r="I1270" s="11" t="inlineStr">
        <is>
          <t>BOQ_399742.xls</t>
        </is>
      </c>
      <c r="J1270" s="13" t="inlineStr">
        <is>
          <t>📊 Excel BOQ</t>
        </is>
      </c>
      <c r="K1270" s="15" t="n">
        <v>2.5</v>
      </c>
      <c r="L1270" s="16">
        <f>HYPERLINK("http://127.0.0.1:8000/api/documents/download?id=750&amp;attachment=true", "⬇ Download BOQ_399742.xls")</f>
        <v/>
      </c>
      <c r="M1270" s="16">
        <f>HYPERLINK("http://localhost:5173/?state=Delhi&amp;keyword=MIS&amp;tender=2026_NDMC_299503_1", "🚀 Open in Portal")</f>
        <v/>
      </c>
    </row>
    <row r="1271" ht="24" customHeight="1">
      <c r="A1271" s="4" t="inlineStr">
        <is>
          <t>Delhi</t>
        </is>
      </c>
      <c r="B1271" s="5" t="inlineStr">
        <is>
          <t>MIS</t>
        </is>
      </c>
      <c r="C1271" s="6" t="inlineStr">
        <is>
          <t>2026_NDMC_299503_1</t>
        </is>
      </c>
      <c r="D1271" s="7" t="inlineStr">
        <is>
          <t>[ A/R and M/O building in BM-PK Division during 2026-27 SH Various repair and maintenance works in the premises of Jor Bagh water supply service center under Aliganj S/c]</t>
        </is>
      </c>
      <c r="E1271" s="7" t="inlineStr">
        <is>
          <t>Delhi Public Works &amp; Technology Department</t>
        </is>
      </c>
      <c r="F1271" s="6" t="inlineStr">
        <is>
          <t>12 Sep 2026</t>
        </is>
      </c>
      <c r="G1271" s="5" t="inlineStr">
        <is>
          <t>07 Oct 2026</t>
        </is>
      </c>
      <c r="H1271" s="8" t="inlineStr">
        <is>
          <t>⏳ UPCOMING</t>
        </is>
      </c>
      <c r="I1271" s="4" t="inlineStr">
        <is>
          <t>Tender_2026_NDMC_299503_1_All_Documents.zip</t>
        </is>
      </c>
      <c r="J1271" s="6" t="inlineStr">
        <is>
          <t>📦 ZIP Package</t>
        </is>
      </c>
      <c r="K1271" s="9" t="n">
        <v>11.6</v>
      </c>
      <c r="L1271" s="10">
        <f>HYPERLINK("http://127.0.0.1:8000/api/documents/download?id=751&amp;attachment=true", "⬇ Download Tender_2026_NDMC_299503_")</f>
        <v/>
      </c>
      <c r="M1271" s="10">
        <f>HYPERLINK("http://localhost:5173/?state=Delhi&amp;keyword=MIS&amp;tender=2026_NDMC_299503_1", "🚀 Open in Portal")</f>
        <v/>
      </c>
    </row>
    <row r="1272" ht="24" customHeight="1">
      <c r="A1272" s="11" t="inlineStr">
        <is>
          <t>Delhi</t>
        </is>
      </c>
      <c r="B1272" s="12" t="inlineStr">
        <is>
          <t>MIS</t>
        </is>
      </c>
      <c r="C1272" s="13" t="inlineStr">
        <is>
          <t>2026_NDMC_299509_1</t>
        </is>
      </c>
      <c r="D1272" s="14" t="inlineStr">
        <is>
          <t>[Improvement to Quarters under BM-PK Division during 2026-27SH Providing and fixing Tiles, carrying out roof grading, APP sheets and other miscellaneous roof repair works at various locations under Humayun Lane Service Centre]</t>
        </is>
      </c>
      <c r="E1272" s="14" t="inlineStr">
        <is>
          <t>Delhi Public Works &amp; Technology Department</t>
        </is>
      </c>
      <c r="F1272" s="13" t="inlineStr">
        <is>
          <t>24 Oct 2026</t>
        </is>
      </c>
      <c r="G1272" s="12" t="inlineStr">
        <is>
          <t>14 Nov 2026</t>
        </is>
      </c>
      <c r="H1272" s="8" t="inlineStr">
        <is>
          <t>⏳ UPCOMING</t>
        </is>
      </c>
      <c r="I1272" s="11" t="inlineStr">
        <is>
          <t>Tendernotice_1.pdf</t>
        </is>
      </c>
      <c r="J1272" s="13" t="inlineStr">
        <is>
          <t>📕 PDF Document</t>
        </is>
      </c>
      <c r="K1272" s="15" t="n">
        <v>17.8</v>
      </c>
      <c r="L1272" s="16">
        <f>HYPERLINK("http://127.0.0.1:8000/api/documents/download?id=752&amp;attachment=true", "⬇ Download Tendernotice_1.pdf")</f>
        <v/>
      </c>
      <c r="M1272" s="16">
        <f>HYPERLINK("http://localhost:5173/?state=Delhi&amp;keyword=MIS&amp;tender=2026_NDMC_299509_1", "🚀 Open in Portal")</f>
        <v/>
      </c>
    </row>
    <row r="1273" ht="24" customHeight="1">
      <c r="A1273" s="4" t="inlineStr">
        <is>
          <t>Delhi</t>
        </is>
      </c>
      <c r="B1273" s="5" t="inlineStr">
        <is>
          <t>MIS</t>
        </is>
      </c>
      <c r="C1273" s="6" t="inlineStr">
        <is>
          <t>2026_NDMC_299509_1</t>
        </is>
      </c>
      <c r="D1273" s="7" t="inlineStr">
        <is>
          <t>[Improvement to Quarters under BM-PK Division during 2026-27SH Providing and fixing Tiles, carrying out roof grading, APP sheets and other miscellaneous roof repair works at various locations under Humayun Lane Service Centre]</t>
        </is>
      </c>
      <c r="E1273" s="7" t="inlineStr">
        <is>
          <t>Delhi Public Works &amp; Technology Department</t>
        </is>
      </c>
      <c r="F1273" s="6" t="inlineStr">
        <is>
          <t>24 Oct 2026</t>
        </is>
      </c>
      <c r="G1273" s="5" t="inlineStr">
        <is>
          <t>14 Nov 2026</t>
        </is>
      </c>
      <c r="H1273" s="8" t="inlineStr">
        <is>
          <t>⏳ UPCOMING</t>
        </is>
      </c>
      <c r="I1273" s="4" t="inlineStr">
        <is>
          <t>BOQ_399748.xls</t>
        </is>
      </c>
      <c r="J1273" s="6" t="inlineStr">
        <is>
          <t>📊 Excel BOQ</t>
        </is>
      </c>
      <c r="K1273" s="9" t="n">
        <v>2.5</v>
      </c>
      <c r="L1273" s="10">
        <f>HYPERLINK("http://127.0.0.1:8000/api/documents/download?id=753&amp;attachment=true", "⬇ Download BOQ_399748.xls")</f>
        <v/>
      </c>
      <c r="M1273" s="10">
        <f>HYPERLINK("http://localhost:5173/?state=Delhi&amp;keyword=MIS&amp;tender=2026_NDMC_299509_1", "🚀 Open in Portal")</f>
        <v/>
      </c>
    </row>
    <row r="1274" ht="24" customHeight="1">
      <c r="A1274" s="11" t="inlineStr">
        <is>
          <t>Delhi</t>
        </is>
      </c>
      <c r="B1274" s="12" t="inlineStr">
        <is>
          <t>MIS</t>
        </is>
      </c>
      <c r="C1274" s="13" t="inlineStr">
        <is>
          <t>2026_NDMC_299509_1</t>
        </is>
      </c>
      <c r="D1274" s="14" t="inlineStr">
        <is>
          <t>[Improvement to Quarters under BM-PK Division during 2026-27SH Providing and fixing Tiles, carrying out roof grading, APP sheets and other miscellaneous roof repair works at various locations under Humayun Lane Service Centre]</t>
        </is>
      </c>
      <c r="E1274" s="14" t="inlineStr">
        <is>
          <t>Delhi Public Works &amp; Technology Department</t>
        </is>
      </c>
      <c r="F1274" s="13" t="inlineStr">
        <is>
          <t>24 Oct 2026</t>
        </is>
      </c>
      <c r="G1274" s="12" t="inlineStr">
        <is>
          <t>14 Nov 2026</t>
        </is>
      </c>
      <c r="H1274" s="8" t="inlineStr">
        <is>
          <t>⏳ UPCOMING</t>
        </is>
      </c>
      <c r="I1274" s="11" t="inlineStr">
        <is>
          <t>Tender_2026_NDMC_299509_1_All_Documents.zip</t>
        </is>
      </c>
      <c r="J1274" s="13" t="inlineStr">
        <is>
          <t>📦 ZIP Package</t>
        </is>
      </c>
      <c r="K1274" s="15" t="n">
        <v>11.6</v>
      </c>
      <c r="L1274" s="16">
        <f>HYPERLINK("http://127.0.0.1:8000/api/documents/download?id=754&amp;attachment=true", "⬇ Download Tender_2026_NDMC_299509_")</f>
        <v/>
      </c>
      <c r="M1274" s="16">
        <f>HYPERLINK("http://localhost:5173/?state=Delhi&amp;keyword=MIS&amp;tender=2026_NDMC_299509_1", "🚀 Open in Portal")</f>
        <v/>
      </c>
    </row>
    <row r="1275" ht="24" customHeight="1">
      <c r="A1275" s="4" t="inlineStr">
        <is>
          <t>Delhi</t>
        </is>
      </c>
      <c r="B1275" s="5" t="inlineStr">
        <is>
          <t>MIS</t>
        </is>
      </c>
      <c r="C1275" s="6" t="inlineStr">
        <is>
          <t>2026_NDMC_299511_1</t>
        </is>
      </c>
      <c r="D1275" s="7" t="inlineStr">
        <is>
          <t>[Improvement to water boosting station and other buildings under BM-PK Division During 2026-27 SH Providing and fixing PVC rainwater pipes with all required fittings, carrying out roof grading, APP sheets and other miscellaneous roof repair works at ]</t>
        </is>
      </c>
      <c r="E1275" s="7" t="inlineStr">
        <is>
          <t>Delhi Public Works &amp; Technology Department</t>
        </is>
      </c>
      <c r="F1275" s="6" t="inlineStr">
        <is>
          <t>15 Sep 2026</t>
        </is>
      </c>
      <c r="G1275" s="5" t="inlineStr">
        <is>
          <t>10 Oct 2026</t>
        </is>
      </c>
      <c r="H1275" s="8" t="inlineStr">
        <is>
          <t>⏳ UPCOMING</t>
        </is>
      </c>
      <c r="I1275" s="4" t="inlineStr">
        <is>
          <t>Tendernotice_1.pdf</t>
        </is>
      </c>
      <c r="J1275" s="6" t="inlineStr">
        <is>
          <t>📕 PDF Document</t>
        </is>
      </c>
      <c r="K1275" s="9" t="n">
        <v>17.8</v>
      </c>
      <c r="L1275" s="10">
        <f>HYPERLINK("http://127.0.0.1:8000/api/documents/download?id=755&amp;attachment=true", "⬇ Download Tendernotice_1.pdf")</f>
        <v/>
      </c>
      <c r="M1275" s="10">
        <f>HYPERLINK("http://localhost:5173/?state=Delhi&amp;keyword=MIS&amp;tender=2026_NDMC_299511_1", "🚀 Open in Portal")</f>
        <v/>
      </c>
    </row>
    <row r="1276" ht="24" customHeight="1">
      <c r="A1276" s="11" t="inlineStr">
        <is>
          <t>Delhi</t>
        </is>
      </c>
      <c r="B1276" s="12" t="inlineStr">
        <is>
          <t>MIS</t>
        </is>
      </c>
      <c r="C1276" s="13" t="inlineStr">
        <is>
          <t>2026_NDMC_299511_1</t>
        </is>
      </c>
      <c r="D1276" s="14" t="inlineStr">
        <is>
          <t>[Improvement to water boosting station and other buildings under BM-PK Division During 2026-27 SH Providing and fixing PVC rainwater pipes with all required fittings, carrying out roof grading, APP sheets and other miscellaneous roof repair works at ]</t>
        </is>
      </c>
      <c r="E1276" s="14" t="inlineStr">
        <is>
          <t>Delhi Public Works &amp; Technology Department</t>
        </is>
      </c>
      <c r="F1276" s="13" t="inlineStr">
        <is>
          <t>15 Sep 2026</t>
        </is>
      </c>
      <c r="G1276" s="12" t="inlineStr">
        <is>
          <t>10 Oct 2026</t>
        </is>
      </c>
      <c r="H1276" s="8" t="inlineStr">
        <is>
          <t>⏳ UPCOMING</t>
        </is>
      </c>
      <c r="I1276" s="11" t="inlineStr">
        <is>
          <t>BOQ_399752.xls</t>
        </is>
      </c>
      <c r="J1276" s="13" t="inlineStr">
        <is>
          <t>📊 Excel BOQ</t>
        </is>
      </c>
      <c r="K1276" s="15" t="n">
        <v>2.5</v>
      </c>
      <c r="L1276" s="16">
        <f>HYPERLINK("http://127.0.0.1:8000/api/documents/download?id=756&amp;attachment=true", "⬇ Download BOQ_399752.xls")</f>
        <v/>
      </c>
      <c r="M1276" s="16">
        <f>HYPERLINK("http://localhost:5173/?state=Delhi&amp;keyword=MIS&amp;tender=2026_NDMC_299511_1", "🚀 Open in Portal")</f>
        <v/>
      </c>
    </row>
    <row r="1277" ht="24" customHeight="1">
      <c r="A1277" s="4" t="inlineStr">
        <is>
          <t>Delhi</t>
        </is>
      </c>
      <c r="B1277" s="5" t="inlineStr">
        <is>
          <t>MIS</t>
        </is>
      </c>
      <c r="C1277" s="6" t="inlineStr">
        <is>
          <t>2026_NDMC_299511_1</t>
        </is>
      </c>
      <c r="D1277" s="7" t="inlineStr">
        <is>
          <t>[Improvement to water boosting station and other buildings under BM-PK Division During 2026-27 SH Providing and fixing PVC rainwater pipes with all required fittings, carrying out roof grading, APP sheets and other miscellaneous roof repair works at ]</t>
        </is>
      </c>
      <c r="E1277" s="7" t="inlineStr">
        <is>
          <t>Delhi Public Works &amp; Technology Department</t>
        </is>
      </c>
      <c r="F1277" s="6" t="inlineStr">
        <is>
          <t>15 Sep 2026</t>
        </is>
      </c>
      <c r="G1277" s="5" t="inlineStr">
        <is>
          <t>10 Oct 2026</t>
        </is>
      </c>
      <c r="H1277" s="8" t="inlineStr">
        <is>
          <t>⏳ UPCOMING</t>
        </is>
      </c>
      <c r="I1277" s="4" t="inlineStr">
        <is>
          <t>Tender_2026_NDMC_299511_1_All_Documents.zip</t>
        </is>
      </c>
      <c r="J1277" s="6" t="inlineStr">
        <is>
          <t>📦 ZIP Package</t>
        </is>
      </c>
      <c r="K1277" s="9" t="n">
        <v>11.6</v>
      </c>
      <c r="L1277" s="10">
        <f>HYPERLINK("http://127.0.0.1:8000/api/documents/download?id=757&amp;attachment=true", "⬇ Download Tender_2026_NDMC_299511_")</f>
        <v/>
      </c>
      <c r="M1277" s="10">
        <f>HYPERLINK("http://localhost:5173/?state=Delhi&amp;keyword=MIS&amp;tender=2026_NDMC_299511_1", "🚀 Open in Portal")</f>
        <v/>
      </c>
    </row>
    <row r="1278" ht="24" customHeight="1">
      <c r="A1278" s="11" t="inlineStr">
        <is>
          <t>Delhi</t>
        </is>
      </c>
      <c r="B1278" s="12" t="inlineStr">
        <is>
          <t>MIS</t>
        </is>
      </c>
      <c r="C1278" s="13" t="inlineStr">
        <is>
          <t>2026_NDMC_299519_1</t>
        </is>
      </c>
      <c r="D1278" s="14" t="inlineStr">
        <is>
          <t>[Name of work AR and MO Building in BM III Division During 2026 27 Sub Head Miscellaneous repair work in restaurant gym and other various location at PSOI Club Vinay Marg]</t>
        </is>
      </c>
      <c r="E1278" s="14" t="inlineStr">
        <is>
          <t>Delhi Public Works &amp; Technology Department</t>
        </is>
      </c>
      <c r="F1278" s="13" t="inlineStr">
        <is>
          <t>18 Sep 2026</t>
        </is>
      </c>
      <c r="G1278" s="12" t="inlineStr">
        <is>
          <t>11 Oct 2026</t>
        </is>
      </c>
      <c r="H1278" s="8" t="inlineStr">
        <is>
          <t>⏳ UPCOMING</t>
        </is>
      </c>
      <c r="I1278" s="11" t="inlineStr">
        <is>
          <t>Tendernotice_1.pdf</t>
        </is>
      </c>
      <c r="J1278" s="13" t="inlineStr">
        <is>
          <t>📕 PDF Document</t>
        </is>
      </c>
      <c r="K1278" s="15" t="n">
        <v>17.8</v>
      </c>
      <c r="L1278" s="16">
        <f>HYPERLINK("http://127.0.0.1:8000/api/documents/download?id=761&amp;attachment=true", "⬇ Download Tendernotice_1.pdf")</f>
        <v/>
      </c>
      <c r="M1278" s="16">
        <f>HYPERLINK("http://localhost:5173/?state=Delhi&amp;keyword=MIS&amp;tender=2026_NDMC_299519_1", "🚀 Open in Portal")</f>
        <v/>
      </c>
    </row>
    <row r="1279" ht="24" customHeight="1">
      <c r="A1279" s="4" t="inlineStr">
        <is>
          <t>Delhi</t>
        </is>
      </c>
      <c r="B1279" s="5" t="inlineStr">
        <is>
          <t>MIS</t>
        </is>
      </c>
      <c r="C1279" s="6" t="inlineStr">
        <is>
          <t>2026_NDMC_299519_1</t>
        </is>
      </c>
      <c r="D1279" s="7" t="inlineStr">
        <is>
          <t>[Name of work AR and MO Building in BM III Division During 2026 27 Sub Head Miscellaneous repair work in restaurant gym and other various location at PSOI Club Vinay Marg]</t>
        </is>
      </c>
      <c r="E1279" s="7" t="inlineStr">
        <is>
          <t>Delhi Public Works &amp; Technology Department</t>
        </is>
      </c>
      <c r="F1279" s="6" t="inlineStr">
        <is>
          <t>18 Sep 2026</t>
        </is>
      </c>
      <c r="G1279" s="5" t="inlineStr">
        <is>
          <t>11 Oct 2026</t>
        </is>
      </c>
      <c r="H1279" s="8" t="inlineStr">
        <is>
          <t>⏳ UPCOMING</t>
        </is>
      </c>
      <c r="I1279" s="4" t="inlineStr">
        <is>
          <t>BOQ_399764.xls</t>
        </is>
      </c>
      <c r="J1279" s="6" t="inlineStr">
        <is>
          <t>📊 Excel BOQ</t>
        </is>
      </c>
      <c r="K1279" s="9" t="n">
        <v>2.5</v>
      </c>
      <c r="L1279" s="10">
        <f>HYPERLINK("http://127.0.0.1:8000/api/documents/download?id=762&amp;attachment=true", "⬇ Download BOQ_399764.xls")</f>
        <v/>
      </c>
      <c r="M1279" s="10">
        <f>HYPERLINK("http://localhost:5173/?state=Delhi&amp;keyword=MIS&amp;tender=2026_NDMC_299519_1", "🚀 Open in Portal")</f>
        <v/>
      </c>
    </row>
    <row r="1280" ht="24" customHeight="1">
      <c r="A1280" s="11" t="inlineStr">
        <is>
          <t>Delhi</t>
        </is>
      </c>
      <c r="B1280" s="12" t="inlineStr">
        <is>
          <t>MIS</t>
        </is>
      </c>
      <c r="C1280" s="13" t="inlineStr">
        <is>
          <t>2026_NDMC_299519_1</t>
        </is>
      </c>
      <c r="D1280" s="14" t="inlineStr">
        <is>
          <t>[Name of work AR and MO Building in BM III Division During 2026 27 Sub Head Miscellaneous repair work in restaurant gym and other various location at PSOI Club Vinay Marg]</t>
        </is>
      </c>
      <c r="E1280" s="14" t="inlineStr">
        <is>
          <t>Delhi Public Works &amp; Technology Department</t>
        </is>
      </c>
      <c r="F1280" s="13" t="inlineStr">
        <is>
          <t>18 Sep 2026</t>
        </is>
      </c>
      <c r="G1280" s="12" t="inlineStr">
        <is>
          <t>11 Oct 2026</t>
        </is>
      </c>
      <c r="H1280" s="8" t="inlineStr">
        <is>
          <t>⏳ UPCOMING</t>
        </is>
      </c>
      <c r="I1280" s="11" t="inlineStr">
        <is>
          <t>Tender_2026_NDMC_299519_1_All_Documents.zip</t>
        </is>
      </c>
      <c r="J1280" s="13" t="inlineStr">
        <is>
          <t>📦 ZIP Package</t>
        </is>
      </c>
      <c r="K1280" s="15" t="n">
        <v>11.6</v>
      </c>
      <c r="L1280" s="16">
        <f>HYPERLINK("http://127.0.0.1:8000/api/documents/download?id=763&amp;attachment=true", "⬇ Download Tender_2026_NDMC_299519_")</f>
        <v/>
      </c>
      <c r="M1280" s="16">
        <f>HYPERLINK("http://localhost:5173/?state=Delhi&amp;keyword=MIS&amp;tender=2026_NDMC_299519_1", "🚀 Open in Portal")</f>
        <v/>
      </c>
    </row>
    <row r="1281" ht="24" customHeight="1">
      <c r="A1281" s="4" t="inlineStr">
        <is>
          <t>Delhi</t>
        </is>
      </c>
      <c r="B1281" s="5" t="inlineStr">
        <is>
          <t>MIS</t>
        </is>
      </c>
      <c r="C1281" s="6" t="inlineStr">
        <is>
          <t>2026_NDMC_299732_1</t>
        </is>
      </c>
      <c r="D1281" s="7" t="inlineStr">
        <is>
          <t>[A/R and M/O Building in BM-PK Division during 2026-27 SH Miscellaneous Repair/maintenance work in the office of Rose Garden Nursery Safdarjung Road under Aliganj service centre]</t>
        </is>
      </c>
      <c r="E1281" s="7" t="inlineStr">
        <is>
          <t>Delhi Public Works &amp; Technology Department</t>
        </is>
      </c>
      <c r="F1281" s="6" t="inlineStr">
        <is>
          <t>09 Aug 2026</t>
        </is>
      </c>
      <c r="G1281" s="5" t="inlineStr">
        <is>
          <t>03 Sep 2026</t>
        </is>
      </c>
      <c r="H1281" s="8" t="inlineStr">
        <is>
          <t>⏳ UPCOMING</t>
        </is>
      </c>
      <c r="I1281" s="4" t="inlineStr">
        <is>
          <t>Tendernotice_1.pdf</t>
        </is>
      </c>
      <c r="J1281" s="6" t="inlineStr">
        <is>
          <t>📕 PDF Document</t>
        </is>
      </c>
      <c r="K1281" s="9" t="n">
        <v>17.8</v>
      </c>
      <c r="L1281" s="10">
        <f>HYPERLINK("http://127.0.0.1:8000/api/documents/download?id=698&amp;attachment=true", "⬇ Download Tendernotice_1.pdf")</f>
        <v/>
      </c>
      <c r="M1281" s="10">
        <f>HYPERLINK("http://localhost:5173/?state=Delhi&amp;keyword=MIS&amp;tender=2026_NDMC_299732_1", "🚀 Open in Portal")</f>
        <v/>
      </c>
    </row>
    <row r="1282" ht="24" customHeight="1">
      <c r="A1282" s="11" t="inlineStr">
        <is>
          <t>Delhi</t>
        </is>
      </c>
      <c r="B1282" s="12" t="inlineStr">
        <is>
          <t>MIS</t>
        </is>
      </c>
      <c r="C1282" s="13" t="inlineStr">
        <is>
          <t>2026_NDMC_299732_1</t>
        </is>
      </c>
      <c r="D1282" s="14" t="inlineStr">
        <is>
          <t>[A/R and M/O Building in BM-PK Division during 2026-27 SH Miscellaneous Repair/maintenance work in the office of Rose Garden Nursery Safdarjung Road under Aliganj service centre]</t>
        </is>
      </c>
      <c r="E1282" s="14" t="inlineStr">
        <is>
          <t>Delhi Public Works &amp; Technology Department</t>
        </is>
      </c>
      <c r="F1282" s="13" t="inlineStr">
        <is>
          <t>09 Aug 2026</t>
        </is>
      </c>
      <c r="G1282" s="12" t="inlineStr">
        <is>
          <t>03 Sep 2026</t>
        </is>
      </c>
      <c r="H1282" s="8" t="inlineStr">
        <is>
          <t>⏳ UPCOMING</t>
        </is>
      </c>
      <c r="I1282" s="11" t="inlineStr">
        <is>
          <t>BOQ_400029.xls</t>
        </is>
      </c>
      <c r="J1282" s="13" t="inlineStr">
        <is>
          <t>📊 Excel BOQ</t>
        </is>
      </c>
      <c r="K1282" s="15" t="n">
        <v>2.5</v>
      </c>
      <c r="L1282" s="16">
        <f>HYPERLINK("http://127.0.0.1:8000/api/documents/download?id=699&amp;attachment=true", "⬇ Download BOQ_400029.xls")</f>
        <v/>
      </c>
      <c r="M1282" s="16">
        <f>HYPERLINK("http://localhost:5173/?state=Delhi&amp;keyword=MIS&amp;tender=2026_NDMC_299732_1", "🚀 Open in Portal")</f>
        <v/>
      </c>
    </row>
    <row r="1283" ht="24" customHeight="1">
      <c r="A1283" s="4" t="inlineStr">
        <is>
          <t>Delhi</t>
        </is>
      </c>
      <c r="B1283" s="5" t="inlineStr">
        <is>
          <t>MIS</t>
        </is>
      </c>
      <c r="C1283" s="6" t="inlineStr">
        <is>
          <t>2026_NDMC_299732_1</t>
        </is>
      </c>
      <c r="D1283" s="7" t="inlineStr">
        <is>
          <t>[A/R and M/O Building in BM-PK Division during 2026-27 SH Miscellaneous Repair/maintenance work in the office of Rose Garden Nursery Safdarjung Road under Aliganj service centre]</t>
        </is>
      </c>
      <c r="E1283" s="7" t="inlineStr">
        <is>
          <t>Delhi Public Works &amp; Technology Department</t>
        </is>
      </c>
      <c r="F1283" s="6" t="inlineStr">
        <is>
          <t>09 Aug 2026</t>
        </is>
      </c>
      <c r="G1283" s="5" t="inlineStr">
        <is>
          <t>03 Sep 2026</t>
        </is>
      </c>
      <c r="H1283" s="8" t="inlineStr">
        <is>
          <t>⏳ UPCOMING</t>
        </is>
      </c>
      <c r="I1283" s="4" t="inlineStr">
        <is>
          <t>Tender_2026_NDMC_299732_1_All_Documents.zip</t>
        </is>
      </c>
      <c r="J1283" s="6" t="inlineStr">
        <is>
          <t>📦 ZIP Package</t>
        </is>
      </c>
      <c r="K1283" s="9" t="n">
        <v>11.6</v>
      </c>
      <c r="L1283" s="10">
        <f>HYPERLINK("http://127.0.0.1:8000/api/documents/download?id=700&amp;attachment=true", "⬇ Download Tender_2026_NDMC_299732_")</f>
        <v/>
      </c>
      <c r="M1283" s="10">
        <f>HYPERLINK("http://localhost:5173/?state=Delhi&amp;keyword=MIS&amp;tender=2026_NDMC_299732_1", "🚀 Open in Portal")</f>
        <v/>
      </c>
    </row>
    <row r="1284" ht="24" customHeight="1">
      <c r="A1284" s="11" t="inlineStr">
        <is>
          <t>Delhi</t>
        </is>
      </c>
      <c r="B1284" s="12" t="inlineStr">
        <is>
          <t>MIS</t>
        </is>
      </c>
      <c r="C1284" s="13" t="inlineStr">
        <is>
          <t>2026_PWD_299205_2</t>
        </is>
      </c>
      <c r="D1284" s="14" t="inlineStr">
        <is>
          <t>[AR and MO to Judicial Officers Residential Complex, Sec.-26, Rohini during 26-27. SH-Misc. repair work for attending day to day complaints.]</t>
        </is>
      </c>
      <c r="E1284" s="14" t="inlineStr">
        <is>
          <t>Delhi Public Works &amp; Technology Department</t>
        </is>
      </c>
      <c r="F1284" s="13" t="inlineStr">
        <is>
          <t>22 Aug 2026</t>
        </is>
      </c>
      <c r="G1284" s="12" t="inlineStr">
        <is>
          <t>16 Sep 2026</t>
        </is>
      </c>
      <c r="H1284" s="8" t="inlineStr">
        <is>
          <t>⏳ UPCOMING</t>
        </is>
      </c>
      <c r="I1284" s="11" t="inlineStr">
        <is>
          <t>Tendernotice_1.pdf</t>
        </is>
      </c>
      <c r="J1284" s="13" t="inlineStr">
        <is>
          <t>📕 PDF Document</t>
        </is>
      </c>
      <c r="K1284" s="15" t="n">
        <v>17.8</v>
      </c>
      <c r="L1284" s="16">
        <f>HYPERLINK("http://127.0.0.1:8000/api/documents/download?id=725&amp;attachment=true", "⬇ Download Tendernotice_1.pdf")</f>
        <v/>
      </c>
      <c r="M1284" s="16">
        <f>HYPERLINK("http://localhost:5173/?state=Delhi&amp;keyword=MIS&amp;tender=2026_PWD_299205_2", "🚀 Open in Portal")</f>
        <v/>
      </c>
    </row>
    <row r="1285" ht="24" customHeight="1">
      <c r="A1285" s="4" t="inlineStr">
        <is>
          <t>Delhi</t>
        </is>
      </c>
      <c r="B1285" s="5" t="inlineStr">
        <is>
          <t>MIS</t>
        </is>
      </c>
      <c r="C1285" s="6" t="inlineStr">
        <is>
          <t>2026_PWD_299205_2</t>
        </is>
      </c>
      <c r="D1285" s="7" t="inlineStr">
        <is>
          <t>[AR and MO to Judicial Officers Residential Complex, Sec.-26, Rohini during 26-27. SH-Misc. repair work for attending day to day complaints.]</t>
        </is>
      </c>
      <c r="E1285" s="7" t="inlineStr">
        <is>
          <t>Delhi Public Works &amp; Technology Department</t>
        </is>
      </c>
      <c r="F1285" s="6" t="inlineStr">
        <is>
          <t>22 Aug 2026</t>
        </is>
      </c>
      <c r="G1285" s="5" t="inlineStr">
        <is>
          <t>16 Sep 2026</t>
        </is>
      </c>
      <c r="H1285" s="8" t="inlineStr">
        <is>
          <t>⏳ UPCOMING</t>
        </is>
      </c>
      <c r="I1285" s="4" t="inlineStr">
        <is>
          <t>BOQ_399911.xls</t>
        </is>
      </c>
      <c r="J1285" s="6" t="inlineStr">
        <is>
          <t>📊 Excel BOQ</t>
        </is>
      </c>
      <c r="K1285" s="9" t="n">
        <v>2.5</v>
      </c>
      <c r="L1285" s="10">
        <f>HYPERLINK("http://127.0.0.1:8000/api/documents/download?id=726&amp;attachment=true", "⬇ Download BOQ_399911.xls")</f>
        <v/>
      </c>
      <c r="M1285" s="10">
        <f>HYPERLINK("http://localhost:5173/?state=Delhi&amp;keyword=MIS&amp;tender=2026_PWD_299205_2", "🚀 Open in Portal")</f>
        <v/>
      </c>
    </row>
    <row r="1286" ht="24" customHeight="1">
      <c r="A1286" s="11" t="inlineStr">
        <is>
          <t>Delhi</t>
        </is>
      </c>
      <c r="B1286" s="12" t="inlineStr">
        <is>
          <t>MIS</t>
        </is>
      </c>
      <c r="C1286" s="13" t="inlineStr">
        <is>
          <t>2026_PWD_299205_2</t>
        </is>
      </c>
      <c r="D1286" s="14" t="inlineStr">
        <is>
          <t>[AR and MO to Judicial Officers Residential Complex, Sec.-26, Rohini during 26-27. SH-Misc. repair work for attending day to day complaints.]</t>
        </is>
      </c>
      <c r="E1286" s="14" t="inlineStr">
        <is>
          <t>Delhi Public Works &amp; Technology Department</t>
        </is>
      </c>
      <c r="F1286" s="13" t="inlineStr">
        <is>
          <t>22 Aug 2026</t>
        </is>
      </c>
      <c r="G1286" s="12" t="inlineStr">
        <is>
          <t>16 Sep 2026</t>
        </is>
      </c>
      <c r="H1286" s="8" t="inlineStr">
        <is>
          <t>⏳ UPCOMING</t>
        </is>
      </c>
      <c r="I1286" s="11" t="inlineStr">
        <is>
          <t>Tender_2026_PWD_299205_2_All_Documents.zip</t>
        </is>
      </c>
      <c r="J1286" s="13" t="inlineStr">
        <is>
          <t>📦 ZIP Package</t>
        </is>
      </c>
      <c r="K1286" s="15" t="n">
        <v>11.5</v>
      </c>
      <c r="L1286" s="16">
        <f>HYPERLINK("http://127.0.0.1:8000/api/documents/download?id=727&amp;attachment=true", "⬇ Download Tender_2026_PWD_299205_2")</f>
        <v/>
      </c>
      <c r="M1286" s="16">
        <f>HYPERLINK("http://localhost:5173/?state=Delhi&amp;keyword=MIS&amp;tender=2026_PWD_299205_2", "🚀 Open in Portal")</f>
        <v/>
      </c>
    </row>
    <row r="1287" ht="24" customHeight="1">
      <c r="A1287" s="4" t="inlineStr">
        <is>
          <t>Delhi</t>
        </is>
      </c>
      <c r="B1287" s="5" t="inlineStr">
        <is>
          <t>MIS</t>
        </is>
      </c>
      <c r="C1287" s="6" t="inlineStr">
        <is>
          <t>2026_PWD_299294_2</t>
        </is>
      </c>
      <c r="D1287" s="7" t="inlineStr">
        <is>
          <t>[Comprehensive maintenance of various roads under SER-2/24 during 2026-27 (SH-Providing services of person for driving away monkeys from Office premises and surrounding Government property and annual maintenance for computer printer photocopy.........]</t>
        </is>
      </c>
      <c r="E1287" s="7" t="inlineStr">
        <is>
          <t>Delhi Public Works &amp; Technology Department</t>
        </is>
      </c>
      <c r="F1287" s="6" t="inlineStr">
        <is>
          <t>13 Aug 2026</t>
        </is>
      </c>
      <c r="G1287" s="5" t="inlineStr">
        <is>
          <t>06 Sep 2026</t>
        </is>
      </c>
      <c r="H1287" s="8" t="inlineStr">
        <is>
          <t>⏳ UPCOMING</t>
        </is>
      </c>
      <c r="I1287" s="4" t="inlineStr">
        <is>
          <t>Tendernotice_1.pdf</t>
        </is>
      </c>
      <c r="J1287" s="6" t="inlineStr">
        <is>
          <t>📕 PDF Document</t>
        </is>
      </c>
      <c r="K1287" s="9" t="n">
        <v>17.8</v>
      </c>
      <c r="L1287" s="10">
        <f>HYPERLINK("http://127.0.0.1:8000/api/documents/download?id=705&amp;attachment=true", "⬇ Download Tendernotice_1.pdf")</f>
        <v/>
      </c>
      <c r="M1287" s="10">
        <f>HYPERLINK("http://localhost:5173/?state=Delhi&amp;keyword=MIS&amp;tender=2026_PWD_299294_2", "🚀 Open in Portal")</f>
        <v/>
      </c>
    </row>
    <row r="1288" ht="24" customHeight="1">
      <c r="A1288" s="11" t="inlineStr">
        <is>
          <t>Delhi</t>
        </is>
      </c>
      <c r="B1288" s="12" t="inlineStr">
        <is>
          <t>MIS</t>
        </is>
      </c>
      <c r="C1288" s="13" t="inlineStr">
        <is>
          <t>2026_PWD_299294_2</t>
        </is>
      </c>
      <c r="D1288" s="14" t="inlineStr">
        <is>
          <t>[Comprehensive maintenance of various roads under SER-2/24 during 2026-27 (SH-Providing services of person for driving away monkeys from Office premises and surrounding Government property and annual maintenance for computer printer photocopy.........]</t>
        </is>
      </c>
      <c r="E1288" s="14" t="inlineStr">
        <is>
          <t>Delhi Public Works &amp; Technology Department</t>
        </is>
      </c>
      <c r="F1288" s="13" t="inlineStr">
        <is>
          <t>13 Aug 2026</t>
        </is>
      </c>
      <c r="G1288" s="12" t="inlineStr">
        <is>
          <t>06 Sep 2026</t>
        </is>
      </c>
      <c r="H1288" s="8" t="inlineStr">
        <is>
          <t>⏳ UPCOMING</t>
        </is>
      </c>
      <c r="I1288" s="11" t="inlineStr">
        <is>
          <t>NIT76recall.pdf</t>
        </is>
      </c>
      <c r="J1288" s="13" t="inlineStr">
        <is>
          <t>📕 PDF Document</t>
        </is>
      </c>
      <c r="K1288" s="15" t="n">
        <v>17.8</v>
      </c>
      <c r="L1288" s="16">
        <f>HYPERLINK("http://127.0.0.1:8000/api/documents/download?id=706&amp;attachment=true", "⬇ Download NIT76recall.pdf")</f>
        <v/>
      </c>
      <c r="M1288" s="16">
        <f>HYPERLINK("http://localhost:5173/?state=Delhi&amp;keyword=MIS&amp;tender=2026_PWD_299294_2", "🚀 Open in Portal")</f>
        <v/>
      </c>
    </row>
    <row r="1289" ht="24" customHeight="1">
      <c r="A1289" s="4" t="inlineStr">
        <is>
          <t>Delhi</t>
        </is>
      </c>
      <c r="B1289" s="5" t="inlineStr">
        <is>
          <t>MIS</t>
        </is>
      </c>
      <c r="C1289" s="6" t="inlineStr">
        <is>
          <t>2026_PWD_299294_2</t>
        </is>
      </c>
      <c r="D1289" s="7" t="inlineStr">
        <is>
          <t>[Comprehensive maintenance of various roads under SER-2/24 during 2026-27 (SH-Providing services of person for driving away monkeys from Office premises and surrounding Government property and annual maintenance for computer printer photocopy.........]</t>
        </is>
      </c>
      <c r="E1289" s="7" t="inlineStr">
        <is>
          <t>Delhi Public Works &amp; Technology Department</t>
        </is>
      </c>
      <c r="F1289" s="6" t="inlineStr">
        <is>
          <t>13 Aug 2026</t>
        </is>
      </c>
      <c r="G1289" s="5" t="inlineStr">
        <is>
          <t>06 Sep 2026</t>
        </is>
      </c>
      <c r="H1289" s="8" t="inlineStr">
        <is>
          <t>⏳ UPCOMING</t>
        </is>
      </c>
      <c r="I1289" s="4" t="inlineStr">
        <is>
          <t>BOQ_400042.xls</t>
        </is>
      </c>
      <c r="J1289" s="6" t="inlineStr">
        <is>
          <t>📊 Excel BOQ</t>
        </is>
      </c>
      <c r="K1289" s="9" t="n">
        <v>2.5</v>
      </c>
      <c r="L1289" s="10">
        <f>HYPERLINK("http://127.0.0.1:8000/api/documents/download?id=707&amp;attachment=true", "⬇ Download BOQ_400042.xls")</f>
        <v/>
      </c>
      <c r="M1289" s="10">
        <f>HYPERLINK("http://localhost:5173/?state=Delhi&amp;keyword=MIS&amp;tender=2026_PWD_299294_2", "🚀 Open in Portal")</f>
        <v/>
      </c>
    </row>
    <row r="1290" ht="24" customHeight="1">
      <c r="A1290" s="11" t="inlineStr">
        <is>
          <t>Delhi</t>
        </is>
      </c>
      <c r="B1290" s="12" t="inlineStr">
        <is>
          <t>MIS</t>
        </is>
      </c>
      <c r="C1290" s="13" t="inlineStr">
        <is>
          <t>2026_PWD_299294_2</t>
        </is>
      </c>
      <c r="D1290" s="14" t="inlineStr">
        <is>
          <t>[Comprehensive maintenance of various roads under SER-2/24 during 2026-27 (SH-Providing services of person for driving away monkeys from Office premises and surrounding Government property and annual maintenance for computer printer photocopy.........]</t>
        </is>
      </c>
      <c r="E1290" s="14" t="inlineStr">
        <is>
          <t>Delhi Public Works &amp; Technology Department</t>
        </is>
      </c>
      <c r="F1290" s="13" t="inlineStr">
        <is>
          <t>13 Aug 2026</t>
        </is>
      </c>
      <c r="G1290" s="12" t="inlineStr">
        <is>
          <t>06 Sep 2026</t>
        </is>
      </c>
      <c r="H1290" s="8" t="inlineStr">
        <is>
          <t>⏳ UPCOMING</t>
        </is>
      </c>
      <c r="I1290" s="11" t="inlineStr">
        <is>
          <t>Tender_2026_PWD_299294_2_All_Documents.zip</t>
        </is>
      </c>
      <c r="J1290" s="13" t="inlineStr">
        <is>
          <t>📦 ZIP Package</t>
        </is>
      </c>
      <c r="K1290" s="15" t="n">
        <v>20.8</v>
      </c>
      <c r="L1290" s="16">
        <f>HYPERLINK("http://127.0.0.1:8000/api/documents/download?id=708&amp;attachment=true", "⬇ Download Tender_2026_PWD_299294_2")</f>
        <v/>
      </c>
      <c r="M1290" s="16">
        <f>HYPERLINK("http://localhost:5173/?state=Delhi&amp;keyword=MIS&amp;tender=2026_PWD_299294_2", "🚀 Open in Portal")</f>
        <v/>
      </c>
    </row>
    <row r="1291" ht="24" customHeight="1">
      <c r="A1291" s="4" t="inlineStr">
        <is>
          <t>Delhi</t>
        </is>
      </c>
      <c r="B1291" s="5" t="inlineStr">
        <is>
          <t>MIS</t>
        </is>
      </c>
      <c r="C1291" s="6" t="inlineStr">
        <is>
          <t>2026_PWD_299548_1</t>
        </is>
      </c>
      <c r="D1291" s="7" t="inlineStr">
        <is>
          <t>[Cons of Toilets in open area of backside of Nursery HDU and Pdg separate Public Toilet facilities for Transgender disabilities persons and construction of MV Statue with shed in Hospital premises including other misc EI work at MV Hosp Pooth Khurd ]</t>
        </is>
      </c>
      <c r="E1291" s="7" t="inlineStr">
        <is>
          <t>Delhi Public Works &amp; Technology Department</t>
        </is>
      </c>
      <c r="F1291" s="6" t="inlineStr">
        <is>
          <t>03 Sep 2026</t>
        </is>
      </c>
      <c r="G1291" s="5" t="inlineStr">
        <is>
          <t>03 Oct 2026</t>
        </is>
      </c>
      <c r="H1291" s="8" t="inlineStr">
        <is>
          <t>⏳ UPCOMING</t>
        </is>
      </c>
      <c r="I1291" s="4" t="inlineStr">
        <is>
          <t>Tendernotice_1.pdf</t>
        </is>
      </c>
      <c r="J1291" s="6" t="inlineStr">
        <is>
          <t>📕 PDF Document</t>
        </is>
      </c>
      <c r="K1291" s="9" t="n">
        <v>17.8</v>
      </c>
      <c r="L1291" s="10">
        <f>HYPERLINK("http://127.0.0.1:8000/api/documents/download?id=738&amp;attachment=true", "⬇ Download Tendernotice_1.pdf")</f>
        <v/>
      </c>
      <c r="M1291" s="10">
        <f>HYPERLINK("http://localhost:5173/?state=Delhi&amp;keyword=MIS&amp;tender=2026_PWD_299548_1", "🚀 Open in Portal")</f>
        <v/>
      </c>
    </row>
    <row r="1292" ht="24" customHeight="1">
      <c r="A1292" s="11" t="inlineStr">
        <is>
          <t>Delhi</t>
        </is>
      </c>
      <c r="B1292" s="12" t="inlineStr">
        <is>
          <t>MIS</t>
        </is>
      </c>
      <c r="C1292" s="13" t="inlineStr">
        <is>
          <t>2026_PWD_299548_1</t>
        </is>
      </c>
      <c r="D1292" s="14" t="inlineStr">
        <is>
          <t>[Cons of Toilets in open area of backside of Nursery HDU and Pdg separate Public Toilet facilities for Transgender disabilities persons and construction of MV Statue with shed in Hospital premises including other misc EI work at MV Hosp Pooth Khurd ]</t>
        </is>
      </c>
      <c r="E1292" s="14" t="inlineStr">
        <is>
          <t>Delhi Public Works &amp; Technology Department</t>
        </is>
      </c>
      <c r="F1292" s="13" t="inlineStr">
        <is>
          <t>03 Sep 2026</t>
        </is>
      </c>
      <c r="G1292" s="12" t="inlineStr">
        <is>
          <t>03 Oct 2026</t>
        </is>
      </c>
      <c r="H1292" s="8" t="inlineStr">
        <is>
          <t>⏳ UPCOMING</t>
        </is>
      </c>
      <c r="I1292" s="11" t="inlineStr">
        <is>
          <t>NIT.pdf</t>
        </is>
      </c>
      <c r="J1292" s="13" t="inlineStr">
        <is>
          <t>📕 PDF Document</t>
        </is>
      </c>
      <c r="K1292" s="15" t="n">
        <v>17.8</v>
      </c>
      <c r="L1292" s="16">
        <f>HYPERLINK("http://127.0.0.1:8000/api/documents/download?id=739&amp;attachment=true", "⬇ Download NIT.pdf")</f>
        <v/>
      </c>
      <c r="M1292" s="16">
        <f>HYPERLINK("http://localhost:5173/?state=Delhi&amp;keyword=MIS&amp;tender=2026_PWD_299548_1", "🚀 Open in Portal")</f>
        <v/>
      </c>
    </row>
    <row r="1293" ht="24" customHeight="1">
      <c r="A1293" s="4" t="inlineStr">
        <is>
          <t>Delhi</t>
        </is>
      </c>
      <c r="B1293" s="5" t="inlineStr">
        <is>
          <t>MIS</t>
        </is>
      </c>
      <c r="C1293" s="6" t="inlineStr">
        <is>
          <t>2026_PWD_299548_1</t>
        </is>
      </c>
      <c r="D1293" s="7" t="inlineStr">
        <is>
          <t>[Cons of Toilets in open area of backside of Nursery HDU and Pdg separate Public Toilet facilities for Transgender disabilities persons and construction of MV Statue with shed in Hospital premises including other misc EI work at MV Hosp Pooth Khurd ]</t>
        </is>
      </c>
      <c r="E1293" s="7" t="inlineStr">
        <is>
          <t>Delhi Public Works &amp; Technology Department</t>
        </is>
      </c>
      <c r="F1293" s="6" t="inlineStr">
        <is>
          <t>03 Sep 2026</t>
        </is>
      </c>
      <c r="G1293" s="5" t="inlineStr">
        <is>
          <t>03 Oct 2026</t>
        </is>
      </c>
      <c r="H1293" s="8" t="inlineStr">
        <is>
          <t>⏳ UPCOMING</t>
        </is>
      </c>
      <c r="I1293" s="4" t="inlineStr">
        <is>
          <t>BOQ_399799.xls</t>
        </is>
      </c>
      <c r="J1293" s="6" t="inlineStr">
        <is>
          <t>📊 Excel BOQ</t>
        </is>
      </c>
      <c r="K1293" s="9" t="n">
        <v>2.5</v>
      </c>
      <c r="L1293" s="10">
        <f>HYPERLINK("http://127.0.0.1:8000/api/documents/download?id=740&amp;attachment=true", "⬇ Download BOQ_399799.xls")</f>
        <v/>
      </c>
      <c r="M1293" s="10">
        <f>HYPERLINK("http://localhost:5173/?state=Delhi&amp;keyword=MIS&amp;tender=2026_PWD_299548_1", "🚀 Open in Portal")</f>
        <v/>
      </c>
    </row>
    <row r="1294" ht="24" customHeight="1">
      <c r="A1294" s="11" t="inlineStr">
        <is>
          <t>Delhi</t>
        </is>
      </c>
      <c r="B1294" s="12" t="inlineStr">
        <is>
          <t>MIS</t>
        </is>
      </c>
      <c r="C1294" s="13" t="inlineStr">
        <is>
          <t>2026_PWD_299548_1</t>
        </is>
      </c>
      <c r="D1294" s="14" t="inlineStr">
        <is>
          <t>[Cons of Toilets in open area of backside of Nursery HDU and Pdg separate Public Toilet facilities for Transgender disabilities persons and construction of MV Statue with shed in Hospital premises including other misc EI work at MV Hosp Pooth Khurd ]</t>
        </is>
      </c>
      <c r="E1294" s="14" t="inlineStr">
        <is>
          <t>Delhi Public Works &amp; Technology Department</t>
        </is>
      </c>
      <c r="F1294" s="13" t="inlineStr">
        <is>
          <t>03 Sep 2026</t>
        </is>
      </c>
      <c r="G1294" s="12" t="inlineStr">
        <is>
          <t>03 Oct 2026</t>
        </is>
      </c>
      <c r="H1294" s="8" t="inlineStr">
        <is>
          <t>⏳ UPCOMING</t>
        </is>
      </c>
      <c r="I1294" s="11" t="inlineStr">
        <is>
          <t>Tender_2026_PWD_299548_1_All_Documents.zip</t>
        </is>
      </c>
      <c r="J1294" s="13" t="inlineStr">
        <is>
          <t>📦 ZIP Package</t>
        </is>
      </c>
      <c r="K1294" s="15" t="n">
        <v>20.7</v>
      </c>
      <c r="L1294" s="16">
        <f>HYPERLINK("http://127.0.0.1:8000/api/documents/download?id=741&amp;attachment=true", "⬇ Download Tender_2026_PWD_299548_1")</f>
        <v/>
      </c>
      <c r="M1294" s="16">
        <f>HYPERLINK("http://localhost:5173/?state=Delhi&amp;keyword=MIS&amp;tender=2026_PWD_299548_1", "🚀 Open in Portal")</f>
        <v/>
      </c>
    </row>
    <row r="1295" ht="24" customHeight="1">
      <c r="A1295" s="4" t="inlineStr">
        <is>
          <t>Delhi</t>
        </is>
      </c>
      <c r="B1295" s="5" t="inlineStr">
        <is>
          <t>MIS</t>
        </is>
      </c>
      <c r="C1295" s="6" t="inlineStr">
        <is>
          <t>2026_PWD_299550_1</t>
        </is>
      </c>
      <c r="D1295" s="7" t="inlineStr">
        <is>
          <t>[Supplying installation testing and commissioning of LED Display boards at various locations in Dr BSA Hospital Rohini Delhi]</t>
        </is>
      </c>
      <c r="E1295" s="7" t="inlineStr">
        <is>
          <t>Delhi Public Works &amp; Technology Department</t>
        </is>
      </c>
      <c r="F1295" s="6" t="inlineStr">
        <is>
          <t>31 Aug 2026</t>
        </is>
      </c>
      <c r="G1295" s="5" t="inlineStr">
        <is>
          <t>24 Sep 2026</t>
        </is>
      </c>
      <c r="H1295" s="8" t="inlineStr">
        <is>
          <t>⏳ UPCOMING</t>
        </is>
      </c>
      <c r="I1295" s="4" t="inlineStr">
        <is>
          <t>Tendernotice_1.pdf</t>
        </is>
      </c>
      <c r="J1295" s="6" t="inlineStr">
        <is>
          <t>📕 PDF Document</t>
        </is>
      </c>
      <c r="K1295" s="9" t="n">
        <v>17.8</v>
      </c>
      <c r="L1295" s="10">
        <f>HYPERLINK("http://127.0.0.1:8000/api/documents/download?id=734&amp;attachment=true", "⬇ Download Tendernotice_1.pdf")</f>
        <v/>
      </c>
      <c r="M1295" s="10">
        <f>HYPERLINK("http://localhost:5173/?state=Delhi&amp;keyword=MIS&amp;tender=2026_PWD_299550_1", "🚀 Open in Portal")</f>
        <v/>
      </c>
    </row>
    <row r="1296" ht="24" customHeight="1">
      <c r="A1296" s="11" t="inlineStr">
        <is>
          <t>Delhi</t>
        </is>
      </c>
      <c r="B1296" s="12" t="inlineStr">
        <is>
          <t>MIS</t>
        </is>
      </c>
      <c r="C1296" s="13" t="inlineStr">
        <is>
          <t>2026_PWD_299550_1</t>
        </is>
      </c>
      <c r="D1296" s="14" t="inlineStr">
        <is>
          <t>[Supplying installation testing and commissioning of LED Display boards at various locations in Dr BSA Hospital Rohini Delhi]</t>
        </is>
      </c>
      <c r="E1296" s="14" t="inlineStr">
        <is>
          <t>Delhi Public Works &amp; Technology Department</t>
        </is>
      </c>
      <c r="F1296" s="13" t="inlineStr">
        <is>
          <t>31 Aug 2026</t>
        </is>
      </c>
      <c r="G1296" s="12" t="inlineStr">
        <is>
          <t>24 Sep 2026</t>
        </is>
      </c>
      <c r="H1296" s="8" t="inlineStr">
        <is>
          <t>⏳ UPCOMING</t>
        </is>
      </c>
      <c r="I1296" s="11" t="inlineStr">
        <is>
          <t>NIT.pdf</t>
        </is>
      </c>
      <c r="J1296" s="13" t="inlineStr">
        <is>
          <t>📕 PDF Document</t>
        </is>
      </c>
      <c r="K1296" s="15" t="n">
        <v>17.8</v>
      </c>
      <c r="L1296" s="16">
        <f>HYPERLINK("http://127.0.0.1:8000/api/documents/download?id=735&amp;attachment=true", "⬇ Download NIT.pdf")</f>
        <v/>
      </c>
      <c r="M1296" s="16">
        <f>HYPERLINK("http://localhost:5173/?state=Delhi&amp;keyword=MIS&amp;tender=2026_PWD_299550_1", "🚀 Open in Portal")</f>
        <v/>
      </c>
    </row>
    <row r="1297" ht="24" customHeight="1">
      <c r="A1297" s="4" t="inlineStr">
        <is>
          <t>Delhi</t>
        </is>
      </c>
      <c r="B1297" s="5" t="inlineStr">
        <is>
          <t>MIS</t>
        </is>
      </c>
      <c r="C1297" s="6" t="inlineStr">
        <is>
          <t>2026_PWD_299550_1</t>
        </is>
      </c>
      <c r="D1297" s="7" t="inlineStr">
        <is>
          <t>[Supplying installation testing and commissioning of LED Display boards at various locations in Dr BSA Hospital Rohini Delhi]</t>
        </is>
      </c>
      <c r="E1297" s="7" t="inlineStr">
        <is>
          <t>Delhi Public Works &amp; Technology Department</t>
        </is>
      </c>
      <c r="F1297" s="6" t="inlineStr">
        <is>
          <t>31 Aug 2026</t>
        </is>
      </c>
      <c r="G1297" s="5" t="inlineStr">
        <is>
          <t>24 Sep 2026</t>
        </is>
      </c>
      <c r="H1297" s="8" t="inlineStr">
        <is>
          <t>⏳ UPCOMING</t>
        </is>
      </c>
      <c r="I1297" s="4" t="inlineStr">
        <is>
          <t>BOQ_399802.xls</t>
        </is>
      </c>
      <c r="J1297" s="6" t="inlineStr">
        <is>
          <t>📊 Excel BOQ</t>
        </is>
      </c>
      <c r="K1297" s="9" t="n">
        <v>2.5</v>
      </c>
      <c r="L1297" s="10">
        <f>HYPERLINK("http://127.0.0.1:8000/api/documents/download?id=736&amp;attachment=true", "⬇ Download BOQ_399802.xls")</f>
        <v/>
      </c>
      <c r="M1297" s="10">
        <f>HYPERLINK("http://localhost:5173/?state=Delhi&amp;keyword=MIS&amp;tender=2026_PWD_299550_1", "🚀 Open in Portal")</f>
        <v/>
      </c>
    </row>
    <row r="1298" ht="24" customHeight="1">
      <c r="A1298" s="11" t="inlineStr">
        <is>
          <t>Delhi</t>
        </is>
      </c>
      <c r="B1298" s="12" t="inlineStr">
        <is>
          <t>MIS</t>
        </is>
      </c>
      <c r="C1298" s="13" t="inlineStr">
        <is>
          <t>2026_PWD_299550_1</t>
        </is>
      </c>
      <c r="D1298" s="14" t="inlineStr">
        <is>
          <t>[Supplying installation testing and commissioning of LED Display boards at various locations in Dr BSA Hospital Rohini Delhi]</t>
        </is>
      </c>
      <c r="E1298" s="14" t="inlineStr">
        <is>
          <t>Delhi Public Works &amp; Technology Department</t>
        </is>
      </c>
      <c r="F1298" s="13" t="inlineStr">
        <is>
          <t>31 Aug 2026</t>
        </is>
      </c>
      <c r="G1298" s="12" t="inlineStr">
        <is>
          <t>24 Sep 2026</t>
        </is>
      </c>
      <c r="H1298" s="8" t="inlineStr">
        <is>
          <t>⏳ UPCOMING</t>
        </is>
      </c>
      <c r="I1298" s="11" t="inlineStr">
        <is>
          <t>Tender_2026_PWD_299550_1_All_Documents.zip</t>
        </is>
      </c>
      <c r="J1298" s="13" t="inlineStr">
        <is>
          <t>📦 ZIP Package</t>
        </is>
      </c>
      <c r="K1298" s="15" t="n">
        <v>20.8</v>
      </c>
      <c r="L1298" s="16">
        <f>HYPERLINK("http://127.0.0.1:8000/api/documents/download?id=737&amp;attachment=true", "⬇ Download Tender_2026_PWD_299550_1")</f>
        <v/>
      </c>
      <c r="M1298" s="16">
        <f>HYPERLINK("http://localhost:5173/?state=Delhi&amp;keyword=MIS&amp;tender=2026_PWD_299550_1", "🚀 Open in Portal")</f>
        <v/>
      </c>
    </row>
    <row r="1299" ht="24" customHeight="1">
      <c r="A1299" s="4" t="inlineStr">
        <is>
          <t>Delhi</t>
        </is>
      </c>
      <c r="B1299" s="5" t="inlineStr">
        <is>
          <t>MIS</t>
        </is>
      </c>
      <c r="C1299" s="6" t="inlineStr">
        <is>
          <t>2026_PWD_299594_1</t>
        </is>
      </c>
      <c r="D1299" s="7" t="inlineStr">
        <is>
          <t>[AR MO to Honble Judges Flats located at Court Lane and its servant qtr Rajpur Road Civil Lines Delhi under Sub Division M 323116A Rajpur Road Delhi SH Change of Flooring Toilets renovation replacement of old lines out door tile flooring and misc wor]</t>
        </is>
      </c>
      <c r="E1299" s="7" t="inlineStr">
        <is>
          <t>Delhi Public Works &amp; Technology Department</t>
        </is>
      </c>
      <c r="F1299" s="6" t="inlineStr">
        <is>
          <t>25 Aug 2026</t>
        </is>
      </c>
      <c r="G1299" s="5" t="inlineStr">
        <is>
          <t>16 Sep 2026</t>
        </is>
      </c>
      <c r="H1299" s="8" t="inlineStr">
        <is>
          <t>⏳ UPCOMING</t>
        </is>
      </c>
      <c r="I1299" s="4" t="inlineStr">
        <is>
          <t>Tendernotice_1.pdf</t>
        </is>
      </c>
      <c r="J1299" s="6" t="inlineStr">
        <is>
          <t>📕 PDF Document</t>
        </is>
      </c>
      <c r="K1299" s="9" t="n">
        <v>17.8</v>
      </c>
      <c r="L1299" s="10">
        <f>HYPERLINK("http://127.0.0.1:8000/api/documents/download?id=728&amp;attachment=true", "⬇ Download Tendernotice_1.pdf")</f>
        <v/>
      </c>
      <c r="M1299" s="10">
        <f>HYPERLINK("http://localhost:5173/?state=Delhi&amp;keyword=MIS&amp;tender=2026_PWD_299594_1", "🚀 Open in Portal")</f>
        <v/>
      </c>
    </row>
    <row r="1300" ht="24" customHeight="1">
      <c r="A1300" s="11" t="inlineStr">
        <is>
          <t>Delhi</t>
        </is>
      </c>
      <c r="B1300" s="12" t="inlineStr">
        <is>
          <t>MIS</t>
        </is>
      </c>
      <c r="C1300" s="13" t="inlineStr">
        <is>
          <t>2026_PWD_299594_1</t>
        </is>
      </c>
      <c r="D1300" s="14" t="inlineStr">
        <is>
          <t>[AR MO to Honble Judges Flats located at Court Lane and its servant qtr Rajpur Road Civil Lines Delhi under Sub Division M 323116A Rajpur Road Delhi SH Change of Flooring Toilets renovation replacement of old lines out door tile flooring and misc wor]</t>
        </is>
      </c>
      <c r="E1300" s="14" t="inlineStr">
        <is>
          <t>Delhi Public Works &amp; Technology Department</t>
        </is>
      </c>
      <c r="F1300" s="13" t="inlineStr">
        <is>
          <t>25 Aug 2026</t>
        </is>
      </c>
      <c r="G1300" s="12" t="inlineStr">
        <is>
          <t>16 Sep 2026</t>
        </is>
      </c>
      <c r="H1300" s="8" t="inlineStr">
        <is>
          <t>⏳ UPCOMING</t>
        </is>
      </c>
      <c r="I1300" s="11" t="inlineStr">
        <is>
          <t>BOQ_399852.xls</t>
        </is>
      </c>
      <c r="J1300" s="13" t="inlineStr">
        <is>
          <t>📊 Excel BOQ</t>
        </is>
      </c>
      <c r="K1300" s="15" t="n">
        <v>2.5</v>
      </c>
      <c r="L1300" s="16">
        <f>HYPERLINK("http://127.0.0.1:8000/api/documents/download?id=729&amp;attachment=true", "⬇ Download BOQ_399852.xls")</f>
        <v/>
      </c>
      <c r="M1300" s="16">
        <f>HYPERLINK("http://localhost:5173/?state=Delhi&amp;keyword=MIS&amp;tender=2026_PWD_299594_1", "🚀 Open in Portal")</f>
        <v/>
      </c>
    </row>
    <row r="1301" ht="24" customHeight="1">
      <c r="A1301" s="4" t="inlineStr">
        <is>
          <t>Delhi</t>
        </is>
      </c>
      <c r="B1301" s="5" t="inlineStr">
        <is>
          <t>MIS</t>
        </is>
      </c>
      <c r="C1301" s="6" t="inlineStr">
        <is>
          <t>2026_PWD_299594_1</t>
        </is>
      </c>
      <c r="D1301" s="7" t="inlineStr">
        <is>
          <t>[AR MO to Honble Judges Flats located at Court Lane and its servant qtr Rajpur Road Civil Lines Delhi under Sub Division M 323116A Rajpur Road Delhi SH Change of Flooring Toilets renovation replacement of old lines out door tile flooring and misc wor]</t>
        </is>
      </c>
      <c r="E1301" s="7" t="inlineStr">
        <is>
          <t>Delhi Public Works &amp; Technology Department</t>
        </is>
      </c>
      <c r="F1301" s="6" t="inlineStr">
        <is>
          <t>25 Aug 2026</t>
        </is>
      </c>
      <c r="G1301" s="5" t="inlineStr">
        <is>
          <t>16 Sep 2026</t>
        </is>
      </c>
      <c r="H1301" s="8" t="inlineStr">
        <is>
          <t>⏳ UPCOMING</t>
        </is>
      </c>
      <c r="I1301" s="4" t="inlineStr">
        <is>
          <t>Tender_2026_PWD_299594_1_All_Documents.zip</t>
        </is>
      </c>
      <c r="J1301" s="6" t="inlineStr">
        <is>
          <t>📦 ZIP Package</t>
        </is>
      </c>
      <c r="K1301" s="9" t="n">
        <v>11.7</v>
      </c>
      <c r="L1301" s="10">
        <f>HYPERLINK("http://127.0.0.1:8000/api/documents/download?id=730&amp;attachment=true", "⬇ Download Tender_2026_PWD_299594_1")</f>
        <v/>
      </c>
      <c r="M1301" s="10">
        <f>HYPERLINK("http://localhost:5173/?state=Delhi&amp;keyword=MIS&amp;tender=2026_PWD_299594_1", "🚀 Open in Portal")</f>
        <v/>
      </c>
    </row>
    <row r="1302" ht="24" customHeight="1">
      <c r="A1302" s="11" t="inlineStr">
        <is>
          <t>Delhi</t>
        </is>
      </c>
      <c r="B1302" s="12" t="inlineStr">
        <is>
          <t>MIS</t>
        </is>
      </c>
      <c r="C1302" s="13" t="inlineStr">
        <is>
          <t>2026_PWD_299596_1</t>
        </is>
      </c>
      <c r="D1302" s="14" t="inlineStr">
        <is>
          <t>[Annual repair and maintenance work at Flat No 33/9 33/16 and 33/24 and other flat at 33 Rajpur Road under Sub Division M 3231 16A Rajpur Road Delhi SH SS Balcony PF Door uPVC Windows Flooring water proofing Finishing work and other misc civil works]</t>
        </is>
      </c>
      <c r="E1302" s="14" t="inlineStr">
        <is>
          <t>Delhi Public Works &amp; Technology Department</t>
        </is>
      </c>
      <c r="F1302" s="13" t="inlineStr">
        <is>
          <t>28 Aug 2026</t>
        </is>
      </c>
      <c r="G1302" s="12" t="inlineStr">
        <is>
          <t>22 Sep 2026</t>
        </is>
      </c>
      <c r="H1302" s="8" t="inlineStr">
        <is>
          <t>⏳ UPCOMING</t>
        </is>
      </c>
      <c r="I1302" s="11" t="inlineStr">
        <is>
          <t>Tendernotice_1.pdf</t>
        </is>
      </c>
      <c r="J1302" s="13" t="inlineStr">
        <is>
          <t>📕 PDF Document</t>
        </is>
      </c>
      <c r="K1302" s="15" t="n">
        <v>17.8</v>
      </c>
      <c r="L1302" s="16">
        <f>HYPERLINK("http://127.0.0.1:8000/api/documents/download?id=731&amp;attachment=true", "⬇ Download Tendernotice_1.pdf")</f>
        <v/>
      </c>
      <c r="M1302" s="16">
        <f>HYPERLINK("http://localhost:5173/?state=Delhi&amp;keyword=MIS&amp;tender=2026_PWD_299596_1", "🚀 Open in Portal")</f>
        <v/>
      </c>
    </row>
    <row r="1303" ht="24" customHeight="1">
      <c r="A1303" s="4" t="inlineStr">
        <is>
          <t>Delhi</t>
        </is>
      </c>
      <c r="B1303" s="5" t="inlineStr">
        <is>
          <t>MIS</t>
        </is>
      </c>
      <c r="C1303" s="6" t="inlineStr">
        <is>
          <t>2026_PWD_299596_1</t>
        </is>
      </c>
      <c r="D1303" s="7" t="inlineStr">
        <is>
          <t>[Annual repair and maintenance work at Flat No 33/9 33/16 and 33/24 and other flat at 33 Rajpur Road under Sub Division M 3231 16A Rajpur Road Delhi SH SS Balcony PF Door uPVC Windows Flooring water proofing Finishing work and other misc civil works]</t>
        </is>
      </c>
      <c r="E1303" s="7" t="inlineStr">
        <is>
          <t>Delhi Public Works &amp; Technology Department</t>
        </is>
      </c>
      <c r="F1303" s="6" t="inlineStr">
        <is>
          <t>28 Aug 2026</t>
        </is>
      </c>
      <c r="G1303" s="5" t="inlineStr">
        <is>
          <t>22 Sep 2026</t>
        </is>
      </c>
      <c r="H1303" s="8" t="inlineStr">
        <is>
          <t>⏳ UPCOMING</t>
        </is>
      </c>
      <c r="I1303" s="4" t="inlineStr">
        <is>
          <t>BOQ_399855.xls</t>
        </is>
      </c>
      <c r="J1303" s="6" t="inlineStr">
        <is>
          <t>📊 Excel BOQ</t>
        </is>
      </c>
      <c r="K1303" s="9" t="n">
        <v>2.5</v>
      </c>
      <c r="L1303" s="10">
        <f>HYPERLINK("http://127.0.0.1:8000/api/documents/download?id=732&amp;attachment=true", "⬇ Download BOQ_399855.xls")</f>
        <v/>
      </c>
      <c r="M1303" s="10">
        <f>HYPERLINK("http://localhost:5173/?state=Delhi&amp;keyword=MIS&amp;tender=2026_PWD_299596_1", "🚀 Open in Portal")</f>
        <v/>
      </c>
    </row>
    <row r="1304" ht="24" customHeight="1">
      <c r="A1304" s="11" t="inlineStr">
        <is>
          <t>Delhi</t>
        </is>
      </c>
      <c r="B1304" s="12" t="inlineStr">
        <is>
          <t>MIS</t>
        </is>
      </c>
      <c r="C1304" s="13" t="inlineStr">
        <is>
          <t>2026_PWD_299596_1</t>
        </is>
      </c>
      <c r="D1304" s="14" t="inlineStr">
        <is>
          <t>[Annual repair and maintenance work at Flat No 33/9 33/16 and 33/24 and other flat at 33 Rajpur Road under Sub Division M 3231 16A Rajpur Road Delhi SH SS Balcony PF Door uPVC Windows Flooring water proofing Finishing work and other misc civil works]</t>
        </is>
      </c>
      <c r="E1304" s="14" t="inlineStr">
        <is>
          <t>Delhi Public Works &amp; Technology Department</t>
        </is>
      </c>
      <c r="F1304" s="13" t="inlineStr">
        <is>
          <t>28 Aug 2026</t>
        </is>
      </c>
      <c r="G1304" s="12" t="inlineStr">
        <is>
          <t>22 Sep 2026</t>
        </is>
      </c>
      <c r="H1304" s="8" t="inlineStr">
        <is>
          <t>⏳ UPCOMING</t>
        </is>
      </c>
      <c r="I1304" s="11" t="inlineStr">
        <is>
          <t>Tender_2026_PWD_299596_1_All_Documents.zip</t>
        </is>
      </c>
      <c r="J1304" s="13" t="inlineStr">
        <is>
          <t>📦 ZIP Package</t>
        </is>
      </c>
      <c r="K1304" s="15" t="n">
        <v>11.6</v>
      </c>
      <c r="L1304" s="16">
        <f>HYPERLINK("http://127.0.0.1:8000/api/documents/download?id=733&amp;attachment=true", "⬇ Download Tender_2026_PWD_299596_1")</f>
        <v/>
      </c>
      <c r="M1304" s="16">
        <f>HYPERLINK("http://localhost:5173/?state=Delhi&amp;keyword=MIS&amp;tender=2026_PWD_299596_1", "🚀 Open in Portal")</f>
        <v/>
      </c>
    </row>
    <row r="1305" ht="24" customHeight="1">
      <c r="A1305" s="4" t="inlineStr">
        <is>
          <t>Delhi</t>
        </is>
      </c>
      <c r="B1305" s="5" t="inlineStr">
        <is>
          <t>MIS</t>
        </is>
      </c>
      <c r="C1305" s="6" t="inlineStr">
        <is>
          <t>2026_PWD_299668_1</t>
        </is>
      </c>
      <c r="D1305" s="7" t="inlineStr">
        <is>
          <t>[Maintenance and Repair Delhi Judicial Academy Sec-14, Dwarka, Under Sub Division-III, JCD-5 New Delhi. During 2026-27 (SH Miscellaneous works).]</t>
        </is>
      </c>
      <c r="E1305" s="7" t="inlineStr">
        <is>
          <t>Delhi Public Works &amp; Technology Department</t>
        </is>
      </c>
      <c r="F1305" s="6" t="inlineStr">
        <is>
          <t>19 Aug 2026</t>
        </is>
      </c>
      <c r="G1305" s="5" t="inlineStr">
        <is>
          <t>10 Sep 2026</t>
        </is>
      </c>
      <c r="H1305" s="8" t="inlineStr">
        <is>
          <t>⏳ UPCOMING</t>
        </is>
      </c>
      <c r="I1305" s="4" t="inlineStr">
        <is>
          <t>Tendernotice_1.pdf</t>
        </is>
      </c>
      <c r="J1305" s="6" t="inlineStr">
        <is>
          <t>📕 PDF Document</t>
        </is>
      </c>
      <c r="K1305" s="9" t="n">
        <v>17.8</v>
      </c>
      <c r="L1305" s="10">
        <f>HYPERLINK("http://127.0.0.1:8000/api/documents/download?id=713&amp;attachment=true", "⬇ Download Tendernotice_1.pdf")</f>
        <v/>
      </c>
      <c r="M1305" s="10">
        <f>HYPERLINK("http://localhost:5173/?state=Delhi&amp;keyword=MIS&amp;tender=2026_PWD_299668_1", "🚀 Open in Portal")</f>
        <v/>
      </c>
    </row>
    <row r="1306" ht="24" customHeight="1">
      <c r="A1306" s="11" t="inlineStr">
        <is>
          <t>Delhi</t>
        </is>
      </c>
      <c r="B1306" s="12" t="inlineStr">
        <is>
          <t>MIS</t>
        </is>
      </c>
      <c r="C1306" s="13" t="inlineStr">
        <is>
          <t>2026_PWD_299668_1</t>
        </is>
      </c>
      <c r="D1306" s="14" t="inlineStr">
        <is>
          <t>[Maintenance and Repair Delhi Judicial Academy Sec-14, Dwarka, Under Sub Division-III, JCD-5 New Delhi. During 2026-27 (SH Miscellaneous works).]</t>
        </is>
      </c>
      <c r="E1306" s="14" t="inlineStr">
        <is>
          <t>Delhi Public Works &amp; Technology Department</t>
        </is>
      </c>
      <c r="F1306" s="13" t="inlineStr">
        <is>
          <t>19 Aug 2026</t>
        </is>
      </c>
      <c r="G1306" s="12" t="inlineStr">
        <is>
          <t>10 Sep 2026</t>
        </is>
      </c>
      <c r="H1306" s="8" t="inlineStr">
        <is>
          <t>⏳ UPCOMING</t>
        </is>
      </c>
      <c r="I1306" s="11" t="inlineStr">
        <is>
          <t>BOQ_399958.xls</t>
        </is>
      </c>
      <c r="J1306" s="13" t="inlineStr">
        <is>
          <t>📊 Excel BOQ</t>
        </is>
      </c>
      <c r="K1306" s="15" t="n">
        <v>2.5</v>
      </c>
      <c r="L1306" s="16">
        <f>HYPERLINK("http://127.0.0.1:8000/api/documents/download?id=714&amp;attachment=true", "⬇ Download BOQ_399958.xls")</f>
        <v/>
      </c>
      <c r="M1306" s="16">
        <f>HYPERLINK("http://localhost:5173/?state=Delhi&amp;keyword=MIS&amp;tender=2026_PWD_299668_1", "🚀 Open in Portal")</f>
        <v/>
      </c>
    </row>
    <row r="1307" ht="24" customHeight="1">
      <c r="A1307" s="4" t="inlineStr">
        <is>
          <t>Delhi</t>
        </is>
      </c>
      <c r="B1307" s="5" t="inlineStr">
        <is>
          <t>MIS</t>
        </is>
      </c>
      <c r="C1307" s="6" t="inlineStr">
        <is>
          <t>2026_PWD_299668_1</t>
        </is>
      </c>
      <c r="D1307" s="7" t="inlineStr">
        <is>
          <t>[Maintenance and Repair Delhi Judicial Academy Sec-14, Dwarka, Under Sub Division-III, JCD-5 New Delhi. During 2026-27 (SH Miscellaneous works).]</t>
        </is>
      </c>
      <c r="E1307" s="7" t="inlineStr">
        <is>
          <t>Delhi Public Works &amp; Technology Department</t>
        </is>
      </c>
      <c r="F1307" s="6" t="inlineStr">
        <is>
          <t>19 Aug 2026</t>
        </is>
      </c>
      <c r="G1307" s="5" t="inlineStr">
        <is>
          <t>10 Sep 2026</t>
        </is>
      </c>
      <c r="H1307" s="8" t="inlineStr">
        <is>
          <t>⏳ UPCOMING</t>
        </is>
      </c>
      <c r="I1307" s="4" t="inlineStr">
        <is>
          <t>Tender_2026_PWD_299668_1_All_Documents.zip</t>
        </is>
      </c>
      <c r="J1307" s="6" t="inlineStr">
        <is>
          <t>📦 ZIP Package</t>
        </is>
      </c>
      <c r="K1307" s="9" t="n">
        <v>11.6</v>
      </c>
      <c r="L1307" s="10">
        <f>HYPERLINK("http://127.0.0.1:8000/api/documents/download?id=715&amp;attachment=true", "⬇ Download Tender_2026_PWD_299668_1")</f>
        <v/>
      </c>
      <c r="M1307" s="10">
        <f>HYPERLINK("http://localhost:5173/?state=Delhi&amp;keyword=MIS&amp;tender=2026_PWD_299668_1", "🚀 Open in Portal")</f>
        <v/>
      </c>
    </row>
    <row r="1308" ht="24" customHeight="1">
      <c r="A1308" s="11" t="inlineStr">
        <is>
          <t>Delhi</t>
        </is>
      </c>
      <c r="B1308" s="12" t="inlineStr">
        <is>
          <t>MIS</t>
        </is>
      </c>
      <c r="C1308" s="13" t="inlineStr">
        <is>
          <t>2026_PWD_299670_1</t>
        </is>
      </c>
      <c r="D1308" s="14" t="inlineStr">
        <is>
          <t>[Maintenance and Repair to District Court Complex, Saket, New Delhi during 2026-27 (Sh Repair Multi Seater (3 Seater) stainless steel benches, chairs and dry-cleaning of sofa, chairs and curtains and misc. work etc.).]</t>
        </is>
      </c>
      <c r="E1308" s="14" t="inlineStr">
        <is>
          <t>Delhi Public Works &amp; Technology Department</t>
        </is>
      </c>
      <c r="F1308" s="13" t="inlineStr">
        <is>
          <t>21 Aug 2026</t>
        </is>
      </c>
      <c r="G1308" s="12" t="inlineStr">
        <is>
          <t>19 Sep 2026</t>
        </is>
      </c>
      <c r="H1308" s="8" t="inlineStr">
        <is>
          <t>⏳ UPCOMING</t>
        </is>
      </c>
      <c r="I1308" s="11" t="inlineStr">
        <is>
          <t>Tendernotice_1.pdf</t>
        </is>
      </c>
      <c r="J1308" s="13" t="inlineStr">
        <is>
          <t>📕 PDF Document</t>
        </is>
      </c>
      <c r="K1308" s="15" t="n">
        <v>17.8</v>
      </c>
      <c r="L1308" s="16">
        <f>HYPERLINK("http://127.0.0.1:8000/api/documents/download?id=722&amp;attachment=true", "⬇ Download Tendernotice_1.pdf")</f>
        <v/>
      </c>
      <c r="M1308" s="16">
        <f>HYPERLINK("http://localhost:5173/?state=Delhi&amp;keyword=MIS&amp;tender=2026_PWD_299670_1", "🚀 Open in Portal")</f>
        <v/>
      </c>
    </row>
    <row r="1309" ht="24" customHeight="1">
      <c r="A1309" s="4" t="inlineStr">
        <is>
          <t>Delhi</t>
        </is>
      </c>
      <c r="B1309" s="5" t="inlineStr">
        <is>
          <t>MIS</t>
        </is>
      </c>
      <c r="C1309" s="6" t="inlineStr">
        <is>
          <t>2026_PWD_299670_1</t>
        </is>
      </c>
      <c r="D1309" s="7" t="inlineStr">
        <is>
          <t>[Maintenance and Repair to District Court Complex, Saket, New Delhi during 2026-27 (Sh Repair Multi Seater (3 Seater) stainless steel benches, chairs and dry-cleaning of sofa, chairs and curtains and misc. work etc.).]</t>
        </is>
      </c>
      <c r="E1309" s="7" t="inlineStr">
        <is>
          <t>Delhi Public Works &amp; Technology Department</t>
        </is>
      </c>
      <c r="F1309" s="6" t="inlineStr">
        <is>
          <t>21 Aug 2026</t>
        </is>
      </c>
      <c r="G1309" s="5" t="inlineStr">
        <is>
          <t>19 Sep 2026</t>
        </is>
      </c>
      <c r="H1309" s="8" t="inlineStr">
        <is>
          <t>⏳ UPCOMING</t>
        </is>
      </c>
      <c r="I1309" s="4" t="inlineStr">
        <is>
          <t>BOQ_399961.xls</t>
        </is>
      </c>
      <c r="J1309" s="6" t="inlineStr">
        <is>
          <t>📊 Excel BOQ</t>
        </is>
      </c>
      <c r="K1309" s="9" t="n">
        <v>2.5</v>
      </c>
      <c r="L1309" s="10">
        <f>HYPERLINK("http://127.0.0.1:8000/api/documents/download?id=723&amp;attachment=true", "⬇ Download BOQ_399961.xls")</f>
        <v/>
      </c>
      <c r="M1309" s="10">
        <f>HYPERLINK("http://localhost:5173/?state=Delhi&amp;keyword=MIS&amp;tender=2026_PWD_299670_1", "🚀 Open in Portal")</f>
        <v/>
      </c>
    </row>
    <row r="1310" ht="24" customHeight="1">
      <c r="A1310" s="11" t="inlineStr">
        <is>
          <t>Delhi</t>
        </is>
      </c>
      <c r="B1310" s="12" t="inlineStr">
        <is>
          <t>MIS</t>
        </is>
      </c>
      <c r="C1310" s="13" t="inlineStr">
        <is>
          <t>2026_PWD_299670_1</t>
        </is>
      </c>
      <c r="D1310" s="14" t="inlineStr">
        <is>
          <t>[Maintenance and Repair to District Court Complex, Saket, New Delhi during 2026-27 (Sh Repair Multi Seater (3 Seater) stainless steel benches, chairs and dry-cleaning of sofa, chairs and curtains and misc. work etc.).]</t>
        </is>
      </c>
      <c r="E1310" s="14" t="inlineStr">
        <is>
          <t>Delhi Public Works &amp; Technology Department</t>
        </is>
      </c>
      <c r="F1310" s="13" t="inlineStr">
        <is>
          <t>21 Aug 2026</t>
        </is>
      </c>
      <c r="G1310" s="12" t="inlineStr">
        <is>
          <t>19 Sep 2026</t>
        </is>
      </c>
      <c r="H1310" s="8" t="inlineStr">
        <is>
          <t>⏳ UPCOMING</t>
        </is>
      </c>
      <c r="I1310" s="11" t="inlineStr">
        <is>
          <t>Tender_2026_PWD_299670_1_All_Documents.zip</t>
        </is>
      </c>
      <c r="J1310" s="13" t="inlineStr">
        <is>
          <t>📦 ZIP Package</t>
        </is>
      </c>
      <c r="K1310" s="15" t="n">
        <v>11.6</v>
      </c>
      <c r="L1310" s="16">
        <f>HYPERLINK("http://127.0.0.1:8000/api/documents/download?id=724&amp;attachment=true", "⬇ Download Tender_2026_PWD_299670_1")</f>
        <v/>
      </c>
      <c r="M1310" s="16">
        <f>HYPERLINK("http://localhost:5173/?state=Delhi&amp;keyword=MIS&amp;tender=2026_PWD_299670_1", "🚀 Open in Portal")</f>
        <v/>
      </c>
    </row>
    <row r="1311" ht="24" customHeight="1">
      <c r="A1311" s="4" t="inlineStr">
        <is>
          <t>Delhi</t>
        </is>
      </c>
      <c r="B1311" s="5" t="inlineStr">
        <is>
          <t>MIS</t>
        </is>
      </c>
      <c r="C1311" s="6" t="inlineStr">
        <is>
          <t>2026_PWD_299673_1</t>
        </is>
      </c>
      <c r="D1311" s="7" t="inlineStr">
        <is>
          <t>[Maintenance and Repair of District Court Complex, Saket, New Delhi dg 2026-27 (SH Replacement of damaged flooring, CC, wall lining, wall paneling, flush doors i/c fittings, mirror polishing, fire doors, sanitary fittings and other misc. civil works)]</t>
        </is>
      </c>
      <c r="E1311" s="7" t="inlineStr">
        <is>
          <t>Delhi Public Works &amp; Technology Department</t>
        </is>
      </c>
      <c r="F1311" s="6" t="inlineStr">
        <is>
          <t>12 Aug 2026</t>
        </is>
      </c>
      <c r="G1311" s="5" t="inlineStr">
        <is>
          <t>11 Sep 2026</t>
        </is>
      </c>
      <c r="H1311" s="8" t="inlineStr">
        <is>
          <t>⏳ UPCOMING</t>
        </is>
      </c>
      <c r="I1311" s="4" t="inlineStr">
        <is>
          <t>Tendernotice_1.pdf</t>
        </is>
      </c>
      <c r="J1311" s="6" t="inlineStr">
        <is>
          <t>📕 PDF Document</t>
        </is>
      </c>
      <c r="K1311" s="9" t="n">
        <v>17.8</v>
      </c>
      <c r="L1311" s="10">
        <f>HYPERLINK("http://127.0.0.1:8000/api/documents/download?id=716&amp;attachment=true", "⬇ Download Tendernotice_1.pdf")</f>
        <v/>
      </c>
      <c r="M1311" s="10">
        <f>HYPERLINK("http://localhost:5173/?state=Delhi&amp;keyword=MIS&amp;tender=2026_PWD_299673_1", "🚀 Open in Portal")</f>
        <v/>
      </c>
    </row>
    <row r="1312" ht="24" customHeight="1">
      <c r="A1312" s="11" t="inlineStr">
        <is>
          <t>Delhi</t>
        </is>
      </c>
      <c r="B1312" s="12" t="inlineStr">
        <is>
          <t>MIS</t>
        </is>
      </c>
      <c r="C1312" s="13" t="inlineStr">
        <is>
          <t>2026_PWD_299673_1</t>
        </is>
      </c>
      <c r="D1312" s="14" t="inlineStr">
        <is>
          <t>[Maintenance and Repair of District Court Complex, Saket, New Delhi dg 2026-27 (SH Replacement of damaged flooring, CC, wall lining, wall paneling, flush doors i/c fittings, mirror polishing, fire doors, sanitary fittings and other misc. civil works)]</t>
        </is>
      </c>
      <c r="E1312" s="14" t="inlineStr">
        <is>
          <t>Delhi Public Works &amp; Technology Department</t>
        </is>
      </c>
      <c r="F1312" s="13" t="inlineStr">
        <is>
          <t>12 Aug 2026</t>
        </is>
      </c>
      <c r="G1312" s="12" t="inlineStr">
        <is>
          <t>11 Sep 2026</t>
        </is>
      </c>
      <c r="H1312" s="8" t="inlineStr">
        <is>
          <t>⏳ UPCOMING</t>
        </is>
      </c>
      <c r="I1312" s="11" t="inlineStr">
        <is>
          <t>BOQ_399965.xls</t>
        </is>
      </c>
      <c r="J1312" s="13" t="inlineStr">
        <is>
          <t>📊 Excel BOQ</t>
        </is>
      </c>
      <c r="K1312" s="15" t="n">
        <v>2.5</v>
      </c>
      <c r="L1312" s="16">
        <f>HYPERLINK("http://127.0.0.1:8000/api/documents/download?id=717&amp;attachment=true", "⬇ Download BOQ_399965.xls")</f>
        <v/>
      </c>
      <c r="M1312" s="16">
        <f>HYPERLINK("http://localhost:5173/?state=Delhi&amp;keyword=MIS&amp;tender=2026_PWD_299673_1", "🚀 Open in Portal")</f>
        <v/>
      </c>
    </row>
    <row r="1313" ht="24" customHeight="1">
      <c r="A1313" s="4" t="inlineStr">
        <is>
          <t>Delhi</t>
        </is>
      </c>
      <c r="B1313" s="5" t="inlineStr">
        <is>
          <t>MIS</t>
        </is>
      </c>
      <c r="C1313" s="6" t="inlineStr">
        <is>
          <t>2026_PWD_299673_1</t>
        </is>
      </c>
      <c r="D1313" s="7" t="inlineStr">
        <is>
          <t>[Maintenance and Repair of District Court Complex, Saket, New Delhi dg 2026-27 (SH Replacement of damaged flooring, CC, wall lining, wall paneling, flush doors i/c fittings, mirror polishing, fire doors, sanitary fittings and other misc. civil works)]</t>
        </is>
      </c>
      <c r="E1313" s="7" t="inlineStr">
        <is>
          <t>Delhi Public Works &amp; Technology Department</t>
        </is>
      </c>
      <c r="F1313" s="6" t="inlineStr">
        <is>
          <t>12 Aug 2026</t>
        </is>
      </c>
      <c r="G1313" s="5" t="inlineStr">
        <is>
          <t>11 Sep 2026</t>
        </is>
      </c>
      <c r="H1313" s="8" t="inlineStr">
        <is>
          <t>⏳ UPCOMING</t>
        </is>
      </c>
      <c r="I1313" s="4" t="inlineStr">
        <is>
          <t>Tender_2026_PWD_299673_1_All_Documents.zip</t>
        </is>
      </c>
      <c r="J1313" s="6" t="inlineStr">
        <is>
          <t>📦 ZIP Package</t>
        </is>
      </c>
      <c r="K1313" s="9" t="n">
        <v>11.6</v>
      </c>
      <c r="L1313" s="10">
        <f>HYPERLINK("http://127.0.0.1:8000/api/documents/download?id=718&amp;attachment=true", "⬇ Download Tender_2026_PWD_299673_1")</f>
        <v/>
      </c>
      <c r="M1313" s="10">
        <f>HYPERLINK("http://localhost:5173/?state=Delhi&amp;keyword=MIS&amp;tender=2026_PWD_299673_1", "🚀 Open in Portal")</f>
        <v/>
      </c>
    </row>
    <row r="1314" ht="24" customHeight="1">
      <c r="A1314" s="11" t="inlineStr">
        <is>
          <t>Delhi</t>
        </is>
      </c>
      <c r="B1314" s="12" t="inlineStr">
        <is>
          <t>MIS</t>
        </is>
      </c>
      <c r="C1314" s="13" t="inlineStr">
        <is>
          <t>2026_PWD_299675_1</t>
        </is>
      </c>
      <c r="D1314" s="14" t="inlineStr">
        <is>
          <t>[A/R and M/O of E and M Services of various Jails and non-residential building, Tihar Jail, Complex, New Delhi during FY 2026-27(SH-Providing Man Power for day to day maintenance for miscellaneousness services at lampur Restriction/Detention Centre ]</t>
        </is>
      </c>
      <c r="E1314" s="14" t="inlineStr">
        <is>
          <t>Delhi Public Works &amp; Technology Department</t>
        </is>
      </c>
      <c r="F1314" s="13" t="inlineStr">
        <is>
          <t>01 Aug 2026</t>
        </is>
      </c>
      <c r="G1314" s="12" t="inlineStr">
        <is>
          <t>31 Aug 2026</t>
        </is>
      </c>
      <c r="H1314" s="8" t="inlineStr">
        <is>
          <t>⏳ UPCOMING</t>
        </is>
      </c>
      <c r="I1314" s="11" t="inlineStr">
        <is>
          <t>Tendernotice_1.pdf</t>
        </is>
      </c>
      <c r="J1314" s="13" t="inlineStr">
        <is>
          <t>📕 PDF Document</t>
        </is>
      </c>
      <c r="K1314" s="15" t="n">
        <v>17.8</v>
      </c>
      <c r="L1314" s="16">
        <f>HYPERLINK("http://127.0.0.1:8000/api/documents/download?id=719&amp;attachment=true", "⬇ Download Tendernotice_1.pdf")</f>
        <v/>
      </c>
      <c r="M1314" s="16">
        <f>HYPERLINK("http://localhost:5173/?state=Delhi&amp;keyword=MIS&amp;tender=2026_PWD_299675_1", "🚀 Open in Portal")</f>
        <v/>
      </c>
    </row>
    <row r="1315" ht="24" customHeight="1">
      <c r="A1315" s="4" t="inlineStr">
        <is>
          <t>Delhi</t>
        </is>
      </c>
      <c r="B1315" s="5" t="inlineStr">
        <is>
          <t>MIS</t>
        </is>
      </c>
      <c r="C1315" s="6" t="inlineStr">
        <is>
          <t>2026_PWD_299675_1</t>
        </is>
      </c>
      <c r="D1315" s="7" t="inlineStr">
        <is>
          <t>[A/R and M/O of E and M Services of various Jails and non-residential building, Tihar Jail, Complex, New Delhi during FY 2026-27(SH-Providing Man Power for day to day maintenance for miscellaneousness services at lampur Restriction/Detention Centre ]</t>
        </is>
      </c>
      <c r="E1315" s="7" t="inlineStr">
        <is>
          <t>Delhi Public Works &amp; Technology Department</t>
        </is>
      </c>
      <c r="F1315" s="6" t="inlineStr">
        <is>
          <t>01 Aug 2026</t>
        </is>
      </c>
      <c r="G1315" s="5" t="inlineStr">
        <is>
          <t>31 Aug 2026</t>
        </is>
      </c>
      <c r="H1315" s="8" t="inlineStr">
        <is>
          <t>⏳ UPCOMING</t>
        </is>
      </c>
      <c r="I1315" s="4" t="inlineStr">
        <is>
          <t>BOQ_399966.xls</t>
        </is>
      </c>
      <c r="J1315" s="6" t="inlineStr">
        <is>
          <t>📊 Excel BOQ</t>
        </is>
      </c>
      <c r="K1315" s="9" t="n">
        <v>2.5</v>
      </c>
      <c r="L1315" s="10">
        <f>HYPERLINK("http://127.0.0.1:8000/api/documents/download?id=720&amp;attachment=true", "⬇ Download BOQ_399966.xls")</f>
        <v/>
      </c>
      <c r="M1315" s="10">
        <f>HYPERLINK("http://localhost:5173/?state=Delhi&amp;keyword=MIS&amp;tender=2026_PWD_299675_1", "🚀 Open in Portal")</f>
        <v/>
      </c>
    </row>
    <row r="1316" ht="24" customHeight="1">
      <c r="A1316" s="11" t="inlineStr">
        <is>
          <t>Delhi</t>
        </is>
      </c>
      <c r="B1316" s="12" t="inlineStr">
        <is>
          <t>MIS</t>
        </is>
      </c>
      <c r="C1316" s="13" t="inlineStr">
        <is>
          <t>2026_PWD_299675_1</t>
        </is>
      </c>
      <c r="D1316" s="14" t="inlineStr">
        <is>
          <t>[A/R and M/O of E and M Services of various Jails and non-residential building, Tihar Jail, Complex, New Delhi during FY 2026-27(SH-Providing Man Power for day to day maintenance for miscellaneousness services at lampur Restriction/Detention Centre ]</t>
        </is>
      </c>
      <c r="E1316" s="14" t="inlineStr">
        <is>
          <t>Delhi Public Works &amp; Technology Department</t>
        </is>
      </c>
      <c r="F1316" s="13" t="inlineStr">
        <is>
          <t>01 Aug 2026</t>
        </is>
      </c>
      <c r="G1316" s="12" t="inlineStr">
        <is>
          <t>31 Aug 2026</t>
        </is>
      </c>
      <c r="H1316" s="8" t="inlineStr">
        <is>
          <t>⏳ UPCOMING</t>
        </is>
      </c>
      <c r="I1316" s="11" t="inlineStr">
        <is>
          <t>Tender_2026_PWD_299675_1_All_Documents.zip</t>
        </is>
      </c>
      <c r="J1316" s="13" t="inlineStr">
        <is>
          <t>📦 ZIP Package</t>
        </is>
      </c>
      <c r="K1316" s="15" t="n">
        <v>11.6</v>
      </c>
      <c r="L1316" s="16">
        <f>HYPERLINK("http://127.0.0.1:8000/api/documents/download?id=721&amp;attachment=true", "⬇ Download Tender_2026_PWD_299675_1")</f>
        <v/>
      </c>
      <c r="M1316" s="16">
        <f>HYPERLINK("http://localhost:5173/?state=Delhi&amp;keyword=MIS&amp;tender=2026_PWD_299675_1", "🚀 Open in Portal")</f>
        <v/>
      </c>
    </row>
    <row r="1317" ht="24" customHeight="1">
      <c r="A1317" s="4" t="inlineStr">
        <is>
          <t>Delhi</t>
        </is>
      </c>
      <c r="B1317" s="5" t="inlineStr">
        <is>
          <t>MIS</t>
        </is>
      </c>
      <c r="C1317" s="6" t="inlineStr">
        <is>
          <t>2026_PWD_299707_1</t>
        </is>
      </c>
      <c r="D1317" s="7" t="inlineStr">
        <is>
          <t>[Supplying Installation Testing and commissioning of Boom Barrier and Flap Barrier System at Dr BSA Hospital Rohini Delhi]</t>
        </is>
      </c>
      <c r="E1317" s="7" t="inlineStr">
        <is>
          <t>Delhi Public Works &amp; Technology Department</t>
        </is>
      </c>
      <c r="F1317" s="6" t="inlineStr">
        <is>
          <t>16 Aug 2026</t>
        </is>
      </c>
      <c r="G1317" s="5" t="inlineStr">
        <is>
          <t>13 Sep 2026</t>
        </is>
      </c>
      <c r="H1317" s="8" t="inlineStr">
        <is>
          <t>⏳ UPCOMING</t>
        </is>
      </c>
      <c r="I1317" s="4" t="inlineStr">
        <is>
          <t>Tendernotice_1.pdf</t>
        </is>
      </c>
      <c r="J1317" s="6" t="inlineStr">
        <is>
          <t>📕 PDF Document</t>
        </is>
      </c>
      <c r="K1317" s="9" t="n">
        <v>17.8</v>
      </c>
      <c r="L1317" s="10">
        <f>HYPERLINK("http://127.0.0.1:8000/api/documents/download?id=709&amp;attachment=true", "⬇ Download Tendernotice_1.pdf")</f>
        <v/>
      </c>
      <c r="M1317" s="10">
        <f>HYPERLINK("http://localhost:5173/?state=Delhi&amp;keyword=MIS&amp;tender=2026_PWD_299707_1", "🚀 Open in Portal")</f>
        <v/>
      </c>
    </row>
    <row r="1318" ht="24" customHeight="1">
      <c r="A1318" s="11" t="inlineStr">
        <is>
          <t>Delhi</t>
        </is>
      </c>
      <c r="B1318" s="12" t="inlineStr">
        <is>
          <t>MIS</t>
        </is>
      </c>
      <c r="C1318" s="13" t="inlineStr">
        <is>
          <t>2026_PWD_299707_1</t>
        </is>
      </c>
      <c r="D1318" s="14" t="inlineStr">
        <is>
          <t>[Supplying Installation Testing and commissioning of Boom Barrier and Flap Barrier System at Dr BSA Hospital Rohini Delhi]</t>
        </is>
      </c>
      <c r="E1318" s="14" t="inlineStr">
        <is>
          <t>Delhi Public Works &amp; Technology Department</t>
        </is>
      </c>
      <c r="F1318" s="13" t="inlineStr">
        <is>
          <t>16 Aug 2026</t>
        </is>
      </c>
      <c r="G1318" s="12" t="inlineStr">
        <is>
          <t>13 Sep 2026</t>
        </is>
      </c>
      <c r="H1318" s="8" t="inlineStr">
        <is>
          <t>⏳ UPCOMING</t>
        </is>
      </c>
      <c r="I1318" s="11" t="inlineStr">
        <is>
          <t>BOQ_400006.xls</t>
        </is>
      </c>
      <c r="J1318" s="13" t="inlineStr">
        <is>
          <t>📊 Excel BOQ</t>
        </is>
      </c>
      <c r="K1318" s="15" t="n">
        <v>2.5</v>
      </c>
      <c r="L1318" s="16">
        <f>HYPERLINK("http://127.0.0.1:8000/api/documents/download?id=710&amp;attachment=true", "⬇ Download BOQ_400006.xls")</f>
        <v/>
      </c>
      <c r="M1318" s="16">
        <f>HYPERLINK("http://localhost:5173/?state=Delhi&amp;keyword=MIS&amp;tender=2026_PWD_299707_1", "🚀 Open in Portal")</f>
        <v/>
      </c>
    </row>
    <row r="1319" ht="24" customHeight="1">
      <c r="A1319" s="4" t="inlineStr">
        <is>
          <t>Delhi</t>
        </is>
      </c>
      <c r="B1319" s="5" t="inlineStr">
        <is>
          <t>MIS</t>
        </is>
      </c>
      <c r="C1319" s="6" t="inlineStr">
        <is>
          <t>2026_PWD_299707_1</t>
        </is>
      </c>
      <c r="D1319" s="7" t="inlineStr">
        <is>
          <t>[Supplying Installation Testing and commissioning of Boom Barrier and Flap Barrier System at Dr BSA Hospital Rohini Delhi]</t>
        </is>
      </c>
      <c r="E1319" s="7" t="inlineStr">
        <is>
          <t>Delhi Public Works &amp; Technology Department</t>
        </is>
      </c>
      <c r="F1319" s="6" t="inlineStr">
        <is>
          <t>16 Aug 2026</t>
        </is>
      </c>
      <c r="G1319" s="5" t="inlineStr">
        <is>
          <t>13 Sep 2026</t>
        </is>
      </c>
      <c r="H1319" s="8" t="inlineStr">
        <is>
          <t>⏳ UPCOMING</t>
        </is>
      </c>
      <c r="I1319" s="4" t="inlineStr">
        <is>
          <t>NIT.pdf</t>
        </is>
      </c>
      <c r="J1319" s="6" t="inlineStr">
        <is>
          <t>📕 PDF Document</t>
        </is>
      </c>
      <c r="K1319" s="9" t="n">
        <v>17.8</v>
      </c>
      <c r="L1319" s="10">
        <f>HYPERLINK("http://127.0.0.1:8000/api/documents/download?id=711&amp;attachment=true", "⬇ Download NIT.pdf")</f>
        <v/>
      </c>
      <c r="M1319" s="10">
        <f>HYPERLINK("http://localhost:5173/?state=Delhi&amp;keyword=MIS&amp;tender=2026_PWD_299707_1", "🚀 Open in Portal")</f>
        <v/>
      </c>
    </row>
    <row r="1320" ht="24" customHeight="1">
      <c r="A1320" s="11" t="inlineStr">
        <is>
          <t>Delhi</t>
        </is>
      </c>
      <c r="B1320" s="12" t="inlineStr">
        <is>
          <t>MIS</t>
        </is>
      </c>
      <c r="C1320" s="13" t="inlineStr">
        <is>
          <t>2026_PWD_299707_1</t>
        </is>
      </c>
      <c r="D1320" s="14" t="inlineStr">
        <is>
          <t>[Supplying Installation Testing and commissioning of Boom Barrier and Flap Barrier System at Dr BSA Hospital Rohini Delhi]</t>
        </is>
      </c>
      <c r="E1320" s="14" t="inlineStr">
        <is>
          <t>Delhi Public Works &amp; Technology Department</t>
        </is>
      </c>
      <c r="F1320" s="13" t="inlineStr">
        <is>
          <t>16 Aug 2026</t>
        </is>
      </c>
      <c r="G1320" s="12" t="inlineStr">
        <is>
          <t>13 Sep 2026</t>
        </is>
      </c>
      <c r="H1320" s="8" t="inlineStr">
        <is>
          <t>⏳ UPCOMING</t>
        </is>
      </c>
      <c r="I1320" s="11" t="inlineStr">
        <is>
          <t>Tender_2026_PWD_299707_1_All_Documents.zip</t>
        </is>
      </c>
      <c r="J1320" s="13" t="inlineStr">
        <is>
          <t>📦 ZIP Package</t>
        </is>
      </c>
      <c r="K1320" s="15" t="n">
        <v>20.7</v>
      </c>
      <c r="L1320" s="16">
        <f>HYPERLINK("http://127.0.0.1:8000/api/documents/download?id=712&amp;attachment=true", "⬇ Download Tender_2026_PWD_299707_1")</f>
        <v/>
      </c>
      <c r="M1320" s="16">
        <f>HYPERLINK("http://localhost:5173/?state=Delhi&amp;keyword=MIS&amp;tender=2026_PWD_299707_1", "🚀 Open in Portal")</f>
        <v/>
      </c>
    </row>
    <row r="1321" ht="24" customHeight="1">
      <c r="A1321" s="4" t="inlineStr">
        <is>
          <t>Delhi</t>
        </is>
      </c>
      <c r="B1321" s="5" t="inlineStr">
        <is>
          <t>Mapping</t>
        </is>
      </c>
      <c r="C1321" s="6" t="inlineStr">
        <is>
          <t>2026_DEL_7006673_64</t>
        </is>
      </c>
      <c r="D1321" s="7" t="inlineStr">
        <is>
          <t>Mapping-Based High Resolution Satellite Imagery Land Use &amp; Land Cover Spatial Mapping</t>
        </is>
      </c>
      <c r="E1321" s="7" t="inlineStr">
        <is>
          <t>DEPARTMENT OF SCIENCE, TECHNOLOGY &amp; REMOTE SENSING</t>
        </is>
      </c>
      <c r="F1321" s="6" t="inlineStr">
        <is>
          <t>27 Sep 2026</t>
        </is>
      </c>
      <c r="G1321" s="5" t="inlineStr">
        <is>
          <t>05 Nov 2026</t>
        </is>
      </c>
      <c r="H1321" s="17" t="inlineStr">
        <is>
          <t>🟢 LIVE ACTIVE</t>
        </is>
      </c>
      <c r="I1321" s="4" t="inlineStr">
        <is>
          <t>Tendernotice_2026_DEL_7006673_64.pdf</t>
        </is>
      </c>
      <c r="J1321" s="6" t="inlineStr">
        <is>
          <t>📕 PDF Document</t>
        </is>
      </c>
      <c r="K1321" s="9" t="n">
        <v>7.7</v>
      </c>
      <c r="L1321" s="10">
        <f>HYPERLINK("http://127.0.0.1:8000/api/documents/download?id=3433&amp;attachment=true", "⬇ Download Tendernotice_2026_DEL_70")</f>
        <v/>
      </c>
      <c r="M1321" s="10">
        <f>HYPERLINK("http://localhost:5173/?state=Delhi&amp;keyword=Mapping&amp;tender=2026_DEL_7006673_64", "🚀 Open in Portal")</f>
        <v/>
      </c>
    </row>
    <row r="1322" ht="24" customHeight="1">
      <c r="A1322" s="11" t="inlineStr">
        <is>
          <t>Delhi</t>
        </is>
      </c>
      <c r="B1322" s="12" t="inlineStr">
        <is>
          <t>Mapping</t>
        </is>
      </c>
      <c r="C1322" s="13" t="inlineStr">
        <is>
          <t>2026_DEL_7006673_64</t>
        </is>
      </c>
      <c r="D1322" s="14" t="inlineStr">
        <is>
          <t>Mapping-Based High Resolution Satellite Imagery Land Use &amp; Land Cover Spatial Mapping</t>
        </is>
      </c>
      <c r="E1322" s="14" t="inlineStr">
        <is>
          <t>DEPARTMENT OF SCIENCE, TECHNOLOGY &amp; REMOTE SENSING</t>
        </is>
      </c>
      <c r="F1322" s="13" t="inlineStr">
        <is>
          <t>27 Sep 2026</t>
        </is>
      </c>
      <c r="G1322" s="12" t="inlineStr">
        <is>
          <t>05 Nov 2026</t>
        </is>
      </c>
      <c r="H1322" s="17" t="inlineStr">
        <is>
          <t>🟢 LIVE ACTIVE</t>
        </is>
      </c>
      <c r="I1322" s="11" t="inlineStr">
        <is>
          <t>Technical_RFP_Specification_Mapping.pdf</t>
        </is>
      </c>
      <c r="J1322" s="13" t="inlineStr">
        <is>
          <t>📕 PDF Document</t>
        </is>
      </c>
      <c r="K1322" s="15" t="n">
        <v>7.7</v>
      </c>
      <c r="L1322" s="16">
        <f>HYPERLINK("http://127.0.0.1:8000/api/documents/download?id=3434&amp;attachment=true", "⬇ Download Technical_RFP_Specificat")</f>
        <v/>
      </c>
      <c r="M1322" s="16">
        <f>HYPERLINK("http://localhost:5173/?state=Delhi&amp;keyword=Mapping&amp;tender=2026_DEL_7006673_64", "🚀 Open in Portal")</f>
        <v/>
      </c>
    </row>
    <row r="1323" ht="24" customHeight="1">
      <c r="A1323" s="4" t="inlineStr">
        <is>
          <t>Delhi</t>
        </is>
      </c>
      <c r="B1323" s="5" t="inlineStr">
        <is>
          <t>Mapping</t>
        </is>
      </c>
      <c r="C1323" s="6" t="inlineStr">
        <is>
          <t>2026_DEL_7006673_64</t>
        </is>
      </c>
      <c r="D1323" s="7" t="inlineStr">
        <is>
          <t>Mapping-Based High Resolution Satellite Imagery Land Use &amp; Land Cover Spatial Mapping</t>
        </is>
      </c>
      <c r="E1323" s="7" t="inlineStr">
        <is>
          <t>DEPARTMENT OF SCIENCE, TECHNOLOGY &amp; REMOTE SENSING</t>
        </is>
      </c>
      <c r="F1323" s="6" t="inlineStr">
        <is>
          <t>27 Sep 2026</t>
        </is>
      </c>
      <c r="G1323" s="5" t="inlineStr">
        <is>
          <t>05 Nov 2026</t>
        </is>
      </c>
      <c r="H1323" s="17" t="inlineStr">
        <is>
          <t>🟢 LIVE ACTIVE</t>
        </is>
      </c>
      <c r="I1323" s="4" t="inlineStr">
        <is>
          <t>BOQ_Financial_Schedule_2026_DEL_7006673_64.xlsx</t>
        </is>
      </c>
      <c r="J1323" s="6" t="inlineStr">
        <is>
          <t>📊 Excel BOQ</t>
        </is>
      </c>
      <c r="K1323" s="9" t="n">
        <v>5.9</v>
      </c>
      <c r="L1323" s="10">
        <f>HYPERLINK("http://127.0.0.1:8000/api/documents/download?id=3435&amp;attachment=true", "⬇ Download BOQ_Financial_Schedule_2")</f>
        <v/>
      </c>
      <c r="M1323" s="10">
        <f>HYPERLINK("http://localhost:5173/?state=Delhi&amp;keyword=Mapping&amp;tender=2026_DEL_7006673_64", "🚀 Open in Portal")</f>
        <v/>
      </c>
    </row>
    <row r="1324" ht="24" customHeight="1">
      <c r="A1324" s="11" t="inlineStr">
        <is>
          <t>Delhi</t>
        </is>
      </c>
      <c r="B1324" s="12" t="inlineStr">
        <is>
          <t>Mapping</t>
        </is>
      </c>
      <c r="C1324" s="13" t="inlineStr">
        <is>
          <t>2026_DEL_7006673_64</t>
        </is>
      </c>
      <c r="D1324" s="14" t="inlineStr">
        <is>
          <t>Mapping-Based High Resolution Satellite Imagery Land Use &amp; Land Cover Spatial Mapping</t>
        </is>
      </c>
      <c r="E1324" s="14" t="inlineStr">
        <is>
          <t>DEPARTMENT OF SCIENCE, TECHNOLOGY &amp; REMOTE SENSING</t>
        </is>
      </c>
      <c r="F1324" s="13" t="inlineStr">
        <is>
          <t>27 Sep 2026</t>
        </is>
      </c>
      <c r="G1324" s="12" t="inlineStr">
        <is>
          <t>05 Nov 2026</t>
        </is>
      </c>
      <c r="H1324" s="17" t="inlineStr">
        <is>
          <t>🟢 LIVE ACTIVE</t>
        </is>
      </c>
      <c r="I1324" s="11" t="inlineStr">
        <is>
          <t>Tender_2026_DEL_7006673_64_All_Documents.zip</t>
        </is>
      </c>
      <c r="J1324" s="13" t="inlineStr">
        <is>
          <t>📦 ZIP Package</t>
        </is>
      </c>
      <c r="K1324" s="15" t="n">
        <v>45</v>
      </c>
      <c r="L1324" s="16">
        <f>HYPERLINK("https://govtprocurement.delhi.gov.in/tender/2026_DEL_7006673_64", "⬇ Download Tender_2026_DEL_7006673_")</f>
        <v/>
      </c>
      <c r="M1324" s="16">
        <f>HYPERLINK("http://localhost:5173/?state=Delhi&amp;keyword=Mapping&amp;tender=2026_DEL_7006673_64", "🚀 Open in Portal")</f>
        <v/>
      </c>
    </row>
    <row r="1325" ht="24" customHeight="1">
      <c r="A1325" s="4" t="inlineStr">
        <is>
          <t>Delhi</t>
        </is>
      </c>
      <c r="B1325" s="5" t="inlineStr">
        <is>
          <t>Development</t>
        </is>
      </c>
      <c r="C1325" s="6" t="inlineStr">
        <is>
          <t>2026_PWD_299488_1</t>
        </is>
      </c>
      <c r="D1325" s="7" t="inlineStr">
        <is>
          <t>[Comprehensive consultancy services for redevelopment planning for Maulana Azad Medical College including all Associated Hospital Complexes]</t>
        </is>
      </c>
      <c r="E1325" s="7" t="inlineStr">
        <is>
          <t>Delhi Public Works &amp; Technology Department</t>
        </is>
      </c>
      <c r="F1325" s="6" t="inlineStr">
        <is>
          <t>07 Oct 2026</t>
        </is>
      </c>
      <c r="G1325" s="5" t="inlineStr">
        <is>
          <t>12 Nov 2026</t>
        </is>
      </c>
      <c r="H1325" s="17" t="inlineStr">
        <is>
          <t>🟢 LIVE ACTIVE</t>
        </is>
      </c>
      <c r="I1325" s="4" t="inlineStr">
        <is>
          <t>Tendernotice_1.pdf</t>
        </is>
      </c>
      <c r="J1325" s="6" t="inlineStr">
        <is>
          <t>📕 PDF Document</t>
        </is>
      </c>
      <c r="K1325" s="9" t="n">
        <v>17.8</v>
      </c>
      <c r="L1325" s="10">
        <f>HYPERLINK("http://127.0.0.1:8000/api/documents/download?id=673&amp;attachment=true", "⬇ Download Tendernotice_1.pdf")</f>
        <v/>
      </c>
      <c r="M1325" s="10">
        <f>HYPERLINK("http://localhost:5173/?state=Delhi&amp;keyword=Development&amp;tender=2026_PWD_299488_1", "🚀 Open in Portal")</f>
        <v/>
      </c>
    </row>
    <row r="1326" ht="24" customHeight="1">
      <c r="A1326" s="11" t="inlineStr">
        <is>
          <t>Delhi</t>
        </is>
      </c>
      <c r="B1326" s="12" t="inlineStr">
        <is>
          <t>Development</t>
        </is>
      </c>
      <c r="C1326" s="13" t="inlineStr">
        <is>
          <t>2026_PWD_299488_1</t>
        </is>
      </c>
      <c r="D1326" s="14" t="inlineStr">
        <is>
          <t>[Comprehensive consultancy services for redevelopment planning for Maulana Azad Medical College including all Associated Hospital Complexes]</t>
        </is>
      </c>
      <c r="E1326" s="14" t="inlineStr">
        <is>
          <t>Delhi Public Works &amp; Technology Department</t>
        </is>
      </c>
      <c r="F1326" s="13" t="inlineStr">
        <is>
          <t>07 Oct 2026</t>
        </is>
      </c>
      <c r="G1326" s="12" t="inlineStr">
        <is>
          <t>12 Nov 2026</t>
        </is>
      </c>
      <c r="H1326" s="17" t="inlineStr">
        <is>
          <t>🟢 LIVE ACTIVE</t>
        </is>
      </c>
      <c r="I1326" s="11" t="inlineStr">
        <is>
          <t>NIT.pdf</t>
        </is>
      </c>
      <c r="J1326" s="13" t="inlineStr">
        <is>
          <t>📕 PDF Document</t>
        </is>
      </c>
      <c r="K1326" s="15" t="n">
        <v>17.8</v>
      </c>
      <c r="L1326" s="16">
        <f>HYPERLINK("http://127.0.0.1:8000/api/documents/download?id=674&amp;attachment=true", "⬇ Download NIT.pdf")</f>
        <v/>
      </c>
      <c r="M1326" s="16">
        <f>HYPERLINK("http://localhost:5173/?state=Delhi&amp;keyword=Development&amp;tender=2026_PWD_299488_1", "🚀 Open in Portal")</f>
        <v/>
      </c>
    </row>
    <row r="1327" ht="24" customHeight="1">
      <c r="A1327" s="4" t="inlineStr">
        <is>
          <t>Delhi</t>
        </is>
      </c>
      <c r="B1327" s="5" t="inlineStr">
        <is>
          <t>Development</t>
        </is>
      </c>
      <c r="C1327" s="6" t="inlineStr">
        <is>
          <t>2026_PWD_299488_1</t>
        </is>
      </c>
      <c r="D1327" s="7" t="inlineStr">
        <is>
          <t>[Comprehensive consultancy services for redevelopment planning for Maulana Azad Medical College including all Associated Hospital Complexes]</t>
        </is>
      </c>
      <c r="E1327" s="7" t="inlineStr">
        <is>
          <t>Delhi Public Works &amp; Technology Department</t>
        </is>
      </c>
      <c r="F1327" s="6" t="inlineStr">
        <is>
          <t>07 Oct 2026</t>
        </is>
      </c>
      <c r="G1327" s="5" t="inlineStr">
        <is>
          <t>12 Nov 2026</t>
        </is>
      </c>
      <c r="H1327" s="17" t="inlineStr">
        <is>
          <t>🟢 LIVE ACTIVE</t>
        </is>
      </c>
      <c r="I1327" s="4" t="inlineStr">
        <is>
          <t>BOQ_399692.xls</t>
        </is>
      </c>
      <c r="J1327" s="6" t="inlineStr">
        <is>
          <t>📊 Excel BOQ</t>
        </is>
      </c>
      <c r="K1327" s="9" t="n">
        <v>2.5</v>
      </c>
      <c r="L1327" s="10">
        <f>HYPERLINK("http://127.0.0.1:8000/api/documents/download?id=675&amp;attachment=true", "⬇ Download BOQ_399692.xls")</f>
        <v/>
      </c>
      <c r="M1327" s="10">
        <f>HYPERLINK("http://localhost:5173/?state=Delhi&amp;keyword=Development&amp;tender=2026_PWD_299488_1", "🚀 Open in Portal")</f>
        <v/>
      </c>
    </row>
    <row r="1328" ht="24" customHeight="1">
      <c r="A1328" s="11" t="inlineStr">
        <is>
          <t>Delhi</t>
        </is>
      </c>
      <c r="B1328" s="12" t="inlineStr">
        <is>
          <t>Development</t>
        </is>
      </c>
      <c r="C1328" s="13" t="inlineStr">
        <is>
          <t>2026_PWD_299488_1</t>
        </is>
      </c>
      <c r="D1328" s="14" t="inlineStr">
        <is>
          <t>[Comprehensive consultancy services for redevelopment planning for Maulana Azad Medical College including all Associated Hospital Complexes]</t>
        </is>
      </c>
      <c r="E1328" s="14" t="inlineStr">
        <is>
          <t>Delhi Public Works &amp; Technology Department</t>
        </is>
      </c>
      <c r="F1328" s="13" t="inlineStr">
        <is>
          <t>07 Oct 2026</t>
        </is>
      </c>
      <c r="G1328" s="12" t="inlineStr">
        <is>
          <t>12 Nov 2026</t>
        </is>
      </c>
      <c r="H1328" s="17" t="inlineStr">
        <is>
          <t>🟢 LIVE ACTIVE</t>
        </is>
      </c>
      <c r="I1328" s="11" t="inlineStr">
        <is>
          <t>Tender_2026_PWD_299488_1_All_Documents.zip</t>
        </is>
      </c>
      <c r="J1328" s="13" t="inlineStr">
        <is>
          <t>📦 ZIP Package</t>
        </is>
      </c>
      <c r="K1328" s="15" t="n">
        <v>20.7</v>
      </c>
      <c r="L1328" s="16">
        <f>HYPERLINK("http://127.0.0.1:8000/api/documents/download?id=676&amp;attachment=true", "⬇ Download Tender_2026_PWD_299488_1")</f>
        <v/>
      </c>
      <c r="M1328" s="16">
        <f>HYPERLINK("http://localhost:5173/?state=Delhi&amp;keyword=Development&amp;tender=2026_PWD_299488_1", "🚀 Open in Portal")</f>
        <v/>
      </c>
    </row>
    <row r="1329" ht="24" customHeight="1">
      <c r="A1329" s="4" t="inlineStr">
        <is>
          <t>Delhi</t>
        </is>
      </c>
      <c r="B1329" s="5" t="inlineStr">
        <is>
          <t>Empanelment</t>
        </is>
      </c>
      <c r="C1329" s="6" t="inlineStr">
        <is>
          <t>2026_DEL_2317850_14</t>
        </is>
      </c>
      <c r="D1329" s="7" t="inlineStr">
        <is>
          <t>Empanelment-Based Empanelment of Specialized Geospatial &amp; AI Solutions Consulting Agencies</t>
        </is>
      </c>
      <c r="E1329" s="7" t="inlineStr">
        <is>
          <t>STATE ELECTRONICS DEVELOPMENT CORPORATION</t>
        </is>
      </c>
      <c r="F1329" s="6" t="inlineStr">
        <is>
          <t>03 Oct 2026</t>
        </is>
      </c>
      <c r="G1329" s="5" t="inlineStr">
        <is>
          <t>24 Oct 2026</t>
        </is>
      </c>
      <c r="H1329" s="17" t="inlineStr">
        <is>
          <t>🟢 LIVE ACTIVE</t>
        </is>
      </c>
      <c r="I1329" s="4" t="inlineStr">
        <is>
          <t>Tendernotice_2026_DEL_2317850_14.pdf</t>
        </is>
      </c>
      <c r="J1329" s="6" t="inlineStr">
        <is>
          <t>📕 PDF Document</t>
        </is>
      </c>
      <c r="K1329" s="9" t="n">
        <v>7.7</v>
      </c>
      <c r="L1329" s="10">
        <f>HYPERLINK("http://127.0.0.1:8000/api/documents/download?id=3501&amp;attachment=true", "⬇ Download Tendernotice_2026_DEL_23")</f>
        <v/>
      </c>
      <c r="M1329" s="10">
        <f>HYPERLINK("http://localhost:5173/?state=Delhi&amp;keyword=Empanelment&amp;tender=2026_DEL_2317850_14", "🚀 Open in Portal")</f>
        <v/>
      </c>
    </row>
    <row r="1330" ht="24" customHeight="1">
      <c r="A1330" s="11" t="inlineStr">
        <is>
          <t>Delhi</t>
        </is>
      </c>
      <c r="B1330" s="12" t="inlineStr">
        <is>
          <t>Empanelment</t>
        </is>
      </c>
      <c r="C1330" s="13" t="inlineStr">
        <is>
          <t>2026_DEL_2317850_14</t>
        </is>
      </c>
      <c r="D1330" s="14" t="inlineStr">
        <is>
          <t>Empanelment-Based Empanelment of Specialized Geospatial &amp; AI Solutions Consulting Agencies</t>
        </is>
      </c>
      <c r="E1330" s="14" t="inlineStr">
        <is>
          <t>STATE ELECTRONICS DEVELOPMENT CORPORATION</t>
        </is>
      </c>
      <c r="F1330" s="13" t="inlineStr">
        <is>
          <t>03 Oct 2026</t>
        </is>
      </c>
      <c r="G1330" s="12" t="inlineStr">
        <is>
          <t>24 Oct 2026</t>
        </is>
      </c>
      <c r="H1330" s="17" t="inlineStr">
        <is>
          <t>🟢 LIVE ACTIVE</t>
        </is>
      </c>
      <c r="I1330" s="11" t="inlineStr">
        <is>
          <t>Technical_RFP_Specification_Empanelment.pdf</t>
        </is>
      </c>
      <c r="J1330" s="13" t="inlineStr">
        <is>
          <t>📕 PDF Document</t>
        </is>
      </c>
      <c r="K1330" s="15" t="n">
        <v>7.7</v>
      </c>
      <c r="L1330" s="16">
        <f>HYPERLINK("http://127.0.0.1:8000/api/documents/download?id=3502&amp;attachment=true", "⬇ Download Technical_RFP_Specificat")</f>
        <v/>
      </c>
      <c r="M1330" s="16">
        <f>HYPERLINK("http://localhost:5173/?state=Delhi&amp;keyword=Empanelment&amp;tender=2026_DEL_2317850_14", "🚀 Open in Portal")</f>
        <v/>
      </c>
    </row>
    <row r="1331" ht="24" customHeight="1">
      <c r="A1331" s="4" t="inlineStr">
        <is>
          <t>Delhi</t>
        </is>
      </c>
      <c r="B1331" s="5" t="inlineStr">
        <is>
          <t>Empanelment</t>
        </is>
      </c>
      <c r="C1331" s="6" t="inlineStr">
        <is>
          <t>2026_DEL_2317850_14</t>
        </is>
      </c>
      <c r="D1331" s="7" t="inlineStr">
        <is>
          <t>Empanelment-Based Empanelment of Specialized Geospatial &amp; AI Solutions Consulting Agencies</t>
        </is>
      </c>
      <c r="E1331" s="7" t="inlineStr">
        <is>
          <t>STATE ELECTRONICS DEVELOPMENT CORPORATION</t>
        </is>
      </c>
      <c r="F1331" s="6" t="inlineStr">
        <is>
          <t>03 Oct 2026</t>
        </is>
      </c>
      <c r="G1331" s="5" t="inlineStr">
        <is>
          <t>24 Oct 2026</t>
        </is>
      </c>
      <c r="H1331" s="17" t="inlineStr">
        <is>
          <t>🟢 LIVE ACTIVE</t>
        </is>
      </c>
      <c r="I1331" s="4" t="inlineStr">
        <is>
          <t>BOQ_Financial_Schedule_2026_DEL_2317850_14.xlsx</t>
        </is>
      </c>
      <c r="J1331" s="6" t="inlineStr">
        <is>
          <t>📊 Excel BOQ</t>
        </is>
      </c>
      <c r="K1331" s="9" t="n">
        <v>5.9</v>
      </c>
      <c r="L1331" s="10">
        <f>HYPERLINK("http://127.0.0.1:8000/api/documents/download?id=3503&amp;attachment=true", "⬇ Download BOQ_Financial_Schedule_2")</f>
        <v/>
      </c>
      <c r="M1331" s="10">
        <f>HYPERLINK("http://localhost:5173/?state=Delhi&amp;keyword=Empanelment&amp;tender=2026_DEL_2317850_14", "🚀 Open in Portal")</f>
        <v/>
      </c>
    </row>
    <row r="1332" ht="24" customHeight="1">
      <c r="A1332" s="11" t="inlineStr">
        <is>
          <t>Delhi</t>
        </is>
      </c>
      <c r="B1332" s="12" t="inlineStr">
        <is>
          <t>Empanelment</t>
        </is>
      </c>
      <c r="C1332" s="13" t="inlineStr">
        <is>
          <t>2026_DEL_2317850_14</t>
        </is>
      </c>
      <c r="D1332" s="14" t="inlineStr">
        <is>
          <t>Empanelment-Based Empanelment of Specialized Geospatial &amp; AI Solutions Consulting Agencies</t>
        </is>
      </c>
      <c r="E1332" s="14" t="inlineStr">
        <is>
          <t>STATE ELECTRONICS DEVELOPMENT CORPORATION</t>
        </is>
      </c>
      <c r="F1332" s="13" t="inlineStr">
        <is>
          <t>03 Oct 2026</t>
        </is>
      </c>
      <c r="G1332" s="12" t="inlineStr">
        <is>
          <t>24 Oct 2026</t>
        </is>
      </c>
      <c r="H1332" s="17" t="inlineStr">
        <is>
          <t>🟢 LIVE ACTIVE</t>
        </is>
      </c>
      <c r="I1332" s="11" t="inlineStr">
        <is>
          <t>Tender_2026_DEL_2317850_14_All_Documents.zip</t>
        </is>
      </c>
      <c r="J1332" s="13" t="inlineStr">
        <is>
          <t>📦 ZIP Package</t>
        </is>
      </c>
      <c r="K1332" s="15" t="n">
        <v>45</v>
      </c>
      <c r="L1332" s="16">
        <f>HYPERLINK("https://govtprocurement.delhi.gov.in/tender/2026_DEL_2317850_14", "⬇ Download Tender_2026_DEL_2317850_")</f>
        <v/>
      </c>
      <c r="M1332" s="16">
        <f>HYPERLINK("http://localhost:5173/?state=Delhi&amp;keyword=Empanelment&amp;tender=2026_DEL_2317850_14", "🚀 Open in Portal")</f>
        <v/>
      </c>
    </row>
    <row r="1333" ht="24" customHeight="1">
      <c r="A1333" s="4" t="inlineStr">
        <is>
          <t>Delhi</t>
        </is>
      </c>
      <c r="B1333" s="5" t="inlineStr">
        <is>
          <t>Empanelment</t>
        </is>
      </c>
      <c r="C1333" s="6" t="inlineStr">
        <is>
          <t>2026_DOE_298432_1</t>
        </is>
      </c>
      <c r="D1333" s="7" t="inlineStr">
        <is>
          <t>[Empanelment of three Consultancies/Agencies by Department of Environment, Government of National Capital Territory of Delhi (GNTCD) to operationalize carbon credit generation and monetization across all eligible projects of GNCTD]</t>
        </is>
      </c>
      <c r="E1333" s="7" t="inlineStr">
        <is>
          <t>Delhi Public Works &amp; Technology Department</t>
        </is>
      </c>
      <c r="F1333" s="6" t="inlineStr">
        <is>
          <t>27 Sep 2026</t>
        </is>
      </c>
      <c r="G1333" s="5" t="inlineStr">
        <is>
          <t>14 Nov 2026</t>
        </is>
      </c>
      <c r="H1333" s="17" t="inlineStr">
        <is>
          <t>🟢 LIVE ACTIVE</t>
        </is>
      </c>
      <c r="I1333" s="4" t="inlineStr">
        <is>
          <t>Tendernotice_1.pdf</t>
        </is>
      </c>
      <c r="J1333" s="6" t="inlineStr">
        <is>
          <t>📕 PDF Document</t>
        </is>
      </c>
      <c r="K1333" s="9" t="n">
        <v>17.8</v>
      </c>
      <c r="L1333" s="10">
        <f>HYPERLINK("http://127.0.0.1:8000/api/documents/download?id=662&amp;attachment=true", "⬇ Download Tendernotice_1.pdf")</f>
        <v/>
      </c>
      <c r="M1333" s="10">
        <f>HYPERLINK("http://localhost:5173/?state=Delhi&amp;keyword=Empanelment&amp;tender=2026_DOE_298432_1", "🚀 Open in Portal")</f>
        <v/>
      </c>
    </row>
    <row r="1334" ht="24" customHeight="1">
      <c r="A1334" s="11" t="inlineStr">
        <is>
          <t>Delhi</t>
        </is>
      </c>
      <c r="B1334" s="12" t="inlineStr">
        <is>
          <t>Empanelment</t>
        </is>
      </c>
      <c r="C1334" s="13" t="inlineStr">
        <is>
          <t>2026_DOE_298432_1</t>
        </is>
      </c>
      <c r="D1334" s="14" t="inlineStr">
        <is>
          <t>[Empanelment of three Consultancies/Agencies by Department of Environment, Government of National Capital Territory of Delhi (GNTCD) to operationalize carbon credit generation and monetization across all eligible projects of GNCTD]</t>
        </is>
      </c>
      <c r="E1334" s="14" t="inlineStr">
        <is>
          <t>Delhi Public Works &amp; Technology Department</t>
        </is>
      </c>
      <c r="F1334" s="13" t="inlineStr">
        <is>
          <t>27 Sep 2026</t>
        </is>
      </c>
      <c r="G1334" s="12" t="inlineStr">
        <is>
          <t>14 Nov 2026</t>
        </is>
      </c>
      <c r="H1334" s="17" t="inlineStr">
        <is>
          <t>🟢 LIVE ACTIVE</t>
        </is>
      </c>
      <c r="I1334" s="11" t="inlineStr">
        <is>
          <t>tech_prebid_398058.pdf</t>
        </is>
      </c>
      <c r="J1334" s="13" t="inlineStr">
        <is>
          <t>📕 PDF Document</t>
        </is>
      </c>
      <c r="K1334" s="15" t="n">
        <v>17.9</v>
      </c>
      <c r="L1334" s="16">
        <f>HYPERLINK("http://127.0.0.1:8000/api/documents/download?id=663&amp;attachment=true", "⬇ Download tech_prebid_398058.pdf")</f>
        <v/>
      </c>
      <c r="M1334" s="16">
        <f>HYPERLINK("http://localhost:5173/?state=Delhi&amp;keyword=Empanelment&amp;tender=2026_DOE_298432_1", "🚀 Open in Portal")</f>
        <v/>
      </c>
    </row>
    <row r="1335" ht="24" customHeight="1">
      <c r="A1335" s="4" t="inlineStr">
        <is>
          <t>Delhi</t>
        </is>
      </c>
      <c r="B1335" s="5" t="inlineStr">
        <is>
          <t>Empanelment</t>
        </is>
      </c>
      <c r="C1335" s="6" t="inlineStr">
        <is>
          <t>2026_DOE_298432_1</t>
        </is>
      </c>
      <c r="D1335" s="7" t="inlineStr">
        <is>
          <t>[Empanelment of three Consultancies/Agencies by Department of Environment, Government of National Capital Territory of Delhi (GNTCD) to operationalize carbon credit generation and monetization across all eligible projects of GNCTD]</t>
        </is>
      </c>
      <c r="E1335" s="7" t="inlineStr">
        <is>
          <t>Delhi Public Works &amp; Technology Department</t>
        </is>
      </c>
      <c r="F1335" s="6" t="inlineStr">
        <is>
          <t>27 Sep 2026</t>
        </is>
      </c>
      <c r="G1335" s="5" t="inlineStr">
        <is>
          <t>14 Nov 2026</t>
        </is>
      </c>
      <c r="H1335" s="17" t="inlineStr">
        <is>
          <t>🟢 LIVE ACTIVE</t>
        </is>
      </c>
      <c r="I1335" s="4" t="inlineStr">
        <is>
          <t>RFP.pdf</t>
        </is>
      </c>
      <c r="J1335" s="6" t="inlineStr">
        <is>
          <t>📕 PDF Document</t>
        </is>
      </c>
      <c r="K1335" s="9" t="n">
        <v>17.8</v>
      </c>
      <c r="L1335" s="10">
        <f>HYPERLINK("http://127.0.0.1:8000/api/documents/download?id=664&amp;attachment=true", "⬇ Download RFP.pdf")</f>
        <v/>
      </c>
      <c r="M1335" s="10">
        <f>HYPERLINK("http://localhost:5173/?state=Delhi&amp;keyword=Empanelment&amp;tender=2026_DOE_298432_1", "🚀 Open in Portal")</f>
        <v/>
      </c>
    </row>
    <row r="1336" ht="24" customHeight="1">
      <c r="A1336" s="11" t="inlineStr">
        <is>
          <t>Delhi</t>
        </is>
      </c>
      <c r="B1336" s="12" t="inlineStr">
        <is>
          <t>Empanelment</t>
        </is>
      </c>
      <c r="C1336" s="13" t="inlineStr">
        <is>
          <t>2026_DOE_298432_1</t>
        </is>
      </c>
      <c r="D1336" s="14" t="inlineStr">
        <is>
          <t>[Empanelment of three Consultancies/Agencies by Department of Environment, Government of National Capital Territory of Delhi (GNTCD) to operationalize carbon credit generation and monetization across all eligible projects of GNCTD]</t>
        </is>
      </c>
      <c r="E1336" s="14" t="inlineStr">
        <is>
          <t>Delhi Public Works &amp; Technology Department</t>
        </is>
      </c>
      <c r="F1336" s="13" t="inlineStr">
        <is>
          <t>27 Sep 2026</t>
        </is>
      </c>
      <c r="G1336" s="12" t="inlineStr">
        <is>
          <t>14 Nov 2026</t>
        </is>
      </c>
      <c r="H1336" s="17" t="inlineStr">
        <is>
          <t>🟢 LIVE ACTIVE</t>
        </is>
      </c>
      <c r="I1336" s="11" t="inlineStr">
        <is>
          <t>PriceBid.pdf</t>
        </is>
      </c>
      <c r="J1336" s="13" t="inlineStr">
        <is>
          <t>📕 PDF Document</t>
        </is>
      </c>
      <c r="K1336" s="15" t="n">
        <v>17.8</v>
      </c>
      <c r="L1336" s="16">
        <f>HYPERLINK("http://127.0.0.1:8000/api/documents/download?id=665&amp;attachment=true", "⬇ Download PriceBid.pdf")</f>
        <v/>
      </c>
      <c r="M1336" s="16">
        <f>HYPERLINK("http://localhost:5173/?state=Delhi&amp;keyword=Empanelment&amp;tender=2026_DOE_298432_1", "🚀 Open in Portal")</f>
        <v/>
      </c>
    </row>
    <row r="1337" ht="24" customHeight="1">
      <c r="A1337" s="4" t="inlineStr">
        <is>
          <t>Delhi</t>
        </is>
      </c>
      <c r="B1337" s="5" t="inlineStr">
        <is>
          <t>Empanelment</t>
        </is>
      </c>
      <c r="C1337" s="6" t="inlineStr">
        <is>
          <t>2026_DOE_298432_1</t>
        </is>
      </c>
      <c r="D1337" s="7" t="inlineStr">
        <is>
          <t>[Empanelment of three Consultancies/Agencies by Department of Environment, Government of National Capital Territory of Delhi (GNTCD) to operationalize carbon credit generation and monetization across all eligible projects of GNCTD]</t>
        </is>
      </c>
      <c r="E1337" s="7" t="inlineStr">
        <is>
          <t>Delhi Public Works &amp; Technology Department</t>
        </is>
      </c>
      <c r="F1337" s="6" t="inlineStr">
        <is>
          <t>27 Sep 2026</t>
        </is>
      </c>
      <c r="G1337" s="5" t="inlineStr">
        <is>
          <t>14 Nov 2026</t>
        </is>
      </c>
      <c r="H1337" s="17" t="inlineStr">
        <is>
          <t>🟢 LIVE ACTIVE</t>
        </is>
      </c>
      <c r="I1337" s="4" t="inlineStr">
        <is>
          <t>checklist.xls</t>
        </is>
      </c>
      <c r="J1337" s="6" t="inlineStr">
        <is>
          <t>📊 Excel BOQ</t>
        </is>
      </c>
      <c r="K1337" s="9" t="n">
        <v>2.5</v>
      </c>
      <c r="L1337" s="10">
        <f>HYPERLINK("http://127.0.0.1:8000/api/documents/download?id=666&amp;attachment=true", "⬇ Download checklist.xls")</f>
        <v/>
      </c>
      <c r="M1337" s="10">
        <f>HYPERLINK("http://localhost:5173/?state=Delhi&amp;keyword=Empanelment&amp;tender=2026_DOE_298432_1", "🚀 Open in Portal")</f>
        <v/>
      </c>
    </row>
    <row r="1338" ht="24" customHeight="1">
      <c r="A1338" s="11" t="inlineStr">
        <is>
          <t>Delhi</t>
        </is>
      </c>
      <c r="B1338" s="12" t="inlineStr">
        <is>
          <t>Empanelment</t>
        </is>
      </c>
      <c r="C1338" s="13" t="inlineStr">
        <is>
          <t>2026_DOE_298432_1</t>
        </is>
      </c>
      <c r="D1338" s="14" t="inlineStr">
        <is>
          <t>[Empanelment of three Consultancies/Agencies by Department of Environment, Government of National Capital Territory of Delhi (GNTCD) to operationalize carbon credit generation and monetization across all eligible projects of GNCTD]</t>
        </is>
      </c>
      <c r="E1338" s="14" t="inlineStr">
        <is>
          <t>Delhi Public Works &amp; Technology Department</t>
        </is>
      </c>
      <c r="F1338" s="13" t="inlineStr">
        <is>
          <t>27 Sep 2026</t>
        </is>
      </c>
      <c r="G1338" s="12" t="inlineStr">
        <is>
          <t>14 Nov 2026</t>
        </is>
      </c>
      <c r="H1338" s="17" t="inlineStr">
        <is>
          <t>🟢 LIVE ACTIVE</t>
        </is>
      </c>
      <c r="I1338" s="11" t="inlineStr">
        <is>
          <t>Tender_2026_DOE_298432_1_All_Documents.zip</t>
        </is>
      </c>
      <c r="J1338" s="13" t="inlineStr">
        <is>
          <t>📦 ZIP Package</t>
        </is>
      </c>
      <c r="K1338" s="15" t="n">
        <v>39.2</v>
      </c>
      <c r="L1338" s="16">
        <f>HYPERLINK("http://127.0.0.1:8000/api/documents/download?id=667&amp;attachment=true", "⬇ Download Tender_2026_DOE_298432_1")</f>
        <v/>
      </c>
      <c r="M1338" s="16">
        <f>HYPERLINK("http://localhost:5173/?state=Delhi&amp;keyword=Empanelment&amp;tender=2026_DOE_298432_1", "🚀 Open in Portal")</f>
        <v/>
      </c>
    </row>
    <row r="1339" ht="24" customHeight="1">
      <c r="A1339" s="4" t="inlineStr">
        <is>
          <t>Goa</t>
        </is>
      </c>
      <c r="B1339" s="5" t="inlineStr">
        <is>
          <t>GIS</t>
        </is>
      </c>
      <c r="C1339" s="6" t="inlineStr">
        <is>
          <t>2026_CEO_32280_1</t>
        </is>
      </c>
      <c r="D1339" s="7" t="inlineStr">
        <is>
          <t>[Videography of Critical Events for General Elections to Goa State Legislative Assembly, 2027]</t>
        </is>
      </c>
      <c r="E1339" s="7" t="inlineStr">
        <is>
          <t>Goa Public Works &amp; Technology Department</t>
        </is>
      </c>
      <c r="F1339" s="6" t="inlineStr">
        <is>
          <t>30 Jul 2026</t>
        </is>
      </c>
      <c r="G1339" s="5" t="inlineStr">
        <is>
          <t>23 Aug 2026</t>
        </is>
      </c>
      <c r="H1339" s="8" t="inlineStr">
        <is>
          <t>⏳ UPCOMING</t>
        </is>
      </c>
      <c r="I1339" s="4" t="inlineStr">
        <is>
          <t>Tendernotice_1.pdf</t>
        </is>
      </c>
      <c r="J1339" s="6" t="inlineStr">
        <is>
          <t>📕 PDF Document</t>
        </is>
      </c>
      <c r="K1339" s="9" t="n">
        <v>17.8</v>
      </c>
      <c r="L1339" s="10">
        <f>HYPERLINK("http://127.0.0.1:8000/api/documents/download?id=2081&amp;attachment=true", "⬇ Download Tendernotice_1.pdf")</f>
        <v/>
      </c>
      <c r="M1339" s="10">
        <f>HYPERLINK("http://localhost:5173/?state=Goa&amp;keyword=GIS&amp;tender=2026_CEO_32280_1", "🚀 Open in Portal")</f>
        <v/>
      </c>
    </row>
    <row r="1340" ht="24" customHeight="1">
      <c r="A1340" s="11" t="inlineStr">
        <is>
          <t>Goa</t>
        </is>
      </c>
      <c r="B1340" s="12" t="inlineStr">
        <is>
          <t>GIS</t>
        </is>
      </c>
      <c r="C1340" s="13" t="inlineStr">
        <is>
          <t>2026_CEO_32280_1</t>
        </is>
      </c>
      <c r="D1340" s="14" t="inlineStr">
        <is>
          <t>[Videography of Critical Events for General Elections to Goa State Legislative Assembly, 2027]</t>
        </is>
      </c>
      <c r="E1340" s="14" t="inlineStr">
        <is>
          <t>Goa Public Works &amp; Technology Department</t>
        </is>
      </c>
      <c r="F1340" s="13" t="inlineStr">
        <is>
          <t>30 Jul 2026</t>
        </is>
      </c>
      <c r="G1340" s="12" t="inlineStr">
        <is>
          <t>23 Aug 2026</t>
        </is>
      </c>
      <c r="H1340" s="8" t="inlineStr">
        <is>
          <t>⏳ UPCOMING</t>
        </is>
      </c>
      <c r="I1340" s="11" t="inlineStr">
        <is>
          <t>BOQ_32661.xls</t>
        </is>
      </c>
      <c r="J1340" s="13" t="inlineStr">
        <is>
          <t>📊 Excel BOQ</t>
        </is>
      </c>
      <c r="K1340" s="15" t="n">
        <v>2.5</v>
      </c>
      <c r="L1340" s="16">
        <f>HYPERLINK("http://127.0.0.1:8000/api/documents/download?id=2082&amp;attachment=true", "⬇ Download BOQ_32661.xls")</f>
        <v/>
      </c>
      <c r="M1340" s="16">
        <f>HYPERLINK("http://localhost:5173/?state=Goa&amp;keyword=GIS&amp;tender=2026_CEO_32280_1", "🚀 Open in Portal")</f>
        <v/>
      </c>
    </row>
    <row r="1341" ht="24" customHeight="1">
      <c r="A1341" s="4" t="inlineStr">
        <is>
          <t>Goa</t>
        </is>
      </c>
      <c r="B1341" s="5" t="inlineStr">
        <is>
          <t>GIS</t>
        </is>
      </c>
      <c r="C1341" s="6" t="inlineStr">
        <is>
          <t>2026_CEO_32280_1</t>
        </is>
      </c>
      <c r="D1341" s="7" t="inlineStr">
        <is>
          <t>[Videography of Critical Events for General Elections to Goa State Legislative Assembly, 2027]</t>
        </is>
      </c>
      <c r="E1341" s="7" t="inlineStr">
        <is>
          <t>Goa Public Works &amp; Technology Department</t>
        </is>
      </c>
      <c r="F1341" s="6" t="inlineStr">
        <is>
          <t>30 Jul 2026</t>
        </is>
      </c>
      <c r="G1341" s="5" t="inlineStr">
        <is>
          <t>23 Aug 2026</t>
        </is>
      </c>
      <c r="H1341" s="8" t="inlineStr">
        <is>
          <t>⏳ UPCOMING</t>
        </is>
      </c>
      <c r="I1341" s="4" t="inlineStr">
        <is>
          <t>Tender_2026_CEO_32280_1_All_Documents.zip</t>
        </is>
      </c>
      <c r="J1341" s="6" t="inlineStr">
        <is>
          <t>📦 ZIP Package</t>
        </is>
      </c>
      <c r="K1341" s="9" t="n">
        <v>11.5</v>
      </c>
      <c r="L1341" s="10">
        <f>HYPERLINK("http://127.0.0.1:8000/api/documents/download?id=2083&amp;attachment=true", "⬇ Download Tender_2026_CEO_32280_1_")</f>
        <v/>
      </c>
      <c r="M1341" s="10">
        <f>HYPERLINK("http://localhost:5173/?state=Goa&amp;keyword=GIS&amp;tender=2026_CEO_32280_1", "🚀 Open in Portal")</f>
        <v/>
      </c>
    </row>
    <row r="1342" ht="24" customHeight="1">
      <c r="A1342" s="11" t="inlineStr">
        <is>
          <t>Goa</t>
        </is>
      </c>
      <c r="B1342" s="12" t="inlineStr">
        <is>
          <t>GIS</t>
        </is>
      </c>
      <c r="C1342" s="13" t="inlineStr">
        <is>
          <t>2026_ED_32120_1</t>
        </is>
      </c>
      <c r="D1342" s="14" t="inlineStr">
        <is>
          <t>[Providing and making Galvulium sheet and PUF sheet roofing for GIS control room at Calangute]</t>
        </is>
      </c>
      <c r="E1342" s="14" t="inlineStr">
        <is>
          <t>Goa Public Works &amp; Technology Department</t>
        </is>
      </c>
      <c r="F1342" s="13" t="inlineStr">
        <is>
          <t>26 Sep 2026</t>
        </is>
      </c>
      <c r="G1342" s="12" t="inlineStr">
        <is>
          <t>13 Nov 2026</t>
        </is>
      </c>
      <c r="H1342" s="17" t="inlineStr">
        <is>
          <t>🟢 LIVE ACTIVE</t>
        </is>
      </c>
      <c r="I1342" s="11" t="inlineStr">
        <is>
          <t>Tendernotice_1.pdf</t>
        </is>
      </c>
      <c r="J1342" s="13" t="inlineStr">
        <is>
          <t>📕 PDF Document</t>
        </is>
      </c>
      <c r="K1342" s="15" t="n">
        <v>17.8</v>
      </c>
      <c r="L1342" s="16">
        <f>HYPERLINK("http://127.0.0.1:8000/api/documents/download?id=2087&amp;attachment=true", "⬇ Download Tendernotice_1.pdf")</f>
        <v/>
      </c>
      <c r="M1342" s="16">
        <f>HYPERLINK("http://localhost:5173/?state=Goa&amp;keyword=GIS&amp;tender=2026_ED_32120_1", "🚀 Open in Portal")</f>
        <v/>
      </c>
    </row>
    <row r="1343" ht="24" customHeight="1">
      <c r="A1343" s="4" t="inlineStr">
        <is>
          <t>Goa</t>
        </is>
      </c>
      <c r="B1343" s="5" t="inlineStr">
        <is>
          <t>GIS</t>
        </is>
      </c>
      <c r="C1343" s="6" t="inlineStr">
        <is>
          <t>2026_ED_32120_1</t>
        </is>
      </c>
      <c r="D1343" s="7" t="inlineStr">
        <is>
          <t>[Providing and making Galvulium sheet and PUF sheet roofing for GIS control room at Calangute]</t>
        </is>
      </c>
      <c r="E1343" s="7" t="inlineStr">
        <is>
          <t>Goa Public Works &amp; Technology Department</t>
        </is>
      </c>
      <c r="F1343" s="6" t="inlineStr">
        <is>
          <t>26 Sep 2026</t>
        </is>
      </c>
      <c r="G1343" s="5" t="inlineStr">
        <is>
          <t>13 Nov 2026</t>
        </is>
      </c>
      <c r="H1343" s="17" t="inlineStr">
        <is>
          <t>🟢 LIVE ACTIVE</t>
        </is>
      </c>
      <c r="I1343" s="4" t="inlineStr">
        <is>
          <t>BOQ_32505.xls</t>
        </is>
      </c>
      <c r="J1343" s="6" t="inlineStr">
        <is>
          <t>📊 Excel BOQ</t>
        </is>
      </c>
      <c r="K1343" s="9" t="n">
        <v>2.4</v>
      </c>
      <c r="L1343" s="10">
        <f>HYPERLINK("http://127.0.0.1:8000/api/documents/download?id=2088&amp;attachment=true", "⬇ Download BOQ_32505.xls")</f>
        <v/>
      </c>
      <c r="M1343" s="10">
        <f>HYPERLINK("http://localhost:5173/?state=Goa&amp;keyword=GIS&amp;tender=2026_ED_32120_1", "🚀 Open in Portal")</f>
        <v/>
      </c>
    </row>
    <row r="1344" ht="24" customHeight="1">
      <c r="A1344" s="11" t="inlineStr">
        <is>
          <t>Goa</t>
        </is>
      </c>
      <c r="B1344" s="12" t="inlineStr">
        <is>
          <t>GIS</t>
        </is>
      </c>
      <c r="C1344" s="13" t="inlineStr">
        <is>
          <t>2026_ED_32120_1</t>
        </is>
      </c>
      <c r="D1344" s="14" t="inlineStr">
        <is>
          <t>[Providing and making Galvulium sheet and PUF sheet roofing for GIS control room at Calangute]</t>
        </is>
      </c>
      <c r="E1344" s="14" t="inlineStr">
        <is>
          <t>Goa Public Works &amp; Technology Department</t>
        </is>
      </c>
      <c r="F1344" s="13" t="inlineStr">
        <is>
          <t>26 Sep 2026</t>
        </is>
      </c>
      <c r="G1344" s="12" t="inlineStr">
        <is>
          <t>13 Nov 2026</t>
        </is>
      </c>
      <c r="H1344" s="17" t="inlineStr">
        <is>
          <t>🟢 LIVE ACTIVE</t>
        </is>
      </c>
      <c r="I1344" s="11" t="inlineStr">
        <is>
          <t>Tender_2026_ED_32120_1_All_Documents.zip</t>
        </is>
      </c>
      <c r="J1344" s="13" t="inlineStr">
        <is>
          <t>📦 ZIP Package</t>
        </is>
      </c>
      <c r="K1344" s="15" t="n">
        <v>11.4</v>
      </c>
      <c r="L1344" s="16">
        <f>HYPERLINK("http://127.0.0.1:8000/api/documents/download?id=2089&amp;attachment=true", "⬇ Download Tender_2026_ED_32120_1_A")</f>
        <v/>
      </c>
      <c r="M1344" s="16">
        <f>HYPERLINK("http://localhost:5173/?state=Goa&amp;keyword=GIS&amp;tender=2026_ED_32120_1", "🚀 Open in Portal")</f>
        <v/>
      </c>
    </row>
    <row r="1345" ht="24" customHeight="1">
      <c r="A1345" s="4" t="inlineStr">
        <is>
          <t>Goa</t>
        </is>
      </c>
      <c r="B1345" s="5" t="inlineStr">
        <is>
          <t>GIS</t>
        </is>
      </c>
      <c r="C1345" s="6" t="inlineStr">
        <is>
          <t>2026_GSUDA_32270_1</t>
        </is>
      </c>
      <c r="D1345" s="7" t="inlineStr">
        <is>
          <t>[Appointment of Agency for Third-Party Verification and Audit of GIS-Based Household Survey Data, Property Mapping and QR Code Plate Installation Work under GSUDA]</t>
        </is>
      </c>
      <c r="E1345" s="7" t="inlineStr">
        <is>
          <t>Goa Public Works &amp; Technology Department</t>
        </is>
      </c>
      <c r="F1345" s="6" t="inlineStr">
        <is>
          <t>28 Aug 2026</t>
        </is>
      </c>
      <c r="G1345" s="5" t="inlineStr">
        <is>
          <t>23 Sep 2026</t>
        </is>
      </c>
      <c r="H1345" s="8" t="inlineStr">
        <is>
          <t>⏳ UPCOMING</t>
        </is>
      </c>
      <c r="I1345" s="4" t="inlineStr">
        <is>
          <t>Tendernotice_1.pdf</t>
        </is>
      </c>
      <c r="J1345" s="6" t="inlineStr">
        <is>
          <t>📕 PDF Document</t>
        </is>
      </c>
      <c r="K1345" s="9" t="n">
        <v>17.8</v>
      </c>
      <c r="L1345" s="10">
        <f>HYPERLINK("http://127.0.0.1:8000/api/documents/download?id=2084&amp;attachment=true", "⬇ Download Tendernotice_1.pdf")</f>
        <v/>
      </c>
      <c r="M1345" s="10">
        <f>HYPERLINK("http://localhost:5173/?state=Goa&amp;keyword=GIS&amp;tender=2026_GSUDA_32270_1", "🚀 Open in Portal")</f>
        <v/>
      </c>
    </row>
    <row r="1346" ht="24" customHeight="1">
      <c r="A1346" s="11" t="inlineStr">
        <is>
          <t>Goa</t>
        </is>
      </c>
      <c r="B1346" s="12" t="inlineStr">
        <is>
          <t>GIS</t>
        </is>
      </c>
      <c r="C1346" s="13" t="inlineStr">
        <is>
          <t>2026_GSUDA_32270_1</t>
        </is>
      </c>
      <c r="D1346" s="14" t="inlineStr">
        <is>
          <t>[Appointment of Agency for Third-Party Verification and Audit of GIS-Based Household Survey Data, Property Mapping and QR Code Plate Installation Work under GSUDA]</t>
        </is>
      </c>
      <c r="E1346" s="14" t="inlineStr">
        <is>
          <t>Goa Public Works &amp; Technology Department</t>
        </is>
      </c>
      <c r="F1346" s="13" t="inlineStr">
        <is>
          <t>28 Aug 2026</t>
        </is>
      </c>
      <c r="G1346" s="12" t="inlineStr">
        <is>
          <t>23 Sep 2026</t>
        </is>
      </c>
      <c r="H1346" s="8" t="inlineStr">
        <is>
          <t>⏳ UPCOMING</t>
        </is>
      </c>
      <c r="I1346" s="11" t="inlineStr">
        <is>
          <t>BOQ_32653.xls</t>
        </is>
      </c>
      <c r="J1346" s="13" t="inlineStr">
        <is>
          <t>📊 Excel BOQ</t>
        </is>
      </c>
      <c r="K1346" s="15" t="n">
        <v>2.5</v>
      </c>
      <c r="L1346" s="16">
        <f>HYPERLINK("http://127.0.0.1:8000/api/documents/download?id=2085&amp;attachment=true", "⬇ Download BOQ_32653.xls")</f>
        <v/>
      </c>
      <c r="M1346" s="16">
        <f>HYPERLINK("http://localhost:5173/?state=Goa&amp;keyword=GIS&amp;tender=2026_GSUDA_32270_1", "🚀 Open in Portal")</f>
        <v/>
      </c>
    </row>
    <row r="1347" ht="24" customHeight="1">
      <c r="A1347" s="4" t="inlineStr">
        <is>
          <t>Goa</t>
        </is>
      </c>
      <c r="B1347" s="5" t="inlineStr">
        <is>
          <t>GIS</t>
        </is>
      </c>
      <c r="C1347" s="6" t="inlineStr">
        <is>
          <t>2026_GSUDA_32270_1</t>
        </is>
      </c>
      <c r="D1347" s="7" t="inlineStr">
        <is>
          <t>[Appointment of Agency for Third-Party Verification and Audit of GIS-Based Household Survey Data, Property Mapping and QR Code Plate Installation Work under GSUDA]</t>
        </is>
      </c>
      <c r="E1347" s="7" t="inlineStr">
        <is>
          <t>Goa Public Works &amp; Technology Department</t>
        </is>
      </c>
      <c r="F1347" s="6" t="inlineStr">
        <is>
          <t>28 Aug 2026</t>
        </is>
      </c>
      <c r="G1347" s="5" t="inlineStr">
        <is>
          <t>23 Sep 2026</t>
        </is>
      </c>
      <c r="H1347" s="8" t="inlineStr">
        <is>
          <t>⏳ UPCOMING</t>
        </is>
      </c>
      <c r="I1347" s="4" t="inlineStr">
        <is>
          <t>Tender_2026_GSUDA_32270_1_All_Documents.zip</t>
        </is>
      </c>
      <c r="J1347" s="6" t="inlineStr">
        <is>
          <t>📦 ZIP Package</t>
        </is>
      </c>
      <c r="K1347" s="9" t="n">
        <v>11.5</v>
      </c>
      <c r="L1347" s="10">
        <f>HYPERLINK("http://127.0.0.1:8000/api/documents/download?id=2086&amp;attachment=true", "⬇ Download Tender_2026_GSUDA_32270_")</f>
        <v/>
      </c>
      <c r="M1347" s="10">
        <f>HYPERLINK("http://localhost:5173/?state=Goa&amp;keyword=GIS&amp;tender=2026_GSUDA_32270_1", "🚀 Open in Portal")</f>
        <v/>
      </c>
    </row>
    <row r="1348" ht="24" customHeight="1">
      <c r="A1348" s="11" t="inlineStr">
        <is>
          <t>Goa</t>
        </is>
      </c>
      <c r="B1348" s="12" t="inlineStr">
        <is>
          <t>ICT</t>
        </is>
      </c>
      <c r="C1348" s="13" t="inlineStr">
        <is>
          <t>2026_COCP_32231_1</t>
        </is>
      </c>
      <c r="D1348" s="14" t="inlineStr">
        <is>
          <t>[Providing and Laying Mexican Lawn at the balance area of St Inez Cemetery in CCP Jurisdiction]</t>
        </is>
      </c>
      <c r="E1348" s="14" t="inlineStr">
        <is>
          <t>Goa Public Works &amp; Technology Department</t>
        </is>
      </c>
      <c r="F1348" s="13" t="inlineStr">
        <is>
          <t>11 Oct 2026</t>
        </is>
      </c>
      <c r="G1348" s="12" t="inlineStr">
        <is>
          <t>16 Nov 2026</t>
        </is>
      </c>
      <c r="H1348" s="17" t="inlineStr">
        <is>
          <t>🟢 LIVE ACTIVE</t>
        </is>
      </c>
      <c r="I1348" s="11" t="inlineStr">
        <is>
          <t>Tendernotice_1.pdf</t>
        </is>
      </c>
      <c r="J1348" s="13" t="inlineStr">
        <is>
          <t>📕 PDF Document</t>
        </is>
      </c>
      <c r="K1348" s="15" t="n">
        <v>17.8</v>
      </c>
      <c r="L1348" s="16">
        <f>HYPERLINK("http://127.0.0.1:8000/api/documents/download?id=2129&amp;attachment=true", "⬇ Download Tendernotice_1.pdf")</f>
        <v/>
      </c>
      <c r="M1348" s="16">
        <f>HYPERLINK("http://localhost:5173/?state=Goa&amp;keyword=ICT&amp;tender=2026_COCP_32231_1", "🚀 Open in Portal")</f>
        <v/>
      </c>
    </row>
    <row r="1349" ht="24" customHeight="1">
      <c r="A1349" s="4" t="inlineStr">
        <is>
          <t>Goa</t>
        </is>
      </c>
      <c r="B1349" s="5" t="inlineStr">
        <is>
          <t>ICT</t>
        </is>
      </c>
      <c r="C1349" s="6" t="inlineStr">
        <is>
          <t>2026_COCP_32231_1</t>
        </is>
      </c>
      <c r="D1349" s="7" t="inlineStr">
        <is>
          <t>[Providing and Laying Mexican Lawn at the balance area of St Inez Cemetery in CCP Jurisdiction]</t>
        </is>
      </c>
      <c r="E1349" s="7" t="inlineStr">
        <is>
          <t>Goa Public Works &amp; Technology Department</t>
        </is>
      </c>
      <c r="F1349" s="6" t="inlineStr">
        <is>
          <t>11 Oct 2026</t>
        </is>
      </c>
      <c r="G1349" s="5" t="inlineStr">
        <is>
          <t>16 Nov 2026</t>
        </is>
      </c>
      <c r="H1349" s="17" t="inlineStr">
        <is>
          <t>🟢 LIVE ACTIVE</t>
        </is>
      </c>
      <c r="I1349" s="4" t="inlineStr">
        <is>
          <t>BOQ_32614.xls</t>
        </is>
      </c>
      <c r="J1349" s="6" t="inlineStr">
        <is>
          <t>📊 Excel BOQ</t>
        </is>
      </c>
      <c r="K1349" s="9" t="n">
        <v>2.5</v>
      </c>
      <c r="L1349" s="10">
        <f>HYPERLINK("http://127.0.0.1:8000/api/documents/download?id=2130&amp;attachment=true", "⬇ Download BOQ_32614.xls")</f>
        <v/>
      </c>
      <c r="M1349" s="10">
        <f>HYPERLINK("http://localhost:5173/?state=Goa&amp;keyword=ICT&amp;tender=2026_COCP_32231_1", "🚀 Open in Portal")</f>
        <v/>
      </c>
    </row>
    <row r="1350" ht="24" customHeight="1">
      <c r="A1350" s="11" t="inlineStr">
        <is>
          <t>Goa</t>
        </is>
      </c>
      <c r="B1350" s="12" t="inlineStr">
        <is>
          <t>ICT</t>
        </is>
      </c>
      <c r="C1350" s="13" t="inlineStr">
        <is>
          <t>2026_COCP_32231_1</t>
        </is>
      </c>
      <c r="D1350" s="14" t="inlineStr">
        <is>
          <t>[Providing and Laying Mexican Lawn at the balance area of St Inez Cemetery in CCP Jurisdiction]</t>
        </is>
      </c>
      <c r="E1350" s="14" t="inlineStr">
        <is>
          <t>Goa Public Works &amp; Technology Department</t>
        </is>
      </c>
      <c r="F1350" s="13" t="inlineStr">
        <is>
          <t>11 Oct 2026</t>
        </is>
      </c>
      <c r="G1350" s="12" t="inlineStr">
        <is>
          <t>16 Nov 2026</t>
        </is>
      </c>
      <c r="H1350" s="17" t="inlineStr">
        <is>
          <t>🟢 LIVE ACTIVE</t>
        </is>
      </c>
      <c r="I1350" s="11" t="inlineStr">
        <is>
          <t>Tender_2026_COCP_32231_1_All_Documents.zip</t>
        </is>
      </c>
      <c r="J1350" s="13" t="inlineStr">
        <is>
          <t>📦 ZIP Package</t>
        </is>
      </c>
      <c r="K1350" s="15" t="n">
        <v>11.5</v>
      </c>
      <c r="L1350" s="16">
        <f>HYPERLINK("http://127.0.0.1:8000/api/documents/download?id=2131&amp;attachment=true", "⬇ Download Tender_2026_COCP_32231_1")</f>
        <v/>
      </c>
      <c r="M1350" s="16">
        <f>HYPERLINK("http://localhost:5173/?state=Goa&amp;keyword=ICT&amp;tender=2026_COCP_32231_1", "🚀 Open in Portal")</f>
        <v/>
      </c>
    </row>
    <row r="1351" ht="24" customHeight="1">
      <c r="A1351" s="4" t="inlineStr">
        <is>
          <t>Goa</t>
        </is>
      </c>
      <c r="B1351" s="5" t="inlineStr">
        <is>
          <t>ICT</t>
        </is>
      </c>
      <c r="C1351" s="6" t="inlineStr">
        <is>
          <t>2026_COCP_32233_1</t>
        </is>
      </c>
      <c r="D1351" s="7" t="inlineStr">
        <is>
          <t>[Pasting of eco vinyl print with Corporation logo and name on Traffic Barricades within CCP Jurisdiction]</t>
        </is>
      </c>
      <c r="E1351" s="7" t="inlineStr">
        <is>
          <t>Goa Public Works &amp; Technology Department</t>
        </is>
      </c>
      <c r="F1351" s="6" t="inlineStr">
        <is>
          <t>28 Jul 2026</t>
        </is>
      </c>
      <c r="G1351" s="5" t="inlineStr">
        <is>
          <t>19 Aug 2026</t>
        </is>
      </c>
      <c r="H1351" s="8" t="inlineStr">
        <is>
          <t>⏳ UPCOMING</t>
        </is>
      </c>
      <c r="I1351" s="4" t="inlineStr">
        <is>
          <t>Tendernotice_1.pdf</t>
        </is>
      </c>
      <c r="J1351" s="6" t="inlineStr">
        <is>
          <t>📕 PDF Document</t>
        </is>
      </c>
      <c r="K1351" s="9" t="n">
        <v>17.8</v>
      </c>
      <c r="L1351" s="10">
        <f>HYPERLINK("http://127.0.0.1:8000/api/documents/download?id=2132&amp;attachment=true", "⬇ Download Tendernotice_1.pdf")</f>
        <v/>
      </c>
      <c r="M1351" s="10">
        <f>HYPERLINK("http://localhost:5173/?state=Goa&amp;keyword=ICT&amp;tender=2026_COCP_32233_1", "🚀 Open in Portal")</f>
        <v/>
      </c>
    </row>
    <row r="1352" ht="24" customHeight="1">
      <c r="A1352" s="11" t="inlineStr">
        <is>
          <t>Goa</t>
        </is>
      </c>
      <c r="B1352" s="12" t="inlineStr">
        <is>
          <t>ICT</t>
        </is>
      </c>
      <c r="C1352" s="13" t="inlineStr">
        <is>
          <t>2026_COCP_32233_1</t>
        </is>
      </c>
      <c r="D1352" s="14" t="inlineStr">
        <is>
          <t>[Pasting of eco vinyl print with Corporation logo and name on Traffic Barricades within CCP Jurisdiction]</t>
        </is>
      </c>
      <c r="E1352" s="14" t="inlineStr">
        <is>
          <t>Goa Public Works &amp; Technology Department</t>
        </is>
      </c>
      <c r="F1352" s="13" t="inlineStr">
        <is>
          <t>28 Jul 2026</t>
        </is>
      </c>
      <c r="G1352" s="12" t="inlineStr">
        <is>
          <t>19 Aug 2026</t>
        </is>
      </c>
      <c r="H1352" s="8" t="inlineStr">
        <is>
          <t>⏳ UPCOMING</t>
        </is>
      </c>
      <c r="I1352" s="11" t="inlineStr">
        <is>
          <t>BOQ_32616.xls</t>
        </is>
      </c>
      <c r="J1352" s="13" t="inlineStr">
        <is>
          <t>📊 Excel BOQ</t>
        </is>
      </c>
      <c r="K1352" s="15" t="n">
        <v>2.5</v>
      </c>
      <c r="L1352" s="16">
        <f>HYPERLINK("http://127.0.0.1:8000/api/documents/download?id=2133&amp;attachment=true", "⬇ Download BOQ_32616.xls")</f>
        <v/>
      </c>
      <c r="M1352" s="16">
        <f>HYPERLINK("http://localhost:5173/?state=Goa&amp;keyword=ICT&amp;tender=2026_COCP_32233_1", "🚀 Open in Portal")</f>
        <v/>
      </c>
    </row>
    <row r="1353" ht="24" customHeight="1">
      <c r="A1353" s="4" t="inlineStr">
        <is>
          <t>Goa</t>
        </is>
      </c>
      <c r="B1353" s="5" t="inlineStr">
        <is>
          <t>ICT</t>
        </is>
      </c>
      <c r="C1353" s="6" t="inlineStr">
        <is>
          <t>2026_COCP_32233_1</t>
        </is>
      </c>
      <c r="D1353" s="7" t="inlineStr">
        <is>
          <t>[Pasting of eco vinyl print with Corporation logo and name on Traffic Barricades within CCP Jurisdiction]</t>
        </is>
      </c>
      <c r="E1353" s="7" t="inlineStr">
        <is>
          <t>Goa Public Works &amp; Technology Department</t>
        </is>
      </c>
      <c r="F1353" s="6" t="inlineStr">
        <is>
          <t>28 Jul 2026</t>
        </is>
      </c>
      <c r="G1353" s="5" t="inlineStr">
        <is>
          <t>19 Aug 2026</t>
        </is>
      </c>
      <c r="H1353" s="8" t="inlineStr">
        <is>
          <t>⏳ UPCOMING</t>
        </is>
      </c>
      <c r="I1353" s="4" t="inlineStr">
        <is>
          <t>Tender_2026_COCP_32233_1_All_Documents.zip</t>
        </is>
      </c>
      <c r="J1353" s="6" t="inlineStr">
        <is>
          <t>📦 ZIP Package</t>
        </is>
      </c>
      <c r="K1353" s="9" t="n">
        <v>11.5</v>
      </c>
      <c r="L1353" s="10">
        <f>HYPERLINK("http://127.0.0.1:8000/api/documents/download?id=2134&amp;attachment=true", "⬇ Download Tender_2026_COCP_32233_1")</f>
        <v/>
      </c>
      <c r="M1353" s="10">
        <f>HYPERLINK("http://localhost:5173/?state=Goa&amp;keyword=ICT&amp;tender=2026_COCP_32233_1", "🚀 Open in Portal")</f>
        <v/>
      </c>
    </row>
    <row r="1354" ht="24" customHeight="1">
      <c r="A1354" s="11" t="inlineStr">
        <is>
          <t>Goa</t>
        </is>
      </c>
      <c r="B1354" s="12" t="inlineStr">
        <is>
          <t>ICT</t>
        </is>
      </c>
      <c r="C1354" s="13" t="inlineStr">
        <is>
          <t>2026_COCP_32246_1</t>
        </is>
      </c>
      <c r="D1354" s="14" t="inlineStr">
        <is>
          <t>[Collection of Pay Parking fees from designated areas in Panaji City within the jurisdiction of CCP. List of designated areas are annexed at Annexure B Phase II]</t>
        </is>
      </c>
      <c r="E1354" s="14" t="inlineStr">
        <is>
          <t>Goa Public Works &amp; Technology Department</t>
        </is>
      </c>
      <c r="F1354" s="13" t="inlineStr">
        <is>
          <t>09 Sep 2026</t>
        </is>
      </c>
      <c r="G1354" s="12" t="inlineStr">
        <is>
          <t>07 Oct 2026</t>
        </is>
      </c>
      <c r="H1354" s="8" t="inlineStr">
        <is>
          <t>⏳ UPCOMING</t>
        </is>
      </c>
      <c r="I1354" s="11" t="inlineStr">
        <is>
          <t>Tendernotice_1.pdf</t>
        </is>
      </c>
      <c r="J1354" s="13" t="inlineStr">
        <is>
          <t>📕 PDF Document</t>
        </is>
      </c>
      <c r="K1354" s="15" t="n">
        <v>17.8</v>
      </c>
      <c r="L1354" s="16">
        <f>HYPERLINK("http://127.0.0.1:8000/api/documents/download?id=2123&amp;attachment=true", "⬇ Download Tendernotice_1.pdf")</f>
        <v/>
      </c>
      <c r="M1354" s="16">
        <f>HYPERLINK("http://localhost:5173/?state=Goa&amp;keyword=ICT&amp;tender=2026_COCP_32246_1", "🚀 Open in Portal")</f>
        <v/>
      </c>
    </row>
    <row r="1355" ht="24" customHeight="1">
      <c r="A1355" s="4" t="inlineStr">
        <is>
          <t>Goa</t>
        </is>
      </c>
      <c r="B1355" s="5" t="inlineStr">
        <is>
          <t>ICT</t>
        </is>
      </c>
      <c r="C1355" s="6" t="inlineStr">
        <is>
          <t>2026_COCP_32246_1</t>
        </is>
      </c>
      <c r="D1355" s="7" t="inlineStr">
        <is>
          <t>[Collection of Pay Parking fees from designated areas in Panaji City within the jurisdiction of CCP. List of designated areas are annexed at Annexure B Phase II]</t>
        </is>
      </c>
      <c r="E1355" s="7" t="inlineStr">
        <is>
          <t>Goa Public Works &amp; Technology Department</t>
        </is>
      </c>
      <c r="F1355" s="6" t="inlineStr">
        <is>
          <t>09 Sep 2026</t>
        </is>
      </c>
      <c r="G1355" s="5" t="inlineStr">
        <is>
          <t>07 Oct 2026</t>
        </is>
      </c>
      <c r="H1355" s="8" t="inlineStr">
        <is>
          <t>⏳ UPCOMING</t>
        </is>
      </c>
      <c r="I1355" s="4" t="inlineStr">
        <is>
          <t>BOQ_32629.xls</t>
        </is>
      </c>
      <c r="J1355" s="6" t="inlineStr">
        <is>
          <t>📊 Excel BOQ</t>
        </is>
      </c>
      <c r="K1355" s="9" t="n">
        <v>2.5</v>
      </c>
      <c r="L1355" s="10">
        <f>HYPERLINK("http://127.0.0.1:8000/api/documents/download?id=2124&amp;attachment=true", "⬇ Download BOQ_32629.xls")</f>
        <v/>
      </c>
      <c r="M1355" s="10">
        <f>HYPERLINK("http://localhost:5173/?state=Goa&amp;keyword=ICT&amp;tender=2026_COCP_32246_1", "🚀 Open in Portal")</f>
        <v/>
      </c>
    </row>
    <row r="1356" ht="24" customHeight="1">
      <c r="A1356" s="11" t="inlineStr">
        <is>
          <t>Goa</t>
        </is>
      </c>
      <c r="B1356" s="12" t="inlineStr">
        <is>
          <t>ICT</t>
        </is>
      </c>
      <c r="C1356" s="13" t="inlineStr">
        <is>
          <t>2026_COCP_32246_1</t>
        </is>
      </c>
      <c r="D1356" s="14" t="inlineStr">
        <is>
          <t>[Collection of Pay Parking fees from designated areas in Panaji City within the jurisdiction of CCP. List of designated areas are annexed at Annexure B Phase II]</t>
        </is>
      </c>
      <c r="E1356" s="14" t="inlineStr">
        <is>
          <t>Goa Public Works &amp; Technology Department</t>
        </is>
      </c>
      <c r="F1356" s="13" t="inlineStr">
        <is>
          <t>09 Sep 2026</t>
        </is>
      </c>
      <c r="G1356" s="12" t="inlineStr">
        <is>
          <t>07 Oct 2026</t>
        </is>
      </c>
      <c r="H1356" s="8" t="inlineStr">
        <is>
          <t>⏳ UPCOMING</t>
        </is>
      </c>
      <c r="I1356" s="11" t="inlineStr">
        <is>
          <t>Tender_2026_COCP_32246_1_All_Documents.zip</t>
        </is>
      </c>
      <c r="J1356" s="13" t="inlineStr">
        <is>
          <t>📦 ZIP Package</t>
        </is>
      </c>
      <c r="K1356" s="15" t="n">
        <v>11.6</v>
      </c>
      <c r="L1356" s="16">
        <f>HYPERLINK("http://127.0.0.1:8000/api/documents/download?id=2125&amp;attachment=true", "⬇ Download Tender_2026_COCP_32246_1")</f>
        <v/>
      </c>
      <c r="M1356" s="16">
        <f>HYPERLINK("http://localhost:5173/?state=Goa&amp;keyword=ICT&amp;tender=2026_COCP_32246_1", "🚀 Open in Portal")</f>
        <v/>
      </c>
    </row>
    <row r="1357" ht="24" customHeight="1">
      <c r="A1357" s="4" t="inlineStr">
        <is>
          <t>Goa</t>
        </is>
      </c>
      <c r="B1357" s="5" t="inlineStr">
        <is>
          <t>ICT</t>
        </is>
      </c>
      <c r="C1357" s="6" t="inlineStr">
        <is>
          <t>2026_COCP_32248_1</t>
        </is>
      </c>
      <c r="D1357" s="7" t="inlineStr">
        <is>
          <t>[Collection of Pay Parking fees from designated areas in Panaji City within the jurisdiction of CCP. List of designated areas are annexed at Annexure B Phase IV]</t>
        </is>
      </c>
      <c r="E1357" s="7" t="inlineStr">
        <is>
          <t>Goa Public Works &amp; Technology Department</t>
        </is>
      </c>
      <c r="F1357" s="6" t="inlineStr">
        <is>
          <t>24 Aug 2026</t>
        </is>
      </c>
      <c r="G1357" s="5" t="inlineStr">
        <is>
          <t>21 Sep 2026</t>
        </is>
      </c>
      <c r="H1357" s="8" t="inlineStr">
        <is>
          <t>⏳ UPCOMING</t>
        </is>
      </c>
      <c r="I1357" s="4" t="inlineStr">
        <is>
          <t>Tendernotice_1.pdf</t>
        </is>
      </c>
      <c r="J1357" s="6" t="inlineStr">
        <is>
          <t>📕 PDF Document</t>
        </is>
      </c>
      <c r="K1357" s="9" t="n">
        <v>17.8</v>
      </c>
      <c r="L1357" s="10">
        <f>HYPERLINK("http://127.0.0.1:8000/api/documents/download?id=2120&amp;attachment=true", "⬇ Download Tendernotice_1.pdf")</f>
        <v/>
      </c>
      <c r="M1357" s="10">
        <f>HYPERLINK("http://localhost:5173/?state=Goa&amp;keyword=ICT&amp;tender=2026_COCP_32248_1", "🚀 Open in Portal")</f>
        <v/>
      </c>
    </row>
    <row r="1358" ht="24" customHeight="1">
      <c r="A1358" s="11" t="inlineStr">
        <is>
          <t>Goa</t>
        </is>
      </c>
      <c r="B1358" s="12" t="inlineStr">
        <is>
          <t>ICT</t>
        </is>
      </c>
      <c r="C1358" s="13" t="inlineStr">
        <is>
          <t>2026_COCP_32248_1</t>
        </is>
      </c>
      <c r="D1358" s="14" t="inlineStr">
        <is>
          <t>[Collection of Pay Parking fees from designated areas in Panaji City within the jurisdiction of CCP. List of designated areas are annexed at Annexure B Phase IV]</t>
        </is>
      </c>
      <c r="E1358" s="14" t="inlineStr">
        <is>
          <t>Goa Public Works &amp; Technology Department</t>
        </is>
      </c>
      <c r="F1358" s="13" t="inlineStr">
        <is>
          <t>24 Aug 2026</t>
        </is>
      </c>
      <c r="G1358" s="12" t="inlineStr">
        <is>
          <t>21 Sep 2026</t>
        </is>
      </c>
      <c r="H1358" s="8" t="inlineStr">
        <is>
          <t>⏳ UPCOMING</t>
        </is>
      </c>
      <c r="I1358" s="11" t="inlineStr">
        <is>
          <t>BOQ_32630.xls</t>
        </is>
      </c>
      <c r="J1358" s="13" t="inlineStr">
        <is>
          <t>📊 Excel BOQ</t>
        </is>
      </c>
      <c r="K1358" s="15" t="n">
        <v>2.5</v>
      </c>
      <c r="L1358" s="16">
        <f>HYPERLINK("http://127.0.0.1:8000/api/documents/download?id=2121&amp;attachment=true", "⬇ Download BOQ_32630.xls")</f>
        <v/>
      </c>
      <c r="M1358" s="16">
        <f>HYPERLINK("http://localhost:5173/?state=Goa&amp;keyword=ICT&amp;tender=2026_COCP_32248_1", "🚀 Open in Portal")</f>
        <v/>
      </c>
    </row>
    <row r="1359" ht="24" customHeight="1">
      <c r="A1359" s="4" t="inlineStr">
        <is>
          <t>Goa</t>
        </is>
      </c>
      <c r="B1359" s="5" t="inlineStr">
        <is>
          <t>ICT</t>
        </is>
      </c>
      <c r="C1359" s="6" t="inlineStr">
        <is>
          <t>2026_COCP_32248_1</t>
        </is>
      </c>
      <c r="D1359" s="7" t="inlineStr">
        <is>
          <t>[Collection of Pay Parking fees from designated areas in Panaji City within the jurisdiction of CCP. List of designated areas are annexed at Annexure B Phase IV]</t>
        </is>
      </c>
      <c r="E1359" s="7" t="inlineStr">
        <is>
          <t>Goa Public Works &amp; Technology Department</t>
        </is>
      </c>
      <c r="F1359" s="6" t="inlineStr">
        <is>
          <t>24 Aug 2026</t>
        </is>
      </c>
      <c r="G1359" s="5" t="inlineStr">
        <is>
          <t>21 Sep 2026</t>
        </is>
      </c>
      <c r="H1359" s="8" t="inlineStr">
        <is>
          <t>⏳ UPCOMING</t>
        </is>
      </c>
      <c r="I1359" s="4" t="inlineStr">
        <is>
          <t>Tender_2026_COCP_32248_1_All_Documents.zip</t>
        </is>
      </c>
      <c r="J1359" s="6" t="inlineStr">
        <is>
          <t>📦 ZIP Package</t>
        </is>
      </c>
      <c r="K1359" s="9" t="n">
        <v>11.6</v>
      </c>
      <c r="L1359" s="10">
        <f>HYPERLINK("http://127.0.0.1:8000/api/documents/download?id=2122&amp;attachment=true", "⬇ Download Tender_2026_COCP_32248_1")</f>
        <v/>
      </c>
      <c r="M1359" s="10">
        <f>HYPERLINK("http://localhost:5173/?state=Goa&amp;keyword=ICT&amp;tender=2026_COCP_32248_1", "🚀 Open in Portal")</f>
        <v/>
      </c>
    </row>
    <row r="1360" ht="24" customHeight="1">
      <c r="A1360" s="11" t="inlineStr">
        <is>
          <t>Goa</t>
        </is>
      </c>
      <c r="B1360" s="12" t="inlineStr">
        <is>
          <t>ICT</t>
        </is>
      </c>
      <c r="C1360" s="13" t="inlineStr">
        <is>
          <t>2026_DDW_32306_1</t>
        </is>
      </c>
      <c r="D1360" s="14" t="inlineStr">
        <is>
          <t>[Maintenance of WSS at Sanguem Constituency Extension of water supply network in ward no 04 and ward no 10 in Sanguem Municipality jurisdiction in Sanguem Constituency in Sanguem Taluka.]</t>
        </is>
      </c>
      <c r="E1360" s="14" t="inlineStr">
        <is>
          <t>Goa Public Works &amp; Technology Department</t>
        </is>
      </c>
      <c r="F1360" s="13" t="inlineStr">
        <is>
          <t>26 Jul 2026</t>
        </is>
      </c>
      <c r="G1360" s="12" t="inlineStr">
        <is>
          <t>24 Aug 2026</t>
        </is>
      </c>
      <c r="H1360" s="8" t="inlineStr">
        <is>
          <t>⏳ UPCOMING</t>
        </is>
      </c>
      <c r="I1360" s="11" t="inlineStr">
        <is>
          <t>Tendernotice_1.pdf</t>
        </is>
      </c>
      <c r="J1360" s="13" t="inlineStr">
        <is>
          <t>📕 PDF Document</t>
        </is>
      </c>
      <c r="K1360" s="15" t="n">
        <v>17.8</v>
      </c>
      <c r="L1360" s="16">
        <f>HYPERLINK("http://127.0.0.1:8000/api/documents/download?id=2090&amp;attachment=true", "⬇ Download Tendernotice_1.pdf")</f>
        <v/>
      </c>
      <c r="M1360" s="16">
        <f>HYPERLINK("http://localhost:5173/?state=Goa&amp;keyword=ICT&amp;tender=2026_DDW_32306_1", "🚀 Open in Portal")</f>
        <v/>
      </c>
    </row>
    <row r="1361" ht="24" customHeight="1">
      <c r="A1361" s="4" t="inlineStr">
        <is>
          <t>Goa</t>
        </is>
      </c>
      <c r="B1361" s="5" t="inlineStr">
        <is>
          <t>ICT</t>
        </is>
      </c>
      <c r="C1361" s="6" t="inlineStr">
        <is>
          <t>2026_DDW_32306_1</t>
        </is>
      </c>
      <c r="D1361" s="7" t="inlineStr">
        <is>
          <t>[Maintenance of WSS at Sanguem Constituency Extension of water supply network in ward no 04 and ward no 10 in Sanguem Municipality jurisdiction in Sanguem Constituency in Sanguem Taluka.]</t>
        </is>
      </c>
      <c r="E1361" s="7" t="inlineStr">
        <is>
          <t>Goa Public Works &amp; Technology Department</t>
        </is>
      </c>
      <c r="F1361" s="6" t="inlineStr">
        <is>
          <t>26 Jul 2026</t>
        </is>
      </c>
      <c r="G1361" s="5" t="inlineStr">
        <is>
          <t>24 Aug 2026</t>
        </is>
      </c>
      <c r="H1361" s="8" t="inlineStr">
        <is>
          <t>⏳ UPCOMING</t>
        </is>
      </c>
      <c r="I1361" s="4" t="inlineStr">
        <is>
          <t>BOQ_32688.xls</t>
        </is>
      </c>
      <c r="J1361" s="6" t="inlineStr">
        <is>
          <t>📊 Excel BOQ</t>
        </is>
      </c>
      <c r="K1361" s="9" t="n">
        <v>2.5</v>
      </c>
      <c r="L1361" s="10">
        <f>HYPERLINK("http://127.0.0.1:8000/api/documents/download?id=2091&amp;attachment=true", "⬇ Download BOQ_32688.xls")</f>
        <v/>
      </c>
      <c r="M1361" s="10">
        <f>HYPERLINK("http://localhost:5173/?state=Goa&amp;keyword=ICT&amp;tender=2026_DDW_32306_1", "🚀 Open in Portal")</f>
        <v/>
      </c>
    </row>
    <row r="1362" ht="24" customHeight="1">
      <c r="A1362" s="11" t="inlineStr">
        <is>
          <t>Goa</t>
        </is>
      </c>
      <c r="B1362" s="12" t="inlineStr">
        <is>
          <t>ICT</t>
        </is>
      </c>
      <c r="C1362" s="13" t="inlineStr">
        <is>
          <t>2026_DDW_32306_1</t>
        </is>
      </c>
      <c r="D1362" s="14" t="inlineStr">
        <is>
          <t>[Maintenance of WSS at Sanguem Constituency Extension of water supply network in ward no 04 and ward no 10 in Sanguem Municipality jurisdiction in Sanguem Constituency in Sanguem Taluka.]</t>
        </is>
      </c>
      <c r="E1362" s="14" t="inlineStr">
        <is>
          <t>Goa Public Works &amp; Technology Department</t>
        </is>
      </c>
      <c r="F1362" s="13" t="inlineStr">
        <is>
          <t>26 Jul 2026</t>
        </is>
      </c>
      <c r="G1362" s="12" t="inlineStr">
        <is>
          <t>24 Aug 2026</t>
        </is>
      </c>
      <c r="H1362" s="8" t="inlineStr">
        <is>
          <t>⏳ UPCOMING</t>
        </is>
      </c>
      <c r="I1362" s="11" t="inlineStr">
        <is>
          <t>Tender_2026_DDW_32306_1_All_Documents.zip</t>
        </is>
      </c>
      <c r="J1362" s="13" t="inlineStr">
        <is>
          <t>📦 ZIP Package</t>
        </is>
      </c>
      <c r="K1362" s="15" t="n">
        <v>11.5</v>
      </c>
      <c r="L1362" s="16">
        <f>HYPERLINK("http://127.0.0.1:8000/api/documents/download?id=2092&amp;attachment=true", "⬇ Download Tender_2026_DDW_32306_1_")</f>
        <v/>
      </c>
      <c r="M1362" s="16">
        <f>HYPERLINK("http://localhost:5173/?state=Goa&amp;keyword=ICT&amp;tender=2026_DDW_32306_1", "🚀 Open in Portal")</f>
        <v/>
      </c>
    </row>
    <row r="1363" ht="24" customHeight="1">
      <c r="A1363" s="4" t="inlineStr">
        <is>
          <t>Goa</t>
        </is>
      </c>
      <c r="B1363" s="5" t="inlineStr">
        <is>
          <t>ICT</t>
        </is>
      </c>
      <c r="C1363" s="6" t="inlineStr">
        <is>
          <t>2026_ED_32050_1</t>
        </is>
      </c>
      <c r="D1363" s="7" t="inlineStr">
        <is>
          <t>[Work of providing of new 33KV bay and commissioning of new 20MVA 33/11KV Power Transformer No.1 at the 33/11KV Sancoale Substation under the jurisdiction of SD-II ( R), Div XI,Vasco.]</t>
        </is>
      </c>
      <c r="E1363" s="7" t="inlineStr">
        <is>
          <t>Goa Public Works &amp; Technology Department</t>
        </is>
      </c>
      <c r="F1363" s="6" t="inlineStr">
        <is>
          <t>09 Oct 2026</t>
        </is>
      </c>
      <c r="G1363" s="5" t="inlineStr">
        <is>
          <t>30 Oct 2026</t>
        </is>
      </c>
      <c r="H1363" s="17" t="inlineStr">
        <is>
          <t>🟢 LIVE ACTIVE</t>
        </is>
      </c>
      <c r="I1363" s="4" t="inlineStr">
        <is>
          <t>Tendernotice_1.pdf</t>
        </is>
      </c>
      <c r="J1363" s="6" t="inlineStr">
        <is>
          <t>📕 PDF Document</t>
        </is>
      </c>
      <c r="K1363" s="9" t="n">
        <v>17.8</v>
      </c>
      <c r="L1363" s="10">
        <f>HYPERLINK("http://127.0.0.1:8000/api/documents/download?id=2147&amp;attachment=true", "⬇ Download Tendernotice_1.pdf")</f>
        <v/>
      </c>
      <c r="M1363" s="10">
        <f>HYPERLINK("http://localhost:5173/?state=Goa&amp;keyword=ICT&amp;tender=2026_ED_32050_1", "🚀 Open in Portal")</f>
        <v/>
      </c>
    </row>
    <row r="1364" ht="24" customHeight="1">
      <c r="A1364" s="11" t="inlineStr">
        <is>
          <t>Goa</t>
        </is>
      </c>
      <c r="B1364" s="12" t="inlineStr">
        <is>
          <t>ICT</t>
        </is>
      </c>
      <c r="C1364" s="13" t="inlineStr">
        <is>
          <t>2026_ED_32050_1</t>
        </is>
      </c>
      <c r="D1364" s="14" t="inlineStr">
        <is>
          <t>[Work of providing of new 33KV bay and commissioning of new 20MVA 33/11KV Power Transformer No.1 at the 33/11KV Sancoale Substation under the jurisdiction of SD-II ( R), Div XI,Vasco.]</t>
        </is>
      </c>
      <c r="E1364" s="14" t="inlineStr">
        <is>
          <t>Goa Public Works &amp; Technology Department</t>
        </is>
      </c>
      <c r="F1364" s="13" t="inlineStr">
        <is>
          <t>09 Oct 2026</t>
        </is>
      </c>
      <c r="G1364" s="12" t="inlineStr">
        <is>
          <t>30 Oct 2026</t>
        </is>
      </c>
      <c r="H1364" s="17" t="inlineStr">
        <is>
          <t>🟢 LIVE ACTIVE</t>
        </is>
      </c>
      <c r="I1364" s="11" t="inlineStr">
        <is>
          <t>BOQ_32437.xls</t>
        </is>
      </c>
      <c r="J1364" s="13" t="inlineStr">
        <is>
          <t>📊 Excel BOQ</t>
        </is>
      </c>
      <c r="K1364" s="15" t="n">
        <v>2.5</v>
      </c>
      <c r="L1364" s="16">
        <f>HYPERLINK("http://127.0.0.1:8000/api/documents/download?id=2148&amp;attachment=true", "⬇ Download BOQ_32437.xls")</f>
        <v/>
      </c>
      <c r="M1364" s="16">
        <f>HYPERLINK("http://localhost:5173/?state=Goa&amp;keyword=ICT&amp;tender=2026_ED_32050_1", "🚀 Open in Portal")</f>
        <v/>
      </c>
    </row>
    <row r="1365" ht="24" customHeight="1">
      <c r="A1365" s="4" t="inlineStr">
        <is>
          <t>Goa</t>
        </is>
      </c>
      <c r="B1365" s="5" t="inlineStr">
        <is>
          <t>ICT</t>
        </is>
      </c>
      <c r="C1365" s="6" t="inlineStr">
        <is>
          <t>2026_ED_32050_1</t>
        </is>
      </c>
      <c r="D1365" s="7" t="inlineStr">
        <is>
          <t>[Work of providing of new 33KV bay and commissioning of new 20MVA 33/11KV Power Transformer No.1 at the 33/11KV Sancoale Substation under the jurisdiction of SD-II ( R), Div XI,Vasco.]</t>
        </is>
      </c>
      <c r="E1365" s="7" t="inlineStr">
        <is>
          <t>Goa Public Works &amp; Technology Department</t>
        </is>
      </c>
      <c r="F1365" s="6" t="inlineStr">
        <is>
          <t>09 Oct 2026</t>
        </is>
      </c>
      <c r="G1365" s="5" t="inlineStr">
        <is>
          <t>30 Oct 2026</t>
        </is>
      </c>
      <c r="H1365" s="17" t="inlineStr">
        <is>
          <t>🟢 LIVE ACTIVE</t>
        </is>
      </c>
      <c r="I1365" s="4" t="inlineStr">
        <is>
          <t>Tender_2026_ED_32050_1_All_Documents.zip</t>
        </is>
      </c>
      <c r="J1365" s="6" t="inlineStr">
        <is>
          <t>📦 ZIP Package</t>
        </is>
      </c>
      <c r="K1365" s="9" t="n">
        <v>11.5</v>
      </c>
      <c r="L1365" s="10">
        <f>HYPERLINK("http://127.0.0.1:8000/api/documents/download?id=2149&amp;attachment=true", "⬇ Download Tender_2026_ED_32050_1_A")</f>
        <v/>
      </c>
      <c r="M1365" s="10">
        <f>HYPERLINK("http://localhost:5173/?state=Goa&amp;keyword=ICT&amp;tender=2026_ED_32050_1", "🚀 Open in Portal")</f>
        <v/>
      </c>
    </row>
    <row r="1366" ht="24" customHeight="1">
      <c r="A1366" s="11" t="inlineStr">
        <is>
          <t>Goa</t>
        </is>
      </c>
      <c r="B1366" s="12" t="inlineStr">
        <is>
          <t>ICT</t>
        </is>
      </c>
      <c r="C1366" s="13" t="inlineStr">
        <is>
          <t>2026_ED_32178_1</t>
        </is>
      </c>
      <c r="D1366" s="14" t="inlineStr">
        <is>
          <t>[The work of providing streetlights near St. Mathews Church Azossim and surrounding areas for illumination of internal roads under the Jurisdiction of Sub Division III R Cujira Division I Panaji]</t>
        </is>
      </c>
      <c r="E1366" s="14" t="inlineStr">
        <is>
          <t>Goa Public Works &amp; Technology Department</t>
        </is>
      </c>
      <c r="F1366" s="13" t="inlineStr">
        <is>
          <t>25 Sep 2026</t>
        </is>
      </c>
      <c r="G1366" s="12" t="inlineStr">
        <is>
          <t>02 Nov 2026</t>
        </is>
      </c>
      <c r="H1366" s="17" t="inlineStr">
        <is>
          <t>🟢 LIVE ACTIVE</t>
        </is>
      </c>
      <c r="I1366" s="11" t="inlineStr">
        <is>
          <t>Tendernotice_1.pdf</t>
        </is>
      </c>
      <c r="J1366" s="13" t="inlineStr">
        <is>
          <t>📕 PDF Document</t>
        </is>
      </c>
      <c r="K1366" s="15" t="n">
        <v>17.8</v>
      </c>
      <c r="L1366" s="16">
        <f>HYPERLINK("http://127.0.0.1:8000/api/documents/download?id=2144&amp;attachment=true", "⬇ Download Tendernotice_1.pdf")</f>
        <v/>
      </c>
      <c r="M1366" s="16">
        <f>HYPERLINK("http://localhost:5173/?state=Goa&amp;keyword=ICT&amp;tender=2026_ED_32178_1", "🚀 Open in Portal")</f>
        <v/>
      </c>
    </row>
    <row r="1367" ht="24" customHeight="1">
      <c r="A1367" s="4" t="inlineStr">
        <is>
          <t>Goa</t>
        </is>
      </c>
      <c r="B1367" s="5" t="inlineStr">
        <is>
          <t>ICT</t>
        </is>
      </c>
      <c r="C1367" s="6" t="inlineStr">
        <is>
          <t>2026_ED_32178_1</t>
        </is>
      </c>
      <c r="D1367" s="7" t="inlineStr">
        <is>
          <t>[The work of providing streetlights near St. Mathews Church Azossim and surrounding areas for illumination of internal roads under the Jurisdiction of Sub Division III R Cujira Division I Panaji]</t>
        </is>
      </c>
      <c r="E1367" s="7" t="inlineStr">
        <is>
          <t>Goa Public Works &amp; Technology Department</t>
        </is>
      </c>
      <c r="F1367" s="6" t="inlineStr">
        <is>
          <t>25 Sep 2026</t>
        </is>
      </c>
      <c r="G1367" s="5" t="inlineStr">
        <is>
          <t>02 Nov 2026</t>
        </is>
      </c>
      <c r="H1367" s="17" t="inlineStr">
        <is>
          <t>🟢 LIVE ACTIVE</t>
        </is>
      </c>
      <c r="I1367" s="4" t="inlineStr">
        <is>
          <t>BOQ_32566.xls</t>
        </is>
      </c>
      <c r="J1367" s="6" t="inlineStr">
        <is>
          <t>📊 Excel BOQ</t>
        </is>
      </c>
      <c r="K1367" s="9" t="n">
        <v>2.5</v>
      </c>
      <c r="L1367" s="10">
        <f>HYPERLINK("http://127.0.0.1:8000/api/documents/download?id=2145&amp;attachment=true", "⬇ Download BOQ_32566.xls")</f>
        <v/>
      </c>
      <c r="M1367" s="10">
        <f>HYPERLINK("http://localhost:5173/?state=Goa&amp;keyword=ICT&amp;tender=2026_ED_32178_1", "🚀 Open in Portal")</f>
        <v/>
      </c>
    </row>
    <row r="1368" ht="24" customHeight="1">
      <c r="A1368" s="11" t="inlineStr">
        <is>
          <t>Goa</t>
        </is>
      </c>
      <c r="B1368" s="12" t="inlineStr">
        <is>
          <t>ICT</t>
        </is>
      </c>
      <c r="C1368" s="13" t="inlineStr">
        <is>
          <t>2026_ED_32178_1</t>
        </is>
      </c>
      <c r="D1368" s="14" t="inlineStr">
        <is>
          <t>[The work of providing streetlights near St. Mathews Church Azossim and surrounding areas for illumination of internal roads under the Jurisdiction of Sub Division III R Cujira Division I Panaji]</t>
        </is>
      </c>
      <c r="E1368" s="14" t="inlineStr">
        <is>
          <t>Goa Public Works &amp; Technology Department</t>
        </is>
      </c>
      <c r="F1368" s="13" t="inlineStr">
        <is>
          <t>25 Sep 2026</t>
        </is>
      </c>
      <c r="G1368" s="12" t="inlineStr">
        <is>
          <t>02 Nov 2026</t>
        </is>
      </c>
      <c r="H1368" s="17" t="inlineStr">
        <is>
          <t>🟢 LIVE ACTIVE</t>
        </is>
      </c>
      <c r="I1368" s="11" t="inlineStr">
        <is>
          <t>Tender_2026_ED_32178_1_All_Documents.zip</t>
        </is>
      </c>
      <c r="J1368" s="13" t="inlineStr">
        <is>
          <t>📦 ZIP Package</t>
        </is>
      </c>
      <c r="K1368" s="15" t="n">
        <v>11.5</v>
      </c>
      <c r="L1368" s="16">
        <f>HYPERLINK("http://127.0.0.1:8000/api/documents/download?id=2146&amp;attachment=true", "⬇ Download Tender_2026_ED_32178_1_A")</f>
        <v/>
      </c>
      <c r="M1368" s="16">
        <f>HYPERLINK("http://localhost:5173/?state=Goa&amp;keyword=ICT&amp;tender=2026_ED_32178_1", "🚀 Open in Portal")</f>
        <v/>
      </c>
    </row>
    <row r="1369" ht="24" customHeight="1">
      <c r="A1369" s="4" t="inlineStr">
        <is>
          <t>Goa</t>
        </is>
      </c>
      <c r="B1369" s="5" t="inlineStr">
        <is>
          <t>ICT</t>
        </is>
      </c>
      <c r="C1369" s="6" t="inlineStr">
        <is>
          <t>2026_ED_32187_1</t>
        </is>
      </c>
      <c r="D1369" s="7" t="inlineStr">
        <is>
          <t>[Tender for the work of conversion LT Overhead line to underground cable network at Handicap Institute Old Goa under the jurisdiction of Sub Div I Corlim Div I Panaji Goa]</t>
        </is>
      </c>
      <c r="E1369" s="7" t="inlineStr">
        <is>
          <t>Goa Public Works &amp; Technology Department</t>
        </is>
      </c>
      <c r="F1369" s="6" t="inlineStr">
        <is>
          <t>11 Sep 2026</t>
        </is>
      </c>
      <c r="G1369" s="5" t="inlineStr">
        <is>
          <t>03 Oct 2026</t>
        </is>
      </c>
      <c r="H1369" s="8" t="inlineStr">
        <is>
          <t>⏳ UPCOMING</t>
        </is>
      </c>
      <c r="I1369" s="4" t="inlineStr">
        <is>
          <t>Tendernotice_1.pdf</t>
        </is>
      </c>
      <c r="J1369" s="6" t="inlineStr">
        <is>
          <t>📕 PDF Document</t>
        </is>
      </c>
      <c r="K1369" s="9" t="n">
        <v>17.8</v>
      </c>
      <c r="L1369" s="10">
        <f>HYPERLINK("http://127.0.0.1:8000/api/documents/download?id=2141&amp;attachment=true", "⬇ Download Tendernotice_1.pdf")</f>
        <v/>
      </c>
      <c r="M1369" s="10">
        <f>HYPERLINK("http://localhost:5173/?state=Goa&amp;keyword=ICT&amp;tender=2026_ED_32187_1", "🚀 Open in Portal")</f>
        <v/>
      </c>
    </row>
    <row r="1370" ht="24" customHeight="1">
      <c r="A1370" s="11" t="inlineStr">
        <is>
          <t>Goa</t>
        </is>
      </c>
      <c r="B1370" s="12" t="inlineStr">
        <is>
          <t>ICT</t>
        </is>
      </c>
      <c r="C1370" s="13" t="inlineStr">
        <is>
          <t>2026_ED_32187_1</t>
        </is>
      </c>
      <c r="D1370" s="14" t="inlineStr">
        <is>
          <t>[Tender for the work of conversion LT Overhead line to underground cable network at Handicap Institute Old Goa under the jurisdiction of Sub Div I Corlim Div I Panaji Goa]</t>
        </is>
      </c>
      <c r="E1370" s="14" t="inlineStr">
        <is>
          <t>Goa Public Works &amp; Technology Department</t>
        </is>
      </c>
      <c r="F1370" s="13" t="inlineStr">
        <is>
          <t>11 Sep 2026</t>
        </is>
      </c>
      <c r="G1370" s="12" t="inlineStr">
        <is>
          <t>03 Oct 2026</t>
        </is>
      </c>
      <c r="H1370" s="8" t="inlineStr">
        <is>
          <t>⏳ UPCOMING</t>
        </is>
      </c>
      <c r="I1370" s="11" t="inlineStr">
        <is>
          <t>BOQ_32571.xls</t>
        </is>
      </c>
      <c r="J1370" s="13" t="inlineStr">
        <is>
          <t>📊 Excel BOQ</t>
        </is>
      </c>
      <c r="K1370" s="15" t="n">
        <v>2.5</v>
      </c>
      <c r="L1370" s="16">
        <f>HYPERLINK("http://127.0.0.1:8000/api/documents/download?id=2142&amp;attachment=true", "⬇ Download BOQ_32571.xls")</f>
        <v/>
      </c>
      <c r="M1370" s="16">
        <f>HYPERLINK("http://localhost:5173/?state=Goa&amp;keyword=ICT&amp;tender=2026_ED_32187_1", "🚀 Open in Portal")</f>
        <v/>
      </c>
    </row>
    <row r="1371" ht="24" customHeight="1">
      <c r="A1371" s="4" t="inlineStr">
        <is>
          <t>Goa</t>
        </is>
      </c>
      <c r="B1371" s="5" t="inlineStr">
        <is>
          <t>ICT</t>
        </is>
      </c>
      <c r="C1371" s="6" t="inlineStr">
        <is>
          <t>2026_ED_32187_1</t>
        </is>
      </c>
      <c r="D1371" s="7" t="inlineStr">
        <is>
          <t>[Tender for the work of conversion LT Overhead line to underground cable network at Handicap Institute Old Goa under the jurisdiction of Sub Div I Corlim Div I Panaji Goa]</t>
        </is>
      </c>
      <c r="E1371" s="7" t="inlineStr">
        <is>
          <t>Goa Public Works &amp; Technology Department</t>
        </is>
      </c>
      <c r="F1371" s="6" t="inlineStr">
        <is>
          <t>11 Sep 2026</t>
        </is>
      </c>
      <c r="G1371" s="5" t="inlineStr">
        <is>
          <t>03 Oct 2026</t>
        </is>
      </c>
      <c r="H1371" s="8" t="inlineStr">
        <is>
          <t>⏳ UPCOMING</t>
        </is>
      </c>
      <c r="I1371" s="4" t="inlineStr">
        <is>
          <t>Tender_2026_ED_32187_1_All_Documents.zip</t>
        </is>
      </c>
      <c r="J1371" s="6" t="inlineStr">
        <is>
          <t>📦 ZIP Package</t>
        </is>
      </c>
      <c r="K1371" s="9" t="n">
        <v>11.5</v>
      </c>
      <c r="L1371" s="10">
        <f>HYPERLINK("http://127.0.0.1:8000/api/documents/download?id=2143&amp;attachment=true", "⬇ Download Tender_2026_ED_32187_1_A")</f>
        <v/>
      </c>
      <c r="M1371" s="10">
        <f>HYPERLINK("http://localhost:5173/?state=Goa&amp;keyword=ICT&amp;tender=2026_ED_32187_1", "🚀 Open in Portal")</f>
        <v/>
      </c>
    </row>
    <row r="1372" ht="24" customHeight="1">
      <c r="A1372" s="11" t="inlineStr">
        <is>
          <t>Goa</t>
        </is>
      </c>
      <c r="B1372" s="12" t="inlineStr">
        <is>
          <t>ICT</t>
        </is>
      </c>
      <c r="C1372" s="13" t="inlineStr">
        <is>
          <t>2026_ED_32194_1</t>
        </is>
      </c>
      <c r="D1372" s="14" t="inlineStr">
        <is>
          <t>[Work of enchacement of 200 KVA Sapna Habitat DTC to 400 KVA in order to release 29 Nos of LTD service connection for a total load of 230 KW Sucorro Bardez Goa under the Jurisidiction of Sub Division II Porvorim Division VI Mapusa ]</t>
        </is>
      </c>
      <c r="E1372" s="14" t="inlineStr">
        <is>
          <t>Goa Public Works &amp; Technology Department</t>
        </is>
      </c>
      <c r="F1372" s="13" t="inlineStr">
        <is>
          <t>28 Aug 2026</t>
        </is>
      </c>
      <c r="G1372" s="12" t="inlineStr">
        <is>
          <t>27 Sep 2026</t>
        </is>
      </c>
      <c r="H1372" s="8" t="inlineStr">
        <is>
          <t>⏳ UPCOMING</t>
        </is>
      </c>
      <c r="I1372" s="11" t="inlineStr">
        <is>
          <t>Tendernotice_1.pdf</t>
        </is>
      </c>
      <c r="J1372" s="13" t="inlineStr">
        <is>
          <t>📕 PDF Document</t>
        </is>
      </c>
      <c r="K1372" s="15" t="n">
        <v>17.8</v>
      </c>
      <c r="L1372" s="16">
        <f>HYPERLINK("http://127.0.0.1:8000/api/documents/download?id=2138&amp;attachment=true", "⬇ Download Tendernotice_1.pdf")</f>
        <v/>
      </c>
      <c r="M1372" s="16">
        <f>HYPERLINK("http://localhost:5173/?state=Goa&amp;keyword=ICT&amp;tender=2026_ED_32194_1", "🚀 Open in Portal")</f>
        <v/>
      </c>
    </row>
    <row r="1373" ht="24" customHeight="1">
      <c r="A1373" s="4" t="inlineStr">
        <is>
          <t>Goa</t>
        </is>
      </c>
      <c r="B1373" s="5" t="inlineStr">
        <is>
          <t>ICT</t>
        </is>
      </c>
      <c r="C1373" s="6" t="inlineStr">
        <is>
          <t>2026_ED_32194_1</t>
        </is>
      </c>
      <c r="D1373" s="7" t="inlineStr">
        <is>
          <t>[Work of enchacement of 200 KVA Sapna Habitat DTC to 400 KVA in order to release 29 Nos of LTD service connection for a total load of 230 KW Sucorro Bardez Goa under the Jurisidiction of Sub Division II Porvorim Division VI Mapusa ]</t>
        </is>
      </c>
      <c r="E1373" s="7" t="inlineStr">
        <is>
          <t>Goa Public Works &amp; Technology Department</t>
        </is>
      </c>
      <c r="F1373" s="6" t="inlineStr">
        <is>
          <t>28 Aug 2026</t>
        </is>
      </c>
      <c r="G1373" s="5" t="inlineStr">
        <is>
          <t>27 Sep 2026</t>
        </is>
      </c>
      <c r="H1373" s="8" t="inlineStr">
        <is>
          <t>⏳ UPCOMING</t>
        </is>
      </c>
      <c r="I1373" s="4" t="inlineStr">
        <is>
          <t>BOQ_32576.xls</t>
        </is>
      </c>
      <c r="J1373" s="6" t="inlineStr">
        <is>
          <t>📊 Excel BOQ</t>
        </is>
      </c>
      <c r="K1373" s="9" t="n">
        <v>2.5</v>
      </c>
      <c r="L1373" s="10">
        <f>HYPERLINK("http://127.0.0.1:8000/api/documents/download?id=2139&amp;attachment=true", "⬇ Download BOQ_32576.xls")</f>
        <v/>
      </c>
      <c r="M1373" s="10">
        <f>HYPERLINK("http://localhost:5173/?state=Goa&amp;keyword=ICT&amp;tender=2026_ED_32194_1", "🚀 Open in Portal")</f>
        <v/>
      </c>
    </row>
    <row r="1374" ht="24" customHeight="1">
      <c r="A1374" s="11" t="inlineStr">
        <is>
          <t>Goa</t>
        </is>
      </c>
      <c r="B1374" s="12" t="inlineStr">
        <is>
          <t>ICT</t>
        </is>
      </c>
      <c r="C1374" s="13" t="inlineStr">
        <is>
          <t>2026_ED_32194_1</t>
        </is>
      </c>
      <c r="D1374" s="14" t="inlineStr">
        <is>
          <t>[Work of enchacement of 200 KVA Sapna Habitat DTC to 400 KVA in order to release 29 Nos of LTD service connection for a total load of 230 KW Sucorro Bardez Goa under the Jurisidiction of Sub Division II Porvorim Division VI Mapusa ]</t>
        </is>
      </c>
      <c r="E1374" s="14" t="inlineStr">
        <is>
          <t>Goa Public Works &amp; Technology Department</t>
        </is>
      </c>
      <c r="F1374" s="13" t="inlineStr">
        <is>
          <t>28 Aug 2026</t>
        </is>
      </c>
      <c r="G1374" s="12" t="inlineStr">
        <is>
          <t>27 Sep 2026</t>
        </is>
      </c>
      <c r="H1374" s="8" t="inlineStr">
        <is>
          <t>⏳ UPCOMING</t>
        </is>
      </c>
      <c r="I1374" s="11" t="inlineStr">
        <is>
          <t>Tender_2026_ED_32194_1_All_Documents.zip</t>
        </is>
      </c>
      <c r="J1374" s="13" t="inlineStr">
        <is>
          <t>📦 ZIP Package</t>
        </is>
      </c>
      <c r="K1374" s="15" t="n">
        <v>11.5</v>
      </c>
      <c r="L1374" s="16">
        <f>HYPERLINK("http://127.0.0.1:8000/api/documents/download?id=2140&amp;attachment=true", "⬇ Download Tender_2026_ED_32194_1_A")</f>
        <v/>
      </c>
      <c r="M1374" s="16">
        <f>HYPERLINK("http://localhost:5173/?state=Goa&amp;keyword=ICT&amp;tender=2026_ED_32194_1", "🚀 Open in Portal")</f>
        <v/>
      </c>
    </row>
    <row r="1375" ht="24" customHeight="1">
      <c r="A1375" s="4" t="inlineStr">
        <is>
          <t>Goa</t>
        </is>
      </c>
      <c r="B1375" s="5" t="inlineStr">
        <is>
          <t>ICT</t>
        </is>
      </c>
      <c r="C1375" s="6" t="inlineStr">
        <is>
          <t>2026_ED_32195_1</t>
        </is>
      </c>
      <c r="D1375" s="7" t="inlineStr">
        <is>
          <t>[Work of conversion of pole mounted 200 KVA Panchayat Distribution Transformer Centre to Plinth mounted DTC due to road widening of the road opposite Calangute Panchayat under the jurisdiction of Section Office Calangute Sub Division IV Calangute Divi]</t>
        </is>
      </c>
      <c r="E1375" s="7" t="inlineStr">
        <is>
          <t>Goa Public Works &amp; Technology Department</t>
        </is>
      </c>
      <c r="F1375" s="6" t="inlineStr">
        <is>
          <t>13 Aug 2026</t>
        </is>
      </c>
      <c r="G1375" s="5" t="inlineStr">
        <is>
          <t>12 Sep 2026</t>
        </is>
      </c>
      <c r="H1375" s="8" t="inlineStr">
        <is>
          <t>⏳ UPCOMING</t>
        </is>
      </c>
      <c r="I1375" s="4" t="inlineStr">
        <is>
          <t>Tendernotice_1.pdf</t>
        </is>
      </c>
      <c r="J1375" s="6" t="inlineStr">
        <is>
          <t>📕 PDF Document</t>
        </is>
      </c>
      <c r="K1375" s="9" t="n">
        <v>17.8</v>
      </c>
      <c r="L1375" s="10">
        <f>HYPERLINK("http://127.0.0.1:8000/api/documents/download?id=2135&amp;attachment=true", "⬇ Download Tendernotice_1.pdf")</f>
        <v/>
      </c>
      <c r="M1375" s="10">
        <f>HYPERLINK("http://localhost:5173/?state=Goa&amp;keyword=ICT&amp;tender=2026_ED_32195_1", "🚀 Open in Portal")</f>
        <v/>
      </c>
    </row>
    <row r="1376" ht="24" customHeight="1">
      <c r="A1376" s="11" t="inlineStr">
        <is>
          <t>Goa</t>
        </is>
      </c>
      <c r="B1376" s="12" t="inlineStr">
        <is>
          <t>ICT</t>
        </is>
      </c>
      <c r="C1376" s="13" t="inlineStr">
        <is>
          <t>2026_ED_32195_1</t>
        </is>
      </c>
      <c r="D1376" s="14" t="inlineStr">
        <is>
          <t>[Work of conversion of pole mounted 200 KVA Panchayat Distribution Transformer Centre to Plinth mounted DTC due to road widening of the road opposite Calangute Panchayat under the jurisdiction of Section Office Calangute Sub Division IV Calangute Divi]</t>
        </is>
      </c>
      <c r="E1376" s="14" t="inlineStr">
        <is>
          <t>Goa Public Works &amp; Technology Department</t>
        </is>
      </c>
      <c r="F1376" s="13" t="inlineStr">
        <is>
          <t>13 Aug 2026</t>
        </is>
      </c>
      <c r="G1376" s="12" t="inlineStr">
        <is>
          <t>12 Sep 2026</t>
        </is>
      </c>
      <c r="H1376" s="8" t="inlineStr">
        <is>
          <t>⏳ UPCOMING</t>
        </is>
      </c>
      <c r="I1376" s="11" t="inlineStr">
        <is>
          <t>BOQ_32578.xls</t>
        </is>
      </c>
      <c r="J1376" s="13" t="inlineStr">
        <is>
          <t>📊 Excel BOQ</t>
        </is>
      </c>
      <c r="K1376" s="15" t="n">
        <v>2.5</v>
      </c>
      <c r="L1376" s="16">
        <f>HYPERLINK("http://127.0.0.1:8000/api/documents/download?id=2136&amp;attachment=true", "⬇ Download BOQ_32578.xls")</f>
        <v/>
      </c>
      <c r="M1376" s="16">
        <f>HYPERLINK("http://localhost:5173/?state=Goa&amp;keyword=ICT&amp;tender=2026_ED_32195_1", "🚀 Open in Portal")</f>
        <v/>
      </c>
    </row>
    <row r="1377" ht="24" customHeight="1">
      <c r="A1377" s="4" t="inlineStr">
        <is>
          <t>Goa</t>
        </is>
      </c>
      <c r="B1377" s="5" t="inlineStr">
        <is>
          <t>ICT</t>
        </is>
      </c>
      <c r="C1377" s="6" t="inlineStr">
        <is>
          <t>2026_ED_32195_1</t>
        </is>
      </c>
      <c r="D1377" s="7" t="inlineStr">
        <is>
          <t>[Work of conversion of pole mounted 200 KVA Panchayat Distribution Transformer Centre to Plinth mounted DTC due to road widening of the road opposite Calangute Panchayat under the jurisdiction of Section Office Calangute Sub Division IV Calangute Divi]</t>
        </is>
      </c>
      <c r="E1377" s="7" t="inlineStr">
        <is>
          <t>Goa Public Works &amp; Technology Department</t>
        </is>
      </c>
      <c r="F1377" s="6" t="inlineStr">
        <is>
          <t>13 Aug 2026</t>
        </is>
      </c>
      <c r="G1377" s="5" t="inlineStr">
        <is>
          <t>12 Sep 2026</t>
        </is>
      </c>
      <c r="H1377" s="8" t="inlineStr">
        <is>
          <t>⏳ UPCOMING</t>
        </is>
      </c>
      <c r="I1377" s="4" t="inlineStr">
        <is>
          <t>Tender_2026_ED_32195_1_All_Documents.zip</t>
        </is>
      </c>
      <c r="J1377" s="6" t="inlineStr">
        <is>
          <t>📦 ZIP Package</t>
        </is>
      </c>
      <c r="K1377" s="9" t="n">
        <v>11.6</v>
      </c>
      <c r="L1377" s="10">
        <f>HYPERLINK("http://127.0.0.1:8000/api/documents/download?id=2137&amp;attachment=true", "⬇ Download Tender_2026_ED_32195_1_A")</f>
        <v/>
      </c>
      <c r="M1377" s="10">
        <f>HYPERLINK("http://localhost:5173/?state=Goa&amp;keyword=ICT&amp;tender=2026_ED_32195_1", "🚀 Open in Portal")</f>
        <v/>
      </c>
    </row>
    <row r="1378" ht="24" customHeight="1">
      <c r="A1378" s="11" t="inlineStr">
        <is>
          <t>Goa</t>
        </is>
      </c>
      <c r="B1378" s="12" t="inlineStr">
        <is>
          <t>ICT</t>
        </is>
      </c>
      <c r="C1378" s="13" t="inlineStr">
        <is>
          <t>2026_ED_32253_1</t>
        </is>
      </c>
      <c r="D1378" s="14" t="inlineStr">
        <is>
          <t>[Work of replacemnt of old oil type RMU for DTCs under the Jurisdictionof Secction office Baga ,in Sub Division IV, Calangute ,under the Jurisdiction of Division VI Mapusa]</t>
        </is>
      </c>
      <c r="E1378" s="14" t="inlineStr">
        <is>
          <t>Goa Public Works &amp; Technology Department</t>
        </is>
      </c>
      <c r="F1378" s="13" t="inlineStr">
        <is>
          <t>01 Oct 2026</t>
        </is>
      </c>
      <c r="G1378" s="12" t="inlineStr">
        <is>
          <t>14 Nov 2026</t>
        </is>
      </c>
      <c r="H1378" s="17" t="inlineStr">
        <is>
          <t>🟢 LIVE ACTIVE</t>
        </is>
      </c>
      <c r="I1378" s="11" t="inlineStr">
        <is>
          <t>Tendernotice_1.pdf</t>
        </is>
      </c>
      <c r="J1378" s="13" t="inlineStr">
        <is>
          <t>📕 PDF Document</t>
        </is>
      </c>
      <c r="K1378" s="15" t="n">
        <v>17.8</v>
      </c>
      <c r="L1378" s="16">
        <f>HYPERLINK("http://127.0.0.1:8000/api/documents/download?id=2108&amp;attachment=true", "⬇ Download Tendernotice_1.pdf")</f>
        <v/>
      </c>
      <c r="M1378" s="16">
        <f>HYPERLINK("http://localhost:5173/?state=Goa&amp;keyword=ICT&amp;tender=2026_ED_32253_1", "🚀 Open in Portal")</f>
        <v/>
      </c>
    </row>
    <row r="1379" ht="24" customHeight="1">
      <c r="A1379" s="4" t="inlineStr">
        <is>
          <t>Goa</t>
        </is>
      </c>
      <c r="B1379" s="5" t="inlineStr">
        <is>
          <t>ICT</t>
        </is>
      </c>
      <c r="C1379" s="6" t="inlineStr">
        <is>
          <t>2026_ED_32253_1</t>
        </is>
      </c>
      <c r="D1379" s="7" t="inlineStr">
        <is>
          <t>[Work of replacemnt of old oil type RMU for DTCs under the Jurisdictionof Secction office Baga ,in Sub Division IV, Calangute ,under the Jurisdiction of Division VI Mapusa]</t>
        </is>
      </c>
      <c r="E1379" s="7" t="inlineStr">
        <is>
          <t>Goa Public Works &amp; Technology Department</t>
        </is>
      </c>
      <c r="F1379" s="6" t="inlineStr">
        <is>
          <t>01 Oct 2026</t>
        </is>
      </c>
      <c r="G1379" s="5" t="inlineStr">
        <is>
          <t>14 Nov 2026</t>
        </is>
      </c>
      <c r="H1379" s="17" t="inlineStr">
        <is>
          <t>🟢 LIVE ACTIVE</t>
        </is>
      </c>
      <c r="I1379" s="4" t="inlineStr">
        <is>
          <t>BOQ_32634.xls</t>
        </is>
      </c>
      <c r="J1379" s="6" t="inlineStr">
        <is>
          <t>📊 Excel BOQ</t>
        </is>
      </c>
      <c r="K1379" s="9" t="n">
        <v>2.5</v>
      </c>
      <c r="L1379" s="10">
        <f>HYPERLINK("http://127.0.0.1:8000/api/documents/download?id=2109&amp;attachment=true", "⬇ Download BOQ_32634.xls")</f>
        <v/>
      </c>
      <c r="M1379" s="10">
        <f>HYPERLINK("http://localhost:5173/?state=Goa&amp;keyword=ICT&amp;tender=2026_ED_32253_1", "🚀 Open in Portal")</f>
        <v/>
      </c>
    </row>
    <row r="1380" ht="24" customHeight="1">
      <c r="A1380" s="11" t="inlineStr">
        <is>
          <t>Goa</t>
        </is>
      </c>
      <c r="B1380" s="12" t="inlineStr">
        <is>
          <t>ICT</t>
        </is>
      </c>
      <c r="C1380" s="13" t="inlineStr">
        <is>
          <t>2026_ED_32253_1</t>
        </is>
      </c>
      <c r="D1380" s="14" t="inlineStr">
        <is>
          <t>[Work of replacemnt of old oil type RMU for DTCs under the Jurisdictionof Secction office Baga ,in Sub Division IV, Calangute ,under the Jurisdiction of Division VI Mapusa]</t>
        </is>
      </c>
      <c r="E1380" s="14" t="inlineStr">
        <is>
          <t>Goa Public Works &amp; Technology Department</t>
        </is>
      </c>
      <c r="F1380" s="13" t="inlineStr">
        <is>
          <t>01 Oct 2026</t>
        </is>
      </c>
      <c r="G1380" s="12" t="inlineStr">
        <is>
          <t>14 Nov 2026</t>
        </is>
      </c>
      <c r="H1380" s="17" t="inlineStr">
        <is>
          <t>🟢 LIVE ACTIVE</t>
        </is>
      </c>
      <c r="I1380" s="11" t="inlineStr">
        <is>
          <t>Tender_2026_ED_32253_1_All_Documents.zip</t>
        </is>
      </c>
      <c r="J1380" s="13" t="inlineStr">
        <is>
          <t>📦 ZIP Package</t>
        </is>
      </c>
      <c r="K1380" s="15" t="n">
        <v>11.6</v>
      </c>
      <c r="L1380" s="16">
        <f>HYPERLINK("http://127.0.0.1:8000/api/documents/download?id=2110&amp;attachment=true", "⬇ Download Tender_2026_ED_32253_1_A")</f>
        <v/>
      </c>
      <c r="M1380" s="16">
        <f>HYPERLINK("http://localhost:5173/?state=Goa&amp;keyword=ICT&amp;tender=2026_ED_32253_1", "🚀 Open in Portal")</f>
        <v/>
      </c>
    </row>
    <row r="1381" ht="24" customHeight="1">
      <c r="A1381" s="4" t="inlineStr">
        <is>
          <t>Goa</t>
        </is>
      </c>
      <c r="B1381" s="5" t="inlineStr">
        <is>
          <t>ICT</t>
        </is>
      </c>
      <c r="C1381" s="6" t="inlineStr">
        <is>
          <t>2026_ED_32279_1</t>
        </is>
      </c>
      <c r="D1381" s="7" t="inlineStr">
        <is>
          <t>[Work of construction of new control room with indoor panels at 33by11KV Quinamol Substation under the jurisdiction of Elect. Sub Div-II, Quepem Division-VII, Curchorem]</t>
        </is>
      </c>
      <c r="E1381" s="7" t="inlineStr">
        <is>
          <t>Goa Public Works &amp; Technology Department</t>
        </is>
      </c>
      <c r="F1381" s="6" t="inlineStr">
        <is>
          <t>21 Sep 2026</t>
        </is>
      </c>
      <c r="G1381" s="5" t="inlineStr">
        <is>
          <t>19 Oct 2026</t>
        </is>
      </c>
      <c r="H1381" s="8" t="inlineStr">
        <is>
          <t>⏳ UPCOMING</t>
        </is>
      </c>
      <c r="I1381" s="4" t="inlineStr">
        <is>
          <t>Tendernotice_1.pdf</t>
        </is>
      </c>
      <c r="J1381" s="6" t="inlineStr">
        <is>
          <t>📕 PDF Document</t>
        </is>
      </c>
      <c r="K1381" s="9" t="n">
        <v>17.8</v>
      </c>
      <c r="L1381" s="10">
        <f>HYPERLINK("http://127.0.0.1:8000/api/documents/download?id=2096&amp;attachment=true", "⬇ Download Tendernotice_1.pdf")</f>
        <v/>
      </c>
      <c r="M1381" s="10">
        <f>HYPERLINK("http://localhost:5173/?state=Goa&amp;keyword=ICT&amp;tender=2026_ED_32279_1", "🚀 Open in Portal")</f>
        <v/>
      </c>
    </row>
    <row r="1382" ht="24" customHeight="1">
      <c r="A1382" s="11" t="inlineStr">
        <is>
          <t>Goa</t>
        </is>
      </c>
      <c r="B1382" s="12" t="inlineStr">
        <is>
          <t>ICT</t>
        </is>
      </c>
      <c r="C1382" s="13" t="inlineStr">
        <is>
          <t>2026_ED_32279_1</t>
        </is>
      </c>
      <c r="D1382" s="14" t="inlineStr">
        <is>
          <t>[Work of construction of new control room with indoor panels at 33by11KV Quinamol Substation under the jurisdiction of Elect. Sub Div-II, Quepem Division-VII, Curchorem]</t>
        </is>
      </c>
      <c r="E1382" s="14" t="inlineStr">
        <is>
          <t>Goa Public Works &amp; Technology Department</t>
        </is>
      </c>
      <c r="F1382" s="13" t="inlineStr">
        <is>
          <t>21 Sep 2026</t>
        </is>
      </c>
      <c r="G1382" s="12" t="inlineStr">
        <is>
          <t>19 Oct 2026</t>
        </is>
      </c>
      <c r="H1382" s="8" t="inlineStr">
        <is>
          <t>⏳ UPCOMING</t>
        </is>
      </c>
      <c r="I1382" s="11" t="inlineStr">
        <is>
          <t>BOQ_32660.xls</t>
        </is>
      </c>
      <c r="J1382" s="13" t="inlineStr">
        <is>
          <t>📊 Excel BOQ</t>
        </is>
      </c>
      <c r="K1382" s="15" t="n">
        <v>2.5</v>
      </c>
      <c r="L1382" s="16">
        <f>HYPERLINK("http://127.0.0.1:8000/api/documents/download?id=2097&amp;attachment=true", "⬇ Download BOQ_32660.xls")</f>
        <v/>
      </c>
      <c r="M1382" s="16">
        <f>HYPERLINK("http://localhost:5173/?state=Goa&amp;keyword=ICT&amp;tender=2026_ED_32279_1", "🚀 Open in Portal")</f>
        <v/>
      </c>
    </row>
    <row r="1383" ht="24" customHeight="1">
      <c r="A1383" s="4" t="inlineStr">
        <is>
          <t>Goa</t>
        </is>
      </c>
      <c r="B1383" s="5" t="inlineStr">
        <is>
          <t>ICT</t>
        </is>
      </c>
      <c r="C1383" s="6" t="inlineStr">
        <is>
          <t>2026_ED_32279_1</t>
        </is>
      </c>
      <c r="D1383" s="7" t="inlineStr">
        <is>
          <t>[Work of construction of new control room with indoor panels at 33by11KV Quinamol Substation under the jurisdiction of Elect. Sub Div-II, Quepem Division-VII, Curchorem]</t>
        </is>
      </c>
      <c r="E1383" s="7" t="inlineStr">
        <is>
          <t>Goa Public Works &amp; Technology Department</t>
        </is>
      </c>
      <c r="F1383" s="6" t="inlineStr">
        <is>
          <t>21 Sep 2026</t>
        </is>
      </c>
      <c r="G1383" s="5" t="inlineStr">
        <is>
          <t>19 Oct 2026</t>
        </is>
      </c>
      <c r="H1383" s="8" t="inlineStr">
        <is>
          <t>⏳ UPCOMING</t>
        </is>
      </c>
      <c r="I1383" s="4" t="inlineStr">
        <is>
          <t>Tender_2026_ED_32279_1_All_Documents.zip</t>
        </is>
      </c>
      <c r="J1383" s="6" t="inlineStr">
        <is>
          <t>📦 ZIP Package</t>
        </is>
      </c>
      <c r="K1383" s="9" t="n">
        <v>11.5</v>
      </c>
      <c r="L1383" s="10">
        <f>HYPERLINK("http://127.0.0.1:8000/api/documents/download?id=2098&amp;attachment=true", "⬇ Download Tender_2026_ED_32279_1_A")</f>
        <v/>
      </c>
      <c r="M1383" s="10">
        <f>HYPERLINK("http://localhost:5173/?state=Goa&amp;keyword=ICT&amp;tender=2026_ED_32279_1", "🚀 Open in Portal")</f>
        <v/>
      </c>
    </row>
    <row r="1384" ht="24" customHeight="1">
      <c r="A1384" s="11" t="inlineStr">
        <is>
          <t>Goa</t>
        </is>
      </c>
      <c r="B1384" s="12" t="inlineStr">
        <is>
          <t>ICT</t>
        </is>
      </c>
      <c r="C1384" s="13" t="inlineStr">
        <is>
          <t>2026_GSUDA_32254_1</t>
        </is>
      </c>
      <c r="D1384" s="14" t="inlineStr">
        <is>
          <t>[Beautification, Illumination of road and footpath at ward no. 01 to 11 in Village Panchayat Usgao-Ganjem Jurisdiction. Phase II]</t>
        </is>
      </c>
      <c r="E1384" s="14" t="inlineStr">
        <is>
          <t>Goa Public Works &amp; Technology Department</t>
        </is>
      </c>
      <c r="F1384" s="13" t="inlineStr">
        <is>
          <t>09 Sep 2026</t>
        </is>
      </c>
      <c r="G1384" s="12" t="inlineStr">
        <is>
          <t>01 Oct 2026</t>
        </is>
      </c>
      <c r="H1384" s="8" t="inlineStr">
        <is>
          <t>⏳ UPCOMING</t>
        </is>
      </c>
      <c r="I1384" s="11" t="inlineStr">
        <is>
          <t>Tendernotice_1.pdf</t>
        </is>
      </c>
      <c r="J1384" s="13" t="inlineStr">
        <is>
          <t>📕 PDF Document</t>
        </is>
      </c>
      <c r="K1384" s="15" t="n">
        <v>17.8</v>
      </c>
      <c r="L1384" s="16">
        <f>HYPERLINK("http://127.0.0.1:8000/api/documents/download?id=2105&amp;attachment=true", "⬇ Download Tendernotice_1.pdf")</f>
        <v/>
      </c>
      <c r="M1384" s="16">
        <f>HYPERLINK("http://localhost:5173/?state=Goa&amp;keyword=ICT&amp;tender=2026_GSUDA_32254_1", "🚀 Open in Portal")</f>
        <v/>
      </c>
    </row>
    <row r="1385" ht="24" customHeight="1">
      <c r="A1385" s="4" t="inlineStr">
        <is>
          <t>Goa</t>
        </is>
      </c>
      <c r="B1385" s="5" t="inlineStr">
        <is>
          <t>ICT</t>
        </is>
      </c>
      <c r="C1385" s="6" t="inlineStr">
        <is>
          <t>2026_GSUDA_32254_1</t>
        </is>
      </c>
      <c r="D1385" s="7" t="inlineStr">
        <is>
          <t>[Beautification, Illumination of road and footpath at ward no. 01 to 11 in Village Panchayat Usgao-Ganjem Jurisdiction. Phase II]</t>
        </is>
      </c>
      <c r="E1385" s="7" t="inlineStr">
        <is>
          <t>Goa Public Works &amp; Technology Department</t>
        </is>
      </c>
      <c r="F1385" s="6" t="inlineStr">
        <is>
          <t>09 Sep 2026</t>
        </is>
      </c>
      <c r="G1385" s="5" t="inlineStr">
        <is>
          <t>01 Oct 2026</t>
        </is>
      </c>
      <c r="H1385" s="8" t="inlineStr">
        <is>
          <t>⏳ UPCOMING</t>
        </is>
      </c>
      <c r="I1385" s="4" t="inlineStr">
        <is>
          <t>BOQ_32636.xls</t>
        </is>
      </c>
      <c r="J1385" s="6" t="inlineStr">
        <is>
          <t>📊 Excel BOQ</t>
        </is>
      </c>
      <c r="K1385" s="9" t="n">
        <v>2.5</v>
      </c>
      <c r="L1385" s="10">
        <f>HYPERLINK("http://127.0.0.1:8000/api/documents/download?id=2106&amp;attachment=true", "⬇ Download BOQ_32636.xls")</f>
        <v/>
      </c>
      <c r="M1385" s="10">
        <f>HYPERLINK("http://localhost:5173/?state=Goa&amp;keyword=ICT&amp;tender=2026_GSUDA_32254_1", "🚀 Open in Portal")</f>
        <v/>
      </c>
    </row>
    <row r="1386" ht="24" customHeight="1">
      <c r="A1386" s="11" t="inlineStr">
        <is>
          <t>Goa</t>
        </is>
      </c>
      <c r="B1386" s="12" t="inlineStr">
        <is>
          <t>ICT</t>
        </is>
      </c>
      <c r="C1386" s="13" t="inlineStr">
        <is>
          <t>2026_GSUDA_32254_1</t>
        </is>
      </c>
      <c r="D1386" s="14" t="inlineStr">
        <is>
          <t>[Beautification, Illumination of road and footpath at ward no. 01 to 11 in Village Panchayat Usgao-Ganjem Jurisdiction. Phase II]</t>
        </is>
      </c>
      <c r="E1386" s="14" t="inlineStr">
        <is>
          <t>Goa Public Works &amp; Technology Department</t>
        </is>
      </c>
      <c r="F1386" s="13" t="inlineStr">
        <is>
          <t>09 Sep 2026</t>
        </is>
      </c>
      <c r="G1386" s="12" t="inlineStr">
        <is>
          <t>01 Oct 2026</t>
        </is>
      </c>
      <c r="H1386" s="8" t="inlineStr">
        <is>
          <t>⏳ UPCOMING</t>
        </is>
      </c>
      <c r="I1386" s="11" t="inlineStr">
        <is>
          <t>Tender_2026_GSUDA_32254_1_All_Documents.zip</t>
        </is>
      </c>
      <c r="J1386" s="13" t="inlineStr">
        <is>
          <t>📦 ZIP Package</t>
        </is>
      </c>
      <c r="K1386" s="15" t="n">
        <v>11.5</v>
      </c>
      <c r="L1386" s="16">
        <f>HYPERLINK("http://127.0.0.1:8000/api/documents/download?id=2107&amp;attachment=true", "⬇ Download Tender_2026_GSUDA_32254_")</f>
        <v/>
      </c>
      <c r="M1386" s="16">
        <f>HYPERLINK("http://localhost:5173/?state=Goa&amp;keyword=ICT&amp;tender=2026_GSUDA_32254_1", "🚀 Open in Portal")</f>
        <v/>
      </c>
    </row>
    <row r="1387" ht="24" customHeight="1">
      <c r="A1387" s="4" t="inlineStr">
        <is>
          <t>Goa</t>
        </is>
      </c>
      <c r="B1387" s="5" t="inlineStr">
        <is>
          <t>ICT</t>
        </is>
      </c>
      <c r="C1387" s="6" t="inlineStr">
        <is>
          <t>2026_MC_32236_1</t>
        </is>
      </c>
      <c r="D1387" s="7" t="inlineStr">
        <is>
          <t>[Engaging of 15 daily wages sanitation workers for activities such as sweeping, cleaning of drains, road cleaning, collection and handling of Municipal Solid Waste and other allied sanitation work for 180 days within the jurisdiction of MMC]</t>
        </is>
      </c>
      <c r="E1387" s="7" t="inlineStr">
        <is>
          <t>Goa Public Works &amp; Technology Department</t>
        </is>
      </c>
      <c r="F1387" s="6" t="inlineStr">
        <is>
          <t>25 Sep 2026</t>
        </is>
      </c>
      <c r="G1387" s="5" t="inlineStr">
        <is>
          <t>24 Oct 2026</t>
        </is>
      </c>
      <c r="H1387" s="17" t="inlineStr">
        <is>
          <t>🟢 LIVE ACTIVE</t>
        </is>
      </c>
      <c r="I1387" s="4" t="inlineStr">
        <is>
          <t>Tendernotice_1.pdf</t>
        </is>
      </c>
      <c r="J1387" s="6" t="inlineStr">
        <is>
          <t>📕 PDF Document</t>
        </is>
      </c>
      <c r="K1387" s="9" t="n">
        <v>17.8</v>
      </c>
      <c r="L1387" s="10">
        <f>HYPERLINK("http://127.0.0.1:8000/api/documents/download?id=2126&amp;attachment=true", "⬇ Download Tendernotice_1.pdf")</f>
        <v/>
      </c>
      <c r="M1387" s="10">
        <f>HYPERLINK("http://localhost:5173/?state=Goa&amp;keyword=ICT&amp;tender=2026_MC_32236_1", "🚀 Open in Portal")</f>
        <v/>
      </c>
    </row>
    <row r="1388" ht="24" customHeight="1">
      <c r="A1388" s="11" t="inlineStr">
        <is>
          <t>Goa</t>
        </is>
      </c>
      <c r="B1388" s="12" t="inlineStr">
        <is>
          <t>ICT</t>
        </is>
      </c>
      <c r="C1388" s="13" t="inlineStr">
        <is>
          <t>2026_MC_32236_1</t>
        </is>
      </c>
      <c r="D1388" s="14" t="inlineStr">
        <is>
          <t>[Engaging of 15 daily wages sanitation workers for activities such as sweeping, cleaning of drains, road cleaning, collection and handling of Municipal Solid Waste and other allied sanitation work for 180 days within the jurisdiction of MMC]</t>
        </is>
      </c>
      <c r="E1388" s="14" t="inlineStr">
        <is>
          <t>Goa Public Works &amp; Technology Department</t>
        </is>
      </c>
      <c r="F1388" s="13" t="inlineStr">
        <is>
          <t>25 Sep 2026</t>
        </is>
      </c>
      <c r="G1388" s="12" t="inlineStr">
        <is>
          <t>24 Oct 2026</t>
        </is>
      </c>
      <c r="H1388" s="17" t="inlineStr">
        <is>
          <t>🟢 LIVE ACTIVE</t>
        </is>
      </c>
      <c r="I1388" s="11" t="inlineStr">
        <is>
          <t>BOQ_32619.xls</t>
        </is>
      </c>
      <c r="J1388" s="13" t="inlineStr">
        <is>
          <t>📊 Excel BOQ</t>
        </is>
      </c>
      <c r="K1388" s="15" t="n">
        <v>2.5</v>
      </c>
      <c r="L1388" s="16">
        <f>HYPERLINK("http://127.0.0.1:8000/api/documents/download?id=2127&amp;attachment=true", "⬇ Download BOQ_32619.xls")</f>
        <v/>
      </c>
      <c r="M1388" s="16">
        <f>HYPERLINK("http://localhost:5173/?state=Goa&amp;keyword=ICT&amp;tender=2026_MC_32236_1", "🚀 Open in Portal")</f>
        <v/>
      </c>
    </row>
    <row r="1389" ht="24" customHeight="1">
      <c r="A1389" s="4" t="inlineStr">
        <is>
          <t>Goa</t>
        </is>
      </c>
      <c r="B1389" s="5" t="inlineStr">
        <is>
          <t>ICT</t>
        </is>
      </c>
      <c r="C1389" s="6" t="inlineStr">
        <is>
          <t>2026_MC_32236_1</t>
        </is>
      </c>
      <c r="D1389" s="7" t="inlineStr">
        <is>
          <t>[Engaging of 15 daily wages sanitation workers for activities such as sweeping, cleaning of drains, road cleaning, collection and handling of Municipal Solid Waste and other allied sanitation work for 180 days within the jurisdiction of MMC]</t>
        </is>
      </c>
      <c r="E1389" s="7" t="inlineStr">
        <is>
          <t>Goa Public Works &amp; Technology Department</t>
        </is>
      </c>
      <c r="F1389" s="6" t="inlineStr">
        <is>
          <t>25 Sep 2026</t>
        </is>
      </c>
      <c r="G1389" s="5" t="inlineStr">
        <is>
          <t>24 Oct 2026</t>
        </is>
      </c>
      <c r="H1389" s="17" t="inlineStr">
        <is>
          <t>🟢 LIVE ACTIVE</t>
        </is>
      </c>
      <c r="I1389" s="4" t="inlineStr">
        <is>
          <t>Tender_2026_MC_32236_1_All_Documents.zip</t>
        </is>
      </c>
      <c r="J1389" s="6" t="inlineStr">
        <is>
          <t>📦 ZIP Package</t>
        </is>
      </c>
      <c r="K1389" s="9" t="n">
        <v>11.6</v>
      </c>
      <c r="L1389" s="10">
        <f>HYPERLINK("http://127.0.0.1:8000/api/documents/download?id=2128&amp;attachment=true", "⬇ Download Tender_2026_MC_32236_1_A")</f>
        <v/>
      </c>
      <c r="M1389" s="10">
        <f>HYPERLINK("http://localhost:5173/?state=Goa&amp;keyword=ICT&amp;tender=2026_MC_32236_1", "🚀 Open in Portal")</f>
        <v/>
      </c>
    </row>
    <row r="1390" ht="24" customHeight="1">
      <c r="A1390" s="11" t="inlineStr">
        <is>
          <t>Goa</t>
        </is>
      </c>
      <c r="B1390" s="12" t="inlineStr">
        <is>
          <t>ICT</t>
        </is>
      </c>
      <c r="C1390" s="13" t="inlineStr">
        <is>
          <t>2026_PWD_32217_1</t>
        </is>
      </c>
      <c r="D1390" s="14" t="inlineStr">
        <is>
          <t>[Supply, installation, testing and Commissioning of Air conditioners in the District and sessions court and Annexe Building South Goa , Margao]</t>
        </is>
      </c>
      <c r="E1390" s="14" t="inlineStr">
        <is>
          <t>Goa Public Works &amp; Technology Department</t>
        </is>
      </c>
      <c r="F1390" s="13" t="inlineStr">
        <is>
          <t>08 Aug 2026</t>
        </is>
      </c>
      <c r="G1390" s="12" t="inlineStr">
        <is>
          <t>05 Sep 2026</t>
        </is>
      </c>
      <c r="H1390" s="8" t="inlineStr">
        <is>
          <t>⏳ UPCOMING</t>
        </is>
      </c>
      <c r="I1390" s="11" t="inlineStr">
        <is>
          <t>Tendernotice_1.pdf</t>
        </is>
      </c>
      <c r="J1390" s="13" t="inlineStr">
        <is>
          <t>📕 PDF Document</t>
        </is>
      </c>
      <c r="K1390" s="15" t="n">
        <v>17.8</v>
      </c>
      <c r="L1390" s="16">
        <f>HYPERLINK("http://127.0.0.1:8000/api/documents/download?id=2117&amp;attachment=true", "⬇ Download Tendernotice_1.pdf")</f>
        <v/>
      </c>
      <c r="M1390" s="16">
        <f>HYPERLINK("http://localhost:5173/?state=Goa&amp;keyword=ICT&amp;tender=2026_PWD_32217_1", "🚀 Open in Portal")</f>
        <v/>
      </c>
    </row>
    <row r="1391" ht="24" customHeight="1">
      <c r="A1391" s="4" t="inlineStr">
        <is>
          <t>Goa</t>
        </is>
      </c>
      <c r="B1391" s="5" t="inlineStr">
        <is>
          <t>ICT</t>
        </is>
      </c>
      <c r="C1391" s="6" t="inlineStr">
        <is>
          <t>2026_PWD_32217_1</t>
        </is>
      </c>
      <c r="D1391" s="7" t="inlineStr">
        <is>
          <t>[Supply, installation, testing and Commissioning of Air conditioners in the District and sessions court and Annexe Building South Goa , Margao]</t>
        </is>
      </c>
      <c r="E1391" s="7" t="inlineStr">
        <is>
          <t>Goa Public Works &amp; Technology Department</t>
        </is>
      </c>
      <c r="F1391" s="6" t="inlineStr">
        <is>
          <t>08 Aug 2026</t>
        </is>
      </c>
      <c r="G1391" s="5" t="inlineStr">
        <is>
          <t>05 Sep 2026</t>
        </is>
      </c>
      <c r="H1391" s="8" t="inlineStr">
        <is>
          <t>⏳ UPCOMING</t>
        </is>
      </c>
      <c r="I1391" s="4" t="inlineStr">
        <is>
          <t>BOQ_32600.xls</t>
        </is>
      </c>
      <c r="J1391" s="6" t="inlineStr">
        <is>
          <t>📊 Excel BOQ</t>
        </is>
      </c>
      <c r="K1391" s="9" t="n">
        <v>2.5</v>
      </c>
      <c r="L1391" s="10">
        <f>HYPERLINK("http://127.0.0.1:8000/api/documents/download?id=2118&amp;attachment=true", "⬇ Download BOQ_32600.xls")</f>
        <v/>
      </c>
      <c r="M1391" s="10">
        <f>HYPERLINK("http://localhost:5173/?state=Goa&amp;keyword=ICT&amp;tender=2026_PWD_32217_1", "🚀 Open in Portal")</f>
        <v/>
      </c>
    </row>
    <row r="1392" ht="24" customHeight="1">
      <c r="A1392" s="11" t="inlineStr">
        <is>
          <t>Goa</t>
        </is>
      </c>
      <c r="B1392" s="12" t="inlineStr">
        <is>
          <t>ICT</t>
        </is>
      </c>
      <c r="C1392" s="13" t="inlineStr">
        <is>
          <t>2026_PWD_32217_1</t>
        </is>
      </c>
      <c r="D1392" s="14" t="inlineStr">
        <is>
          <t>[Supply, installation, testing and Commissioning of Air conditioners in the District and sessions court and Annexe Building South Goa , Margao]</t>
        </is>
      </c>
      <c r="E1392" s="14" t="inlineStr">
        <is>
          <t>Goa Public Works &amp; Technology Department</t>
        </is>
      </c>
      <c r="F1392" s="13" t="inlineStr">
        <is>
          <t>08 Aug 2026</t>
        </is>
      </c>
      <c r="G1392" s="12" t="inlineStr">
        <is>
          <t>05 Sep 2026</t>
        </is>
      </c>
      <c r="H1392" s="8" t="inlineStr">
        <is>
          <t>⏳ UPCOMING</t>
        </is>
      </c>
      <c r="I1392" s="11" t="inlineStr">
        <is>
          <t>Tender_2026_PWD_32217_1_All_Documents.zip</t>
        </is>
      </c>
      <c r="J1392" s="13" t="inlineStr">
        <is>
          <t>📦 ZIP Package</t>
        </is>
      </c>
      <c r="K1392" s="15" t="n">
        <v>11.5</v>
      </c>
      <c r="L1392" s="16">
        <f>HYPERLINK("http://127.0.0.1:8000/api/documents/download?id=2119&amp;attachment=true", "⬇ Download Tender_2026_PWD_32217_1_")</f>
        <v/>
      </c>
      <c r="M1392" s="16">
        <f>HYPERLINK("http://localhost:5173/?state=Goa&amp;keyword=ICT&amp;tender=2026_PWD_32217_1", "🚀 Open in Portal")</f>
        <v/>
      </c>
    </row>
    <row r="1393" ht="24" customHeight="1">
      <c r="A1393" s="4" t="inlineStr">
        <is>
          <t>Goa</t>
        </is>
      </c>
      <c r="B1393" s="5" t="inlineStr">
        <is>
          <t>ICT</t>
        </is>
      </c>
      <c r="C1393" s="6" t="inlineStr">
        <is>
          <t>2026_PWD_32220_1</t>
        </is>
      </c>
      <c r="D1393" s="7" t="inlineStr">
        <is>
          <t>[Repair of 150TR chiller No.1 coil of Bluestar Make with model No.LCAX-1-150-DEF M/C SI NO.-0222-C-H10 and VLT soft starter of Denfoss Make with model no..MCD5-059SC-T5-G4X-00-CV2 M/C SI NO.-708908-420 at Sub District Hospital Ponda Goa.(Call no.2)]</t>
        </is>
      </c>
      <c r="E1393" s="7" t="inlineStr">
        <is>
          <t>Goa Public Works &amp; Technology Department</t>
        </is>
      </c>
      <c r="F1393" s="6" t="inlineStr">
        <is>
          <t>23 Oct 2026</t>
        </is>
      </c>
      <c r="G1393" s="5" t="inlineStr">
        <is>
          <t>13 Nov 2026</t>
        </is>
      </c>
      <c r="H1393" s="8" t="inlineStr">
        <is>
          <t>⏳ UPCOMING</t>
        </is>
      </c>
      <c r="I1393" s="4" t="inlineStr">
        <is>
          <t>Tendernotice_1.pdf</t>
        </is>
      </c>
      <c r="J1393" s="6" t="inlineStr">
        <is>
          <t>📕 PDF Document</t>
        </is>
      </c>
      <c r="K1393" s="9" t="n">
        <v>17.8</v>
      </c>
      <c r="L1393" s="10">
        <f>HYPERLINK("http://127.0.0.1:8000/api/documents/download?id=2114&amp;attachment=true", "⬇ Download Tendernotice_1.pdf")</f>
        <v/>
      </c>
      <c r="M1393" s="10">
        <f>HYPERLINK("http://localhost:5173/?state=Goa&amp;keyword=ICT&amp;tender=2026_PWD_32220_1", "🚀 Open in Portal")</f>
        <v/>
      </c>
    </row>
    <row r="1394" ht="24" customHeight="1">
      <c r="A1394" s="11" t="inlineStr">
        <is>
          <t>Goa</t>
        </is>
      </c>
      <c r="B1394" s="12" t="inlineStr">
        <is>
          <t>ICT</t>
        </is>
      </c>
      <c r="C1394" s="13" t="inlineStr">
        <is>
          <t>2026_PWD_32220_1</t>
        </is>
      </c>
      <c r="D1394" s="14" t="inlineStr">
        <is>
          <t>[Repair of 150TR chiller No.1 coil of Bluestar Make with model No.LCAX-1-150-DEF M/C SI NO.-0222-C-H10 and VLT soft starter of Denfoss Make with model no..MCD5-059SC-T5-G4X-00-CV2 M/C SI NO.-708908-420 at Sub District Hospital Ponda Goa.(Call no.2)]</t>
        </is>
      </c>
      <c r="E1394" s="14" t="inlineStr">
        <is>
          <t>Goa Public Works &amp; Technology Department</t>
        </is>
      </c>
      <c r="F1394" s="13" t="inlineStr">
        <is>
          <t>23 Oct 2026</t>
        </is>
      </c>
      <c r="G1394" s="12" t="inlineStr">
        <is>
          <t>13 Nov 2026</t>
        </is>
      </c>
      <c r="H1394" s="8" t="inlineStr">
        <is>
          <t>⏳ UPCOMING</t>
        </is>
      </c>
      <c r="I1394" s="11" t="inlineStr">
        <is>
          <t>BOQ_32603.xls</t>
        </is>
      </c>
      <c r="J1394" s="13" t="inlineStr">
        <is>
          <t>📊 Excel BOQ</t>
        </is>
      </c>
      <c r="K1394" s="15" t="n">
        <v>2.6</v>
      </c>
      <c r="L1394" s="16">
        <f>HYPERLINK("http://127.0.0.1:8000/api/documents/download?id=2115&amp;attachment=true", "⬇ Download BOQ_32603.xls")</f>
        <v/>
      </c>
      <c r="M1394" s="16">
        <f>HYPERLINK("http://localhost:5173/?state=Goa&amp;keyword=ICT&amp;tender=2026_PWD_32220_1", "🚀 Open in Portal")</f>
        <v/>
      </c>
    </row>
    <row r="1395" ht="24" customHeight="1">
      <c r="A1395" s="4" t="inlineStr">
        <is>
          <t>Goa</t>
        </is>
      </c>
      <c r="B1395" s="5" t="inlineStr">
        <is>
          <t>ICT</t>
        </is>
      </c>
      <c r="C1395" s="6" t="inlineStr">
        <is>
          <t>2026_PWD_32220_1</t>
        </is>
      </c>
      <c r="D1395" s="7" t="inlineStr">
        <is>
          <t>[Repair of 150TR chiller No.1 coil of Bluestar Make with model No.LCAX-1-150-DEF M/C SI NO.-0222-C-H10 and VLT soft starter of Denfoss Make with model no..MCD5-059SC-T5-G4X-00-CV2 M/C SI NO.-708908-420 at Sub District Hospital Ponda Goa.(Call no.2)]</t>
        </is>
      </c>
      <c r="E1395" s="7" t="inlineStr">
        <is>
          <t>Goa Public Works &amp; Technology Department</t>
        </is>
      </c>
      <c r="F1395" s="6" t="inlineStr">
        <is>
          <t>23 Oct 2026</t>
        </is>
      </c>
      <c r="G1395" s="5" t="inlineStr">
        <is>
          <t>13 Nov 2026</t>
        </is>
      </c>
      <c r="H1395" s="8" t="inlineStr">
        <is>
          <t>⏳ UPCOMING</t>
        </is>
      </c>
      <c r="I1395" s="4" t="inlineStr">
        <is>
          <t>Tender_2026_PWD_32220_1_All_Documents.zip</t>
        </is>
      </c>
      <c r="J1395" s="6" t="inlineStr">
        <is>
          <t>📦 ZIP Package</t>
        </is>
      </c>
      <c r="K1395" s="9" t="n">
        <v>11.6</v>
      </c>
      <c r="L1395" s="10">
        <f>HYPERLINK("http://127.0.0.1:8000/api/documents/download?id=2116&amp;attachment=true", "⬇ Download Tender_2026_PWD_32220_1_")</f>
        <v/>
      </c>
      <c r="M1395" s="10">
        <f>HYPERLINK("http://localhost:5173/?state=Goa&amp;keyword=ICT&amp;tender=2026_PWD_32220_1", "🚀 Open in Portal")</f>
        <v/>
      </c>
    </row>
    <row r="1396" ht="24" customHeight="1">
      <c r="A1396" s="11" t="inlineStr">
        <is>
          <t>Goa</t>
        </is>
      </c>
      <c r="B1396" s="12" t="inlineStr">
        <is>
          <t>ICT</t>
        </is>
      </c>
      <c r="C1396" s="13" t="inlineStr">
        <is>
          <t>2026_PWD_32240_1</t>
        </is>
      </c>
      <c r="D1396" s="14" t="inlineStr">
        <is>
          <t>[Improvement and hotmixing of rural roads connecting to Major District Road -36 with road ID 70804 for a length of 4.55 km from Shirvoi junction to Shree Sai Baba Temple and Surrounding roads in V.P. Xeldem in Curchorem Constituency in Quepem Taluka.]</t>
        </is>
      </c>
      <c r="E1396" s="14" t="inlineStr">
        <is>
          <t>Goa Public Works &amp; Technology Department</t>
        </is>
      </c>
      <c r="F1396" s="13" t="inlineStr">
        <is>
          <t>22 Jul 2026</t>
        </is>
      </c>
      <c r="G1396" s="12" t="inlineStr">
        <is>
          <t>13 Aug 2026</t>
        </is>
      </c>
      <c r="H1396" s="8" t="inlineStr">
        <is>
          <t>⏳ UPCOMING</t>
        </is>
      </c>
      <c r="I1396" s="11" t="inlineStr">
        <is>
          <t>Tendernotice_1.pdf</t>
        </is>
      </c>
      <c r="J1396" s="13" t="inlineStr">
        <is>
          <t>📕 PDF Document</t>
        </is>
      </c>
      <c r="K1396" s="15" t="n">
        <v>17.8</v>
      </c>
      <c r="L1396" s="16">
        <f>HYPERLINK("http://127.0.0.1:8000/api/documents/download?id=2111&amp;attachment=true", "⬇ Download Tendernotice_1.pdf")</f>
        <v/>
      </c>
      <c r="M1396" s="16">
        <f>HYPERLINK("http://localhost:5173/?state=Goa&amp;keyword=ICT&amp;tender=2026_PWD_32240_1", "🚀 Open in Portal")</f>
        <v/>
      </c>
    </row>
    <row r="1397" ht="24" customHeight="1">
      <c r="A1397" s="4" t="inlineStr">
        <is>
          <t>Goa</t>
        </is>
      </c>
      <c r="B1397" s="5" t="inlineStr">
        <is>
          <t>ICT</t>
        </is>
      </c>
      <c r="C1397" s="6" t="inlineStr">
        <is>
          <t>2026_PWD_32240_1</t>
        </is>
      </c>
      <c r="D1397" s="7" t="inlineStr">
        <is>
          <t>[Improvement and hotmixing of rural roads connecting to Major District Road -36 with road ID 70804 for a length of 4.55 km from Shirvoi junction to Shree Sai Baba Temple and Surrounding roads in V.P. Xeldem in Curchorem Constituency in Quepem Taluka.]</t>
        </is>
      </c>
      <c r="E1397" s="7" t="inlineStr">
        <is>
          <t>Goa Public Works &amp; Technology Department</t>
        </is>
      </c>
      <c r="F1397" s="6" t="inlineStr">
        <is>
          <t>22 Jul 2026</t>
        </is>
      </c>
      <c r="G1397" s="5" t="inlineStr">
        <is>
          <t>13 Aug 2026</t>
        </is>
      </c>
      <c r="H1397" s="8" t="inlineStr">
        <is>
          <t>⏳ UPCOMING</t>
        </is>
      </c>
      <c r="I1397" s="4" t="inlineStr">
        <is>
          <t>BOQ_32625.xls</t>
        </is>
      </c>
      <c r="J1397" s="6" t="inlineStr">
        <is>
          <t>📊 Excel BOQ</t>
        </is>
      </c>
      <c r="K1397" s="9" t="n">
        <v>2.6</v>
      </c>
      <c r="L1397" s="10">
        <f>HYPERLINK("http://127.0.0.1:8000/api/documents/download?id=2112&amp;attachment=true", "⬇ Download BOQ_32625.xls")</f>
        <v/>
      </c>
      <c r="M1397" s="10">
        <f>HYPERLINK("http://localhost:5173/?state=Goa&amp;keyword=ICT&amp;tender=2026_PWD_32240_1", "🚀 Open in Portal")</f>
        <v/>
      </c>
    </row>
    <row r="1398" ht="24" customHeight="1">
      <c r="A1398" s="11" t="inlineStr">
        <is>
          <t>Goa</t>
        </is>
      </c>
      <c r="B1398" s="12" t="inlineStr">
        <is>
          <t>ICT</t>
        </is>
      </c>
      <c r="C1398" s="13" t="inlineStr">
        <is>
          <t>2026_PWD_32240_1</t>
        </is>
      </c>
      <c r="D1398" s="14" t="inlineStr">
        <is>
          <t>[Improvement and hotmixing of rural roads connecting to Major District Road -36 with road ID 70804 for a length of 4.55 km from Shirvoi junction to Shree Sai Baba Temple and Surrounding roads in V.P. Xeldem in Curchorem Constituency in Quepem Taluka.]</t>
        </is>
      </c>
      <c r="E1398" s="14" t="inlineStr">
        <is>
          <t>Goa Public Works &amp; Technology Department</t>
        </is>
      </c>
      <c r="F1398" s="13" t="inlineStr">
        <is>
          <t>22 Jul 2026</t>
        </is>
      </c>
      <c r="G1398" s="12" t="inlineStr">
        <is>
          <t>13 Aug 2026</t>
        </is>
      </c>
      <c r="H1398" s="8" t="inlineStr">
        <is>
          <t>⏳ UPCOMING</t>
        </is>
      </c>
      <c r="I1398" s="11" t="inlineStr">
        <is>
          <t>Tender_2026_PWD_32240_1_All_Documents.zip</t>
        </is>
      </c>
      <c r="J1398" s="13" t="inlineStr">
        <is>
          <t>📦 ZIP Package</t>
        </is>
      </c>
      <c r="K1398" s="15" t="n">
        <v>11.6</v>
      </c>
      <c r="L1398" s="16">
        <f>HYPERLINK("http://127.0.0.1:8000/api/documents/download?id=2113&amp;attachment=true", "⬇ Download Tender_2026_PWD_32240_1_")</f>
        <v/>
      </c>
      <c r="M1398" s="16">
        <f>HYPERLINK("http://localhost:5173/?state=Goa&amp;keyword=ICT&amp;tender=2026_PWD_32240_1", "🚀 Open in Portal")</f>
        <v/>
      </c>
    </row>
    <row r="1399" ht="24" customHeight="1">
      <c r="A1399" s="4" t="inlineStr">
        <is>
          <t>Goa</t>
        </is>
      </c>
      <c r="B1399" s="5" t="inlineStr">
        <is>
          <t>ICT</t>
        </is>
      </c>
      <c r="C1399" s="6" t="inlineStr">
        <is>
          <t>2026_PWD_32261_1</t>
        </is>
      </c>
      <c r="D1399" s="7" t="inlineStr">
        <is>
          <t>[ Urgent Repairs works Construction of Retaining walls, Crash Barrier and Road Sides Railings MAJOR DISTRICT ROAD-34 ID70805 for a length of 0.1463Km in V.P Bhati in Sanguem Constituency of Sanguem Taluka.]</t>
        </is>
      </c>
      <c r="E1399" s="7" t="inlineStr">
        <is>
          <t>Goa Public Works &amp; Technology Department</t>
        </is>
      </c>
      <c r="F1399" s="6" t="inlineStr">
        <is>
          <t>14 Aug 2026</t>
        </is>
      </c>
      <c r="G1399" s="5" t="inlineStr">
        <is>
          <t>12 Sep 2026</t>
        </is>
      </c>
      <c r="H1399" s="8" t="inlineStr">
        <is>
          <t>⏳ UPCOMING</t>
        </is>
      </c>
      <c r="I1399" s="4" t="inlineStr">
        <is>
          <t>Tendernotice_1.pdf</t>
        </is>
      </c>
      <c r="J1399" s="6" t="inlineStr">
        <is>
          <t>📕 PDF Document</t>
        </is>
      </c>
      <c r="K1399" s="9" t="n">
        <v>17.8</v>
      </c>
      <c r="L1399" s="10">
        <f>HYPERLINK("http://127.0.0.1:8000/api/documents/download?id=2102&amp;attachment=true", "⬇ Download Tendernotice_1.pdf")</f>
        <v/>
      </c>
      <c r="M1399" s="10">
        <f>HYPERLINK("http://localhost:5173/?state=Goa&amp;keyword=ICT&amp;tender=2026_PWD_32261_1", "🚀 Open in Portal")</f>
        <v/>
      </c>
    </row>
    <row r="1400" ht="24" customHeight="1">
      <c r="A1400" s="11" t="inlineStr">
        <is>
          <t>Goa</t>
        </is>
      </c>
      <c r="B1400" s="12" t="inlineStr">
        <is>
          <t>ICT</t>
        </is>
      </c>
      <c r="C1400" s="13" t="inlineStr">
        <is>
          <t>2026_PWD_32261_1</t>
        </is>
      </c>
      <c r="D1400" s="14" t="inlineStr">
        <is>
          <t>[ Urgent Repairs works Construction of Retaining walls, Crash Barrier and Road Sides Railings MAJOR DISTRICT ROAD-34 ID70805 for a length of 0.1463Km in V.P Bhati in Sanguem Constituency of Sanguem Taluka.]</t>
        </is>
      </c>
      <c r="E1400" s="14" t="inlineStr">
        <is>
          <t>Goa Public Works &amp; Technology Department</t>
        </is>
      </c>
      <c r="F1400" s="13" t="inlineStr">
        <is>
          <t>14 Aug 2026</t>
        </is>
      </c>
      <c r="G1400" s="12" t="inlineStr">
        <is>
          <t>12 Sep 2026</t>
        </is>
      </c>
      <c r="H1400" s="8" t="inlineStr">
        <is>
          <t>⏳ UPCOMING</t>
        </is>
      </c>
      <c r="I1400" s="11" t="inlineStr">
        <is>
          <t>BOQ_32643.xls</t>
        </is>
      </c>
      <c r="J1400" s="13" t="inlineStr">
        <is>
          <t>📊 Excel BOQ</t>
        </is>
      </c>
      <c r="K1400" s="15" t="n">
        <v>2.5</v>
      </c>
      <c r="L1400" s="16">
        <f>HYPERLINK("http://127.0.0.1:8000/api/documents/download?id=2103&amp;attachment=true", "⬇ Download BOQ_32643.xls")</f>
        <v/>
      </c>
      <c r="M1400" s="16">
        <f>HYPERLINK("http://localhost:5173/?state=Goa&amp;keyword=ICT&amp;tender=2026_PWD_32261_1", "🚀 Open in Portal")</f>
        <v/>
      </c>
    </row>
    <row r="1401" ht="24" customHeight="1">
      <c r="A1401" s="4" t="inlineStr">
        <is>
          <t>Goa</t>
        </is>
      </c>
      <c r="B1401" s="5" t="inlineStr">
        <is>
          <t>ICT</t>
        </is>
      </c>
      <c r="C1401" s="6" t="inlineStr">
        <is>
          <t>2026_PWD_32261_1</t>
        </is>
      </c>
      <c r="D1401" s="7" t="inlineStr">
        <is>
          <t>[ Urgent Repairs works Construction of Retaining walls, Crash Barrier and Road Sides Railings MAJOR DISTRICT ROAD-34 ID70805 for a length of 0.1463Km in V.P Bhati in Sanguem Constituency of Sanguem Taluka.]</t>
        </is>
      </c>
      <c r="E1401" s="7" t="inlineStr">
        <is>
          <t>Goa Public Works &amp; Technology Department</t>
        </is>
      </c>
      <c r="F1401" s="6" t="inlineStr">
        <is>
          <t>14 Aug 2026</t>
        </is>
      </c>
      <c r="G1401" s="5" t="inlineStr">
        <is>
          <t>12 Sep 2026</t>
        </is>
      </c>
      <c r="H1401" s="8" t="inlineStr">
        <is>
          <t>⏳ UPCOMING</t>
        </is>
      </c>
      <c r="I1401" s="4" t="inlineStr">
        <is>
          <t>Tender_2026_PWD_32261_1_All_Documents.zip</t>
        </is>
      </c>
      <c r="J1401" s="6" t="inlineStr">
        <is>
          <t>📦 ZIP Package</t>
        </is>
      </c>
      <c r="K1401" s="9" t="n">
        <v>11.5</v>
      </c>
      <c r="L1401" s="10">
        <f>HYPERLINK("http://127.0.0.1:8000/api/documents/download?id=2104&amp;attachment=true", "⬇ Download Tender_2026_PWD_32261_1_")</f>
        <v/>
      </c>
      <c r="M1401" s="10">
        <f>HYPERLINK("http://localhost:5173/?state=Goa&amp;keyword=ICT&amp;tender=2026_PWD_32261_1", "🚀 Open in Portal")</f>
        <v/>
      </c>
    </row>
    <row r="1402" ht="24" customHeight="1">
      <c r="A1402" s="11" t="inlineStr">
        <is>
          <t>Goa</t>
        </is>
      </c>
      <c r="B1402" s="12" t="inlineStr">
        <is>
          <t>ICT</t>
        </is>
      </c>
      <c r="C1402" s="13" t="inlineStr">
        <is>
          <t>2026_PWD_32267_1</t>
        </is>
      </c>
      <c r="D1402" s="14" t="inlineStr">
        <is>
          <t>[Urgent protection to landsilde along Major District Road 53 with road ID 72897 for a length of 0.035 km at Vorrha in Curchorem Constituency of Quepem Taluka.]</t>
        </is>
      </c>
      <c r="E1402" s="14" t="inlineStr">
        <is>
          <t>Goa Public Works &amp; Technology Department</t>
        </is>
      </c>
      <c r="F1402" s="13" t="inlineStr">
        <is>
          <t>18 Oct 2026</t>
        </is>
      </c>
      <c r="G1402" s="12" t="inlineStr">
        <is>
          <t>16 Nov 2026</t>
        </is>
      </c>
      <c r="H1402" s="17" t="inlineStr">
        <is>
          <t>🟢 LIVE ACTIVE</t>
        </is>
      </c>
      <c r="I1402" s="11" t="inlineStr">
        <is>
          <t>Tendernotice_1.pdf</t>
        </is>
      </c>
      <c r="J1402" s="13" t="inlineStr">
        <is>
          <t>📕 PDF Document</t>
        </is>
      </c>
      <c r="K1402" s="15" t="n">
        <v>17.8</v>
      </c>
      <c r="L1402" s="16">
        <f>HYPERLINK("http://127.0.0.1:8000/api/documents/download?id=2099&amp;attachment=true", "⬇ Download Tendernotice_1.pdf")</f>
        <v/>
      </c>
      <c r="M1402" s="16">
        <f>HYPERLINK("http://localhost:5173/?state=Goa&amp;keyword=ICT&amp;tender=2026_PWD_32267_1", "🚀 Open in Portal")</f>
        <v/>
      </c>
    </row>
    <row r="1403" ht="24" customHeight="1">
      <c r="A1403" s="4" t="inlineStr">
        <is>
          <t>Goa</t>
        </is>
      </c>
      <c r="B1403" s="5" t="inlineStr">
        <is>
          <t>ICT</t>
        </is>
      </c>
      <c r="C1403" s="6" t="inlineStr">
        <is>
          <t>2026_PWD_32267_1</t>
        </is>
      </c>
      <c r="D1403" s="7" t="inlineStr">
        <is>
          <t>[Urgent protection to landsilde along Major District Road 53 with road ID 72897 for a length of 0.035 km at Vorrha in Curchorem Constituency of Quepem Taluka.]</t>
        </is>
      </c>
      <c r="E1403" s="7" t="inlineStr">
        <is>
          <t>Goa Public Works &amp; Technology Department</t>
        </is>
      </c>
      <c r="F1403" s="6" t="inlineStr">
        <is>
          <t>18 Oct 2026</t>
        </is>
      </c>
      <c r="G1403" s="5" t="inlineStr">
        <is>
          <t>16 Nov 2026</t>
        </is>
      </c>
      <c r="H1403" s="17" t="inlineStr">
        <is>
          <t>🟢 LIVE ACTIVE</t>
        </is>
      </c>
      <c r="I1403" s="4" t="inlineStr">
        <is>
          <t>BOQ_32649.xls</t>
        </is>
      </c>
      <c r="J1403" s="6" t="inlineStr">
        <is>
          <t>📊 Excel BOQ</t>
        </is>
      </c>
      <c r="K1403" s="9" t="n">
        <v>2.5</v>
      </c>
      <c r="L1403" s="10">
        <f>HYPERLINK("http://127.0.0.1:8000/api/documents/download?id=2100&amp;attachment=true", "⬇ Download BOQ_32649.xls")</f>
        <v/>
      </c>
      <c r="M1403" s="10">
        <f>HYPERLINK("http://localhost:5173/?state=Goa&amp;keyword=ICT&amp;tender=2026_PWD_32267_1", "🚀 Open in Portal")</f>
        <v/>
      </c>
    </row>
    <row r="1404" ht="24" customHeight="1">
      <c r="A1404" s="11" t="inlineStr">
        <is>
          <t>Goa</t>
        </is>
      </c>
      <c r="B1404" s="12" t="inlineStr">
        <is>
          <t>ICT</t>
        </is>
      </c>
      <c r="C1404" s="13" t="inlineStr">
        <is>
          <t>2026_PWD_32267_1</t>
        </is>
      </c>
      <c r="D1404" s="14" t="inlineStr">
        <is>
          <t>[Urgent protection to landsilde along Major District Road 53 with road ID 72897 for a length of 0.035 km at Vorrha in Curchorem Constituency of Quepem Taluka.]</t>
        </is>
      </c>
      <c r="E1404" s="14" t="inlineStr">
        <is>
          <t>Goa Public Works &amp; Technology Department</t>
        </is>
      </c>
      <c r="F1404" s="13" t="inlineStr">
        <is>
          <t>18 Oct 2026</t>
        </is>
      </c>
      <c r="G1404" s="12" t="inlineStr">
        <is>
          <t>16 Nov 2026</t>
        </is>
      </c>
      <c r="H1404" s="17" t="inlineStr">
        <is>
          <t>🟢 LIVE ACTIVE</t>
        </is>
      </c>
      <c r="I1404" s="11" t="inlineStr">
        <is>
          <t>Tender_2026_PWD_32267_1_All_Documents.zip</t>
        </is>
      </c>
      <c r="J1404" s="13" t="inlineStr">
        <is>
          <t>📦 ZIP Package</t>
        </is>
      </c>
      <c r="K1404" s="15" t="n">
        <v>11.5</v>
      </c>
      <c r="L1404" s="16">
        <f>HYPERLINK("http://127.0.0.1:8000/api/documents/download?id=2101&amp;attachment=true", "⬇ Download Tender_2026_PWD_32267_1_")</f>
        <v/>
      </c>
      <c r="M1404" s="16">
        <f>HYPERLINK("http://localhost:5173/?state=Goa&amp;keyword=ICT&amp;tender=2026_PWD_32267_1", "🚀 Open in Portal")</f>
        <v/>
      </c>
    </row>
    <row r="1405" ht="24" customHeight="1">
      <c r="A1405" s="4" t="inlineStr">
        <is>
          <t>Goa</t>
        </is>
      </c>
      <c r="B1405" s="5" t="inlineStr">
        <is>
          <t>ICT</t>
        </is>
      </c>
      <c r="C1405" s="6" t="inlineStr">
        <is>
          <t>2026_VP_32295_1</t>
        </is>
      </c>
      <c r="D1405" s="7" t="inlineStr">
        <is>
          <t>[Repair of gutter from Hari Naik house to Dilip Naik house in Ward No.I at Hankhane of Village Panchayat Ibrampur Hankhane jurisdiction]</t>
        </is>
      </c>
      <c r="E1405" s="7" t="inlineStr">
        <is>
          <t>Goa Public Works &amp; Technology Department</t>
        </is>
      </c>
      <c r="F1405" s="6" t="inlineStr">
        <is>
          <t>24 Aug 2026</t>
        </is>
      </c>
      <c r="G1405" s="5" t="inlineStr">
        <is>
          <t>18 Sep 2026</t>
        </is>
      </c>
      <c r="H1405" s="8" t="inlineStr">
        <is>
          <t>⏳ UPCOMING</t>
        </is>
      </c>
      <c r="I1405" s="4" t="inlineStr">
        <is>
          <t>Tendernotice_1.pdf</t>
        </is>
      </c>
      <c r="J1405" s="6" t="inlineStr">
        <is>
          <t>📕 PDF Document</t>
        </is>
      </c>
      <c r="K1405" s="9" t="n">
        <v>17.8</v>
      </c>
      <c r="L1405" s="10">
        <f>HYPERLINK("http://127.0.0.1:8000/api/documents/download?id=2093&amp;attachment=true", "⬇ Download Tendernotice_1.pdf")</f>
        <v/>
      </c>
      <c r="M1405" s="10">
        <f>HYPERLINK("http://localhost:5173/?state=Goa&amp;keyword=ICT&amp;tender=2026_VP_32295_1", "🚀 Open in Portal")</f>
        <v/>
      </c>
    </row>
    <row r="1406" ht="24" customHeight="1">
      <c r="A1406" s="11" t="inlineStr">
        <is>
          <t>Goa</t>
        </is>
      </c>
      <c r="B1406" s="12" t="inlineStr">
        <is>
          <t>ICT</t>
        </is>
      </c>
      <c r="C1406" s="13" t="inlineStr">
        <is>
          <t>2026_VP_32295_1</t>
        </is>
      </c>
      <c r="D1406" s="14" t="inlineStr">
        <is>
          <t>[Repair of gutter from Hari Naik house to Dilip Naik house in Ward No.I at Hankhane of Village Panchayat Ibrampur Hankhane jurisdiction]</t>
        </is>
      </c>
      <c r="E1406" s="14" t="inlineStr">
        <is>
          <t>Goa Public Works &amp; Technology Department</t>
        </is>
      </c>
      <c r="F1406" s="13" t="inlineStr">
        <is>
          <t>24 Aug 2026</t>
        </is>
      </c>
      <c r="G1406" s="12" t="inlineStr">
        <is>
          <t>18 Sep 2026</t>
        </is>
      </c>
      <c r="H1406" s="8" t="inlineStr">
        <is>
          <t>⏳ UPCOMING</t>
        </is>
      </c>
      <c r="I1406" s="11" t="inlineStr">
        <is>
          <t>BOQ_32675.xls</t>
        </is>
      </c>
      <c r="J1406" s="13" t="inlineStr">
        <is>
          <t>📊 Excel BOQ</t>
        </is>
      </c>
      <c r="K1406" s="15" t="n">
        <v>2.5</v>
      </c>
      <c r="L1406" s="16">
        <f>HYPERLINK("http://127.0.0.1:8000/api/documents/download?id=2094&amp;attachment=true", "⬇ Download BOQ_32675.xls")</f>
        <v/>
      </c>
      <c r="M1406" s="16">
        <f>HYPERLINK("http://localhost:5173/?state=Goa&amp;keyword=ICT&amp;tender=2026_VP_32295_1", "🚀 Open in Portal")</f>
        <v/>
      </c>
    </row>
    <row r="1407" ht="24" customHeight="1">
      <c r="A1407" s="4" t="inlineStr">
        <is>
          <t>Goa</t>
        </is>
      </c>
      <c r="B1407" s="5" t="inlineStr">
        <is>
          <t>ICT</t>
        </is>
      </c>
      <c r="C1407" s="6" t="inlineStr">
        <is>
          <t>2026_VP_32295_1</t>
        </is>
      </c>
      <c r="D1407" s="7" t="inlineStr">
        <is>
          <t>[Repair of gutter from Hari Naik house to Dilip Naik house in Ward No.I at Hankhane of Village Panchayat Ibrampur Hankhane jurisdiction]</t>
        </is>
      </c>
      <c r="E1407" s="7" t="inlineStr">
        <is>
          <t>Goa Public Works &amp; Technology Department</t>
        </is>
      </c>
      <c r="F1407" s="6" t="inlineStr">
        <is>
          <t>24 Aug 2026</t>
        </is>
      </c>
      <c r="G1407" s="5" t="inlineStr">
        <is>
          <t>18 Sep 2026</t>
        </is>
      </c>
      <c r="H1407" s="8" t="inlineStr">
        <is>
          <t>⏳ UPCOMING</t>
        </is>
      </c>
      <c r="I1407" s="4" t="inlineStr">
        <is>
          <t>Tender_2026_VP_32295_1_All_Documents.zip</t>
        </is>
      </c>
      <c r="J1407" s="6" t="inlineStr">
        <is>
          <t>📦 ZIP Package</t>
        </is>
      </c>
      <c r="K1407" s="9" t="n">
        <v>11.5</v>
      </c>
      <c r="L1407" s="10">
        <f>HYPERLINK("http://127.0.0.1:8000/api/documents/download?id=2095&amp;attachment=true", "⬇ Download Tender_2026_VP_32295_1_A")</f>
        <v/>
      </c>
      <c r="M1407" s="10">
        <f>HYPERLINK("http://localhost:5173/?state=Goa&amp;keyword=ICT&amp;tender=2026_VP_32295_1", "🚀 Open in Portal")</f>
        <v/>
      </c>
    </row>
    <row r="1408" ht="24" customHeight="1">
      <c r="A1408" s="11" t="inlineStr">
        <is>
          <t>Goa</t>
        </is>
      </c>
      <c r="B1408" s="12" t="inlineStr">
        <is>
          <t>Forest</t>
        </is>
      </c>
      <c r="C1408" s="13" t="inlineStr">
        <is>
          <t>2026_GOA_4959500_46</t>
        </is>
      </c>
      <c r="D1408" s="14" t="inlineStr">
        <is>
          <t>Forest-Based Satellite-Based Forest Canopy Density &amp; Wildlife Corridor Spatial Monitoring</t>
        </is>
      </c>
      <c r="E1408" s="14" t="inlineStr">
        <is>
          <t>STATE FOREST &amp; ENVIRONMENT DEPARTMENT</t>
        </is>
      </c>
      <c r="F1408" s="13" t="inlineStr">
        <is>
          <t>04 Aug 2026</t>
        </is>
      </c>
      <c r="G1408" s="12" t="inlineStr">
        <is>
          <t>29 Aug 2026</t>
        </is>
      </c>
      <c r="H1408" s="8" t="inlineStr">
        <is>
          <t>⏳ UPCOMING</t>
        </is>
      </c>
      <c r="I1408" s="11" t="inlineStr">
        <is>
          <t>Tendernotice_2026_GOA_4959500_46.pdf</t>
        </is>
      </c>
      <c r="J1408" s="13" t="inlineStr">
        <is>
          <t>📕 PDF Document</t>
        </is>
      </c>
      <c r="K1408" s="15" t="n">
        <v>17.9</v>
      </c>
      <c r="L1408" s="16">
        <f>HYPERLINK("http://127.0.0.1:8000/api/documents/download?id=3317&amp;attachment=true", "⬇ Download Tendernotice_2026_GOA_49")</f>
        <v/>
      </c>
      <c r="M1408" s="16">
        <f>HYPERLINK("http://localhost:5173/?state=Goa&amp;keyword=Forest&amp;tender=2026_GOA_4959500_46", "🚀 Open in Portal")</f>
        <v/>
      </c>
    </row>
    <row r="1409" ht="24" customHeight="1">
      <c r="A1409" s="4" t="inlineStr">
        <is>
          <t>Goa</t>
        </is>
      </c>
      <c r="B1409" s="5" t="inlineStr">
        <is>
          <t>Forest</t>
        </is>
      </c>
      <c r="C1409" s="6" t="inlineStr">
        <is>
          <t>2026_GOA_4959500_46</t>
        </is>
      </c>
      <c r="D1409" s="7" t="inlineStr">
        <is>
          <t>Forest-Based Satellite-Based Forest Canopy Density &amp; Wildlife Corridor Spatial Monitoring</t>
        </is>
      </c>
      <c r="E1409" s="7" t="inlineStr">
        <is>
          <t>STATE FOREST &amp; ENVIRONMENT DEPARTMENT</t>
        </is>
      </c>
      <c r="F1409" s="6" t="inlineStr">
        <is>
          <t>04 Aug 2026</t>
        </is>
      </c>
      <c r="G1409" s="5" t="inlineStr">
        <is>
          <t>29 Aug 2026</t>
        </is>
      </c>
      <c r="H1409" s="8" t="inlineStr">
        <is>
          <t>⏳ UPCOMING</t>
        </is>
      </c>
      <c r="I1409" s="4" t="inlineStr">
        <is>
          <t>Technical_RFP_Specification_Forest.pdf</t>
        </is>
      </c>
      <c r="J1409" s="6" t="inlineStr">
        <is>
          <t>📕 PDF Document</t>
        </is>
      </c>
      <c r="K1409" s="9" t="n">
        <v>17.9</v>
      </c>
      <c r="L1409" s="10">
        <f>HYPERLINK("http://127.0.0.1:8000/api/documents/download?id=3318&amp;attachment=true", "⬇ Download Technical_RFP_Specificat")</f>
        <v/>
      </c>
      <c r="M1409" s="10">
        <f>HYPERLINK("http://localhost:5173/?state=Goa&amp;keyword=Forest&amp;tender=2026_GOA_4959500_46", "🚀 Open in Portal")</f>
        <v/>
      </c>
    </row>
    <row r="1410" ht="24" customHeight="1">
      <c r="A1410" s="11" t="inlineStr">
        <is>
          <t>Goa</t>
        </is>
      </c>
      <c r="B1410" s="12" t="inlineStr">
        <is>
          <t>Forest</t>
        </is>
      </c>
      <c r="C1410" s="13" t="inlineStr">
        <is>
          <t>2026_GOA_4959500_46</t>
        </is>
      </c>
      <c r="D1410" s="14" t="inlineStr">
        <is>
          <t>Forest-Based Satellite-Based Forest Canopy Density &amp; Wildlife Corridor Spatial Monitoring</t>
        </is>
      </c>
      <c r="E1410" s="14" t="inlineStr">
        <is>
          <t>STATE FOREST &amp; ENVIRONMENT DEPARTMENT</t>
        </is>
      </c>
      <c r="F1410" s="13" t="inlineStr">
        <is>
          <t>04 Aug 2026</t>
        </is>
      </c>
      <c r="G1410" s="12" t="inlineStr">
        <is>
          <t>29 Aug 2026</t>
        </is>
      </c>
      <c r="H1410" s="8" t="inlineStr">
        <is>
          <t>⏳ UPCOMING</t>
        </is>
      </c>
      <c r="I1410" s="11" t="inlineStr">
        <is>
          <t>BOQ_Financial_Schedule_2026_GOA_4959500_46.xlsx</t>
        </is>
      </c>
      <c r="J1410" s="13" t="inlineStr">
        <is>
          <t>📊 Excel BOQ</t>
        </is>
      </c>
      <c r="K1410" s="15" t="n">
        <v>2.5</v>
      </c>
      <c r="L1410" s="16">
        <f>HYPERLINK("http://127.0.0.1:8000/api/documents/download?id=3319&amp;attachment=true", "⬇ Download BOQ_Financial_Schedule_2")</f>
        <v/>
      </c>
      <c r="M1410" s="16">
        <f>HYPERLINK("http://localhost:5173/?state=Goa&amp;keyword=Forest&amp;tender=2026_GOA_4959500_46", "🚀 Open in Portal")</f>
        <v/>
      </c>
    </row>
    <row r="1411" ht="24" customHeight="1">
      <c r="A1411" s="4" t="inlineStr">
        <is>
          <t>Goa</t>
        </is>
      </c>
      <c r="B1411" s="5" t="inlineStr">
        <is>
          <t>Forest</t>
        </is>
      </c>
      <c r="C1411" s="6" t="inlineStr">
        <is>
          <t>2026_GOA_4959500_46</t>
        </is>
      </c>
      <c r="D1411" s="7" t="inlineStr">
        <is>
          <t>Forest-Based Satellite-Based Forest Canopy Density &amp; Wildlife Corridor Spatial Monitoring</t>
        </is>
      </c>
      <c r="E1411" s="7" t="inlineStr">
        <is>
          <t>STATE FOREST &amp; ENVIRONMENT DEPARTMENT</t>
        </is>
      </c>
      <c r="F1411" s="6" t="inlineStr">
        <is>
          <t>04 Aug 2026</t>
        </is>
      </c>
      <c r="G1411" s="5" t="inlineStr">
        <is>
          <t>29 Aug 2026</t>
        </is>
      </c>
      <c r="H1411" s="8" t="inlineStr">
        <is>
          <t>⏳ UPCOMING</t>
        </is>
      </c>
      <c r="I1411" s="4" t="inlineStr">
        <is>
          <t>Tender_2026_GOA_4959500_46_All_Documents.zip</t>
        </is>
      </c>
      <c r="J1411" s="6" t="inlineStr">
        <is>
          <t>📦 ZIP Package</t>
        </is>
      </c>
      <c r="K1411" s="9" t="n">
        <v>45</v>
      </c>
      <c r="L1411" s="10">
        <f>HYPERLINK("https://eprocure.goa.gov.in/tender/2026_GOA_4959500_46", "⬇ Download Tender_2026_GOA_4959500_")</f>
        <v/>
      </c>
      <c r="M1411" s="10">
        <f>HYPERLINK("http://localhost:5173/?state=Goa&amp;keyword=Forest&amp;tender=2026_GOA_4959500_46", "🚀 Open in Portal")</f>
        <v/>
      </c>
    </row>
    <row r="1412" ht="24" customHeight="1">
      <c r="A1412" s="11" t="inlineStr">
        <is>
          <t>Goa</t>
        </is>
      </c>
      <c r="B1412" s="12" t="inlineStr">
        <is>
          <t>Forest</t>
        </is>
      </c>
      <c r="C1412" s="13" t="inlineStr">
        <is>
          <t>2026_GOA_7258908_43</t>
        </is>
      </c>
      <c r="D1412" s="14" t="inlineStr">
        <is>
          <t>Forest-Based Satellite-Based Forest Canopy Density &amp; Wildlife Corridor Spatial Monitoring</t>
        </is>
      </c>
      <c r="E1412" s="14" t="inlineStr">
        <is>
          <t>STATE FOREST &amp; ENVIRONMENT DEPARTMENT</t>
        </is>
      </c>
      <c r="F1412" s="13" t="inlineStr">
        <is>
          <t>23 Jul 2026</t>
        </is>
      </c>
      <c r="G1412" s="12" t="inlineStr">
        <is>
          <t>21 Aug 2026</t>
        </is>
      </c>
      <c r="H1412" s="8" t="inlineStr">
        <is>
          <t>⏳ UPCOMING</t>
        </is>
      </c>
      <c r="I1412" s="11" t="inlineStr">
        <is>
          <t>Tendernotice_2026_GOA_7258908_43.pdf</t>
        </is>
      </c>
      <c r="J1412" s="13" t="inlineStr">
        <is>
          <t>📕 PDF Document</t>
        </is>
      </c>
      <c r="K1412" s="15" t="n">
        <v>17.9</v>
      </c>
      <c r="L1412" s="16">
        <f>HYPERLINK("http://127.0.0.1:8000/api/documents/download?id=3061&amp;attachment=true", "⬇ Download Tendernotice_2026_GOA_72")</f>
        <v/>
      </c>
      <c r="M1412" s="16">
        <f>HYPERLINK("http://localhost:5173/?state=Goa&amp;keyword=Forest&amp;tender=2026_GOA_7258908_43", "🚀 Open in Portal")</f>
        <v/>
      </c>
    </row>
    <row r="1413" ht="24" customHeight="1">
      <c r="A1413" s="4" t="inlineStr">
        <is>
          <t>Goa</t>
        </is>
      </c>
      <c r="B1413" s="5" t="inlineStr">
        <is>
          <t>Forest</t>
        </is>
      </c>
      <c r="C1413" s="6" t="inlineStr">
        <is>
          <t>2026_GOA_7258908_43</t>
        </is>
      </c>
      <c r="D1413" s="7" t="inlineStr">
        <is>
          <t>Forest-Based Satellite-Based Forest Canopy Density &amp; Wildlife Corridor Spatial Monitoring</t>
        </is>
      </c>
      <c r="E1413" s="7" t="inlineStr">
        <is>
          <t>STATE FOREST &amp; ENVIRONMENT DEPARTMENT</t>
        </is>
      </c>
      <c r="F1413" s="6" t="inlineStr">
        <is>
          <t>23 Jul 2026</t>
        </is>
      </c>
      <c r="G1413" s="5" t="inlineStr">
        <is>
          <t>21 Aug 2026</t>
        </is>
      </c>
      <c r="H1413" s="8" t="inlineStr">
        <is>
          <t>⏳ UPCOMING</t>
        </is>
      </c>
      <c r="I1413" s="4" t="inlineStr">
        <is>
          <t>Technical_RFP_Specification_Forest.pdf</t>
        </is>
      </c>
      <c r="J1413" s="6" t="inlineStr">
        <is>
          <t>📕 PDF Document</t>
        </is>
      </c>
      <c r="K1413" s="9" t="n">
        <v>17.9</v>
      </c>
      <c r="L1413" s="10">
        <f>HYPERLINK("http://127.0.0.1:8000/api/documents/download?id=3062&amp;attachment=true", "⬇ Download Technical_RFP_Specificat")</f>
        <v/>
      </c>
      <c r="M1413" s="10">
        <f>HYPERLINK("http://localhost:5173/?state=Goa&amp;keyword=Forest&amp;tender=2026_GOA_7258908_43", "🚀 Open in Portal")</f>
        <v/>
      </c>
    </row>
    <row r="1414" ht="24" customHeight="1">
      <c r="A1414" s="11" t="inlineStr">
        <is>
          <t>Goa</t>
        </is>
      </c>
      <c r="B1414" s="12" t="inlineStr">
        <is>
          <t>Forest</t>
        </is>
      </c>
      <c r="C1414" s="13" t="inlineStr">
        <is>
          <t>2026_GOA_7258908_43</t>
        </is>
      </c>
      <c r="D1414" s="14" t="inlineStr">
        <is>
          <t>Forest-Based Satellite-Based Forest Canopy Density &amp; Wildlife Corridor Spatial Monitoring</t>
        </is>
      </c>
      <c r="E1414" s="14" t="inlineStr">
        <is>
          <t>STATE FOREST &amp; ENVIRONMENT DEPARTMENT</t>
        </is>
      </c>
      <c r="F1414" s="13" t="inlineStr">
        <is>
          <t>23 Jul 2026</t>
        </is>
      </c>
      <c r="G1414" s="12" t="inlineStr">
        <is>
          <t>21 Aug 2026</t>
        </is>
      </c>
      <c r="H1414" s="8" t="inlineStr">
        <is>
          <t>⏳ UPCOMING</t>
        </is>
      </c>
      <c r="I1414" s="11" t="inlineStr">
        <is>
          <t>BOQ_Financial_Schedule_2026_GOA_7258908_43.xlsx</t>
        </is>
      </c>
      <c r="J1414" s="13" t="inlineStr">
        <is>
          <t>📊 Excel BOQ</t>
        </is>
      </c>
      <c r="K1414" s="15" t="n">
        <v>2.5</v>
      </c>
      <c r="L1414" s="16">
        <f>HYPERLINK("http://127.0.0.1:8000/api/documents/download?id=3063&amp;attachment=true", "⬇ Download BOQ_Financial_Schedule_2")</f>
        <v/>
      </c>
      <c r="M1414" s="16">
        <f>HYPERLINK("http://localhost:5173/?state=Goa&amp;keyword=Forest&amp;tender=2026_GOA_7258908_43", "🚀 Open in Portal")</f>
        <v/>
      </c>
    </row>
    <row r="1415" ht="24" customHeight="1">
      <c r="A1415" s="4" t="inlineStr">
        <is>
          <t>Goa</t>
        </is>
      </c>
      <c r="B1415" s="5" t="inlineStr">
        <is>
          <t>Forest</t>
        </is>
      </c>
      <c r="C1415" s="6" t="inlineStr">
        <is>
          <t>2026_GOA_7258908_43</t>
        </is>
      </c>
      <c r="D1415" s="7" t="inlineStr">
        <is>
          <t>Forest-Based Satellite-Based Forest Canopy Density &amp; Wildlife Corridor Spatial Monitoring</t>
        </is>
      </c>
      <c r="E1415" s="7" t="inlineStr">
        <is>
          <t>STATE FOREST &amp; ENVIRONMENT DEPARTMENT</t>
        </is>
      </c>
      <c r="F1415" s="6" t="inlineStr">
        <is>
          <t>23 Jul 2026</t>
        </is>
      </c>
      <c r="G1415" s="5" t="inlineStr">
        <is>
          <t>21 Aug 2026</t>
        </is>
      </c>
      <c r="H1415" s="8" t="inlineStr">
        <is>
          <t>⏳ UPCOMING</t>
        </is>
      </c>
      <c r="I1415" s="4" t="inlineStr">
        <is>
          <t>Tender_2026_GOA_7258908_43_All_Documents.zip</t>
        </is>
      </c>
      <c r="J1415" s="6" t="inlineStr">
        <is>
          <t>📦 ZIP Package</t>
        </is>
      </c>
      <c r="K1415" s="9" t="n">
        <v>45</v>
      </c>
      <c r="L1415" s="10">
        <f>HYPERLINK("https://eprocure.goa.gov.in/tender/2026_GOA_7258908_43", "⬇ Download Tender_2026_GOA_7258908_")</f>
        <v/>
      </c>
      <c r="M1415" s="10">
        <f>HYPERLINK("http://localhost:5173/?state=Goa&amp;keyword=Forest&amp;tender=2026_GOA_7258908_43", "🚀 Open in Portal")</f>
        <v/>
      </c>
    </row>
    <row r="1416" ht="24" customHeight="1">
      <c r="A1416" s="11" t="inlineStr">
        <is>
          <t>Goa</t>
        </is>
      </c>
      <c r="B1416" s="12" t="inlineStr">
        <is>
          <t>Design</t>
        </is>
      </c>
      <c r="C1416" s="13" t="inlineStr">
        <is>
          <t>2026_COCP_32246_1</t>
        </is>
      </c>
      <c r="D1416" s="14" t="inlineStr">
        <is>
          <t>[Collection of Pay Parking fees from designated areas in Panaji City within the jurisdiction of CCP. List of designated areas are annexed at Annexure B Phase II]</t>
        </is>
      </c>
      <c r="E1416" s="14" t="inlineStr">
        <is>
          <t>Goa Public Works &amp; Technology Department</t>
        </is>
      </c>
      <c r="F1416" s="13" t="inlineStr">
        <is>
          <t>09 Sep 2026</t>
        </is>
      </c>
      <c r="G1416" s="12" t="inlineStr">
        <is>
          <t>07 Oct 2026</t>
        </is>
      </c>
      <c r="H1416" s="8" t="inlineStr">
        <is>
          <t>⏳ UPCOMING</t>
        </is>
      </c>
      <c r="I1416" s="11" t="inlineStr">
        <is>
          <t>Tendernotice_1.pdf</t>
        </is>
      </c>
      <c r="J1416" s="13" t="inlineStr">
        <is>
          <t>📕 PDF Document</t>
        </is>
      </c>
      <c r="K1416" s="15" t="n">
        <v>17.8</v>
      </c>
      <c r="L1416" s="16">
        <f>HYPERLINK("http://127.0.0.1:8000/api/documents/download?id=2123&amp;attachment=true", "⬇ Download Tendernotice_1.pdf")</f>
        <v/>
      </c>
      <c r="M1416" s="16">
        <f>HYPERLINK("http://localhost:5173/?state=Goa&amp;keyword=Design&amp;tender=2026_COCP_32246_1", "🚀 Open in Portal")</f>
        <v/>
      </c>
    </row>
    <row r="1417" ht="24" customHeight="1">
      <c r="A1417" s="4" t="inlineStr">
        <is>
          <t>Goa</t>
        </is>
      </c>
      <c r="B1417" s="5" t="inlineStr">
        <is>
          <t>Design</t>
        </is>
      </c>
      <c r="C1417" s="6" t="inlineStr">
        <is>
          <t>2026_COCP_32246_1</t>
        </is>
      </c>
      <c r="D1417" s="7" t="inlineStr">
        <is>
          <t>[Collection of Pay Parking fees from designated areas in Panaji City within the jurisdiction of CCP. List of designated areas are annexed at Annexure B Phase II]</t>
        </is>
      </c>
      <c r="E1417" s="7" t="inlineStr">
        <is>
          <t>Goa Public Works &amp; Technology Department</t>
        </is>
      </c>
      <c r="F1417" s="6" t="inlineStr">
        <is>
          <t>09 Sep 2026</t>
        </is>
      </c>
      <c r="G1417" s="5" t="inlineStr">
        <is>
          <t>07 Oct 2026</t>
        </is>
      </c>
      <c r="H1417" s="8" t="inlineStr">
        <is>
          <t>⏳ UPCOMING</t>
        </is>
      </c>
      <c r="I1417" s="4" t="inlineStr">
        <is>
          <t>BOQ_32629.xls</t>
        </is>
      </c>
      <c r="J1417" s="6" t="inlineStr">
        <is>
          <t>📊 Excel BOQ</t>
        </is>
      </c>
      <c r="K1417" s="9" t="n">
        <v>2.5</v>
      </c>
      <c r="L1417" s="10">
        <f>HYPERLINK("http://127.0.0.1:8000/api/documents/download?id=2124&amp;attachment=true", "⬇ Download BOQ_32629.xls")</f>
        <v/>
      </c>
      <c r="M1417" s="10">
        <f>HYPERLINK("http://localhost:5173/?state=Goa&amp;keyword=Design&amp;tender=2026_COCP_32246_1", "🚀 Open in Portal")</f>
        <v/>
      </c>
    </row>
    <row r="1418" ht="24" customHeight="1">
      <c r="A1418" s="11" t="inlineStr">
        <is>
          <t>Goa</t>
        </is>
      </c>
      <c r="B1418" s="12" t="inlineStr">
        <is>
          <t>Design</t>
        </is>
      </c>
      <c r="C1418" s="13" t="inlineStr">
        <is>
          <t>2026_COCP_32246_1</t>
        </is>
      </c>
      <c r="D1418" s="14" t="inlineStr">
        <is>
          <t>[Collection of Pay Parking fees from designated areas in Panaji City within the jurisdiction of CCP. List of designated areas are annexed at Annexure B Phase II]</t>
        </is>
      </c>
      <c r="E1418" s="14" t="inlineStr">
        <is>
          <t>Goa Public Works &amp; Technology Department</t>
        </is>
      </c>
      <c r="F1418" s="13" t="inlineStr">
        <is>
          <t>09 Sep 2026</t>
        </is>
      </c>
      <c r="G1418" s="12" t="inlineStr">
        <is>
          <t>07 Oct 2026</t>
        </is>
      </c>
      <c r="H1418" s="8" t="inlineStr">
        <is>
          <t>⏳ UPCOMING</t>
        </is>
      </c>
      <c r="I1418" s="11" t="inlineStr">
        <is>
          <t>Tender_2026_COCP_32246_1_All_Documents.zip</t>
        </is>
      </c>
      <c r="J1418" s="13" t="inlineStr">
        <is>
          <t>📦 ZIP Package</t>
        </is>
      </c>
      <c r="K1418" s="15" t="n">
        <v>11.6</v>
      </c>
      <c r="L1418" s="16">
        <f>HYPERLINK("http://127.0.0.1:8000/api/documents/download?id=2125&amp;attachment=true", "⬇ Download Tender_2026_COCP_32246_1")</f>
        <v/>
      </c>
      <c r="M1418" s="16">
        <f>HYPERLINK("http://localhost:5173/?state=Goa&amp;keyword=Design&amp;tender=2026_COCP_32246_1", "🚀 Open in Portal")</f>
        <v/>
      </c>
    </row>
    <row r="1419" ht="24" customHeight="1">
      <c r="A1419" s="4" t="inlineStr">
        <is>
          <t>Goa</t>
        </is>
      </c>
      <c r="B1419" s="5" t="inlineStr">
        <is>
          <t>Design</t>
        </is>
      </c>
      <c r="C1419" s="6" t="inlineStr">
        <is>
          <t>2026_COCP_32248_1</t>
        </is>
      </c>
      <c r="D1419" s="7" t="inlineStr">
        <is>
          <t>[Collection of Pay Parking fees from designated areas in Panaji City within the jurisdiction of CCP. List of designated areas are annexed at Annexure B Phase IV]</t>
        </is>
      </c>
      <c r="E1419" s="7" t="inlineStr">
        <is>
          <t>Goa Public Works &amp; Technology Department</t>
        </is>
      </c>
      <c r="F1419" s="6" t="inlineStr">
        <is>
          <t>24 Aug 2026</t>
        </is>
      </c>
      <c r="G1419" s="5" t="inlineStr">
        <is>
          <t>21 Sep 2026</t>
        </is>
      </c>
      <c r="H1419" s="8" t="inlineStr">
        <is>
          <t>⏳ UPCOMING</t>
        </is>
      </c>
      <c r="I1419" s="4" t="inlineStr">
        <is>
          <t>Tendernotice_1.pdf</t>
        </is>
      </c>
      <c r="J1419" s="6" t="inlineStr">
        <is>
          <t>📕 PDF Document</t>
        </is>
      </c>
      <c r="K1419" s="9" t="n">
        <v>17.8</v>
      </c>
      <c r="L1419" s="10">
        <f>HYPERLINK("http://127.0.0.1:8000/api/documents/download?id=2120&amp;attachment=true", "⬇ Download Tendernotice_1.pdf")</f>
        <v/>
      </c>
      <c r="M1419" s="10">
        <f>HYPERLINK("http://localhost:5173/?state=Goa&amp;keyword=Design&amp;tender=2026_COCP_32248_1", "🚀 Open in Portal")</f>
        <v/>
      </c>
    </row>
    <row r="1420" ht="24" customHeight="1">
      <c r="A1420" s="11" t="inlineStr">
        <is>
          <t>Goa</t>
        </is>
      </c>
      <c r="B1420" s="12" t="inlineStr">
        <is>
          <t>Design</t>
        </is>
      </c>
      <c r="C1420" s="13" t="inlineStr">
        <is>
          <t>2026_COCP_32248_1</t>
        </is>
      </c>
      <c r="D1420" s="14" t="inlineStr">
        <is>
          <t>[Collection of Pay Parking fees from designated areas in Panaji City within the jurisdiction of CCP. List of designated areas are annexed at Annexure B Phase IV]</t>
        </is>
      </c>
      <c r="E1420" s="14" t="inlineStr">
        <is>
          <t>Goa Public Works &amp; Technology Department</t>
        </is>
      </c>
      <c r="F1420" s="13" t="inlineStr">
        <is>
          <t>24 Aug 2026</t>
        </is>
      </c>
      <c r="G1420" s="12" t="inlineStr">
        <is>
          <t>21 Sep 2026</t>
        </is>
      </c>
      <c r="H1420" s="8" t="inlineStr">
        <is>
          <t>⏳ UPCOMING</t>
        </is>
      </c>
      <c r="I1420" s="11" t="inlineStr">
        <is>
          <t>BOQ_32630.xls</t>
        </is>
      </c>
      <c r="J1420" s="13" t="inlineStr">
        <is>
          <t>📊 Excel BOQ</t>
        </is>
      </c>
      <c r="K1420" s="15" t="n">
        <v>2.5</v>
      </c>
      <c r="L1420" s="16">
        <f>HYPERLINK("http://127.0.0.1:8000/api/documents/download?id=2121&amp;attachment=true", "⬇ Download BOQ_32630.xls")</f>
        <v/>
      </c>
      <c r="M1420" s="16">
        <f>HYPERLINK("http://localhost:5173/?state=Goa&amp;keyword=Design&amp;tender=2026_COCP_32248_1", "🚀 Open in Portal")</f>
        <v/>
      </c>
    </row>
    <row r="1421" ht="24" customHeight="1">
      <c r="A1421" s="4" t="inlineStr">
        <is>
          <t>Goa</t>
        </is>
      </c>
      <c r="B1421" s="5" t="inlineStr">
        <is>
          <t>Design</t>
        </is>
      </c>
      <c r="C1421" s="6" t="inlineStr">
        <is>
          <t>2026_COCP_32248_1</t>
        </is>
      </c>
      <c r="D1421" s="7" t="inlineStr">
        <is>
          <t>[Collection of Pay Parking fees from designated areas in Panaji City within the jurisdiction of CCP. List of designated areas are annexed at Annexure B Phase IV]</t>
        </is>
      </c>
      <c r="E1421" s="7" t="inlineStr">
        <is>
          <t>Goa Public Works &amp; Technology Department</t>
        </is>
      </c>
      <c r="F1421" s="6" t="inlineStr">
        <is>
          <t>24 Aug 2026</t>
        </is>
      </c>
      <c r="G1421" s="5" t="inlineStr">
        <is>
          <t>21 Sep 2026</t>
        </is>
      </c>
      <c r="H1421" s="8" t="inlineStr">
        <is>
          <t>⏳ UPCOMING</t>
        </is>
      </c>
      <c r="I1421" s="4" t="inlineStr">
        <is>
          <t>Tender_2026_COCP_32248_1_All_Documents.zip</t>
        </is>
      </c>
      <c r="J1421" s="6" t="inlineStr">
        <is>
          <t>📦 ZIP Package</t>
        </is>
      </c>
      <c r="K1421" s="9" t="n">
        <v>11.6</v>
      </c>
      <c r="L1421" s="10">
        <f>HYPERLINK("http://127.0.0.1:8000/api/documents/download?id=2122&amp;attachment=true", "⬇ Download Tender_2026_COCP_32248_1")</f>
        <v/>
      </c>
      <c r="M1421" s="10">
        <f>HYPERLINK("http://localhost:5173/?state=Goa&amp;keyword=Design&amp;tender=2026_COCP_32248_1", "🚀 Open in Portal")</f>
        <v/>
      </c>
    </row>
    <row r="1422" ht="24" customHeight="1">
      <c r="A1422" s="11" t="inlineStr">
        <is>
          <t>Gujarat</t>
        </is>
      </c>
      <c r="B1422" s="12" t="inlineStr">
        <is>
          <t>GIS</t>
        </is>
      </c>
      <c r="C1422" s="13" t="inlineStr">
        <is>
          <t>NPROC-GIL-2026-9041</t>
        </is>
      </c>
      <c r="D1422" s="14" t="inlineStr">
        <is>
          <t>Design, Development and Maintenance of State Spatial Data Infrastructure (SSDI) Portal</t>
        </is>
      </c>
      <c r="E1422" s="14" t="inlineStr">
        <is>
          <t>GUJARAT INFORMATICS LIMITED (GIL)-Gandhinagar</t>
        </is>
      </c>
      <c r="F1422" s="13" t="inlineStr">
        <is>
          <t>31 Jul 2026</t>
        </is>
      </c>
      <c r="G1422" s="12" t="inlineStr">
        <is>
          <t>22 Aug 2026</t>
        </is>
      </c>
      <c r="H1422" s="8" t="inlineStr">
        <is>
          <t>⏳ UPCOMING</t>
        </is>
      </c>
      <c r="I1422" s="11" t="inlineStr">
        <is>
          <t>Gujarat_SSDI_Portal_RFP.pdf</t>
        </is>
      </c>
      <c r="J1422" s="13" t="inlineStr">
        <is>
          <t>📕 PDF Document</t>
        </is>
      </c>
      <c r="K1422" s="15" t="n">
        <v>17.9</v>
      </c>
      <c r="L1422" s="16">
        <f>HYPERLINK("http://127.0.0.1:8000/api/documents/download?id=2809&amp;attachment=true", "⬇ Download Gujarat_SSDI_Portal_RFP.")</f>
        <v/>
      </c>
      <c r="M1422" s="16">
        <f>HYPERLINK("http://localhost:5173/?state=Gujarat&amp;keyword=GIS&amp;tender=NPROC-GIL-2026-9041", "🚀 Open in Portal")</f>
        <v/>
      </c>
    </row>
    <row r="1423" ht="24" customHeight="1">
      <c r="A1423" s="4" t="inlineStr">
        <is>
          <t>Gujarat</t>
        </is>
      </c>
      <c r="B1423" s="5" t="inlineStr">
        <is>
          <t>GIS</t>
        </is>
      </c>
      <c r="C1423" s="6" t="inlineStr">
        <is>
          <t>NPROC-GIL-2026-9041</t>
        </is>
      </c>
      <c r="D1423" s="7" t="inlineStr">
        <is>
          <t>Design, Development and Maintenance of State Spatial Data Infrastructure (SSDI) Portal</t>
        </is>
      </c>
      <c r="E1423" s="7" t="inlineStr">
        <is>
          <t>GUJARAT INFORMATICS LIMITED (GIL)-Gandhinagar</t>
        </is>
      </c>
      <c r="F1423" s="6" t="inlineStr">
        <is>
          <t>31 Jul 2026</t>
        </is>
      </c>
      <c r="G1423" s="5" t="inlineStr">
        <is>
          <t>22 Aug 2026</t>
        </is>
      </c>
      <c r="H1423" s="8" t="inlineStr">
        <is>
          <t>⏳ UPCOMING</t>
        </is>
      </c>
      <c r="I1423" s="4" t="inlineStr">
        <is>
          <t>OGC_Services_Compliance_Spec.pdf</t>
        </is>
      </c>
      <c r="J1423" s="6" t="inlineStr">
        <is>
          <t>📕 PDF Document</t>
        </is>
      </c>
      <c r="K1423" s="9" t="n">
        <v>17.9</v>
      </c>
      <c r="L1423" s="10">
        <f>HYPERLINK("http://127.0.0.1:8000/api/documents/download?id=2810&amp;attachment=true", "⬇ Download OGC_Services_Compliance_")</f>
        <v/>
      </c>
      <c r="M1423" s="10">
        <f>HYPERLINK("http://localhost:5173/?state=Gujarat&amp;keyword=GIS&amp;tender=NPROC-GIL-2026-9041", "🚀 Open in Portal")</f>
        <v/>
      </c>
    </row>
    <row r="1424" ht="24" customHeight="1">
      <c r="A1424" s="11" t="inlineStr">
        <is>
          <t>Gujarat</t>
        </is>
      </c>
      <c r="B1424" s="12" t="inlineStr">
        <is>
          <t>GIS</t>
        </is>
      </c>
      <c r="C1424" s="13" t="inlineStr">
        <is>
          <t>NPROC-GIL-2026-9041</t>
        </is>
      </c>
      <c r="D1424" s="14" t="inlineStr">
        <is>
          <t>Design, Development and Maintenance of State Spatial Data Infrastructure (SSDI) Portal</t>
        </is>
      </c>
      <c r="E1424" s="14" t="inlineStr">
        <is>
          <t>GUJARAT INFORMATICS LIMITED (GIL)-Gandhinagar</t>
        </is>
      </c>
      <c r="F1424" s="13" t="inlineStr">
        <is>
          <t>31 Jul 2026</t>
        </is>
      </c>
      <c r="G1424" s="12" t="inlineStr">
        <is>
          <t>22 Aug 2026</t>
        </is>
      </c>
      <c r="H1424" s="8" t="inlineStr">
        <is>
          <t>⏳ UPCOMING</t>
        </is>
      </c>
      <c r="I1424" s="11" t="inlineStr">
        <is>
          <t>Commercial_Format_Price_Bid.xlsx</t>
        </is>
      </c>
      <c r="J1424" s="13" t="inlineStr">
        <is>
          <t>📊 Excel BOQ</t>
        </is>
      </c>
      <c r="K1424" s="15" t="n">
        <v>2.4</v>
      </c>
      <c r="L1424" s="16">
        <f>HYPERLINK("http://127.0.0.1:8000/api/documents/download?id=2811&amp;attachment=true", "⬇ Download Commercial_Format_Price_")</f>
        <v/>
      </c>
      <c r="M1424" s="16">
        <f>HYPERLINK("http://localhost:5173/?state=Gujarat&amp;keyword=GIS&amp;tender=NPROC-GIL-2026-9041", "🚀 Open in Portal")</f>
        <v/>
      </c>
    </row>
    <row r="1425" ht="24" customHeight="1">
      <c r="A1425" s="4" t="inlineStr">
        <is>
          <t>Gujarat</t>
        </is>
      </c>
      <c r="B1425" s="5" t="inlineStr">
        <is>
          <t>GIS</t>
        </is>
      </c>
      <c r="C1425" s="6" t="inlineStr">
        <is>
          <t>NPROC-GIL-2026-9041</t>
        </is>
      </c>
      <c r="D1425" s="7" t="inlineStr">
        <is>
          <t>Design, Development and Maintenance of State Spatial Data Infrastructure (SSDI) Portal</t>
        </is>
      </c>
      <c r="E1425" s="7" t="inlineStr">
        <is>
          <t>GUJARAT INFORMATICS LIMITED (GIL)-Gandhinagar</t>
        </is>
      </c>
      <c r="F1425" s="6" t="inlineStr">
        <is>
          <t>31 Jul 2026</t>
        </is>
      </c>
      <c r="G1425" s="5" t="inlineStr">
        <is>
          <t>22 Aug 2026</t>
        </is>
      </c>
      <c r="H1425" s="8" t="inlineStr">
        <is>
          <t>⏳ UPCOMING</t>
        </is>
      </c>
      <c r="I1425" s="4" t="inlineStr">
        <is>
          <t>Tender_NPROC-GIL-2026-9041_All_Documents.zip</t>
        </is>
      </c>
      <c r="J1425" s="6" t="inlineStr">
        <is>
          <t>📦 ZIP Package</t>
        </is>
      </c>
      <c r="K1425" s="9" t="n">
        <v>20.8</v>
      </c>
      <c r="L1425" s="10">
        <f>HYPERLINK("http://127.0.0.1:8000/api/documents/download?id=3010&amp;attachment=true", "⬇ Download Tender_NPROC-GIL-2026-90")</f>
        <v/>
      </c>
      <c r="M1425" s="10">
        <f>HYPERLINK("http://localhost:5173/?state=Gujarat&amp;keyword=GIS&amp;tender=NPROC-GIL-2026-9041", "🚀 Open in Portal")</f>
        <v/>
      </c>
    </row>
    <row r="1426" ht="24" customHeight="1">
      <c r="A1426" s="11" t="inlineStr">
        <is>
          <t>Gujarat</t>
        </is>
      </c>
      <c r="B1426" s="12" t="inlineStr">
        <is>
          <t>ICT</t>
        </is>
      </c>
      <c r="C1426" s="13" t="inlineStr">
        <is>
          <t>NPROC-AGRI-2026-4409</t>
        </is>
      </c>
      <c r="D1426" s="14" t="inlineStr">
        <is>
          <t>Digital Soil Testing Labs Automation &amp; Mobile App for Farmer Soil Health Cards</t>
        </is>
      </c>
      <c r="E1426" s="14" t="inlineStr">
        <is>
          <t>DIRECTORATE OF AGRICULTURE-Krishi Bhavan, Gandhinagar</t>
        </is>
      </c>
      <c r="F1426" s="13" t="inlineStr">
        <is>
          <t>27 Jul 2026</t>
        </is>
      </c>
      <c r="G1426" s="12" t="inlineStr">
        <is>
          <t>19 Aug 2026</t>
        </is>
      </c>
      <c r="H1426" s="8" t="inlineStr">
        <is>
          <t>⏳ UPCOMING</t>
        </is>
      </c>
      <c r="I1426" s="11" t="inlineStr">
        <is>
          <t>Soil_Health_Mobile_App_Tender.pdf</t>
        </is>
      </c>
      <c r="J1426" s="13" t="inlineStr">
        <is>
          <t>📕 PDF Document</t>
        </is>
      </c>
      <c r="K1426" s="15" t="n">
        <v>17.9</v>
      </c>
      <c r="L1426" s="16">
        <f>HYPERLINK("http://127.0.0.1:8000/api/documents/download?id=2816&amp;attachment=true", "⬇ Download Soil_Health_Mobile_App_T")</f>
        <v/>
      </c>
      <c r="M1426" s="16">
        <f>HYPERLINK("http://localhost:5173/?state=Gujarat&amp;keyword=ICT&amp;tender=NPROC-AGRI-2026-4409", "🚀 Open in Portal")</f>
        <v/>
      </c>
    </row>
    <row r="1427" ht="24" customHeight="1">
      <c r="A1427" s="4" t="inlineStr">
        <is>
          <t>Gujarat</t>
        </is>
      </c>
      <c r="B1427" s="5" t="inlineStr">
        <is>
          <t>ICT</t>
        </is>
      </c>
      <c r="C1427" s="6" t="inlineStr">
        <is>
          <t>NPROC-AGRI-2026-4409</t>
        </is>
      </c>
      <c r="D1427" s="7" t="inlineStr">
        <is>
          <t>Digital Soil Testing Labs Automation &amp; Mobile App for Farmer Soil Health Cards</t>
        </is>
      </c>
      <c r="E1427" s="7" t="inlineStr">
        <is>
          <t>DIRECTORATE OF AGRICULTURE-Krishi Bhavan, Gandhinagar</t>
        </is>
      </c>
      <c r="F1427" s="6" t="inlineStr">
        <is>
          <t>27 Jul 2026</t>
        </is>
      </c>
      <c r="G1427" s="5" t="inlineStr">
        <is>
          <t>19 Aug 2026</t>
        </is>
      </c>
      <c r="H1427" s="8" t="inlineStr">
        <is>
          <t>⏳ UPCOMING</t>
        </is>
      </c>
      <c r="I1427" s="4" t="inlineStr">
        <is>
          <t>Software_Acceptance_Test_Plan.pdf</t>
        </is>
      </c>
      <c r="J1427" s="6" t="inlineStr">
        <is>
          <t>📕 PDF Document</t>
        </is>
      </c>
      <c r="K1427" s="9" t="n">
        <v>17.9</v>
      </c>
      <c r="L1427" s="10">
        <f>HYPERLINK("http://127.0.0.1:8000/api/documents/download?id=2817&amp;attachment=true", "⬇ Download Software_Acceptance_Test")</f>
        <v/>
      </c>
      <c r="M1427" s="10">
        <f>HYPERLINK("http://localhost:5173/?state=Gujarat&amp;keyword=ICT&amp;tender=NPROC-AGRI-2026-4409", "🚀 Open in Portal")</f>
        <v/>
      </c>
    </row>
    <row r="1428" ht="24" customHeight="1">
      <c r="A1428" s="11" t="inlineStr">
        <is>
          <t>Gujarat</t>
        </is>
      </c>
      <c r="B1428" s="12" t="inlineStr">
        <is>
          <t>ICT</t>
        </is>
      </c>
      <c r="C1428" s="13" t="inlineStr">
        <is>
          <t>NPROC-AGRI-2026-4409</t>
        </is>
      </c>
      <c r="D1428" s="14" t="inlineStr">
        <is>
          <t>Digital Soil Testing Labs Automation &amp; Mobile App for Farmer Soil Health Cards</t>
        </is>
      </c>
      <c r="E1428" s="14" t="inlineStr">
        <is>
          <t>DIRECTORATE OF AGRICULTURE-Krishi Bhavan, Gandhinagar</t>
        </is>
      </c>
      <c r="F1428" s="13" t="inlineStr">
        <is>
          <t>27 Jul 2026</t>
        </is>
      </c>
      <c r="G1428" s="12" t="inlineStr">
        <is>
          <t>19 Aug 2026</t>
        </is>
      </c>
      <c r="H1428" s="8" t="inlineStr">
        <is>
          <t>⏳ UPCOMING</t>
        </is>
      </c>
      <c r="I1428" s="11" t="inlineStr">
        <is>
          <t>Tender_NPROC-AGRI-2026-4409_All_Documents.zip</t>
        </is>
      </c>
      <c r="J1428" s="13" t="inlineStr">
        <is>
          <t>📦 ZIP Package</t>
        </is>
      </c>
      <c r="K1428" s="15" t="n">
        <v>18.6</v>
      </c>
      <c r="L1428" s="16">
        <f>HYPERLINK("http://127.0.0.1:8000/api/documents/download?id=3013&amp;attachment=true", "⬇ Download Tender_NPROC-AGRI-2026-4")</f>
        <v/>
      </c>
      <c r="M1428" s="16">
        <f>HYPERLINK("http://localhost:5173/?state=Gujarat&amp;keyword=ICT&amp;tender=NPROC-AGRI-2026-4409", "🚀 Open in Portal")</f>
        <v/>
      </c>
    </row>
    <row r="1429" ht="24" customHeight="1">
      <c r="A1429" s="4" t="inlineStr">
        <is>
          <t>Gujarat</t>
        </is>
      </c>
      <c r="B1429" s="5" t="inlineStr">
        <is>
          <t>Agriculture</t>
        </is>
      </c>
      <c r="C1429" s="6" t="inlineStr">
        <is>
          <t>NPROC-AGRI-2026-4409</t>
        </is>
      </c>
      <c r="D1429" s="7" t="inlineStr">
        <is>
          <t>Digital Soil Testing Labs Automation &amp; Mobile App for Farmer Soil Health Cards</t>
        </is>
      </c>
      <c r="E1429" s="7" t="inlineStr">
        <is>
          <t>DIRECTORATE OF AGRICULTURE-Krishi Bhavan, Gandhinagar</t>
        </is>
      </c>
      <c r="F1429" s="6" t="inlineStr">
        <is>
          <t>27 Jul 2026</t>
        </is>
      </c>
      <c r="G1429" s="5" t="inlineStr">
        <is>
          <t>19 Aug 2026</t>
        </is>
      </c>
      <c r="H1429" s="8" t="inlineStr">
        <is>
          <t>⏳ UPCOMING</t>
        </is>
      </c>
      <c r="I1429" s="4" t="inlineStr">
        <is>
          <t>Soil_Health_Mobile_App_Tender.pdf</t>
        </is>
      </c>
      <c r="J1429" s="6" t="inlineStr">
        <is>
          <t>📕 PDF Document</t>
        </is>
      </c>
      <c r="K1429" s="9" t="n">
        <v>17.9</v>
      </c>
      <c r="L1429" s="10">
        <f>HYPERLINK("http://127.0.0.1:8000/api/documents/download?id=2816&amp;attachment=true", "⬇ Download Soil_Health_Mobile_App_T")</f>
        <v/>
      </c>
      <c r="M1429" s="10">
        <f>HYPERLINK("http://localhost:5173/?state=Gujarat&amp;keyword=Agriculture&amp;tender=NPROC-AGRI-2026-4409", "🚀 Open in Portal")</f>
        <v/>
      </c>
    </row>
    <row r="1430" ht="24" customHeight="1">
      <c r="A1430" s="11" t="inlineStr">
        <is>
          <t>Gujarat</t>
        </is>
      </c>
      <c r="B1430" s="12" t="inlineStr">
        <is>
          <t>Agriculture</t>
        </is>
      </c>
      <c r="C1430" s="13" t="inlineStr">
        <is>
          <t>NPROC-AGRI-2026-4409</t>
        </is>
      </c>
      <c r="D1430" s="14" t="inlineStr">
        <is>
          <t>Digital Soil Testing Labs Automation &amp; Mobile App for Farmer Soil Health Cards</t>
        </is>
      </c>
      <c r="E1430" s="14" t="inlineStr">
        <is>
          <t>DIRECTORATE OF AGRICULTURE-Krishi Bhavan, Gandhinagar</t>
        </is>
      </c>
      <c r="F1430" s="13" t="inlineStr">
        <is>
          <t>27 Jul 2026</t>
        </is>
      </c>
      <c r="G1430" s="12" t="inlineStr">
        <is>
          <t>19 Aug 2026</t>
        </is>
      </c>
      <c r="H1430" s="8" t="inlineStr">
        <is>
          <t>⏳ UPCOMING</t>
        </is>
      </c>
      <c r="I1430" s="11" t="inlineStr">
        <is>
          <t>Software_Acceptance_Test_Plan.pdf</t>
        </is>
      </c>
      <c r="J1430" s="13" t="inlineStr">
        <is>
          <t>📕 PDF Document</t>
        </is>
      </c>
      <c r="K1430" s="15" t="n">
        <v>17.9</v>
      </c>
      <c r="L1430" s="16">
        <f>HYPERLINK("http://127.0.0.1:8000/api/documents/download?id=2817&amp;attachment=true", "⬇ Download Software_Acceptance_Test")</f>
        <v/>
      </c>
      <c r="M1430" s="16">
        <f>HYPERLINK("http://localhost:5173/?state=Gujarat&amp;keyword=Agriculture&amp;tender=NPROC-AGRI-2026-4409", "🚀 Open in Portal")</f>
        <v/>
      </c>
    </row>
    <row r="1431" ht="24" customHeight="1">
      <c r="A1431" s="4" t="inlineStr">
        <is>
          <t>Gujarat</t>
        </is>
      </c>
      <c r="B1431" s="5" t="inlineStr">
        <is>
          <t>Agriculture</t>
        </is>
      </c>
      <c r="C1431" s="6" t="inlineStr">
        <is>
          <t>NPROC-AGRI-2026-4409</t>
        </is>
      </c>
      <c r="D1431" s="7" t="inlineStr">
        <is>
          <t>Digital Soil Testing Labs Automation &amp; Mobile App for Farmer Soil Health Cards</t>
        </is>
      </c>
      <c r="E1431" s="7" t="inlineStr">
        <is>
          <t>DIRECTORATE OF AGRICULTURE-Krishi Bhavan, Gandhinagar</t>
        </is>
      </c>
      <c r="F1431" s="6" t="inlineStr">
        <is>
          <t>27 Jul 2026</t>
        </is>
      </c>
      <c r="G1431" s="5" t="inlineStr">
        <is>
          <t>19 Aug 2026</t>
        </is>
      </c>
      <c r="H1431" s="8" t="inlineStr">
        <is>
          <t>⏳ UPCOMING</t>
        </is>
      </c>
      <c r="I1431" s="4" t="inlineStr">
        <is>
          <t>Tender_NPROC-AGRI-2026-4409_All_Documents.zip</t>
        </is>
      </c>
      <c r="J1431" s="6" t="inlineStr">
        <is>
          <t>📦 ZIP Package</t>
        </is>
      </c>
      <c r="K1431" s="9" t="n">
        <v>18.6</v>
      </c>
      <c r="L1431" s="10">
        <f>HYPERLINK("http://127.0.0.1:8000/api/documents/download?id=3013&amp;attachment=true", "⬇ Download Tender_NPROC-AGRI-2026-4")</f>
        <v/>
      </c>
      <c r="M1431" s="10">
        <f>HYPERLINK("http://localhost:5173/?state=Gujarat&amp;keyword=Agriculture&amp;tender=NPROC-AGRI-2026-4409", "🚀 Open in Portal")</f>
        <v/>
      </c>
    </row>
    <row r="1432" ht="24" customHeight="1">
      <c r="A1432" s="11" t="inlineStr">
        <is>
          <t>Gujarat</t>
        </is>
      </c>
      <c r="B1432" s="12" t="inlineStr">
        <is>
          <t>Forest</t>
        </is>
      </c>
      <c r="C1432" s="13" t="inlineStr">
        <is>
          <t>NPROC-FOREST-2026-6120</t>
        </is>
      </c>
      <c r="D1432" s="14" t="inlineStr">
        <is>
          <t>Wildlife Habitat Mapping and Drone Surveillance in Gir &amp; Marine National Parks</t>
        </is>
      </c>
      <c r="E1432" s="14" t="inlineStr">
        <is>
          <t>FORESTS &amp; ENVIRONMENT DEPARTMENT-Gandhinagar</t>
        </is>
      </c>
      <c r="F1432" s="13" t="inlineStr">
        <is>
          <t>27 Sep 2026</t>
        </is>
      </c>
      <c r="G1432" s="12" t="inlineStr">
        <is>
          <t>22 Oct 2026</t>
        </is>
      </c>
      <c r="H1432" s="18" t="inlineStr">
        <is>
          <t>⚠️ CLOSING SOON</t>
        </is>
      </c>
      <c r="I1432" s="11" t="inlineStr">
        <is>
          <t>Wildlife_Surveillance_RFP_Gujarat.pdf</t>
        </is>
      </c>
      <c r="J1432" s="13" t="inlineStr">
        <is>
          <t>📕 PDF Document</t>
        </is>
      </c>
      <c r="K1432" s="15" t="n">
        <v>17.9</v>
      </c>
      <c r="L1432" s="16">
        <f>HYPERLINK("http://127.0.0.1:8000/api/documents/download?id=2814&amp;attachment=true", "⬇ Download Wildlife_Surveillance_RF")</f>
        <v/>
      </c>
      <c r="M1432" s="16">
        <f>HYPERLINK("http://localhost:5173/?state=Gujarat&amp;keyword=Forest&amp;tender=NPROC-FOREST-2026-6120", "🚀 Open in Portal")</f>
        <v/>
      </c>
    </row>
    <row r="1433" ht="24" customHeight="1">
      <c r="A1433" s="4" t="inlineStr">
        <is>
          <t>Gujarat</t>
        </is>
      </c>
      <c r="B1433" s="5" t="inlineStr">
        <is>
          <t>Forest</t>
        </is>
      </c>
      <c r="C1433" s="6" t="inlineStr">
        <is>
          <t>NPROC-FOREST-2026-6120</t>
        </is>
      </c>
      <c r="D1433" s="7" t="inlineStr">
        <is>
          <t>Wildlife Habitat Mapping and Drone Surveillance in Gir &amp; Marine National Parks</t>
        </is>
      </c>
      <c r="E1433" s="7" t="inlineStr">
        <is>
          <t>FORESTS &amp; ENVIRONMENT DEPARTMENT-Gandhinagar</t>
        </is>
      </c>
      <c r="F1433" s="6" t="inlineStr">
        <is>
          <t>27 Sep 2026</t>
        </is>
      </c>
      <c r="G1433" s="5" t="inlineStr">
        <is>
          <t>22 Oct 2026</t>
        </is>
      </c>
      <c r="H1433" s="18" t="inlineStr">
        <is>
          <t>⚠️ CLOSING SOON</t>
        </is>
      </c>
      <c r="I1433" s="4" t="inlineStr">
        <is>
          <t>Drone_Flight_Safety_Guidelines.pdf</t>
        </is>
      </c>
      <c r="J1433" s="6" t="inlineStr">
        <is>
          <t>📕 PDF Document</t>
        </is>
      </c>
      <c r="K1433" s="9" t="n">
        <v>17.9</v>
      </c>
      <c r="L1433" s="10">
        <f>HYPERLINK("http://127.0.0.1:8000/api/documents/download?id=2815&amp;attachment=true", "⬇ Download Drone_Flight_Safety_Guid")</f>
        <v/>
      </c>
      <c r="M1433" s="10">
        <f>HYPERLINK("http://localhost:5173/?state=Gujarat&amp;keyword=Forest&amp;tender=NPROC-FOREST-2026-6120", "🚀 Open in Portal")</f>
        <v/>
      </c>
    </row>
    <row r="1434" ht="24" customHeight="1">
      <c r="A1434" s="11" t="inlineStr">
        <is>
          <t>Gujarat</t>
        </is>
      </c>
      <c r="B1434" s="12" t="inlineStr">
        <is>
          <t>Forest</t>
        </is>
      </c>
      <c r="C1434" s="13" t="inlineStr">
        <is>
          <t>NPROC-FOREST-2026-6120</t>
        </is>
      </c>
      <c r="D1434" s="14" t="inlineStr">
        <is>
          <t>Wildlife Habitat Mapping and Drone Surveillance in Gir &amp; Marine National Parks</t>
        </is>
      </c>
      <c r="E1434" s="14" t="inlineStr">
        <is>
          <t>FORESTS &amp; ENVIRONMENT DEPARTMENT-Gandhinagar</t>
        </is>
      </c>
      <c r="F1434" s="13" t="inlineStr">
        <is>
          <t>27 Sep 2026</t>
        </is>
      </c>
      <c r="G1434" s="12" t="inlineStr">
        <is>
          <t>22 Oct 2026</t>
        </is>
      </c>
      <c r="H1434" s="18" t="inlineStr">
        <is>
          <t>⚠️ CLOSING SOON</t>
        </is>
      </c>
      <c r="I1434" s="11" t="inlineStr">
        <is>
          <t>Tender_NPROC-FOREST-2026-6120_All_Documents.zip</t>
        </is>
      </c>
      <c r="J1434" s="13" t="inlineStr">
        <is>
          <t>📦 ZIP Package</t>
        </is>
      </c>
      <c r="K1434" s="15" t="n">
        <v>18.6</v>
      </c>
      <c r="L1434" s="16">
        <f>HYPERLINK("http://127.0.0.1:8000/api/documents/download?id=3012&amp;attachment=true", "⬇ Download Tender_NPROC-FOREST-2026")</f>
        <v/>
      </c>
      <c r="M1434" s="16">
        <f>HYPERLINK("http://localhost:5173/?state=Gujarat&amp;keyword=Forest&amp;tender=NPROC-FOREST-2026-6120", "🚀 Open in Portal")</f>
        <v/>
      </c>
    </row>
    <row r="1435" ht="24" customHeight="1">
      <c r="A1435" s="4" t="inlineStr">
        <is>
          <t>Gujarat</t>
        </is>
      </c>
      <c r="B1435" s="5" t="inlineStr">
        <is>
          <t>Climate Change</t>
        </is>
      </c>
      <c r="C1435" s="6" t="inlineStr">
        <is>
          <t>NPROC-CLIMATE-2026-3482</t>
        </is>
      </c>
      <c r="D1435" s="7" t="inlineStr">
        <is>
          <t>Rooftop Solar &amp; Renewable Energy Real-Time Monitoring IoT &amp; MIS Platform</t>
        </is>
      </c>
      <c r="E1435" s="7" t="inlineStr">
        <is>
          <t>CLIMATE CHANGE DEPARTMENT-Sardar Patel Bhavan, Gandhinagar</t>
        </is>
      </c>
      <c r="F1435" s="6" t="inlineStr">
        <is>
          <t>29 Aug 2026</t>
        </is>
      </c>
      <c r="G1435" s="5" t="inlineStr">
        <is>
          <t>25 Sep 2026</t>
        </is>
      </c>
      <c r="H1435" s="8" t="inlineStr">
        <is>
          <t>⏳ UPCOMING</t>
        </is>
      </c>
      <c r="I1435" s="4" t="inlineStr">
        <is>
          <t>Climate_Change_Solar_MIS_Tender.pdf</t>
        </is>
      </c>
      <c r="J1435" s="6" t="inlineStr">
        <is>
          <t>📕 PDF Document</t>
        </is>
      </c>
      <c r="K1435" s="9" t="n">
        <v>17.9</v>
      </c>
      <c r="L1435" s="10">
        <f>HYPERLINK("http://127.0.0.1:8000/api/documents/download?id=2812&amp;attachment=true", "⬇ Download Climate_Change_Solar_MIS")</f>
        <v/>
      </c>
      <c r="M1435" s="10">
        <f>HYPERLINK("http://localhost:5173/?state=Gujarat&amp;keyword=Climate%20Change&amp;tender=NPROC-CLIMATE-2026-3482", "🚀 Open in Portal")</f>
        <v/>
      </c>
    </row>
    <row r="1436" ht="24" customHeight="1">
      <c r="A1436" s="11" t="inlineStr">
        <is>
          <t>Gujarat</t>
        </is>
      </c>
      <c r="B1436" s="12" t="inlineStr">
        <is>
          <t>Climate Change</t>
        </is>
      </c>
      <c r="C1436" s="13" t="inlineStr">
        <is>
          <t>NPROC-CLIMATE-2026-3482</t>
        </is>
      </c>
      <c r="D1436" s="14" t="inlineStr">
        <is>
          <t>Rooftop Solar &amp; Renewable Energy Real-Time Monitoring IoT &amp; MIS Platform</t>
        </is>
      </c>
      <c r="E1436" s="14" t="inlineStr">
        <is>
          <t>CLIMATE CHANGE DEPARTMENT-Sardar Patel Bhavan, Gandhinagar</t>
        </is>
      </c>
      <c r="F1436" s="13" t="inlineStr">
        <is>
          <t>29 Aug 2026</t>
        </is>
      </c>
      <c r="G1436" s="12" t="inlineStr">
        <is>
          <t>25 Sep 2026</t>
        </is>
      </c>
      <c r="H1436" s="8" t="inlineStr">
        <is>
          <t>⏳ UPCOMING</t>
        </is>
      </c>
      <c r="I1436" s="11" t="inlineStr">
        <is>
          <t>IoT_Gateway_Protocols.pdf</t>
        </is>
      </c>
      <c r="J1436" s="13" t="inlineStr">
        <is>
          <t>📕 PDF Document</t>
        </is>
      </c>
      <c r="K1436" s="15" t="n">
        <v>17.9</v>
      </c>
      <c r="L1436" s="16">
        <f>HYPERLINK("http://127.0.0.1:8000/api/documents/download?id=2813&amp;attachment=true", "⬇ Download IoT_Gateway_Protocols.pd")</f>
        <v/>
      </c>
      <c r="M1436" s="16">
        <f>HYPERLINK("http://localhost:5173/?state=Gujarat&amp;keyword=Climate%20Change&amp;tender=NPROC-CLIMATE-2026-3482", "🚀 Open in Portal")</f>
        <v/>
      </c>
    </row>
    <row r="1437" ht="24" customHeight="1">
      <c r="A1437" s="4" t="inlineStr">
        <is>
          <t>Gujarat</t>
        </is>
      </c>
      <c r="B1437" s="5" t="inlineStr">
        <is>
          <t>Climate Change</t>
        </is>
      </c>
      <c r="C1437" s="6" t="inlineStr">
        <is>
          <t>NPROC-CLIMATE-2026-3482</t>
        </is>
      </c>
      <c r="D1437" s="7" t="inlineStr">
        <is>
          <t>Rooftop Solar &amp; Renewable Energy Real-Time Monitoring IoT &amp; MIS Platform</t>
        </is>
      </c>
      <c r="E1437" s="7" t="inlineStr">
        <is>
          <t>CLIMATE CHANGE DEPARTMENT-Sardar Patel Bhavan, Gandhinagar</t>
        </is>
      </c>
      <c r="F1437" s="6" t="inlineStr">
        <is>
          <t>29 Aug 2026</t>
        </is>
      </c>
      <c r="G1437" s="5" t="inlineStr">
        <is>
          <t>25 Sep 2026</t>
        </is>
      </c>
      <c r="H1437" s="8" t="inlineStr">
        <is>
          <t>⏳ UPCOMING</t>
        </is>
      </c>
      <c r="I1437" s="4" t="inlineStr">
        <is>
          <t>Tender_NPROC-CLIMATE-2026-3482_All_Documents.zip</t>
        </is>
      </c>
      <c r="J1437" s="6" t="inlineStr">
        <is>
          <t>📦 ZIP Package</t>
        </is>
      </c>
      <c r="K1437" s="9" t="n">
        <v>18.7</v>
      </c>
      <c r="L1437" s="10">
        <f>HYPERLINK("http://127.0.0.1:8000/api/documents/download?id=3011&amp;attachment=true", "⬇ Download Tender_NPROC-CLIMATE-202")</f>
        <v/>
      </c>
      <c r="M1437" s="10">
        <f>HYPERLINK("http://localhost:5173/?state=Gujarat&amp;keyword=Climate%20Change&amp;tender=NPROC-CLIMATE-2026-3482", "🚀 Open in Portal")</f>
        <v/>
      </c>
    </row>
    <row r="1438" ht="24" customHeight="1">
      <c r="A1438" s="11" t="inlineStr">
        <is>
          <t>Gujarat</t>
        </is>
      </c>
      <c r="B1438" s="12" t="inlineStr">
        <is>
          <t>Environment</t>
        </is>
      </c>
      <c r="C1438" s="13" t="inlineStr">
        <is>
          <t>NPROC-CLIMATE-2026-3482</t>
        </is>
      </c>
      <c r="D1438" s="14" t="inlineStr">
        <is>
          <t>Rooftop Solar &amp; Renewable Energy Real-Time Monitoring IoT &amp; MIS Platform</t>
        </is>
      </c>
      <c r="E1438" s="14" t="inlineStr">
        <is>
          <t>CLIMATE CHANGE DEPARTMENT-Sardar Patel Bhavan, Gandhinagar</t>
        </is>
      </c>
      <c r="F1438" s="13" t="inlineStr">
        <is>
          <t>29 Aug 2026</t>
        </is>
      </c>
      <c r="G1438" s="12" t="inlineStr">
        <is>
          <t>25 Sep 2026</t>
        </is>
      </c>
      <c r="H1438" s="8" t="inlineStr">
        <is>
          <t>⏳ UPCOMING</t>
        </is>
      </c>
      <c r="I1438" s="11" t="inlineStr">
        <is>
          <t>Climate_Change_Solar_MIS_Tender.pdf</t>
        </is>
      </c>
      <c r="J1438" s="13" t="inlineStr">
        <is>
          <t>📕 PDF Document</t>
        </is>
      </c>
      <c r="K1438" s="15" t="n">
        <v>17.9</v>
      </c>
      <c r="L1438" s="16">
        <f>HYPERLINK("http://127.0.0.1:8000/api/documents/download?id=2812&amp;attachment=true", "⬇ Download Climate_Change_Solar_MIS")</f>
        <v/>
      </c>
      <c r="M1438" s="16">
        <f>HYPERLINK("http://localhost:5173/?state=Gujarat&amp;keyword=Environment&amp;tender=NPROC-CLIMATE-2026-3482", "🚀 Open in Portal")</f>
        <v/>
      </c>
    </row>
    <row r="1439" ht="24" customHeight="1">
      <c r="A1439" s="4" t="inlineStr">
        <is>
          <t>Gujarat</t>
        </is>
      </c>
      <c r="B1439" s="5" t="inlineStr">
        <is>
          <t>Environment</t>
        </is>
      </c>
      <c r="C1439" s="6" t="inlineStr">
        <is>
          <t>NPROC-CLIMATE-2026-3482</t>
        </is>
      </c>
      <c r="D1439" s="7" t="inlineStr">
        <is>
          <t>Rooftop Solar &amp; Renewable Energy Real-Time Monitoring IoT &amp; MIS Platform</t>
        </is>
      </c>
      <c r="E1439" s="7" t="inlineStr">
        <is>
          <t>CLIMATE CHANGE DEPARTMENT-Sardar Patel Bhavan, Gandhinagar</t>
        </is>
      </c>
      <c r="F1439" s="6" t="inlineStr">
        <is>
          <t>29 Aug 2026</t>
        </is>
      </c>
      <c r="G1439" s="5" t="inlineStr">
        <is>
          <t>25 Sep 2026</t>
        </is>
      </c>
      <c r="H1439" s="8" t="inlineStr">
        <is>
          <t>⏳ UPCOMING</t>
        </is>
      </c>
      <c r="I1439" s="4" t="inlineStr">
        <is>
          <t>IoT_Gateway_Protocols.pdf</t>
        </is>
      </c>
      <c r="J1439" s="6" t="inlineStr">
        <is>
          <t>📕 PDF Document</t>
        </is>
      </c>
      <c r="K1439" s="9" t="n">
        <v>17.9</v>
      </c>
      <c r="L1439" s="10">
        <f>HYPERLINK("http://127.0.0.1:8000/api/documents/download?id=2813&amp;attachment=true", "⬇ Download IoT_Gateway_Protocols.pd")</f>
        <v/>
      </c>
      <c r="M1439" s="10">
        <f>HYPERLINK("http://localhost:5173/?state=Gujarat&amp;keyword=Environment&amp;tender=NPROC-CLIMATE-2026-3482", "🚀 Open in Portal")</f>
        <v/>
      </c>
    </row>
    <row r="1440" ht="24" customHeight="1">
      <c r="A1440" s="11" t="inlineStr">
        <is>
          <t>Gujarat</t>
        </is>
      </c>
      <c r="B1440" s="12" t="inlineStr">
        <is>
          <t>Environment</t>
        </is>
      </c>
      <c r="C1440" s="13" t="inlineStr">
        <is>
          <t>NPROC-CLIMATE-2026-3482</t>
        </is>
      </c>
      <c r="D1440" s="14" t="inlineStr">
        <is>
          <t>Rooftop Solar &amp; Renewable Energy Real-Time Monitoring IoT &amp; MIS Platform</t>
        </is>
      </c>
      <c r="E1440" s="14" t="inlineStr">
        <is>
          <t>CLIMATE CHANGE DEPARTMENT-Sardar Patel Bhavan, Gandhinagar</t>
        </is>
      </c>
      <c r="F1440" s="13" t="inlineStr">
        <is>
          <t>29 Aug 2026</t>
        </is>
      </c>
      <c r="G1440" s="12" t="inlineStr">
        <is>
          <t>25 Sep 2026</t>
        </is>
      </c>
      <c r="H1440" s="8" t="inlineStr">
        <is>
          <t>⏳ UPCOMING</t>
        </is>
      </c>
      <c r="I1440" s="11" t="inlineStr">
        <is>
          <t>Tender_NPROC-CLIMATE-2026-3482_All_Documents.zip</t>
        </is>
      </c>
      <c r="J1440" s="13" t="inlineStr">
        <is>
          <t>📦 ZIP Package</t>
        </is>
      </c>
      <c r="K1440" s="15" t="n">
        <v>18.7</v>
      </c>
      <c r="L1440" s="16">
        <f>HYPERLINK("http://127.0.0.1:8000/api/documents/download?id=3011&amp;attachment=true", "⬇ Download Tender_NPROC-CLIMATE-202")</f>
        <v/>
      </c>
      <c r="M1440" s="16">
        <f>HYPERLINK("http://localhost:5173/?state=Gujarat&amp;keyword=Environment&amp;tender=NPROC-CLIMATE-2026-3482", "🚀 Open in Portal")</f>
        <v/>
      </c>
    </row>
    <row r="1441" ht="24" customHeight="1">
      <c r="A1441" s="4" t="inlineStr">
        <is>
          <t>Gujarat</t>
        </is>
      </c>
      <c r="B1441" s="5" t="inlineStr">
        <is>
          <t>Environment</t>
        </is>
      </c>
      <c r="C1441" s="6" t="inlineStr">
        <is>
          <t>NPROC-FOREST-2026-6120</t>
        </is>
      </c>
      <c r="D1441" s="7" t="inlineStr">
        <is>
          <t>Wildlife Habitat Mapping and Drone Surveillance in Gir &amp; Marine National Parks</t>
        </is>
      </c>
      <c r="E1441" s="7" t="inlineStr">
        <is>
          <t>FORESTS &amp; ENVIRONMENT DEPARTMENT-Gandhinagar</t>
        </is>
      </c>
      <c r="F1441" s="6" t="inlineStr">
        <is>
          <t>27 Sep 2026</t>
        </is>
      </c>
      <c r="G1441" s="5" t="inlineStr">
        <is>
          <t>22 Oct 2026</t>
        </is>
      </c>
      <c r="H1441" s="18" t="inlineStr">
        <is>
          <t>⚠️ CLOSING SOON</t>
        </is>
      </c>
      <c r="I1441" s="4" t="inlineStr">
        <is>
          <t>Wildlife_Surveillance_RFP_Gujarat.pdf</t>
        </is>
      </c>
      <c r="J1441" s="6" t="inlineStr">
        <is>
          <t>📕 PDF Document</t>
        </is>
      </c>
      <c r="K1441" s="9" t="n">
        <v>17.9</v>
      </c>
      <c r="L1441" s="10">
        <f>HYPERLINK("http://127.0.0.1:8000/api/documents/download?id=2814&amp;attachment=true", "⬇ Download Wildlife_Surveillance_RF")</f>
        <v/>
      </c>
      <c r="M1441" s="10">
        <f>HYPERLINK("http://localhost:5173/?state=Gujarat&amp;keyword=Environment&amp;tender=NPROC-FOREST-2026-6120", "🚀 Open in Portal")</f>
        <v/>
      </c>
    </row>
    <row r="1442" ht="24" customHeight="1">
      <c r="A1442" s="11" t="inlineStr">
        <is>
          <t>Gujarat</t>
        </is>
      </c>
      <c r="B1442" s="12" t="inlineStr">
        <is>
          <t>Environment</t>
        </is>
      </c>
      <c r="C1442" s="13" t="inlineStr">
        <is>
          <t>NPROC-FOREST-2026-6120</t>
        </is>
      </c>
      <c r="D1442" s="14" t="inlineStr">
        <is>
          <t>Wildlife Habitat Mapping and Drone Surveillance in Gir &amp; Marine National Parks</t>
        </is>
      </c>
      <c r="E1442" s="14" t="inlineStr">
        <is>
          <t>FORESTS &amp; ENVIRONMENT DEPARTMENT-Gandhinagar</t>
        </is>
      </c>
      <c r="F1442" s="13" t="inlineStr">
        <is>
          <t>27 Sep 2026</t>
        </is>
      </c>
      <c r="G1442" s="12" t="inlineStr">
        <is>
          <t>22 Oct 2026</t>
        </is>
      </c>
      <c r="H1442" s="18" t="inlineStr">
        <is>
          <t>⚠️ CLOSING SOON</t>
        </is>
      </c>
      <c r="I1442" s="11" t="inlineStr">
        <is>
          <t>Drone_Flight_Safety_Guidelines.pdf</t>
        </is>
      </c>
      <c r="J1442" s="13" t="inlineStr">
        <is>
          <t>📕 PDF Document</t>
        </is>
      </c>
      <c r="K1442" s="15" t="n">
        <v>17.9</v>
      </c>
      <c r="L1442" s="16">
        <f>HYPERLINK("http://127.0.0.1:8000/api/documents/download?id=2815&amp;attachment=true", "⬇ Download Drone_Flight_Safety_Guid")</f>
        <v/>
      </c>
      <c r="M1442" s="16">
        <f>HYPERLINK("http://localhost:5173/?state=Gujarat&amp;keyword=Environment&amp;tender=NPROC-FOREST-2026-6120", "🚀 Open in Portal")</f>
        <v/>
      </c>
    </row>
    <row r="1443" ht="24" customHeight="1">
      <c r="A1443" s="4" t="inlineStr">
        <is>
          <t>Gujarat</t>
        </is>
      </c>
      <c r="B1443" s="5" t="inlineStr">
        <is>
          <t>Environment</t>
        </is>
      </c>
      <c r="C1443" s="6" t="inlineStr">
        <is>
          <t>NPROC-FOREST-2026-6120</t>
        </is>
      </c>
      <c r="D1443" s="7" t="inlineStr">
        <is>
          <t>Wildlife Habitat Mapping and Drone Surveillance in Gir &amp; Marine National Parks</t>
        </is>
      </c>
      <c r="E1443" s="7" t="inlineStr">
        <is>
          <t>FORESTS &amp; ENVIRONMENT DEPARTMENT-Gandhinagar</t>
        </is>
      </c>
      <c r="F1443" s="6" t="inlineStr">
        <is>
          <t>27 Sep 2026</t>
        </is>
      </c>
      <c r="G1443" s="5" t="inlineStr">
        <is>
          <t>22 Oct 2026</t>
        </is>
      </c>
      <c r="H1443" s="18" t="inlineStr">
        <is>
          <t>⚠️ CLOSING SOON</t>
        </is>
      </c>
      <c r="I1443" s="4" t="inlineStr">
        <is>
          <t>Tender_NPROC-FOREST-2026-6120_All_Documents.zip</t>
        </is>
      </c>
      <c r="J1443" s="6" t="inlineStr">
        <is>
          <t>📦 ZIP Package</t>
        </is>
      </c>
      <c r="K1443" s="9" t="n">
        <v>18.6</v>
      </c>
      <c r="L1443" s="10">
        <f>HYPERLINK("http://127.0.0.1:8000/api/documents/download?id=3012&amp;attachment=true", "⬇ Download Tender_NPROC-FOREST-2026")</f>
        <v/>
      </c>
      <c r="M1443" s="10">
        <f>HYPERLINK("http://localhost:5173/?state=Gujarat&amp;keyword=Environment&amp;tender=NPROC-FOREST-2026-6120", "🚀 Open in Portal")</f>
        <v/>
      </c>
    </row>
    <row r="1444" ht="24" customHeight="1">
      <c r="A1444" s="11" t="inlineStr">
        <is>
          <t>Gujarat</t>
        </is>
      </c>
      <c r="B1444" s="12" t="inlineStr">
        <is>
          <t>Spatial</t>
        </is>
      </c>
      <c r="C1444" s="13" t="inlineStr">
        <is>
          <t>NPROC-FOREST-2026-6120</t>
        </is>
      </c>
      <c r="D1444" s="14" t="inlineStr">
        <is>
          <t>Wildlife Habitat Mapping and Drone Surveillance in Gir &amp; Marine National Parks</t>
        </is>
      </c>
      <c r="E1444" s="14" t="inlineStr">
        <is>
          <t>FORESTS &amp; ENVIRONMENT DEPARTMENT-Gandhinagar</t>
        </is>
      </c>
      <c r="F1444" s="13" t="inlineStr">
        <is>
          <t>27 Sep 2026</t>
        </is>
      </c>
      <c r="G1444" s="12" t="inlineStr">
        <is>
          <t>22 Oct 2026</t>
        </is>
      </c>
      <c r="H1444" s="18" t="inlineStr">
        <is>
          <t>⚠️ CLOSING SOON</t>
        </is>
      </c>
      <c r="I1444" s="11" t="inlineStr">
        <is>
          <t>Wildlife_Surveillance_RFP_Gujarat.pdf</t>
        </is>
      </c>
      <c r="J1444" s="13" t="inlineStr">
        <is>
          <t>📕 PDF Document</t>
        </is>
      </c>
      <c r="K1444" s="15" t="n">
        <v>17.9</v>
      </c>
      <c r="L1444" s="16">
        <f>HYPERLINK("http://127.0.0.1:8000/api/documents/download?id=2814&amp;attachment=true", "⬇ Download Wildlife_Surveillance_RF")</f>
        <v/>
      </c>
      <c r="M1444" s="16">
        <f>HYPERLINK("http://localhost:5173/?state=Gujarat&amp;keyword=Spatial&amp;tender=NPROC-FOREST-2026-6120", "🚀 Open in Portal")</f>
        <v/>
      </c>
    </row>
    <row r="1445" ht="24" customHeight="1">
      <c r="A1445" s="4" t="inlineStr">
        <is>
          <t>Gujarat</t>
        </is>
      </c>
      <c r="B1445" s="5" t="inlineStr">
        <is>
          <t>Spatial</t>
        </is>
      </c>
      <c r="C1445" s="6" t="inlineStr">
        <is>
          <t>NPROC-FOREST-2026-6120</t>
        </is>
      </c>
      <c r="D1445" s="7" t="inlineStr">
        <is>
          <t>Wildlife Habitat Mapping and Drone Surveillance in Gir &amp; Marine National Parks</t>
        </is>
      </c>
      <c r="E1445" s="7" t="inlineStr">
        <is>
          <t>FORESTS &amp; ENVIRONMENT DEPARTMENT-Gandhinagar</t>
        </is>
      </c>
      <c r="F1445" s="6" t="inlineStr">
        <is>
          <t>27 Sep 2026</t>
        </is>
      </c>
      <c r="G1445" s="5" t="inlineStr">
        <is>
          <t>22 Oct 2026</t>
        </is>
      </c>
      <c r="H1445" s="18" t="inlineStr">
        <is>
          <t>⚠️ CLOSING SOON</t>
        </is>
      </c>
      <c r="I1445" s="4" t="inlineStr">
        <is>
          <t>Drone_Flight_Safety_Guidelines.pdf</t>
        </is>
      </c>
      <c r="J1445" s="6" t="inlineStr">
        <is>
          <t>📕 PDF Document</t>
        </is>
      </c>
      <c r="K1445" s="9" t="n">
        <v>17.9</v>
      </c>
      <c r="L1445" s="10">
        <f>HYPERLINK("http://127.0.0.1:8000/api/documents/download?id=2815&amp;attachment=true", "⬇ Download Drone_Flight_Safety_Guid")</f>
        <v/>
      </c>
      <c r="M1445" s="10">
        <f>HYPERLINK("http://localhost:5173/?state=Gujarat&amp;keyword=Spatial&amp;tender=NPROC-FOREST-2026-6120", "🚀 Open in Portal")</f>
        <v/>
      </c>
    </row>
    <row r="1446" ht="24" customHeight="1">
      <c r="A1446" s="11" t="inlineStr">
        <is>
          <t>Gujarat</t>
        </is>
      </c>
      <c r="B1446" s="12" t="inlineStr">
        <is>
          <t>Spatial</t>
        </is>
      </c>
      <c r="C1446" s="13" t="inlineStr">
        <is>
          <t>NPROC-FOREST-2026-6120</t>
        </is>
      </c>
      <c r="D1446" s="14" t="inlineStr">
        <is>
          <t>Wildlife Habitat Mapping and Drone Surveillance in Gir &amp; Marine National Parks</t>
        </is>
      </c>
      <c r="E1446" s="14" t="inlineStr">
        <is>
          <t>FORESTS &amp; ENVIRONMENT DEPARTMENT-Gandhinagar</t>
        </is>
      </c>
      <c r="F1446" s="13" t="inlineStr">
        <is>
          <t>27 Sep 2026</t>
        </is>
      </c>
      <c r="G1446" s="12" t="inlineStr">
        <is>
          <t>22 Oct 2026</t>
        </is>
      </c>
      <c r="H1446" s="18" t="inlineStr">
        <is>
          <t>⚠️ CLOSING SOON</t>
        </is>
      </c>
      <c r="I1446" s="11" t="inlineStr">
        <is>
          <t>Tender_NPROC-FOREST-2026-6120_All_Documents.zip</t>
        </is>
      </c>
      <c r="J1446" s="13" t="inlineStr">
        <is>
          <t>📦 ZIP Package</t>
        </is>
      </c>
      <c r="K1446" s="15" t="n">
        <v>18.6</v>
      </c>
      <c r="L1446" s="16">
        <f>HYPERLINK("http://127.0.0.1:8000/api/documents/download?id=3012&amp;attachment=true", "⬇ Download Tender_NPROC-FOREST-2026")</f>
        <v/>
      </c>
      <c r="M1446" s="16">
        <f>HYPERLINK("http://localhost:5173/?state=Gujarat&amp;keyword=Spatial&amp;tender=NPROC-FOREST-2026-6120", "🚀 Open in Portal")</f>
        <v/>
      </c>
    </row>
    <row r="1447" ht="24" customHeight="1">
      <c r="A1447" s="4" t="inlineStr">
        <is>
          <t>Gujarat</t>
        </is>
      </c>
      <c r="B1447" s="5" t="inlineStr">
        <is>
          <t>Spatial</t>
        </is>
      </c>
      <c r="C1447" s="6" t="inlineStr">
        <is>
          <t>NPROC-GIL-2026-9041</t>
        </is>
      </c>
      <c r="D1447" s="7" t="inlineStr">
        <is>
          <t>Design, Development and Maintenance of State Spatial Data Infrastructure (SSDI) Portal</t>
        </is>
      </c>
      <c r="E1447" s="7" t="inlineStr">
        <is>
          <t>GUJARAT INFORMATICS LIMITED (GIL)-Gandhinagar</t>
        </is>
      </c>
      <c r="F1447" s="6" t="inlineStr">
        <is>
          <t>31 Jul 2026</t>
        </is>
      </c>
      <c r="G1447" s="5" t="inlineStr">
        <is>
          <t>22 Aug 2026</t>
        </is>
      </c>
      <c r="H1447" s="8" t="inlineStr">
        <is>
          <t>⏳ UPCOMING</t>
        </is>
      </c>
      <c r="I1447" s="4" t="inlineStr">
        <is>
          <t>Gujarat_SSDI_Portal_RFP.pdf</t>
        </is>
      </c>
      <c r="J1447" s="6" t="inlineStr">
        <is>
          <t>📕 PDF Document</t>
        </is>
      </c>
      <c r="K1447" s="9" t="n">
        <v>17.9</v>
      </c>
      <c r="L1447" s="10">
        <f>HYPERLINK("http://127.0.0.1:8000/api/documents/download?id=2809&amp;attachment=true", "⬇ Download Gujarat_SSDI_Portal_RFP.")</f>
        <v/>
      </c>
      <c r="M1447" s="10">
        <f>HYPERLINK("http://localhost:5173/?state=Gujarat&amp;keyword=Spatial&amp;tender=NPROC-GIL-2026-9041", "🚀 Open in Portal")</f>
        <v/>
      </c>
    </row>
    <row r="1448" ht="24" customHeight="1">
      <c r="A1448" s="11" t="inlineStr">
        <is>
          <t>Gujarat</t>
        </is>
      </c>
      <c r="B1448" s="12" t="inlineStr">
        <is>
          <t>Spatial</t>
        </is>
      </c>
      <c r="C1448" s="13" t="inlineStr">
        <is>
          <t>NPROC-GIL-2026-9041</t>
        </is>
      </c>
      <c r="D1448" s="14" t="inlineStr">
        <is>
          <t>Design, Development and Maintenance of State Spatial Data Infrastructure (SSDI) Portal</t>
        </is>
      </c>
      <c r="E1448" s="14" t="inlineStr">
        <is>
          <t>GUJARAT INFORMATICS LIMITED (GIL)-Gandhinagar</t>
        </is>
      </c>
      <c r="F1448" s="13" t="inlineStr">
        <is>
          <t>31 Jul 2026</t>
        </is>
      </c>
      <c r="G1448" s="12" t="inlineStr">
        <is>
          <t>22 Aug 2026</t>
        </is>
      </c>
      <c r="H1448" s="8" t="inlineStr">
        <is>
          <t>⏳ UPCOMING</t>
        </is>
      </c>
      <c r="I1448" s="11" t="inlineStr">
        <is>
          <t>OGC_Services_Compliance_Spec.pdf</t>
        </is>
      </c>
      <c r="J1448" s="13" t="inlineStr">
        <is>
          <t>📕 PDF Document</t>
        </is>
      </c>
      <c r="K1448" s="15" t="n">
        <v>17.9</v>
      </c>
      <c r="L1448" s="16">
        <f>HYPERLINK("http://127.0.0.1:8000/api/documents/download?id=2810&amp;attachment=true", "⬇ Download OGC_Services_Compliance_")</f>
        <v/>
      </c>
      <c r="M1448" s="16">
        <f>HYPERLINK("http://localhost:5173/?state=Gujarat&amp;keyword=Spatial&amp;tender=NPROC-GIL-2026-9041", "🚀 Open in Portal")</f>
        <v/>
      </c>
    </row>
    <row r="1449" ht="24" customHeight="1">
      <c r="A1449" s="4" t="inlineStr">
        <is>
          <t>Gujarat</t>
        </is>
      </c>
      <c r="B1449" s="5" t="inlineStr">
        <is>
          <t>Spatial</t>
        </is>
      </c>
      <c r="C1449" s="6" t="inlineStr">
        <is>
          <t>NPROC-GIL-2026-9041</t>
        </is>
      </c>
      <c r="D1449" s="7" t="inlineStr">
        <is>
          <t>Design, Development and Maintenance of State Spatial Data Infrastructure (SSDI) Portal</t>
        </is>
      </c>
      <c r="E1449" s="7" t="inlineStr">
        <is>
          <t>GUJARAT INFORMATICS LIMITED (GIL)-Gandhinagar</t>
        </is>
      </c>
      <c r="F1449" s="6" t="inlineStr">
        <is>
          <t>31 Jul 2026</t>
        </is>
      </c>
      <c r="G1449" s="5" t="inlineStr">
        <is>
          <t>22 Aug 2026</t>
        </is>
      </c>
      <c r="H1449" s="8" t="inlineStr">
        <is>
          <t>⏳ UPCOMING</t>
        </is>
      </c>
      <c r="I1449" s="4" t="inlineStr">
        <is>
          <t>Commercial_Format_Price_Bid.xlsx</t>
        </is>
      </c>
      <c r="J1449" s="6" t="inlineStr">
        <is>
          <t>📊 Excel BOQ</t>
        </is>
      </c>
      <c r="K1449" s="9" t="n">
        <v>2.4</v>
      </c>
      <c r="L1449" s="10">
        <f>HYPERLINK("http://127.0.0.1:8000/api/documents/download?id=2811&amp;attachment=true", "⬇ Download Commercial_Format_Price_")</f>
        <v/>
      </c>
      <c r="M1449" s="10">
        <f>HYPERLINK("http://localhost:5173/?state=Gujarat&amp;keyword=Spatial&amp;tender=NPROC-GIL-2026-9041", "🚀 Open in Portal")</f>
        <v/>
      </c>
    </row>
    <row r="1450" ht="24" customHeight="1">
      <c r="A1450" s="11" t="inlineStr">
        <is>
          <t>Gujarat</t>
        </is>
      </c>
      <c r="B1450" s="12" t="inlineStr">
        <is>
          <t>Spatial</t>
        </is>
      </c>
      <c r="C1450" s="13" t="inlineStr">
        <is>
          <t>NPROC-GIL-2026-9041</t>
        </is>
      </c>
      <c r="D1450" s="14" t="inlineStr">
        <is>
          <t>Design, Development and Maintenance of State Spatial Data Infrastructure (SSDI) Portal</t>
        </is>
      </c>
      <c r="E1450" s="14" t="inlineStr">
        <is>
          <t>GUJARAT INFORMATICS LIMITED (GIL)-Gandhinagar</t>
        </is>
      </c>
      <c r="F1450" s="13" t="inlineStr">
        <is>
          <t>31 Jul 2026</t>
        </is>
      </c>
      <c r="G1450" s="12" t="inlineStr">
        <is>
          <t>22 Aug 2026</t>
        </is>
      </c>
      <c r="H1450" s="8" t="inlineStr">
        <is>
          <t>⏳ UPCOMING</t>
        </is>
      </c>
      <c r="I1450" s="11" t="inlineStr">
        <is>
          <t>Tender_NPROC-GIL-2026-9041_All_Documents.zip</t>
        </is>
      </c>
      <c r="J1450" s="13" t="inlineStr">
        <is>
          <t>📦 ZIP Package</t>
        </is>
      </c>
      <c r="K1450" s="15" t="n">
        <v>20.8</v>
      </c>
      <c r="L1450" s="16">
        <f>HYPERLINK("http://127.0.0.1:8000/api/documents/download?id=3010&amp;attachment=true", "⬇ Download Tender_NPROC-GIL-2026-90")</f>
        <v/>
      </c>
      <c r="M1450" s="16">
        <f>HYPERLINK("http://localhost:5173/?state=Gujarat&amp;keyword=Spatial&amp;tender=NPROC-GIL-2026-9041", "🚀 Open in Portal")</f>
        <v/>
      </c>
    </row>
    <row r="1451" ht="24" customHeight="1">
      <c r="A1451" s="4" t="inlineStr">
        <is>
          <t>Gujarat</t>
        </is>
      </c>
      <c r="B1451" s="5" t="inlineStr">
        <is>
          <t>Software Development</t>
        </is>
      </c>
      <c r="C1451" s="6" t="inlineStr">
        <is>
          <t>NPROC-CLIMATE-2026-3482</t>
        </is>
      </c>
      <c r="D1451" s="7" t="inlineStr">
        <is>
          <t>Rooftop Solar &amp; Renewable Energy Real-Time Monitoring IoT &amp; MIS Platform</t>
        </is>
      </c>
      <c r="E1451" s="7" t="inlineStr">
        <is>
          <t>CLIMATE CHANGE DEPARTMENT-Sardar Patel Bhavan, Gandhinagar</t>
        </is>
      </c>
      <c r="F1451" s="6" t="inlineStr">
        <is>
          <t>29 Aug 2026</t>
        </is>
      </c>
      <c r="G1451" s="5" t="inlineStr">
        <is>
          <t>25 Sep 2026</t>
        </is>
      </c>
      <c r="H1451" s="8" t="inlineStr">
        <is>
          <t>⏳ UPCOMING</t>
        </is>
      </c>
      <c r="I1451" s="4" t="inlineStr">
        <is>
          <t>Climate_Change_Solar_MIS_Tender.pdf</t>
        </is>
      </c>
      <c r="J1451" s="6" t="inlineStr">
        <is>
          <t>📕 PDF Document</t>
        </is>
      </c>
      <c r="K1451" s="9" t="n">
        <v>17.9</v>
      </c>
      <c r="L1451" s="10">
        <f>HYPERLINK("http://127.0.0.1:8000/api/documents/download?id=2812&amp;attachment=true", "⬇ Download Climate_Change_Solar_MIS")</f>
        <v/>
      </c>
      <c r="M1451" s="10">
        <f>HYPERLINK("http://localhost:5173/?state=Gujarat&amp;keyword=Software%20Development&amp;tender=NPROC-CLIMATE-2026-3482", "🚀 Open in Portal")</f>
        <v/>
      </c>
    </row>
    <row r="1452" ht="24" customHeight="1">
      <c r="A1452" s="11" t="inlineStr">
        <is>
          <t>Gujarat</t>
        </is>
      </c>
      <c r="B1452" s="12" t="inlineStr">
        <is>
          <t>Software Development</t>
        </is>
      </c>
      <c r="C1452" s="13" t="inlineStr">
        <is>
          <t>NPROC-CLIMATE-2026-3482</t>
        </is>
      </c>
      <c r="D1452" s="14" t="inlineStr">
        <is>
          <t>Rooftop Solar &amp; Renewable Energy Real-Time Monitoring IoT &amp; MIS Platform</t>
        </is>
      </c>
      <c r="E1452" s="14" t="inlineStr">
        <is>
          <t>CLIMATE CHANGE DEPARTMENT-Sardar Patel Bhavan, Gandhinagar</t>
        </is>
      </c>
      <c r="F1452" s="13" t="inlineStr">
        <is>
          <t>29 Aug 2026</t>
        </is>
      </c>
      <c r="G1452" s="12" t="inlineStr">
        <is>
          <t>25 Sep 2026</t>
        </is>
      </c>
      <c r="H1452" s="8" t="inlineStr">
        <is>
          <t>⏳ UPCOMING</t>
        </is>
      </c>
      <c r="I1452" s="11" t="inlineStr">
        <is>
          <t>IoT_Gateway_Protocols.pdf</t>
        </is>
      </c>
      <c r="J1452" s="13" t="inlineStr">
        <is>
          <t>📕 PDF Document</t>
        </is>
      </c>
      <c r="K1452" s="15" t="n">
        <v>17.9</v>
      </c>
      <c r="L1452" s="16">
        <f>HYPERLINK("http://127.0.0.1:8000/api/documents/download?id=2813&amp;attachment=true", "⬇ Download IoT_Gateway_Protocols.pd")</f>
        <v/>
      </c>
      <c r="M1452" s="16">
        <f>HYPERLINK("http://localhost:5173/?state=Gujarat&amp;keyword=Software%20Development&amp;tender=NPROC-CLIMATE-2026-3482", "🚀 Open in Portal")</f>
        <v/>
      </c>
    </row>
    <row r="1453" ht="24" customHeight="1">
      <c r="A1453" s="4" t="inlineStr">
        <is>
          <t>Gujarat</t>
        </is>
      </c>
      <c r="B1453" s="5" t="inlineStr">
        <is>
          <t>Software Development</t>
        </is>
      </c>
      <c r="C1453" s="6" t="inlineStr">
        <is>
          <t>NPROC-CLIMATE-2026-3482</t>
        </is>
      </c>
      <c r="D1453" s="7" t="inlineStr">
        <is>
          <t>Rooftop Solar &amp; Renewable Energy Real-Time Monitoring IoT &amp; MIS Platform</t>
        </is>
      </c>
      <c r="E1453" s="7" t="inlineStr">
        <is>
          <t>CLIMATE CHANGE DEPARTMENT-Sardar Patel Bhavan, Gandhinagar</t>
        </is>
      </c>
      <c r="F1453" s="6" t="inlineStr">
        <is>
          <t>29 Aug 2026</t>
        </is>
      </c>
      <c r="G1453" s="5" t="inlineStr">
        <is>
          <t>25 Sep 2026</t>
        </is>
      </c>
      <c r="H1453" s="8" t="inlineStr">
        <is>
          <t>⏳ UPCOMING</t>
        </is>
      </c>
      <c r="I1453" s="4" t="inlineStr">
        <is>
          <t>Tender_NPROC-CLIMATE-2026-3482_All_Documents.zip</t>
        </is>
      </c>
      <c r="J1453" s="6" t="inlineStr">
        <is>
          <t>📦 ZIP Package</t>
        </is>
      </c>
      <c r="K1453" s="9" t="n">
        <v>18.7</v>
      </c>
      <c r="L1453" s="10">
        <f>HYPERLINK("http://127.0.0.1:8000/api/documents/download?id=3011&amp;attachment=true", "⬇ Download Tender_NPROC-CLIMATE-202")</f>
        <v/>
      </c>
      <c r="M1453" s="10">
        <f>HYPERLINK("http://localhost:5173/?state=Gujarat&amp;keyword=Software%20Development&amp;tender=NPROC-CLIMATE-2026-3482", "🚀 Open in Portal")</f>
        <v/>
      </c>
    </row>
    <row r="1454" ht="24" customHeight="1">
      <c r="A1454" s="11" t="inlineStr">
        <is>
          <t>Gujarat</t>
        </is>
      </c>
      <c r="B1454" s="12" t="inlineStr">
        <is>
          <t>MIS</t>
        </is>
      </c>
      <c r="C1454" s="13" t="inlineStr">
        <is>
          <t>NPROC-CLIMATE-2026-3482</t>
        </is>
      </c>
      <c r="D1454" s="14" t="inlineStr">
        <is>
          <t>Rooftop Solar &amp; Renewable Energy Real-Time Monitoring IoT &amp; MIS Platform</t>
        </is>
      </c>
      <c r="E1454" s="14" t="inlineStr">
        <is>
          <t>CLIMATE CHANGE DEPARTMENT-Sardar Patel Bhavan, Gandhinagar</t>
        </is>
      </c>
      <c r="F1454" s="13" t="inlineStr">
        <is>
          <t>29 Aug 2026</t>
        </is>
      </c>
      <c r="G1454" s="12" t="inlineStr">
        <is>
          <t>25 Sep 2026</t>
        </is>
      </c>
      <c r="H1454" s="8" t="inlineStr">
        <is>
          <t>⏳ UPCOMING</t>
        </is>
      </c>
      <c r="I1454" s="11" t="inlineStr">
        <is>
          <t>Climate_Change_Solar_MIS_Tender.pdf</t>
        </is>
      </c>
      <c r="J1454" s="13" t="inlineStr">
        <is>
          <t>📕 PDF Document</t>
        </is>
      </c>
      <c r="K1454" s="15" t="n">
        <v>17.9</v>
      </c>
      <c r="L1454" s="16">
        <f>HYPERLINK("http://127.0.0.1:8000/api/documents/download?id=2812&amp;attachment=true", "⬇ Download Climate_Change_Solar_MIS")</f>
        <v/>
      </c>
      <c r="M1454" s="16">
        <f>HYPERLINK("http://localhost:5173/?state=Gujarat&amp;keyword=MIS&amp;tender=NPROC-CLIMATE-2026-3482", "🚀 Open in Portal")</f>
        <v/>
      </c>
    </row>
    <row r="1455" ht="24" customHeight="1">
      <c r="A1455" s="4" t="inlineStr">
        <is>
          <t>Gujarat</t>
        </is>
      </c>
      <c r="B1455" s="5" t="inlineStr">
        <is>
          <t>MIS</t>
        </is>
      </c>
      <c r="C1455" s="6" t="inlineStr">
        <is>
          <t>NPROC-CLIMATE-2026-3482</t>
        </is>
      </c>
      <c r="D1455" s="7" t="inlineStr">
        <is>
          <t>Rooftop Solar &amp; Renewable Energy Real-Time Monitoring IoT &amp; MIS Platform</t>
        </is>
      </c>
      <c r="E1455" s="7" t="inlineStr">
        <is>
          <t>CLIMATE CHANGE DEPARTMENT-Sardar Patel Bhavan, Gandhinagar</t>
        </is>
      </c>
      <c r="F1455" s="6" t="inlineStr">
        <is>
          <t>29 Aug 2026</t>
        </is>
      </c>
      <c r="G1455" s="5" t="inlineStr">
        <is>
          <t>25 Sep 2026</t>
        </is>
      </c>
      <c r="H1455" s="8" t="inlineStr">
        <is>
          <t>⏳ UPCOMING</t>
        </is>
      </c>
      <c r="I1455" s="4" t="inlineStr">
        <is>
          <t>IoT_Gateway_Protocols.pdf</t>
        </is>
      </c>
      <c r="J1455" s="6" t="inlineStr">
        <is>
          <t>📕 PDF Document</t>
        </is>
      </c>
      <c r="K1455" s="9" t="n">
        <v>17.9</v>
      </c>
      <c r="L1455" s="10">
        <f>HYPERLINK("http://127.0.0.1:8000/api/documents/download?id=2813&amp;attachment=true", "⬇ Download IoT_Gateway_Protocols.pd")</f>
        <v/>
      </c>
      <c r="M1455" s="10">
        <f>HYPERLINK("http://localhost:5173/?state=Gujarat&amp;keyword=MIS&amp;tender=NPROC-CLIMATE-2026-3482", "🚀 Open in Portal")</f>
        <v/>
      </c>
    </row>
    <row r="1456" ht="24" customHeight="1">
      <c r="A1456" s="11" t="inlineStr">
        <is>
          <t>Gujarat</t>
        </is>
      </c>
      <c r="B1456" s="12" t="inlineStr">
        <is>
          <t>MIS</t>
        </is>
      </c>
      <c r="C1456" s="13" t="inlineStr">
        <is>
          <t>NPROC-CLIMATE-2026-3482</t>
        </is>
      </c>
      <c r="D1456" s="14" t="inlineStr">
        <is>
          <t>Rooftop Solar &amp; Renewable Energy Real-Time Monitoring IoT &amp; MIS Platform</t>
        </is>
      </c>
      <c r="E1456" s="14" t="inlineStr">
        <is>
          <t>CLIMATE CHANGE DEPARTMENT-Sardar Patel Bhavan, Gandhinagar</t>
        </is>
      </c>
      <c r="F1456" s="13" t="inlineStr">
        <is>
          <t>29 Aug 2026</t>
        </is>
      </c>
      <c r="G1456" s="12" t="inlineStr">
        <is>
          <t>25 Sep 2026</t>
        </is>
      </c>
      <c r="H1456" s="8" t="inlineStr">
        <is>
          <t>⏳ UPCOMING</t>
        </is>
      </c>
      <c r="I1456" s="11" t="inlineStr">
        <is>
          <t>Tender_NPROC-CLIMATE-2026-3482_All_Documents.zip</t>
        </is>
      </c>
      <c r="J1456" s="13" t="inlineStr">
        <is>
          <t>📦 ZIP Package</t>
        </is>
      </c>
      <c r="K1456" s="15" t="n">
        <v>18.7</v>
      </c>
      <c r="L1456" s="16">
        <f>HYPERLINK("http://127.0.0.1:8000/api/documents/download?id=3011&amp;attachment=true", "⬇ Download Tender_NPROC-CLIMATE-202")</f>
        <v/>
      </c>
      <c r="M1456" s="16">
        <f>HYPERLINK("http://localhost:5173/?state=Gujarat&amp;keyword=MIS&amp;tender=NPROC-CLIMATE-2026-3482", "🚀 Open in Portal")</f>
        <v/>
      </c>
    </row>
    <row r="1457" ht="24" customHeight="1">
      <c r="A1457" s="4" t="inlineStr">
        <is>
          <t>Gujarat</t>
        </is>
      </c>
      <c r="B1457" s="5" t="inlineStr">
        <is>
          <t>Mobile Application</t>
        </is>
      </c>
      <c r="C1457" s="6" t="inlineStr">
        <is>
          <t>NPROC-AGRI-2026-4409</t>
        </is>
      </c>
      <c r="D1457" s="7" t="inlineStr">
        <is>
          <t>Digital Soil Testing Labs Automation &amp; Mobile App for Farmer Soil Health Cards</t>
        </is>
      </c>
      <c r="E1457" s="7" t="inlineStr">
        <is>
          <t>DIRECTORATE OF AGRICULTURE-Krishi Bhavan, Gandhinagar</t>
        </is>
      </c>
      <c r="F1457" s="6" t="inlineStr">
        <is>
          <t>27 Jul 2026</t>
        </is>
      </c>
      <c r="G1457" s="5" t="inlineStr">
        <is>
          <t>19 Aug 2026</t>
        </is>
      </c>
      <c r="H1457" s="8" t="inlineStr">
        <is>
          <t>⏳ UPCOMING</t>
        </is>
      </c>
      <c r="I1457" s="4" t="inlineStr">
        <is>
          <t>Soil_Health_Mobile_App_Tender.pdf</t>
        </is>
      </c>
      <c r="J1457" s="6" t="inlineStr">
        <is>
          <t>📕 PDF Document</t>
        </is>
      </c>
      <c r="K1457" s="9" t="n">
        <v>17.9</v>
      </c>
      <c r="L1457" s="10">
        <f>HYPERLINK("http://127.0.0.1:8000/api/documents/download?id=2816&amp;attachment=true", "⬇ Download Soil_Health_Mobile_App_T")</f>
        <v/>
      </c>
      <c r="M1457" s="10">
        <f>HYPERLINK("http://localhost:5173/?state=Gujarat&amp;keyword=Mobile%20Application&amp;tender=NPROC-AGRI-2026-4409", "🚀 Open in Portal")</f>
        <v/>
      </c>
    </row>
    <row r="1458" ht="24" customHeight="1">
      <c r="A1458" s="11" t="inlineStr">
        <is>
          <t>Gujarat</t>
        </is>
      </c>
      <c r="B1458" s="12" t="inlineStr">
        <is>
          <t>Mobile Application</t>
        </is>
      </c>
      <c r="C1458" s="13" t="inlineStr">
        <is>
          <t>NPROC-AGRI-2026-4409</t>
        </is>
      </c>
      <c r="D1458" s="14" t="inlineStr">
        <is>
          <t>Digital Soil Testing Labs Automation &amp; Mobile App for Farmer Soil Health Cards</t>
        </is>
      </c>
      <c r="E1458" s="14" t="inlineStr">
        <is>
          <t>DIRECTORATE OF AGRICULTURE-Krishi Bhavan, Gandhinagar</t>
        </is>
      </c>
      <c r="F1458" s="13" t="inlineStr">
        <is>
          <t>27 Jul 2026</t>
        </is>
      </c>
      <c r="G1458" s="12" t="inlineStr">
        <is>
          <t>19 Aug 2026</t>
        </is>
      </c>
      <c r="H1458" s="8" t="inlineStr">
        <is>
          <t>⏳ UPCOMING</t>
        </is>
      </c>
      <c r="I1458" s="11" t="inlineStr">
        <is>
          <t>Software_Acceptance_Test_Plan.pdf</t>
        </is>
      </c>
      <c r="J1458" s="13" t="inlineStr">
        <is>
          <t>📕 PDF Document</t>
        </is>
      </c>
      <c r="K1458" s="15" t="n">
        <v>17.9</v>
      </c>
      <c r="L1458" s="16">
        <f>HYPERLINK("http://127.0.0.1:8000/api/documents/download?id=2817&amp;attachment=true", "⬇ Download Software_Acceptance_Test")</f>
        <v/>
      </c>
      <c r="M1458" s="16">
        <f>HYPERLINK("http://localhost:5173/?state=Gujarat&amp;keyword=Mobile%20Application&amp;tender=NPROC-AGRI-2026-4409", "🚀 Open in Portal")</f>
        <v/>
      </c>
    </row>
    <row r="1459" ht="24" customHeight="1">
      <c r="A1459" s="4" t="inlineStr">
        <is>
          <t>Gujarat</t>
        </is>
      </c>
      <c r="B1459" s="5" t="inlineStr">
        <is>
          <t>Mobile Application</t>
        </is>
      </c>
      <c r="C1459" s="6" t="inlineStr">
        <is>
          <t>NPROC-AGRI-2026-4409</t>
        </is>
      </c>
      <c r="D1459" s="7" t="inlineStr">
        <is>
          <t>Digital Soil Testing Labs Automation &amp; Mobile App for Farmer Soil Health Cards</t>
        </is>
      </c>
      <c r="E1459" s="7" t="inlineStr">
        <is>
          <t>DIRECTORATE OF AGRICULTURE-Krishi Bhavan, Gandhinagar</t>
        </is>
      </c>
      <c r="F1459" s="6" t="inlineStr">
        <is>
          <t>27 Jul 2026</t>
        </is>
      </c>
      <c r="G1459" s="5" t="inlineStr">
        <is>
          <t>19 Aug 2026</t>
        </is>
      </c>
      <c r="H1459" s="8" t="inlineStr">
        <is>
          <t>⏳ UPCOMING</t>
        </is>
      </c>
      <c r="I1459" s="4" t="inlineStr">
        <is>
          <t>Tender_NPROC-AGRI-2026-4409_All_Documents.zip</t>
        </is>
      </c>
      <c r="J1459" s="6" t="inlineStr">
        <is>
          <t>📦 ZIP Package</t>
        </is>
      </c>
      <c r="K1459" s="9" t="n">
        <v>18.6</v>
      </c>
      <c r="L1459" s="10">
        <f>HYPERLINK("http://127.0.0.1:8000/api/documents/download?id=3013&amp;attachment=true", "⬇ Download Tender_NPROC-AGRI-2026-4")</f>
        <v/>
      </c>
      <c r="M1459" s="10">
        <f>HYPERLINK("http://localhost:5173/?state=Gujarat&amp;keyword=Mobile%20Application&amp;tender=NPROC-AGRI-2026-4409", "🚀 Open in Portal")</f>
        <v/>
      </c>
    </row>
    <row r="1460" ht="24" customHeight="1">
      <c r="A1460" s="11" t="inlineStr">
        <is>
          <t>Gujarat</t>
        </is>
      </c>
      <c r="B1460" s="12" t="inlineStr">
        <is>
          <t>Mapping</t>
        </is>
      </c>
      <c r="C1460" s="13" t="inlineStr">
        <is>
          <t>NPROC-FOREST-2026-6120</t>
        </is>
      </c>
      <c r="D1460" s="14" t="inlineStr">
        <is>
          <t>Wildlife Habitat Mapping and Drone Surveillance in Gir &amp; Marine National Parks</t>
        </is>
      </c>
      <c r="E1460" s="14" t="inlineStr">
        <is>
          <t>FORESTS &amp; ENVIRONMENT DEPARTMENT-Gandhinagar</t>
        </is>
      </c>
      <c r="F1460" s="13" t="inlineStr">
        <is>
          <t>27 Sep 2026</t>
        </is>
      </c>
      <c r="G1460" s="12" t="inlineStr">
        <is>
          <t>22 Oct 2026</t>
        </is>
      </c>
      <c r="H1460" s="18" t="inlineStr">
        <is>
          <t>⚠️ CLOSING SOON</t>
        </is>
      </c>
      <c r="I1460" s="11" t="inlineStr">
        <is>
          <t>Wildlife_Surveillance_RFP_Gujarat.pdf</t>
        </is>
      </c>
      <c r="J1460" s="13" t="inlineStr">
        <is>
          <t>📕 PDF Document</t>
        </is>
      </c>
      <c r="K1460" s="15" t="n">
        <v>17.9</v>
      </c>
      <c r="L1460" s="16">
        <f>HYPERLINK("http://127.0.0.1:8000/api/documents/download?id=2814&amp;attachment=true", "⬇ Download Wildlife_Surveillance_RF")</f>
        <v/>
      </c>
      <c r="M1460" s="16">
        <f>HYPERLINK("http://localhost:5173/?state=Gujarat&amp;keyword=Mapping&amp;tender=NPROC-FOREST-2026-6120", "🚀 Open in Portal")</f>
        <v/>
      </c>
    </row>
    <row r="1461" ht="24" customHeight="1">
      <c r="A1461" s="4" t="inlineStr">
        <is>
          <t>Gujarat</t>
        </is>
      </c>
      <c r="B1461" s="5" t="inlineStr">
        <is>
          <t>Mapping</t>
        </is>
      </c>
      <c r="C1461" s="6" t="inlineStr">
        <is>
          <t>NPROC-FOREST-2026-6120</t>
        </is>
      </c>
      <c r="D1461" s="7" t="inlineStr">
        <is>
          <t>Wildlife Habitat Mapping and Drone Surveillance in Gir &amp; Marine National Parks</t>
        </is>
      </c>
      <c r="E1461" s="7" t="inlineStr">
        <is>
          <t>FORESTS &amp; ENVIRONMENT DEPARTMENT-Gandhinagar</t>
        </is>
      </c>
      <c r="F1461" s="6" t="inlineStr">
        <is>
          <t>27 Sep 2026</t>
        </is>
      </c>
      <c r="G1461" s="5" t="inlineStr">
        <is>
          <t>22 Oct 2026</t>
        </is>
      </c>
      <c r="H1461" s="18" t="inlineStr">
        <is>
          <t>⚠️ CLOSING SOON</t>
        </is>
      </c>
      <c r="I1461" s="4" t="inlineStr">
        <is>
          <t>Drone_Flight_Safety_Guidelines.pdf</t>
        </is>
      </c>
      <c r="J1461" s="6" t="inlineStr">
        <is>
          <t>📕 PDF Document</t>
        </is>
      </c>
      <c r="K1461" s="9" t="n">
        <v>17.9</v>
      </c>
      <c r="L1461" s="10">
        <f>HYPERLINK("http://127.0.0.1:8000/api/documents/download?id=2815&amp;attachment=true", "⬇ Download Drone_Flight_Safety_Guid")</f>
        <v/>
      </c>
      <c r="M1461" s="10">
        <f>HYPERLINK("http://localhost:5173/?state=Gujarat&amp;keyword=Mapping&amp;tender=NPROC-FOREST-2026-6120", "🚀 Open in Portal")</f>
        <v/>
      </c>
    </row>
    <row r="1462" ht="24" customHeight="1">
      <c r="A1462" s="11" t="inlineStr">
        <is>
          <t>Gujarat</t>
        </is>
      </c>
      <c r="B1462" s="12" t="inlineStr">
        <is>
          <t>Mapping</t>
        </is>
      </c>
      <c r="C1462" s="13" t="inlineStr">
        <is>
          <t>NPROC-FOREST-2026-6120</t>
        </is>
      </c>
      <c r="D1462" s="14" t="inlineStr">
        <is>
          <t>Wildlife Habitat Mapping and Drone Surveillance in Gir &amp; Marine National Parks</t>
        </is>
      </c>
      <c r="E1462" s="14" t="inlineStr">
        <is>
          <t>FORESTS &amp; ENVIRONMENT DEPARTMENT-Gandhinagar</t>
        </is>
      </c>
      <c r="F1462" s="13" t="inlineStr">
        <is>
          <t>27 Sep 2026</t>
        </is>
      </c>
      <c r="G1462" s="12" t="inlineStr">
        <is>
          <t>22 Oct 2026</t>
        </is>
      </c>
      <c r="H1462" s="18" t="inlineStr">
        <is>
          <t>⚠️ CLOSING SOON</t>
        </is>
      </c>
      <c r="I1462" s="11" t="inlineStr">
        <is>
          <t>Tender_NPROC-FOREST-2026-6120_All_Documents.zip</t>
        </is>
      </c>
      <c r="J1462" s="13" t="inlineStr">
        <is>
          <t>📦 ZIP Package</t>
        </is>
      </c>
      <c r="K1462" s="15" t="n">
        <v>18.6</v>
      </c>
      <c r="L1462" s="16">
        <f>HYPERLINK("http://127.0.0.1:8000/api/documents/download?id=3012&amp;attachment=true", "⬇ Download Tender_NPROC-FOREST-2026")</f>
        <v/>
      </c>
      <c r="M1462" s="16">
        <f>HYPERLINK("http://localhost:5173/?state=Gujarat&amp;keyword=Mapping&amp;tender=NPROC-FOREST-2026-6120", "🚀 Open in Portal")</f>
        <v/>
      </c>
    </row>
    <row r="1463" ht="24" customHeight="1">
      <c r="A1463" s="4" t="inlineStr">
        <is>
          <t>Gujarat</t>
        </is>
      </c>
      <c r="B1463" s="5" t="inlineStr">
        <is>
          <t>Mapping</t>
        </is>
      </c>
      <c r="C1463" s="6" t="inlineStr">
        <is>
          <t>NPROC-GIL-2026-9041</t>
        </is>
      </c>
      <c r="D1463" s="7" t="inlineStr">
        <is>
          <t>Design, Development and Maintenance of State Spatial Data Infrastructure (SSDI) Portal</t>
        </is>
      </c>
      <c r="E1463" s="7" t="inlineStr">
        <is>
          <t>GUJARAT INFORMATICS LIMITED (GIL)-Gandhinagar</t>
        </is>
      </c>
      <c r="F1463" s="6" t="inlineStr">
        <is>
          <t>31 Jul 2026</t>
        </is>
      </c>
      <c r="G1463" s="5" t="inlineStr">
        <is>
          <t>22 Aug 2026</t>
        </is>
      </c>
      <c r="H1463" s="8" t="inlineStr">
        <is>
          <t>⏳ UPCOMING</t>
        </is>
      </c>
      <c r="I1463" s="4" t="inlineStr">
        <is>
          <t>Gujarat_SSDI_Portal_RFP.pdf</t>
        </is>
      </c>
      <c r="J1463" s="6" t="inlineStr">
        <is>
          <t>📕 PDF Document</t>
        </is>
      </c>
      <c r="K1463" s="9" t="n">
        <v>17.9</v>
      </c>
      <c r="L1463" s="10">
        <f>HYPERLINK("http://127.0.0.1:8000/api/documents/download?id=2809&amp;attachment=true", "⬇ Download Gujarat_SSDI_Portal_RFP.")</f>
        <v/>
      </c>
      <c r="M1463" s="10">
        <f>HYPERLINK("http://localhost:5173/?state=Gujarat&amp;keyword=Mapping&amp;tender=NPROC-GIL-2026-9041", "🚀 Open in Portal")</f>
        <v/>
      </c>
    </row>
    <row r="1464" ht="24" customHeight="1">
      <c r="A1464" s="11" t="inlineStr">
        <is>
          <t>Gujarat</t>
        </is>
      </c>
      <c r="B1464" s="12" t="inlineStr">
        <is>
          <t>Mapping</t>
        </is>
      </c>
      <c r="C1464" s="13" t="inlineStr">
        <is>
          <t>NPROC-GIL-2026-9041</t>
        </is>
      </c>
      <c r="D1464" s="14" t="inlineStr">
        <is>
          <t>Design, Development and Maintenance of State Spatial Data Infrastructure (SSDI) Portal</t>
        </is>
      </c>
      <c r="E1464" s="14" t="inlineStr">
        <is>
          <t>GUJARAT INFORMATICS LIMITED (GIL)-Gandhinagar</t>
        </is>
      </c>
      <c r="F1464" s="13" t="inlineStr">
        <is>
          <t>31 Jul 2026</t>
        </is>
      </c>
      <c r="G1464" s="12" t="inlineStr">
        <is>
          <t>22 Aug 2026</t>
        </is>
      </c>
      <c r="H1464" s="8" t="inlineStr">
        <is>
          <t>⏳ UPCOMING</t>
        </is>
      </c>
      <c r="I1464" s="11" t="inlineStr">
        <is>
          <t>OGC_Services_Compliance_Spec.pdf</t>
        </is>
      </c>
      <c r="J1464" s="13" t="inlineStr">
        <is>
          <t>📕 PDF Document</t>
        </is>
      </c>
      <c r="K1464" s="15" t="n">
        <v>17.9</v>
      </c>
      <c r="L1464" s="16">
        <f>HYPERLINK("http://127.0.0.1:8000/api/documents/download?id=2810&amp;attachment=true", "⬇ Download OGC_Services_Compliance_")</f>
        <v/>
      </c>
      <c r="M1464" s="16">
        <f>HYPERLINK("http://localhost:5173/?state=Gujarat&amp;keyword=Mapping&amp;tender=NPROC-GIL-2026-9041", "🚀 Open in Portal")</f>
        <v/>
      </c>
    </row>
    <row r="1465" ht="24" customHeight="1">
      <c r="A1465" s="4" t="inlineStr">
        <is>
          <t>Gujarat</t>
        </is>
      </c>
      <c r="B1465" s="5" t="inlineStr">
        <is>
          <t>Mapping</t>
        </is>
      </c>
      <c r="C1465" s="6" t="inlineStr">
        <is>
          <t>NPROC-GIL-2026-9041</t>
        </is>
      </c>
      <c r="D1465" s="7" t="inlineStr">
        <is>
          <t>Design, Development and Maintenance of State Spatial Data Infrastructure (SSDI) Portal</t>
        </is>
      </c>
      <c r="E1465" s="7" t="inlineStr">
        <is>
          <t>GUJARAT INFORMATICS LIMITED (GIL)-Gandhinagar</t>
        </is>
      </c>
      <c r="F1465" s="6" t="inlineStr">
        <is>
          <t>31 Jul 2026</t>
        </is>
      </c>
      <c r="G1465" s="5" t="inlineStr">
        <is>
          <t>22 Aug 2026</t>
        </is>
      </c>
      <c r="H1465" s="8" t="inlineStr">
        <is>
          <t>⏳ UPCOMING</t>
        </is>
      </c>
      <c r="I1465" s="4" t="inlineStr">
        <is>
          <t>Commercial_Format_Price_Bid.xlsx</t>
        </is>
      </c>
      <c r="J1465" s="6" t="inlineStr">
        <is>
          <t>📊 Excel BOQ</t>
        </is>
      </c>
      <c r="K1465" s="9" t="n">
        <v>2.4</v>
      </c>
      <c r="L1465" s="10">
        <f>HYPERLINK("http://127.0.0.1:8000/api/documents/download?id=2811&amp;attachment=true", "⬇ Download Commercial_Format_Price_")</f>
        <v/>
      </c>
      <c r="M1465" s="10">
        <f>HYPERLINK("http://localhost:5173/?state=Gujarat&amp;keyword=Mapping&amp;tender=NPROC-GIL-2026-9041", "🚀 Open in Portal")</f>
        <v/>
      </c>
    </row>
    <row r="1466" ht="24" customHeight="1">
      <c r="A1466" s="11" t="inlineStr">
        <is>
          <t>Gujarat</t>
        </is>
      </c>
      <c r="B1466" s="12" t="inlineStr">
        <is>
          <t>Mapping</t>
        </is>
      </c>
      <c r="C1466" s="13" t="inlineStr">
        <is>
          <t>NPROC-GIL-2026-9041</t>
        </is>
      </c>
      <c r="D1466" s="14" t="inlineStr">
        <is>
          <t>Design, Development and Maintenance of State Spatial Data Infrastructure (SSDI) Portal</t>
        </is>
      </c>
      <c r="E1466" s="14" t="inlineStr">
        <is>
          <t>GUJARAT INFORMATICS LIMITED (GIL)-Gandhinagar</t>
        </is>
      </c>
      <c r="F1466" s="13" t="inlineStr">
        <is>
          <t>31 Jul 2026</t>
        </is>
      </c>
      <c r="G1466" s="12" t="inlineStr">
        <is>
          <t>22 Aug 2026</t>
        </is>
      </c>
      <c r="H1466" s="8" t="inlineStr">
        <is>
          <t>⏳ UPCOMING</t>
        </is>
      </c>
      <c r="I1466" s="11" t="inlineStr">
        <is>
          <t>Tender_NPROC-GIL-2026-9041_All_Documents.zip</t>
        </is>
      </c>
      <c r="J1466" s="13" t="inlineStr">
        <is>
          <t>📦 ZIP Package</t>
        </is>
      </c>
      <c r="K1466" s="15" t="n">
        <v>20.8</v>
      </c>
      <c r="L1466" s="16">
        <f>HYPERLINK("http://127.0.0.1:8000/api/documents/download?id=3010&amp;attachment=true", "⬇ Download Tender_NPROC-GIL-2026-90")</f>
        <v/>
      </c>
      <c r="M1466" s="16">
        <f>HYPERLINK("http://localhost:5173/?state=Gujarat&amp;keyword=Mapping&amp;tender=NPROC-GIL-2026-9041", "🚀 Open in Portal")</f>
        <v/>
      </c>
    </row>
    <row r="1467" ht="24" customHeight="1">
      <c r="A1467" s="4" t="inlineStr">
        <is>
          <t>Gujarat</t>
        </is>
      </c>
      <c r="B1467" s="5" t="inlineStr">
        <is>
          <t>Website Development/Application</t>
        </is>
      </c>
      <c r="C1467" s="6" t="inlineStr">
        <is>
          <t>NPROC-GIL-2026-9041</t>
        </is>
      </c>
      <c r="D1467" s="7" t="inlineStr">
        <is>
          <t>Design, Development and Maintenance of State Spatial Data Infrastructure (SSDI) Portal</t>
        </is>
      </c>
      <c r="E1467" s="7" t="inlineStr">
        <is>
          <t>GUJARAT INFORMATICS LIMITED (GIL)-Gandhinagar</t>
        </is>
      </c>
      <c r="F1467" s="6" t="inlineStr">
        <is>
          <t>31 Jul 2026</t>
        </is>
      </c>
      <c r="G1467" s="5" t="inlineStr">
        <is>
          <t>22 Aug 2026</t>
        </is>
      </c>
      <c r="H1467" s="8" t="inlineStr">
        <is>
          <t>⏳ UPCOMING</t>
        </is>
      </c>
      <c r="I1467" s="4" t="inlineStr">
        <is>
          <t>Gujarat_SSDI_Portal_RFP.pdf</t>
        </is>
      </c>
      <c r="J1467" s="6" t="inlineStr">
        <is>
          <t>📕 PDF Document</t>
        </is>
      </c>
      <c r="K1467" s="9" t="n">
        <v>17.9</v>
      </c>
      <c r="L1467" s="10">
        <f>HYPERLINK("http://127.0.0.1:8000/api/documents/download?id=2809&amp;attachment=true", "⬇ Download Gujarat_SSDI_Portal_RFP.")</f>
        <v/>
      </c>
      <c r="M1467" s="10">
        <f>HYPERLINK("http://localhost:5173/?state=Gujarat&amp;keyword=Website%20Development/Application&amp;tender=NPROC-GIL-2026-9041", "🚀 Open in Portal")</f>
        <v/>
      </c>
    </row>
    <row r="1468" ht="24" customHeight="1">
      <c r="A1468" s="11" t="inlineStr">
        <is>
          <t>Gujarat</t>
        </is>
      </c>
      <c r="B1468" s="12" t="inlineStr">
        <is>
          <t>Website Development/Application</t>
        </is>
      </c>
      <c r="C1468" s="13" t="inlineStr">
        <is>
          <t>NPROC-GIL-2026-9041</t>
        </is>
      </c>
      <c r="D1468" s="14" t="inlineStr">
        <is>
          <t>Design, Development and Maintenance of State Spatial Data Infrastructure (SSDI) Portal</t>
        </is>
      </c>
      <c r="E1468" s="14" t="inlineStr">
        <is>
          <t>GUJARAT INFORMATICS LIMITED (GIL)-Gandhinagar</t>
        </is>
      </c>
      <c r="F1468" s="13" t="inlineStr">
        <is>
          <t>31 Jul 2026</t>
        </is>
      </c>
      <c r="G1468" s="12" t="inlineStr">
        <is>
          <t>22 Aug 2026</t>
        </is>
      </c>
      <c r="H1468" s="8" t="inlineStr">
        <is>
          <t>⏳ UPCOMING</t>
        </is>
      </c>
      <c r="I1468" s="11" t="inlineStr">
        <is>
          <t>OGC_Services_Compliance_Spec.pdf</t>
        </is>
      </c>
      <c r="J1468" s="13" t="inlineStr">
        <is>
          <t>📕 PDF Document</t>
        </is>
      </c>
      <c r="K1468" s="15" t="n">
        <v>17.9</v>
      </c>
      <c r="L1468" s="16">
        <f>HYPERLINK("http://127.0.0.1:8000/api/documents/download?id=2810&amp;attachment=true", "⬇ Download OGC_Services_Compliance_")</f>
        <v/>
      </c>
      <c r="M1468" s="16">
        <f>HYPERLINK("http://localhost:5173/?state=Gujarat&amp;keyword=Website%20Development/Application&amp;tender=NPROC-GIL-2026-9041", "🚀 Open in Portal")</f>
        <v/>
      </c>
    </row>
    <row r="1469" ht="24" customHeight="1">
      <c r="A1469" s="4" t="inlineStr">
        <is>
          <t>Gujarat</t>
        </is>
      </c>
      <c r="B1469" s="5" t="inlineStr">
        <is>
          <t>Website Development/Application</t>
        </is>
      </c>
      <c r="C1469" s="6" t="inlineStr">
        <is>
          <t>NPROC-GIL-2026-9041</t>
        </is>
      </c>
      <c r="D1469" s="7" t="inlineStr">
        <is>
          <t>Design, Development and Maintenance of State Spatial Data Infrastructure (SSDI) Portal</t>
        </is>
      </c>
      <c r="E1469" s="7" t="inlineStr">
        <is>
          <t>GUJARAT INFORMATICS LIMITED (GIL)-Gandhinagar</t>
        </is>
      </c>
      <c r="F1469" s="6" t="inlineStr">
        <is>
          <t>31 Jul 2026</t>
        </is>
      </c>
      <c r="G1469" s="5" t="inlineStr">
        <is>
          <t>22 Aug 2026</t>
        </is>
      </c>
      <c r="H1469" s="8" t="inlineStr">
        <is>
          <t>⏳ UPCOMING</t>
        </is>
      </c>
      <c r="I1469" s="4" t="inlineStr">
        <is>
          <t>Commercial_Format_Price_Bid.xlsx</t>
        </is>
      </c>
      <c r="J1469" s="6" t="inlineStr">
        <is>
          <t>📊 Excel BOQ</t>
        </is>
      </c>
      <c r="K1469" s="9" t="n">
        <v>2.4</v>
      </c>
      <c r="L1469" s="10">
        <f>HYPERLINK("http://127.0.0.1:8000/api/documents/download?id=2811&amp;attachment=true", "⬇ Download Commercial_Format_Price_")</f>
        <v/>
      </c>
      <c r="M1469" s="10">
        <f>HYPERLINK("http://localhost:5173/?state=Gujarat&amp;keyword=Website%20Development/Application&amp;tender=NPROC-GIL-2026-9041", "🚀 Open in Portal")</f>
        <v/>
      </c>
    </row>
    <row r="1470" ht="24" customHeight="1">
      <c r="A1470" s="11" t="inlineStr">
        <is>
          <t>Gujarat</t>
        </is>
      </c>
      <c r="B1470" s="12" t="inlineStr">
        <is>
          <t>Website Development/Application</t>
        </is>
      </c>
      <c r="C1470" s="13" t="inlineStr">
        <is>
          <t>NPROC-GIL-2026-9041</t>
        </is>
      </c>
      <c r="D1470" s="14" t="inlineStr">
        <is>
          <t>Design, Development and Maintenance of State Spatial Data Infrastructure (SSDI) Portal</t>
        </is>
      </c>
      <c r="E1470" s="14" t="inlineStr">
        <is>
          <t>GUJARAT INFORMATICS LIMITED (GIL)-Gandhinagar</t>
        </is>
      </c>
      <c r="F1470" s="13" t="inlineStr">
        <is>
          <t>31 Jul 2026</t>
        </is>
      </c>
      <c r="G1470" s="12" t="inlineStr">
        <is>
          <t>22 Aug 2026</t>
        </is>
      </c>
      <c r="H1470" s="8" t="inlineStr">
        <is>
          <t>⏳ UPCOMING</t>
        </is>
      </c>
      <c r="I1470" s="11" t="inlineStr">
        <is>
          <t>Tender_NPROC-GIL-2026-9041_All_Documents.zip</t>
        </is>
      </c>
      <c r="J1470" s="13" t="inlineStr">
        <is>
          <t>📦 ZIP Package</t>
        </is>
      </c>
      <c r="K1470" s="15" t="n">
        <v>20.8</v>
      </c>
      <c r="L1470" s="16">
        <f>HYPERLINK("http://127.0.0.1:8000/api/documents/download?id=3010&amp;attachment=true", "⬇ Download Tender_NPROC-GIL-2026-90")</f>
        <v/>
      </c>
      <c r="M1470" s="16">
        <f>HYPERLINK("http://localhost:5173/?state=Gujarat&amp;keyword=Website%20Development/Application&amp;tender=NPROC-GIL-2026-9041", "🚀 Open in Portal")</f>
        <v/>
      </c>
    </row>
    <row r="1471" ht="24" customHeight="1">
      <c r="A1471" s="4" t="inlineStr">
        <is>
          <t>Gujarat</t>
        </is>
      </c>
      <c r="B1471" s="5" t="inlineStr">
        <is>
          <t>Design</t>
        </is>
      </c>
      <c r="C1471" s="6" t="inlineStr">
        <is>
          <t>NPROC-GIL-2026-9041</t>
        </is>
      </c>
      <c r="D1471" s="7" t="inlineStr">
        <is>
          <t>Design, Development and Maintenance of State Spatial Data Infrastructure (SSDI) Portal</t>
        </is>
      </c>
      <c r="E1471" s="7" t="inlineStr">
        <is>
          <t>GUJARAT INFORMATICS LIMITED (GIL)-Gandhinagar</t>
        </is>
      </c>
      <c r="F1471" s="6" t="inlineStr">
        <is>
          <t>31 Jul 2026</t>
        </is>
      </c>
      <c r="G1471" s="5" t="inlineStr">
        <is>
          <t>22 Aug 2026</t>
        </is>
      </c>
      <c r="H1471" s="8" t="inlineStr">
        <is>
          <t>⏳ UPCOMING</t>
        </is>
      </c>
      <c r="I1471" s="4" t="inlineStr">
        <is>
          <t>Gujarat_SSDI_Portal_RFP.pdf</t>
        </is>
      </c>
      <c r="J1471" s="6" t="inlineStr">
        <is>
          <t>📕 PDF Document</t>
        </is>
      </c>
      <c r="K1471" s="9" t="n">
        <v>17.9</v>
      </c>
      <c r="L1471" s="10">
        <f>HYPERLINK("http://127.0.0.1:8000/api/documents/download?id=2809&amp;attachment=true", "⬇ Download Gujarat_SSDI_Portal_RFP.")</f>
        <v/>
      </c>
      <c r="M1471" s="10">
        <f>HYPERLINK("http://localhost:5173/?state=Gujarat&amp;keyword=Design&amp;tender=NPROC-GIL-2026-9041", "🚀 Open in Portal")</f>
        <v/>
      </c>
    </row>
    <row r="1472" ht="24" customHeight="1">
      <c r="A1472" s="11" t="inlineStr">
        <is>
          <t>Gujarat</t>
        </is>
      </c>
      <c r="B1472" s="12" t="inlineStr">
        <is>
          <t>Design</t>
        </is>
      </c>
      <c r="C1472" s="13" t="inlineStr">
        <is>
          <t>NPROC-GIL-2026-9041</t>
        </is>
      </c>
      <c r="D1472" s="14" t="inlineStr">
        <is>
          <t>Design, Development and Maintenance of State Spatial Data Infrastructure (SSDI) Portal</t>
        </is>
      </c>
      <c r="E1472" s="14" t="inlineStr">
        <is>
          <t>GUJARAT INFORMATICS LIMITED (GIL)-Gandhinagar</t>
        </is>
      </c>
      <c r="F1472" s="13" t="inlineStr">
        <is>
          <t>31 Jul 2026</t>
        </is>
      </c>
      <c r="G1472" s="12" t="inlineStr">
        <is>
          <t>22 Aug 2026</t>
        </is>
      </c>
      <c r="H1472" s="8" t="inlineStr">
        <is>
          <t>⏳ UPCOMING</t>
        </is>
      </c>
      <c r="I1472" s="11" t="inlineStr">
        <is>
          <t>OGC_Services_Compliance_Spec.pdf</t>
        </is>
      </c>
      <c r="J1472" s="13" t="inlineStr">
        <is>
          <t>📕 PDF Document</t>
        </is>
      </c>
      <c r="K1472" s="15" t="n">
        <v>17.9</v>
      </c>
      <c r="L1472" s="16">
        <f>HYPERLINK("http://127.0.0.1:8000/api/documents/download?id=2810&amp;attachment=true", "⬇ Download OGC_Services_Compliance_")</f>
        <v/>
      </c>
      <c r="M1472" s="16">
        <f>HYPERLINK("http://localhost:5173/?state=Gujarat&amp;keyword=Design&amp;tender=NPROC-GIL-2026-9041", "🚀 Open in Portal")</f>
        <v/>
      </c>
    </row>
    <row r="1473" ht="24" customHeight="1">
      <c r="A1473" s="4" t="inlineStr">
        <is>
          <t>Gujarat</t>
        </is>
      </c>
      <c r="B1473" s="5" t="inlineStr">
        <is>
          <t>Design</t>
        </is>
      </c>
      <c r="C1473" s="6" t="inlineStr">
        <is>
          <t>NPROC-GIL-2026-9041</t>
        </is>
      </c>
      <c r="D1473" s="7" t="inlineStr">
        <is>
          <t>Design, Development and Maintenance of State Spatial Data Infrastructure (SSDI) Portal</t>
        </is>
      </c>
      <c r="E1473" s="7" t="inlineStr">
        <is>
          <t>GUJARAT INFORMATICS LIMITED (GIL)-Gandhinagar</t>
        </is>
      </c>
      <c r="F1473" s="6" t="inlineStr">
        <is>
          <t>31 Jul 2026</t>
        </is>
      </c>
      <c r="G1473" s="5" t="inlineStr">
        <is>
          <t>22 Aug 2026</t>
        </is>
      </c>
      <c r="H1473" s="8" t="inlineStr">
        <is>
          <t>⏳ UPCOMING</t>
        </is>
      </c>
      <c r="I1473" s="4" t="inlineStr">
        <is>
          <t>Commercial_Format_Price_Bid.xlsx</t>
        </is>
      </c>
      <c r="J1473" s="6" t="inlineStr">
        <is>
          <t>📊 Excel BOQ</t>
        </is>
      </c>
      <c r="K1473" s="9" t="n">
        <v>2.4</v>
      </c>
      <c r="L1473" s="10">
        <f>HYPERLINK("http://127.0.0.1:8000/api/documents/download?id=2811&amp;attachment=true", "⬇ Download Commercial_Format_Price_")</f>
        <v/>
      </c>
      <c r="M1473" s="10">
        <f>HYPERLINK("http://localhost:5173/?state=Gujarat&amp;keyword=Design&amp;tender=NPROC-GIL-2026-9041", "🚀 Open in Portal")</f>
        <v/>
      </c>
    </row>
    <row r="1474" ht="24" customHeight="1">
      <c r="A1474" s="11" t="inlineStr">
        <is>
          <t>Gujarat</t>
        </is>
      </c>
      <c r="B1474" s="12" t="inlineStr">
        <is>
          <t>Design</t>
        </is>
      </c>
      <c r="C1474" s="13" t="inlineStr">
        <is>
          <t>NPROC-GIL-2026-9041</t>
        </is>
      </c>
      <c r="D1474" s="14" t="inlineStr">
        <is>
          <t>Design, Development and Maintenance of State Spatial Data Infrastructure (SSDI) Portal</t>
        </is>
      </c>
      <c r="E1474" s="14" t="inlineStr">
        <is>
          <t>GUJARAT INFORMATICS LIMITED (GIL)-Gandhinagar</t>
        </is>
      </c>
      <c r="F1474" s="13" t="inlineStr">
        <is>
          <t>31 Jul 2026</t>
        </is>
      </c>
      <c r="G1474" s="12" t="inlineStr">
        <is>
          <t>22 Aug 2026</t>
        </is>
      </c>
      <c r="H1474" s="8" t="inlineStr">
        <is>
          <t>⏳ UPCOMING</t>
        </is>
      </c>
      <c r="I1474" s="11" t="inlineStr">
        <is>
          <t>Tender_NPROC-GIL-2026-9041_All_Documents.zip</t>
        </is>
      </c>
      <c r="J1474" s="13" t="inlineStr">
        <is>
          <t>📦 ZIP Package</t>
        </is>
      </c>
      <c r="K1474" s="15" t="n">
        <v>20.8</v>
      </c>
      <c r="L1474" s="16">
        <f>HYPERLINK("http://127.0.0.1:8000/api/documents/download?id=3010&amp;attachment=true", "⬇ Download Tender_NPROC-GIL-2026-90")</f>
        <v/>
      </c>
      <c r="M1474" s="16">
        <f>HYPERLINK("http://localhost:5173/?state=Gujarat&amp;keyword=Design&amp;tender=NPROC-GIL-2026-9041", "🚀 Open in Portal")</f>
        <v/>
      </c>
    </row>
    <row r="1475" ht="24" customHeight="1">
      <c r="A1475" s="4" t="inlineStr">
        <is>
          <t>Gujarat</t>
        </is>
      </c>
      <c r="B1475" s="5" t="inlineStr">
        <is>
          <t>Digital</t>
        </is>
      </c>
      <c r="C1475" s="6" t="inlineStr">
        <is>
          <t>NPROC-AGRI-2026-4409</t>
        </is>
      </c>
      <c r="D1475" s="7" t="inlineStr">
        <is>
          <t>Digital Soil Testing Labs Automation &amp; Mobile App for Farmer Soil Health Cards</t>
        </is>
      </c>
      <c r="E1475" s="7" t="inlineStr">
        <is>
          <t>DIRECTORATE OF AGRICULTURE-Krishi Bhavan, Gandhinagar</t>
        </is>
      </c>
      <c r="F1475" s="6" t="inlineStr">
        <is>
          <t>27 Jul 2026</t>
        </is>
      </c>
      <c r="G1475" s="5" t="inlineStr">
        <is>
          <t>19 Aug 2026</t>
        </is>
      </c>
      <c r="H1475" s="8" t="inlineStr">
        <is>
          <t>⏳ UPCOMING</t>
        </is>
      </c>
      <c r="I1475" s="4" t="inlineStr">
        <is>
          <t>Soil_Health_Mobile_App_Tender.pdf</t>
        </is>
      </c>
      <c r="J1475" s="6" t="inlineStr">
        <is>
          <t>📕 PDF Document</t>
        </is>
      </c>
      <c r="K1475" s="9" t="n">
        <v>17.9</v>
      </c>
      <c r="L1475" s="10">
        <f>HYPERLINK("http://127.0.0.1:8000/api/documents/download?id=2816&amp;attachment=true", "⬇ Download Soil_Health_Mobile_App_T")</f>
        <v/>
      </c>
      <c r="M1475" s="10">
        <f>HYPERLINK("http://localhost:5173/?state=Gujarat&amp;keyword=Digital&amp;tender=NPROC-AGRI-2026-4409", "🚀 Open in Portal")</f>
        <v/>
      </c>
    </row>
    <row r="1476" ht="24" customHeight="1">
      <c r="A1476" s="11" t="inlineStr">
        <is>
          <t>Gujarat</t>
        </is>
      </c>
      <c r="B1476" s="12" t="inlineStr">
        <is>
          <t>Digital</t>
        </is>
      </c>
      <c r="C1476" s="13" t="inlineStr">
        <is>
          <t>NPROC-AGRI-2026-4409</t>
        </is>
      </c>
      <c r="D1476" s="14" t="inlineStr">
        <is>
          <t>Digital Soil Testing Labs Automation &amp; Mobile App for Farmer Soil Health Cards</t>
        </is>
      </c>
      <c r="E1476" s="14" t="inlineStr">
        <is>
          <t>DIRECTORATE OF AGRICULTURE-Krishi Bhavan, Gandhinagar</t>
        </is>
      </c>
      <c r="F1476" s="13" t="inlineStr">
        <is>
          <t>27 Jul 2026</t>
        </is>
      </c>
      <c r="G1476" s="12" t="inlineStr">
        <is>
          <t>19 Aug 2026</t>
        </is>
      </c>
      <c r="H1476" s="8" t="inlineStr">
        <is>
          <t>⏳ UPCOMING</t>
        </is>
      </c>
      <c r="I1476" s="11" t="inlineStr">
        <is>
          <t>Software_Acceptance_Test_Plan.pdf</t>
        </is>
      </c>
      <c r="J1476" s="13" t="inlineStr">
        <is>
          <t>📕 PDF Document</t>
        </is>
      </c>
      <c r="K1476" s="15" t="n">
        <v>17.9</v>
      </c>
      <c r="L1476" s="16">
        <f>HYPERLINK("http://127.0.0.1:8000/api/documents/download?id=2817&amp;attachment=true", "⬇ Download Software_Acceptance_Test")</f>
        <v/>
      </c>
      <c r="M1476" s="16">
        <f>HYPERLINK("http://localhost:5173/?state=Gujarat&amp;keyword=Digital&amp;tender=NPROC-AGRI-2026-4409", "🚀 Open in Portal")</f>
        <v/>
      </c>
    </row>
    <row r="1477" ht="24" customHeight="1">
      <c r="A1477" s="4" t="inlineStr">
        <is>
          <t>Gujarat</t>
        </is>
      </c>
      <c r="B1477" s="5" t="inlineStr">
        <is>
          <t>Digital</t>
        </is>
      </c>
      <c r="C1477" s="6" t="inlineStr">
        <is>
          <t>NPROC-AGRI-2026-4409</t>
        </is>
      </c>
      <c r="D1477" s="7" t="inlineStr">
        <is>
          <t>Digital Soil Testing Labs Automation &amp; Mobile App for Farmer Soil Health Cards</t>
        </is>
      </c>
      <c r="E1477" s="7" t="inlineStr">
        <is>
          <t>DIRECTORATE OF AGRICULTURE-Krishi Bhavan, Gandhinagar</t>
        </is>
      </c>
      <c r="F1477" s="6" t="inlineStr">
        <is>
          <t>27 Jul 2026</t>
        </is>
      </c>
      <c r="G1477" s="5" t="inlineStr">
        <is>
          <t>19 Aug 2026</t>
        </is>
      </c>
      <c r="H1477" s="8" t="inlineStr">
        <is>
          <t>⏳ UPCOMING</t>
        </is>
      </c>
      <c r="I1477" s="4" t="inlineStr">
        <is>
          <t>Tender_NPROC-AGRI-2026-4409_All_Documents.zip</t>
        </is>
      </c>
      <c r="J1477" s="6" t="inlineStr">
        <is>
          <t>📦 ZIP Package</t>
        </is>
      </c>
      <c r="K1477" s="9" t="n">
        <v>18.6</v>
      </c>
      <c r="L1477" s="10">
        <f>HYPERLINK("http://127.0.0.1:8000/api/documents/download?id=3013&amp;attachment=true", "⬇ Download Tender_NPROC-AGRI-2026-4")</f>
        <v/>
      </c>
      <c r="M1477" s="10">
        <f>HYPERLINK("http://localhost:5173/?state=Gujarat&amp;keyword=Digital&amp;tender=NPROC-AGRI-2026-4409", "🚀 Open in Portal")</f>
        <v/>
      </c>
    </row>
    <row r="1478" ht="24" customHeight="1">
      <c r="A1478" s="11" t="inlineStr">
        <is>
          <t>Gujarat</t>
        </is>
      </c>
      <c r="B1478" s="12" t="inlineStr">
        <is>
          <t>Development</t>
        </is>
      </c>
      <c r="C1478" s="13" t="inlineStr">
        <is>
          <t>NPROC-GIL-2026-9041</t>
        </is>
      </c>
      <c r="D1478" s="14" t="inlineStr">
        <is>
          <t>Design, Development and Maintenance of State Spatial Data Infrastructure (SSDI) Portal</t>
        </is>
      </c>
      <c r="E1478" s="14" t="inlineStr">
        <is>
          <t>GUJARAT INFORMATICS LIMITED (GIL)-Gandhinagar</t>
        </is>
      </c>
      <c r="F1478" s="13" t="inlineStr">
        <is>
          <t>31 Jul 2026</t>
        </is>
      </c>
      <c r="G1478" s="12" t="inlineStr">
        <is>
          <t>22 Aug 2026</t>
        </is>
      </c>
      <c r="H1478" s="8" t="inlineStr">
        <is>
          <t>⏳ UPCOMING</t>
        </is>
      </c>
      <c r="I1478" s="11" t="inlineStr">
        <is>
          <t>Gujarat_SSDI_Portal_RFP.pdf</t>
        </is>
      </c>
      <c r="J1478" s="13" t="inlineStr">
        <is>
          <t>📕 PDF Document</t>
        </is>
      </c>
      <c r="K1478" s="15" t="n">
        <v>17.9</v>
      </c>
      <c r="L1478" s="16">
        <f>HYPERLINK("http://127.0.0.1:8000/api/documents/download?id=2809&amp;attachment=true", "⬇ Download Gujarat_SSDI_Portal_RFP.")</f>
        <v/>
      </c>
      <c r="M1478" s="16">
        <f>HYPERLINK("http://localhost:5173/?state=Gujarat&amp;keyword=Development&amp;tender=NPROC-GIL-2026-9041", "🚀 Open in Portal")</f>
        <v/>
      </c>
    </row>
    <row r="1479" ht="24" customHeight="1">
      <c r="A1479" s="4" t="inlineStr">
        <is>
          <t>Gujarat</t>
        </is>
      </c>
      <c r="B1479" s="5" t="inlineStr">
        <is>
          <t>Development</t>
        </is>
      </c>
      <c r="C1479" s="6" t="inlineStr">
        <is>
          <t>NPROC-GIL-2026-9041</t>
        </is>
      </c>
      <c r="D1479" s="7" t="inlineStr">
        <is>
          <t>Design, Development and Maintenance of State Spatial Data Infrastructure (SSDI) Portal</t>
        </is>
      </c>
      <c r="E1479" s="7" t="inlineStr">
        <is>
          <t>GUJARAT INFORMATICS LIMITED (GIL)-Gandhinagar</t>
        </is>
      </c>
      <c r="F1479" s="6" t="inlineStr">
        <is>
          <t>31 Jul 2026</t>
        </is>
      </c>
      <c r="G1479" s="5" t="inlineStr">
        <is>
          <t>22 Aug 2026</t>
        </is>
      </c>
      <c r="H1479" s="8" t="inlineStr">
        <is>
          <t>⏳ UPCOMING</t>
        </is>
      </c>
      <c r="I1479" s="4" t="inlineStr">
        <is>
          <t>OGC_Services_Compliance_Spec.pdf</t>
        </is>
      </c>
      <c r="J1479" s="6" t="inlineStr">
        <is>
          <t>📕 PDF Document</t>
        </is>
      </c>
      <c r="K1479" s="9" t="n">
        <v>17.9</v>
      </c>
      <c r="L1479" s="10">
        <f>HYPERLINK("http://127.0.0.1:8000/api/documents/download?id=2810&amp;attachment=true", "⬇ Download OGC_Services_Compliance_")</f>
        <v/>
      </c>
      <c r="M1479" s="10">
        <f>HYPERLINK("http://localhost:5173/?state=Gujarat&amp;keyword=Development&amp;tender=NPROC-GIL-2026-9041", "🚀 Open in Portal")</f>
        <v/>
      </c>
    </row>
    <row r="1480" ht="24" customHeight="1">
      <c r="A1480" s="11" t="inlineStr">
        <is>
          <t>Gujarat</t>
        </is>
      </c>
      <c r="B1480" s="12" t="inlineStr">
        <is>
          <t>Development</t>
        </is>
      </c>
      <c r="C1480" s="13" t="inlineStr">
        <is>
          <t>NPROC-GIL-2026-9041</t>
        </is>
      </c>
      <c r="D1480" s="14" t="inlineStr">
        <is>
          <t>Design, Development and Maintenance of State Spatial Data Infrastructure (SSDI) Portal</t>
        </is>
      </c>
      <c r="E1480" s="14" t="inlineStr">
        <is>
          <t>GUJARAT INFORMATICS LIMITED (GIL)-Gandhinagar</t>
        </is>
      </c>
      <c r="F1480" s="13" t="inlineStr">
        <is>
          <t>31 Jul 2026</t>
        </is>
      </c>
      <c r="G1480" s="12" t="inlineStr">
        <is>
          <t>22 Aug 2026</t>
        </is>
      </c>
      <c r="H1480" s="8" t="inlineStr">
        <is>
          <t>⏳ UPCOMING</t>
        </is>
      </c>
      <c r="I1480" s="11" t="inlineStr">
        <is>
          <t>Commercial_Format_Price_Bid.xlsx</t>
        </is>
      </c>
      <c r="J1480" s="13" t="inlineStr">
        <is>
          <t>📊 Excel BOQ</t>
        </is>
      </c>
      <c r="K1480" s="15" t="n">
        <v>2.4</v>
      </c>
      <c r="L1480" s="16">
        <f>HYPERLINK("http://127.0.0.1:8000/api/documents/download?id=2811&amp;attachment=true", "⬇ Download Commercial_Format_Price_")</f>
        <v/>
      </c>
      <c r="M1480" s="16">
        <f>HYPERLINK("http://localhost:5173/?state=Gujarat&amp;keyword=Development&amp;tender=NPROC-GIL-2026-9041", "🚀 Open in Portal")</f>
        <v/>
      </c>
    </row>
    <row r="1481" ht="24" customHeight="1">
      <c r="A1481" s="4" t="inlineStr">
        <is>
          <t>Gujarat</t>
        </is>
      </c>
      <c r="B1481" s="5" t="inlineStr">
        <is>
          <t>Development</t>
        </is>
      </c>
      <c r="C1481" s="6" t="inlineStr">
        <is>
          <t>NPROC-GIL-2026-9041</t>
        </is>
      </c>
      <c r="D1481" s="7" t="inlineStr">
        <is>
          <t>Design, Development and Maintenance of State Spatial Data Infrastructure (SSDI) Portal</t>
        </is>
      </c>
      <c r="E1481" s="7" t="inlineStr">
        <is>
          <t>GUJARAT INFORMATICS LIMITED (GIL)-Gandhinagar</t>
        </is>
      </c>
      <c r="F1481" s="6" t="inlineStr">
        <is>
          <t>31 Jul 2026</t>
        </is>
      </c>
      <c r="G1481" s="5" t="inlineStr">
        <is>
          <t>22 Aug 2026</t>
        </is>
      </c>
      <c r="H1481" s="8" t="inlineStr">
        <is>
          <t>⏳ UPCOMING</t>
        </is>
      </c>
      <c r="I1481" s="4" t="inlineStr">
        <is>
          <t>Tender_NPROC-GIL-2026-9041_All_Documents.zip</t>
        </is>
      </c>
      <c r="J1481" s="6" t="inlineStr">
        <is>
          <t>📦 ZIP Package</t>
        </is>
      </c>
      <c r="K1481" s="9" t="n">
        <v>20.8</v>
      </c>
      <c r="L1481" s="10">
        <f>HYPERLINK("http://127.0.0.1:8000/api/documents/download?id=3010&amp;attachment=true", "⬇ Download Tender_NPROC-GIL-2026-90")</f>
        <v/>
      </c>
      <c r="M1481" s="10">
        <f>HYPERLINK("http://localhost:5173/?state=Gujarat&amp;keyword=Development&amp;tender=NPROC-GIL-2026-9041", "🚀 Open in Portal")</f>
        <v/>
      </c>
    </row>
    <row r="1482" ht="24" customHeight="1">
      <c r="A1482" s="11" t="inlineStr">
        <is>
          <t>Haryana</t>
        </is>
      </c>
      <c r="B1482" s="12" t="inlineStr">
        <is>
          <t>GIS</t>
        </is>
      </c>
      <c r="C1482" s="13" t="inlineStr">
        <is>
          <t>2025_HBC_466318_1</t>
        </is>
      </c>
      <c r="D1482" s="14" t="inlineStr">
        <is>
          <t>[Development, Operation and Maintenance of the Multi Modal Logistic Hub Project (IMLH) at Nangal Choudhary (District Mahendragarh) in the State of Haryana through Public Private Partnership on DBFOT basis]</t>
        </is>
      </c>
      <c r="E1482" s="14" t="inlineStr">
        <is>
          <t>Haryana Public Works &amp; Technology Department</t>
        </is>
      </c>
      <c r="F1482" s="13" t="inlineStr">
        <is>
          <t>28 Jul 2026</t>
        </is>
      </c>
      <c r="G1482" s="12" t="inlineStr">
        <is>
          <t>21 Aug 2026</t>
        </is>
      </c>
      <c r="H1482" s="8" t="inlineStr">
        <is>
          <t>⏳ UPCOMING</t>
        </is>
      </c>
      <c r="I1482" s="11" t="inlineStr">
        <is>
          <t>Tendernotice_1.pdf</t>
        </is>
      </c>
      <c r="J1482" s="13" t="inlineStr">
        <is>
          <t>📕 PDF Document</t>
        </is>
      </c>
      <c r="K1482" s="15" t="n">
        <v>17.9</v>
      </c>
      <c r="L1482" s="16">
        <f>HYPERLINK("http://127.0.0.1:8000/api/documents/download?id=1241&amp;attachment=true", "⬇ Download Tendernotice_1.pdf")</f>
        <v/>
      </c>
      <c r="M1482" s="16">
        <f>HYPERLINK("http://localhost:5173/?state=Haryana&amp;keyword=GIS&amp;tender=2025_HBC_466318_1", "🚀 Open in Portal")</f>
        <v/>
      </c>
    </row>
    <row r="1483" ht="24" customHeight="1">
      <c r="A1483" s="4" t="inlineStr">
        <is>
          <t>Haryana</t>
        </is>
      </c>
      <c r="B1483" s="5" t="inlineStr">
        <is>
          <t>GIS</t>
        </is>
      </c>
      <c r="C1483" s="6" t="inlineStr">
        <is>
          <t>2025_HBC_466318_1</t>
        </is>
      </c>
      <c r="D1483" s="7" t="inlineStr">
        <is>
          <t>[Development, Operation and Maintenance of the Multi Modal Logistic Hub Project (IMLH) at Nangal Choudhary (District Mahendragarh) in the State of Haryana through Public Private Partnership on DBFOT basis]</t>
        </is>
      </c>
      <c r="E1483" s="7" t="inlineStr">
        <is>
          <t>Haryana Public Works &amp; Technology Department</t>
        </is>
      </c>
      <c r="F1483" s="6" t="inlineStr">
        <is>
          <t>28 Jul 2026</t>
        </is>
      </c>
      <c r="G1483" s="5" t="inlineStr">
        <is>
          <t>21 Aug 2026</t>
        </is>
      </c>
      <c r="H1483" s="8" t="inlineStr">
        <is>
          <t>⏳ UPCOMING</t>
        </is>
      </c>
      <c r="I1483" s="4" t="inlineStr">
        <is>
          <t>FinancialFormat.xls</t>
        </is>
      </c>
      <c r="J1483" s="6" t="inlineStr">
        <is>
          <t>📊 Excel BOQ</t>
        </is>
      </c>
      <c r="K1483" s="9" t="n">
        <v>2.5</v>
      </c>
      <c r="L1483" s="10">
        <f>HYPERLINK("http://127.0.0.1:8000/api/documents/download?id=1242&amp;attachment=true", "⬇ Download FinancialFormat.xls")</f>
        <v/>
      </c>
      <c r="M1483" s="10">
        <f>HYPERLINK("http://localhost:5173/?state=Haryana&amp;keyword=GIS&amp;tender=2025_HBC_466318_1", "🚀 Open in Portal")</f>
        <v/>
      </c>
    </row>
    <row r="1484" ht="24" customHeight="1">
      <c r="A1484" s="11" t="inlineStr">
        <is>
          <t>Haryana</t>
        </is>
      </c>
      <c r="B1484" s="12" t="inlineStr">
        <is>
          <t>GIS</t>
        </is>
      </c>
      <c r="C1484" s="13" t="inlineStr">
        <is>
          <t>2025_HBC_466318_1</t>
        </is>
      </c>
      <c r="D1484" s="14" t="inlineStr">
        <is>
          <t>[Development, Operation and Maintenance of the Multi Modal Logistic Hub Project (IMLH) at Nangal Choudhary (District Mahendragarh) in the State of Haryana through Public Private Partnership on DBFOT basis]</t>
        </is>
      </c>
      <c r="E1484" s="14" t="inlineStr">
        <is>
          <t>Haryana Public Works &amp; Technology Department</t>
        </is>
      </c>
      <c r="F1484" s="13" t="inlineStr">
        <is>
          <t>28 Jul 2026</t>
        </is>
      </c>
      <c r="G1484" s="12" t="inlineStr">
        <is>
          <t>21 Aug 2026</t>
        </is>
      </c>
      <c r="H1484" s="8" t="inlineStr">
        <is>
          <t>⏳ UPCOMING</t>
        </is>
      </c>
      <c r="I1484" s="11" t="inlineStr">
        <is>
          <t>Tender_2025_HBC_466318_1_All_Documents.zip</t>
        </is>
      </c>
      <c r="J1484" s="13" t="inlineStr">
        <is>
          <t>📦 ZIP Package</t>
        </is>
      </c>
      <c r="K1484" s="15" t="n">
        <v>11.6</v>
      </c>
      <c r="L1484" s="16">
        <f>HYPERLINK("http://127.0.0.1:8000/api/documents/download?id=1243&amp;attachment=true", "⬇ Download Tender_2025_HBC_466318_1")</f>
        <v/>
      </c>
      <c r="M1484" s="16">
        <f>HYPERLINK("http://localhost:5173/?state=Haryana&amp;keyword=GIS&amp;tender=2025_HBC_466318_1", "🚀 Open in Portal")</f>
        <v/>
      </c>
    </row>
    <row r="1485" ht="24" customHeight="1">
      <c r="A1485" s="4" t="inlineStr">
        <is>
          <t>Haryana</t>
        </is>
      </c>
      <c r="B1485" s="5" t="inlineStr">
        <is>
          <t>GIS</t>
        </is>
      </c>
      <c r="C1485" s="6" t="inlineStr">
        <is>
          <t>2025_HBC_490592_1</t>
        </is>
      </c>
      <c r="D1485" s="7" t="inlineStr">
        <is>
          <t>[NIT 1380 QDP 1500 procurement of 33KV GIS]</t>
        </is>
      </c>
      <c r="E1485" s="7" t="inlineStr">
        <is>
          <t>Haryana Public Works &amp; Technology Department</t>
        </is>
      </c>
      <c r="F1485" s="6" t="inlineStr">
        <is>
          <t>28 Sep 2026</t>
        </is>
      </c>
      <c r="G1485" s="5" t="inlineStr">
        <is>
          <t>15 Nov 2026</t>
        </is>
      </c>
      <c r="H1485" s="17" t="inlineStr">
        <is>
          <t>🟢 LIVE ACTIVE</t>
        </is>
      </c>
      <c r="I1485" s="4" t="inlineStr">
        <is>
          <t>Tendernotice_1.pdf</t>
        </is>
      </c>
      <c r="J1485" s="6" t="inlineStr">
        <is>
          <t>📕 PDF Document</t>
        </is>
      </c>
      <c r="K1485" s="9" t="n">
        <v>17.8</v>
      </c>
      <c r="L1485" s="10">
        <f>HYPERLINK("http://127.0.0.1:8000/api/documents/download?id=1235&amp;attachment=true", "⬇ Download Tendernotice_1.pdf")</f>
        <v/>
      </c>
      <c r="M1485" s="10">
        <f>HYPERLINK("http://localhost:5173/?state=Haryana&amp;keyword=GIS&amp;tender=2025_HBC_490592_1", "🚀 Open in Portal")</f>
        <v/>
      </c>
    </row>
    <row r="1486" ht="24" customHeight="1">
      <c r="A1486" s="11" t="inlineStr">
        <is>
          <t>Haryana</t>
        </is>
      </c>
      <c r="B1486" s="12" t="inlineStr">
        <is>
          <t>GIS</t>
        </is>
      </c>
      <c r="C1486" s="13" t="inlineStr">
        <is>
          <t>2025_HBC_490592_1</t>
        </is>
      </c>
      <c r="D1486" s="14" t="inlineStr">
        <is>
          <t>[NIT 1380 QDP 1500 procurement of 33KV GIS]</t>
        </is>
      </c>
      <c r="E1486" s="14" t="inlineStr">
        <is>
          <t>Haryana Public Works &amp; Technology Department</t>
        </is>
      </c>
      <c r="F1486" s="13" t="inlineStr">
        <is>
          <t>28 Sep 2026</t>
        </is>
      </c>
      <c r="G1486" s="12" t="inlineStr">
        <is>
          <t>15 Nov 2026</t>
        </is>
      </c>
      <c r="H1486" s="17" t="inlineStr">
        <is>
          <t>🟢 LIVE ACTIVE</t>
        </is>
      </c>
      <c r="I1486" s="11" t="inlineStr">
        <is>
          <t>Checklist.pdf</t>
        </is>
      </c>
      <c r="J1486" s="13" t="inlineStr">
        <is>
          <t>📕 PDF Document</t>
        </is>
      </c>
      <c r="K1486" s="15" t="n">
        <v>17.8</v>
      </c>
      <c r="L1486" s="16">
        <f>HYPERLINK("http://127.0.0.1:8000/api/documents/download?id=1236&amp;attachment=true", "⬇ Download Checklist.pdf")</f>
        <v/>
      </c>
      <c r="M1486" s="16">
        <f>HYPERLINK("http://localhost:5173/?state=Haryana&amp;keyword=GIS&amp;tender=2025_HBC_490592_1", "🚀 Open in Portal")</f>
        <v/>
      </c>
    </row>
    <row r="1487" ht="24" customHeight="1">
      <c r="A1487" s="4" t="inlineStr">
        <is>
          <t>Haryana</t>
        </is>
      </c>
      <c r="B1487" s="5" t="inlineStr">
        <is>
          <t>GIS</t>
        </is>
      </c>
      <c r="C1487" s="6" t="inlineStr">
        <is>
          <t>2025_HBC_490592_1</t>
        </is>
      </c>
      <c r="D1487" s="7" t="inlineStr">
        <is>
          <t>[NIT 1380 QDP 1500 procurement of 33KV GIS]</t>
        </is>
      </c>
      <c r="E1487" s="7" t="inlineStr">
        <is>
          <t>Haryana Public Works &amp; Technology Department</t>
        </is>
      </c>
      <c r="F1487" s="6" t="inlineStr">
        <is>
          <t>28 Sep 2026</t>
        </is>
      </c>
      <c r="G1487" s="5" t="inlineStr">
        <is>
          <t>15 Nov 2026</t>
        </is>
      </c>
      <c r="H1487" s="17" t="inlineStr">
        <is>
          <t>🟢 LIVE ACTIVE</t>
        </is>
      </c>
      <c r="I1487" s="4" t="inlineStr">
        <is>
          <t>TenderdocumentGIS.pdf</t>
        </is>
      </c>
      <c r="J1487" s="6" t="inlineStr">
        <is>
          <t>📕 PDF Document</t>
        </is>
      </c>
      <c r="K1487" s="9" t="n">
        <v>17.8</v>
      </c>
      <c r="L1487" s="10">
        <f>HYPERLINK("http://127.0.0.1:8000/api/documents/download?id=1237&amp;attachment=true", "⬇ Download TenderdocumentGIS.pdf")</f>
        <v/>
      </c>
      <c r="M1487" s="10">
        <f>HYPERLINK("http://localhost:5173/?state=Haryana&amp;keyword=GIS&amp;tender=2025_HBC_490592_1", "🚀 Open in Portal")</f>
        <v/>
      </c>
    </row>
    <row r="1488" ht="24" customHeight="1">
      <c r="A1488" s="11" t="inlineStr">
        <is>
          <t>Haryana</t>
        </is>
      </c>
      <c r="B1488" s="12" t="inlineStr">
        <is>
          <t>GIS</t>
        </is>
      </c>
      <c r="C1488" s="13" t="inlineStr">
        <is>
          <t>2025_HBC_490592_1</t>
        </is>
      </c>
      <c r="D1488" s="14" t="inlineStr">
        <is>
          <t>[NIT 1380 QDP 1500 procurement of 33KV GIS]</t>
        </is>
      </c>
      <c r="E1488" s="14" t="inlineStr">
        <is>
          <t>Haryana Public Works &amp; Technology Department</t>
        </is>
      </c>
      <c r="F1488" s="13" t="inlineStr">
        <is>
          <t>28 Sep 2026</t>
        </is>
      </c>
      <c r="G1488" s="12" t="inlineStr">
        <is>
          <t>15 Nov 2026</t>
        </is>
      </c>
      <c r="H1488" s="17" t="inlineStr">
        <is>
          <t>🟢 LIVE ACTIVE</t>
        </is>
      </c>
      <c r="I1488" s="11" t="inlineStr">
        <is>
          <t>BOQ_568880.xls</t>
        </is>
      </c>
      <c r="J1488" s="13" t="inlineStr">
        <is>
          <t>📊 Excel BOQ</t>
        </is>
      </c>
      <c r="K1488" s="15" t="n">
        <v>2.4</v>
      </c>
      <c r="L1488" s="16">
        <f>HYPERLINK("http://127.0.0.1:8000/api/documents/download?id=1238&amp;attachment=true", "⬇ Download BOQ_568880.xls")</f>
        <v/>
      </c>
      <c r="M1488" s="16">
        <f>HYPERLINK("http://localhost:5173/?state=Haryana&amp;keyword=GIS&amp;tender=2025_HBC_490592_1", "🚀 Open in Portal")</f>
        <v/>
      </c>
    </row>
    <row r="1489" ht="24" customHeight="1">
      <c r="A1489" s="4" t="inlineStr">
        <is>
          <t>Haryana</t>
        </is>
      </c>
      <c r="B1489" s="5" t="inlineStr">
        <is>
          <t>GIS</t>
        </is>
      </c>
      <c r="C1489" s="6" t="inlineStr">
        <is>
          <t>2025_HBC_490592_1</t>
        </is>
      </c>
      <c r="D1489" s="7" t="inlineStr">
        <is>
          <t>[NIT 1380 QDP 1500 procurement of 33KV GIS]</t>
        </is>
      </c>
      <c r="E1489" s="7" t="inlineStr">
        <is>
          <t>Haryana Public Works &amp; Technology Department</t>
        </is>
      </c>
      <c r="F1489" s="6" t="inlineStr">
        <is>
          <t>28 Sep 2026</t>
        </is>
      </c>
      <c r="G1489" s="5" t="inlineStr">
        <is>
          <t>15 Nov 2026</t>
        </is>
      </c>
      <c r="H1489" s="17" t="inlineStr">
        <is>
          <t>🟢 LIVE ACTIVE</t>
        </is>
      </c>
      <c r="I1489" s="4" t="inlineStr">
        <is>
          <t>TechSpecGIS.pdf</t>
        </is>
      </c>
      <c r="J1489" s="6" t="inlineStr">
        <is>
          <t>📕 PDF Document</t>
        </is>
      </c>
      <c r="K1489" s="9" t="n">
        <v>17.8</v>
      </c>
      <c r="L1489" s="10">
        <f>HYPERLINK("http://127.0.0.1:8000/api/documents/download?id=1239&amp;attachment=true", "⬇ Download TechSpecGIS.pdf")</f>
        <v/>
      </c>
      <c r="M1489" s="10">
        <f>HYPERLINK("http://localhost:5173/?state=Haryana&amp;keyword=GIS&amp;tender=2025_HBC_490592_1", "🚀 Open in Portal")</f>
        <v/>
      </c>
    </row>
    <row r="1490" ht="24" customHeight="1">
      <c r="A1490" s="11" t="inlineStr">
        <is>
          <t>Haryana</t>
        </is>
      </c>
      <c r="B1490" s="12" t="inlineStr">
        <is>
          <t>GIS</t>
        </is>
      </c>
      <c r="C1490" s="13" t="inlineStr">
        <is>
          <t>2025_HBC_490592_1</t>
        </is>
      </c>
      <c r="D1490" s="14" t="inlineStr">
        <is>
          <t>[NIT 1380 QDP 1500 procurement of 33KV GIS]</t>
        </is>
      </c>
      <c r="E1490" s="14" t="inlineStr">
        <is>
          <t>Haryana Public Works &amp; Technology Department</t>
        </is>
      </c>
      <c r="F1490" s="13" t="inlineStr">
        <is>
          <t>28 Sep 2026</t>
        </is>
      </c>
      <c r="G1490" s="12" t="inlineStr">
        <is>
          <t>15 Nov 2026</t>
        </is>
      </c>
      <c r="H1490" s="17" t="inlineStr">
        <is>
          <t>🟢 LIVE ACTIVE</t>
        </is>
      </c>
      <c r="I1490" s="11" t="inlineStr">
        <is>
          <t>Tender_2025_HBC_490592_1_All_Documents.zip</t>
        </is>
      </c>
      <c r="J1490" s="13" t="inlineStr">
        <is>
          <t>📦 ZIP Package</t>
        </is>
      </c>
      <c r="K1490" s="15" t="n">
        <v>39</v>
      </c>
      <c r="L1490" s="16">
        <f>HYPERLINK("http://127.0.0.1:8000/api/documents/download?id=1240&amp;attachment=true", "⬇ Download Tender_2025_HBC_490592_1")</f>
        <v/>
      </c>
      <c r="M1490" s="16">
        <f>HYPERLINK("http://localhost:5173/?state=Haryana&amp;keyword=GIS&amp;tender=2025_HBC_490592_1", "🚀 Open in Portal")</f>
        <v/>
      </c>
    </row>
    <row r="1491" ht="24" customHeight="1">
      <c r="A1491" s="4" t="inlineStr">
        <is>
          <t>Haryana</t>
        </is>
      </c>
      <c r="B1491" s="5" t="inlineStr">
        <is>
          <t>GIS</t>
        </is>
      </c>
      <c r="C1491" s="6" t="inlineStr">
        <is>
          <t>2026_HAR_421894_37</t>
        </is>
      </c>
      <c r="D1491" s="7" t="inlineStr">
        <is>
          <t>GIS-Based Drone LiDAR Survey &amp; Web GIS Geodatabase Integration for Smart Infrastructure</t>
        </is>
      </c>
      <c r="E1491" s="7" t="inlineStr">
        <is>
          <t>DIRECTORATE OF MUNICIPAL URBAN INFRASTRUCTURE</t>
        </is>
      </c>
      <c r="F1491" s="6" t="inlineStr">
        <is>
          <t>25 Aug 2026</t>
        </is>
      </c>
      <c r="G1491" s="5" t="inlineStr">
        <is>
          <t>15 Sep 2026</t>
        </is>
      </c>
      <c r="H1491" s="8" t="inlineStr">
        <is>
          <t>⏳ UPCOMING</t>
        </is>
      </c>
      <c r="I1491" s="4" t="inlineStr">
        <is>
          <t>Tendernotice_2026_HAR_421894_37.pdf</t>
        </is>
      </c>
      <c r="J1491" s="6" t="inlineStr">
        <is>
          <t>📕 PDF Document</t>
        </is>
      </c>
      <c r="K1491" s="9" t="n">
        <v>17.9</v>
      </c>
      <c r="L1491" s="10">
        <f>HYPERLINK("http://127.0.0.1:8000/api/documents/download?id=3081&amp;attachment=true", "⬇ Download Tendernotice_2026_HAR_42")</f>
        <v/>
      </c>
      <c r="M1491" s="10">
        <f>HYPERLINK("http://localhost:5173/?state=Haryana&amp;keyword=GIS&amp;tender=2026_HAR_421894_37", "🚀 Open in Portal")</f>
        <v/>
      </c>
    </row>
    <row r="1492" ht="24" customHeight="1">
      <c r="A1492" s="11" t="inlineStr">
        <is>
          <t>Haryana</t>
        </is>
      </c>
      <c r="B1492" s="12" t="inlineStr">
        <is>
          <t>GIS</t>
        </is>
      </c>
      <c r="C1492" s="13" t="inlineStr">
        <is>
          <t>2026_HAR_421894_37</t>
        </is>
      </c>
      <c r="D1492" s="14" t="inlineStr">
        <is>
          <t>GIS-Based Drone LiDAR Survey &amp; Web GIS Geodatabase Integration for Smart Infrastructure</t>
        </is>
      </c>
      <c r="E1492" s="14" t="inlineStr">
        <is>
          <t>DIRECTORATE OF MUNICIPAL URBAN INFRASTRUCTURE</t>
        </is>
      </c>
      <c r="F1492" s="13" t="inlineStr">
        <is>
          <t>25 Aug 2026</t>
        </is>
      </c>
      <c r="G1492" s="12" t="inlineStr">
        <is>
          <t>15 Sep 2026</t>
        </is>
      </c>
      <c r="H1492" s="8" t="inlineStr">
        <is>
          <t>⏳ UPCOMING</t>
        </is>
      </c>
      <c r="I1492" s="11" t="inlineStr">
        <is>
          <t>Technical_RFP_Specification_GIS.pdf</t>
        </is>
      </c>
      <c r="J1492" s="13" t="inlineStr">
        <is>
          <t>📕 PDF Document</t>
        </is>
      </c>
      <c r="K1492" s="15" t="n">
        <v>17.9</v>
      </c>
      <c r="L1492" s="16">
        <f>HYPERLINK("http://127.0.0.1:8000/api/documents/download?id=3082&amp;attachment=true", "⬇ Download Technical_RFP_Specificat")</f>
        <v/>
      </c>
      <c r="M1492" s="16">
        <f>HYPERLINK("http://localhost:5173/?state=Haryana&amp;keyword=GIS&amp;tender=2026_HAR_421894_37", "🚀 Open in Portal")</f>
        <v/>
      </c>
    </row>
    <row r="1493" ht="24" customHeight="1">
      <c r="A1493" s="4" t="inlineStr">
        <is>
          <t>Haryana</t>
        </is>
      </c>
      <c r="B1493" s="5" t="inlineStr">
        <is>
          <t>GIS</t>
        </is>
      </c>
      <c r="C1493" s="6" t="inlineStr">
        <is>
          <t>2026_HAR_421894_37</t>
        </is>
      </c>
      <c r="D1493" s="7" t="inlineStr">
        <is>
          <t>GIS-Based Drone LiDAR Survey &amp; Web GIS Geodatabase Integration for Smart Infrastructure</t>
        </is>
      </c>
      <c r="E1493" s="7" t="inlineStr">
        <is>
          <t>DIRECTORATE OF MUNICIPAL URBAN INFRASTRUCTURE</t>
        </is>
      </c>
      <c r="F1493" s="6" t="inlineStr">
        <is>
          <t>25 Aug 2026</t>
        </is>
      </c>
      <c r="G1493" s="5" t="inlineStr">
        <is>
          <t>15 Sep 2026</t>
        </is>
      </c>
      <c r="H1493" s="8" t="inlineStr">
        <is>
          <t>⏳ UPCOMING</t>
        </is>
      </c>
      <c r="I1493" s="4" t="inlineStr">
        <is>
          <t>BOQ_Financial_Schedule_2026_HAR_421894_37.xlsx</t>
        </is>
      </c>
      <c r="J1493" s="6" t="inlineStr">
        <is>
          <t>📊 Excel BOQ</t>
        </is>
      </c>
      <c r="K1493" s="9" t="n">
        <v>2.5</v>
      </c>
      <c r="L1493" s="10">
        <f>HYPERLINK("http://127.0.0.1:8000/api/documents/download?id=3083&amp;attachment=true", "⬇ Download BOQ_Financial_Schedule_2")</f>
        <v/>
      </c>
      <c r="M1493" s="10">
        <f>HYPERLINK("http://localhost:5173/?state=Haryana&amp;keyword=GIS&amp;tender=2026_HAR_421894_37", "🚀 Open in Portal")</f>
        <v/>
      </c>
    </row>
    <row r="1494" ht="24" customHeight="1">
      <c r="A1494" s="11" t="inlineStr">
        <is>
          <t>Haryana</t>
        </is>
      </c>
      <c r="B1494" s="12" t="inlineStr">
        <is>
          <t>GIS</t>
        </is>
      </c>
      <c r="C1494" s="13" t="inlineStr">
        <is>
          <t>2026_HAR_421894_37</t>
        </is>
      </c>
      <c r="D1494" s="14" t="inlineStr">
        <is>
          <t>GIS-Based Drone LiDAR Survey &amp; Web GIS Geodatabase Integration for Smart Infrastructure</t>
        </is>
      </c>
      <c r="E1494" s="14" t="inlineStr">
        <is>
          <t>DIRECTORATE OF MUNICIPAL URBAN INFRASTRUCTURE</t>
        </is>
      </c>
      <c r="F1494" s="13" t="inlineStr">
        <is>
          <t>25 Aug 2026</t>
        </is>
      </c>
      <c r="G1494" s="12" t="inlineStr">
        <is>
          <t>15 Sep 2026</t>
        </is>
      </c>
      <c r="H1494" s="8" t="inlineStr">
        <is>
          <t>⏳ UPCOMING</t>
        </is>
      </c>
      <c r="I1494" s="11" t="inlineStr">
        <is>
          <t>Tender_2026_HAR_421894_37_All_Documents.zip</t>
        </is>
      </c>
      <c r="J1494" s="13" t="inlineStr">
        <is>
          <t>📦 ZIP Package</t>
        </is>
      </c>
      <c r="K1494" s="15" t="n">
        <v>45</v>
      </c>
      <c r="L1494" s="16">
        <f>HYPERLINK("https://etenders.hry.nic.in/tender/2026_HAR_421894_37", "⬇ Download Tender_2026_HAR_421894_3")</f>
        <v/>
      </c>
      <c r="M1494" s="16">
        <f>HYPERLINK("http://localhost:5173/?state=Haryana&amp;keyword=GIS&amp;tender=2026_HAR_421894_37", "🚀 Open in Portal")</f>
        <v/>
      </c>
    </row>
    <row r="1495" ht="24" customHeight="1">
      <c r="A1495" s="4" t="inlineStr">
        <is>
          <t>Haryana</t>
        </is>
      </c>
      <c r="B1495" s="5" t="inlineStr">
        <is>
          <t>GIS</t>
        </is>
      </c>
      <c r="C1495" s="6" t="inlineStr">
        <is>
          <t>2026_HAR_4785150_44</t>
        </is>
      </c>
      <c r="D1495" s="7" t="inlineStr">
        <is>
          <t>GIS-Based Drone LiDAR Survey &amp; Web GIS Geodatabase Integration for Smart Infrastructure</t>
        </is>
      </c>
      <c r="E1495" s="7" t="inlineStr">
        <is>
          <t>DIRECTORATE OF MUNICIPAL URBAN INFRASTRUCTURE</t>
        </is>
      </c>
      <c r="F1495" s="6" t="inlineStr">
        <is>
          <t>19 Oct 2026</t>
        </is>
      </c>
      <c r="G1495" s="5" t="inlineStr">
        <is>
          <t>16 Nov 2026</t>
        </is>
      </c>
      <c r="H1495" s="8" t="inlineStr">
        <is>
          <t>⏳ UPCOMING</t>
        </is>
      </c>
      <c r="I1495" s="4" t="inlineStr">
        <is>
          <t>Tendernotice_2026_HAR_4785150_44.pdf</t>
        </is>
      </c>
      <c r="J1495" s="6" t="inlineStr">
        <is>
          <t>📕 PDF Document</t>
        </is>
      </c>
      <c r="K1495" s="9" t="n">
        <v>17.9</v>
      </c>
      <c r="L1495" s="10">
        <f>HYPERLINK("http://127.0.0.1:8000/api/documents/download?id=3209&amp;attachment=true", "⬇ Download Tendernotice_2026_HAR_47")</f>
        <v/>
      </c>
      <c r="M1495" s="10">
        <f>HYPERLINK("http://localhost:5173/?state=Haryana&amp;keyword=GIS&amp;tender=2026_HAR_4785150_44", "🚀 Open in Portal")</f>
        <v/>
      </c>
    </row>
    <row r="1496" ht="24" customHeight="1">
      <c r="A1496" s="11" t="inlineStr">
        <is>
          <t>Haryana</t>
        </is>
      </c>
      <c r="B1496" s="12" t="inlineStr">
        <is>
          <t>GIS</t>
        </is>
      </c>
      <c r="C1496" s="13" t="inlineStr">
        <is>
          <t>2026_HAR_4785150_44</t>
        </is>
      </c>
      <c r="D1496" s="14" t="inlineStr">
        <is>
          <t>GIS-Based Drone LiDAR Survey &amp; Web GIS Geodatabase Integration for Smart Infrastructure</t>
        </is>
      </c>
      <c r="E1496" s="14" t="inlineStr">
        <is>
          <t>DIRECTORATE OF MUNICIPAL URBAN INFRASTRUCTURE</t>
        </is>
      </c>
      <c r="F1496" s="13" t="inlineStr">
        <is>
          <t>19 Oct 2026</t>
        </is>
      </c>
      <c r="G1496" s="12" t="inlineStr">
        <is>
          <t>16 Nov 2026</t>
        </is>
      </c>
      <c r="H1496" s="8" t="inlineStr">
        <is>
          <t>⏳ UPCOMING</t>
        </is>
      </c>
      <c r="I1496" s="11" t="inlineStr">
        <is>
          <t>Technical_RFP_Specification_GIS.pdf</t>
        </is>
      </c>
      <c r="J1496" s="13" t="inlineStr">
        <is>
          <t>📕 PDF Document</t>
        </is>
      </c>
      <c r="K1496" s="15" t="n">
        <v>17.9</v>
      </c>
      <c r="L1496" s="16">
        <f>HYPERLINK("http://127.0.0.1:8000/api/documents/download?id=3210&amp;attachment=true", "⬇ Download Technical_RFP_Specificat")</f>
        <v/>
      </c>
      <c r="M1496" s="16">
        <f>HYPERLINK("http://localhost:5173/?state=Haryana&amp;keyword=GIS&amp;tender=2026_HAR_4785150_44", "🚀 Open in Portal")</f>
        <v/>
      </c>
    </row>
    <row r="1497" ht="24" customHeight="1">
      <c r="A1497" s="4" t="inlineStr">
        <is>
          <t>Haryana</t>
        </is>
      </c>
      <c r="B1497" s="5" t="inlineStr">
        <is>
          <t>GIS</t>
        </is>
      </c>
      <c r="C1497" s="6" t="inlineStr">
        <is>
          <t>2026_HAR_4785150_44</t>
        </is>
      </c>
      <c r="D1497" s="7" t="inlineStr">
        <is>
          <t>GIS-Based Drone LiDAR Survey &amp; Web GIS Geodatabase Integration for Smart Infrastructure</t>
        </is>
      </c>
      <c r="E1497" s="7" t="inlineStr">
        <is>
          <t>DIRECTORATE OF MUNICIPAL URBAN INFRASTRUCTURE</t>
        </is>
      </c>
      <c r="F1497" s="6" t="inlineStr">
        <is>
          <t>19 Oct 2026</t>
        </is>
      </c>
      <c r="G1497" s="5" t="inlineStr">
        <is>
          <t>16 Nov 2026</t>
        </is>
      </c>
      <c r="H1497" s="8" t="inlineStr">
        <is>
          <t>⏳ UPCOMING</t>
        </is>
      </c>
      <c r="I1497" s="4" t="inlineStr">
        <is>
          <t>BOQ_Financial_Schedule_2026_HAR_4785150_44.xlsx</t>
        </is>
      </c>
      <c r="J1497" s="6" t="inlineStr">
        <is>
          <t>📊 Excel BOQ</t>
        </is>
      </c>
      <c r="K1497" s="9" t="n">
        <v>2.5</v>
      </c>
      <c r="L1497" s="10">
        <f>HYPERLINK("http://127.0.0.1:8000/api/documents/download?id=3211&amp;attachment=true", "⬇ Download BOQ_Financial_Schedule_2")</f>
        <v/>
      </c>
      <c r="M1497" s="10">
        <f>HYPERLINK("http://localhost:5173/?state=Haryana&amp;keyword=GIS&amp;tender=2026_HAR_4785150_44", "🚀 Open in Portal")</f>
        <v/>
      </c>
    </row>
    <row r="1498" ht="24" customHeight="1">
      <c r="A1498" s="11" t="inlineStr">
        <is>
          <t>Haryana</t>
        </is>
      </c>
      <c r="B1498" s="12" t="inlineStr">
        <is>
          <t>GIS</t>
        </is>
      </c>
      <c r="C1498" s="13" t="inlineStr">
        <is>
          <t>2026_HAR_4785150_44</t>
        </is>
      </c>
      <c r="D1498" s="14" t="inlineStr">
        <is>
          <t>GIS-Based Drone LiDAR Survey &amp; Web GIS Geodatabase Integration for Smart Infrastructure</t>
        </is>
      </c>
      <c r="E1498" s="14" t="inlineStr">
        <is>
          <t>DIRECTORATE OF MUNICIPAL URBAN INFRASTRUCTURE</t>
        </is>
      </c>
      <c r="F1498" s="13" t="inlineStr">
        <is>
          <t>19 Oct 2026</t>
        </is>
      </c>
      <c r="G1498" s="12" t="inlineStr">
        <is>
          <t>16 Nov 2026</t>
        </is>
      </c>
      <c r="H1498" s="8" t="inlineStr">
        <is>
          <t>⏳ UPCOMING</t>
        </is>
      </c>
      <c r="I1498" s="11" t="inlineStr">
        <is>
          <t>Tender_2026_HAR_4785150_44_All_Documents.zip</t>
        </is>
      </c>
      <c r="J1498" s="13" t="inlineStr">
        <is>
          <t>📦 ZIP Package</t>
        </is>
      </c>
      <c r="K1498" s="15" t="n">
        <v>45</v>
      </c>
      <c r="L1498" s="16">
        <f>HYPERLINK("https://etenders.hry.nic.in/tender/2026_HAR_4785150_44", "⬇ Download Tender_2026_HAR_4785150_")</f>
        <v/>
      </c>
      <c r="M1498" s="16">
        <f>HYPERLINK("http://localhost:5173/?state=Haryana&amp;keyword=GIS&amp;tender=2026_HAR_4785150_44", "🚀 Open in Portal")</f>
        <v/>
      </c>
    </row>
    <row r="1499" ht="24" customHeight="1">
      <c r="A1499" s="4" t="inlineStr">
        <is>
          <t>Haryana</t>
        </is>
      </c>
      <c r="B1499" s="5" t="inlineStr">
        <is>
          <t>GIS</t>
        </is>
      </c>
      <c r="C1499" s="6" t="inlineStr">
        <is>
          <t>2026_HBC_537013_1</t>
        </is>
      </c>
      <c r="D1499" s="7" t="inlineStr">
        <is>
          <t>[Selection of the service provider for establishment of Modernization of Land and property Registration Centers LPRCs under PPP Boot model on behalf of Revenue and Disaster Management Department]</t>
        </is>
      </c>
      <c r="E1499" s="7" t="inlineStr">
        <is>
          <t>Haryana Public Works &amp; Technology Department</t>
        </is>
      </c>
      <c r="F1499" s="6" t="inlineStr">
        <is>
          <t>30 Aug 2026</t>
        </is>
      </c>
      <c r="G1499" s="5" t="inlineStr">
        <is>
          <t>20 Sep 2026</t>
        </is>
      </c>
      <c r="H1499" s="8" t="inlineStr">
        <is>
          <t>⏳ UPCOMING</t>
        </is>
      </c>
      <c r="I1499" s="4" t="inlineStr">
        <is>
          <t>Tendernotice_1.pdf</t>
        </is>
      </c>
      <c r="J1499" s="6" t="inlineStr">
        <is>
          <t>📕 PDF Document</t>
        </is>
      </c>
      <c r="K1499" s="9" t="n">
        <v>17.8</v>
      </c>
      <c r="L1499" s="10">
        <f>HYPERLINK("http://127.0.0.1:8000/api/documents/download?id=1231&amp;attachment=true", "⬇ Download Tendernotice_1.pdf")</f>
        <v/>
      </c>
      <c r="M1499" s="10">
        <f>HYPERLINK("http://localhost:5173/?state=Haryana&amp;keyword=GIS&amp;tender=2026_HBC_537013_1", "🚀 Open in Portal")</f>
        <v/>
      </c>
    </row>
    <row r="1500" ht="24" customHeight="1">
      <c r="A1500" s="11" t="inlineStr">
        <is>
          <t>Haryana</t>
        </is>
      </c>
      <c r="B1500" s="12" t="inlineStr">
        <is>
          <t>GIS</t>
        </is>
      </c>
      <c r="C1500" s="13" t="inlineStr">
        <is>
          <t>2026_HBC_537013_1</t>
        </is>
      </c>
      <c r="D1500" s="14" t="inlineStr">
        <is>
          <t>[Selection of the service provider for establishment of Modernization of Land and property Registration Centers LPRCs under PPP Boot model on behalf of Revenue and Disaster Management Department]</t>
        </is>
      </c>
      <c r="E1500" s="14" t="inlineStr">
        <is>
          <t>Haryana Public Works &amp; Technology Department</t>
        </is>
      </c>
      <c r="F1500" s="13" t="inlineStr">
        <is>
          <t>30 Aug 2026</t>
        </is>
      </c>
      <c r="G1500" s="12" t="inlineStr">
        <is>
          <t>20 Sep 2026</t>
        </is>
      </c>
      <c r="H1500" s="8" t="inlineStr">
        <is>
          <t>⏳ UPCOMING</t>
        </is>
      </c>
      <c r="I1500" s="11" t="inlineStr">
        <is>
          <t>RFP_Modern_SROs.pdf</t>
        </is>
      </c>
      <c r="J1500" s="13" t="inlineStr">
        <is>
          <t>📕 PDF Document</t>
        </is>
      </c>
      <c r="K1500" s="15" t="n">
        <v>17.8</v>
      </c>
      <c r="L1500" s="16">
        <f>HYPERLINK("http://127.0.0.1:8000/api/documents/download?id=1232&amp;attachment=true", "⬇ Download RFP_Modern_SROs.pdf")</f>
        <v/>
      </c>
      <c r="M1500" s="16">
        <f>HYPERLINK("http://localhost:5173/?state=Haryana&amp;keyword=GIS&amp;tender=2026_HBC_537013_1", "🚀 Open in Portal")</f>
        <v/>
      </c>
    </row>
    <row r="1501" ht="24" customHeight="1">
      <c r="A1501" s="4" t="inlineStr">
        <is>
          <t>Haryana</t>
        </is>
      </c>
      <c r="B1501" s="5" t="inlineStr">
        <is>
          <t>GIS</t>
        </is>
      </c>
      <c r="C1501" s="6" t="inlineStr">
        <is>
          <t>2026_HBC_537013_1</t>
        </is>
      </c>
      <c r="D1501" s="7" t="inlineStr">
        <is>
          <t>[Selection of the service provider for establishment of Modernization of Land and property Registration Centers LPRCs under PPP Boot model on behalf of Revenue and Disaster Management Department]</t>
        </is>
      </c>
      <c r="E1501" s="7" t="inlineStr">
        <is>
          <t>Haryana Public Works &amp; Technology Department</t>
        </is>
      </c>
      <c r="F1501" s="6" t="inlineStr">
        <is>
          <t>30 Aug 2026</t>
        </is>
      </c>
      <c r="G1501" s="5" t="inlineStr">
        <is>
          <t>20 Sep 2026</t>
        </is>
      </c>
      <c r="H1501" s="8" t="inlineStr">
        <is>
          <t>⏳ UPCOMING</t>
        </is>
      </c>
      <c r="I1501" s="4" t="inlineStr">
        <is>
          <t>PriceBid.xls</t>
        </is>
      </c>
      <c r="J1501" s="6" t="inlineStr">
        <is>
          <t>📊 Excel BOQ</t>
        </is>
      </c>
      <c r="K1501" s="9" t="n">
        <v>2.5</v>
      </c>
      <c r="L1501" s="10">
        <f>HYPERLINK("http://127.0.0.1:8000/api/documents/download?id=1233&amp;attachment=true", "⬇ Download PriceBid.xls")</f>
        <v/>
      </c>
      <c r="M1501" s="10">
        <f>HYPERLINK("http://localhost:5173/?state=Haryana&amp;keyword=GIS&amp;tender=2026_HBC_537013_1", "🚀 Open in Portal")</f>
        <v/>
      </c>
    </row>
    <row r="1502" ht="24" customHeight="1">
      <c r="A1502" s="11" t="inlineStr">
        <is>
          <t>Haryana</t>
        </is>
      </c>
      <c r="B1502" s="12" t="inlineStr">
        <is>
          <t>GIS</t>
        </is>
      </c>
      <c r="C1502" s="13" t="inlineStr">
        <is>
          <t>2026_HBC_537013_1</t>
        </is>
      </c>
      <c r="D1502" s="14" t="inlineStr">
        <is>
          <t>[Selection of the service provider for establishment of Modernization of Land and property Registration Centers LPRCs under PPP Boot model on behalf of Revenue and Disaster Management Department]</t>
        </is>
      </c>
      <c r="E1502" s="14" t="inlineStr">
        <is>
          <t>Haryana Public Works &amp; Technology Department</t>
        </is>
      </c>
      <c r="F1502" s="13" t="inlineStr">
        <is>
          <t>30 Aug 2026</t>
        </is>
      </c>
      <c r="G1502" s="12" t="inlineStr">
        <is>
          <t>20 Sep 2026</t>
        </is>
      </c>
      <c r="H1502" s="8" t="inlineStr">
        <is>
          <t>⏳ UPCOMING</t>
        </is>
      </c>
      <c r="I1502" s="11" t="inlineStr">
        <is>
          <t>Tender_2026_HBC_537013_1_All_Documents.zip</t>
        </is>
      </c>
      <c r="J1502" s="13" t="inlineStr">
        <is>
          <t>📦 ZIP Package</t>
        </is>
      </c>
      <c r="K1502" s="15" t="n">
        <v>20.8</v>
      </c>
      <c r="L1502" s="16">
        <f>HYPERLINK("http://127.0.0.1:8000/api/documents/download?id=1234&amp;attachment=true", "⬇ Download Tender_2026_HBC_537013_1")</f>
        <v/>
      </c>
      <c r="M1502" s="16">
        <f>HYPERLINK("http://localhost:5173/?state=Haryana&amp;keyword=GIS&amp;tender=2026_HBC_537013_1", "🚀 Open in Portal")</f>
        <v/>
      </c>
    </row>
    <row r="1503" ht="24" customHeight="1">
      <c r="A1503" s="4" t="inlineStr">
        <is>
          <t>Haryana</t>
        </is>
      </c>
      <c r="B1503" s="5" t="inlineStr">
        <is>
          <t>GIS</t>
        </is>
      </c>
      <c r="C1503" s="6" t="inlineStr">
        <is>
          <t>2026_HBC_546502_1</t>
        </is>
      </c>
      <c r="D1503" s="7" t="inlineStr">
        <is>
          <t>[Design, Manufacture, Supply, Erection, Testing, and Commissioning of 02 Nos. 33/11 KV Indoor substations (A3 and A7) (Electrical plus Civil) with 2x12.5 MVA each connecting from 220 KV GIS Substation-pocket-A, at IMT Kharkhoda.]</t>
        </is>
      </c>
      <c r="E1503" s="7" t="inlineStr">
        <is>
          <t>Haryana Public Works &amp; Technology Department</t>
        </is>
      </c>
      <c r="F1503" s="6" t="inlineStr">
        <is>
          <t>27 Oct 2026</t>
        </is>
      </c>
      <c r="G1503" s="5" t="inlineStr">
        <is>
          <t>17 Nov 2026</t>
        </is>
      </c>
      <c r="H1503" s="8" t="inlineStr">
        <is>
          <t>⏳ UPCOMING</t>
        </is>
      </c>
      <c r="I1503" s="4" t="inlineStr">
        <is>
          <t>Tendernotice_1.pdf</t>
        </is>
      </c>
      <c r="J1503" s="6" t="inlineStr">
        <is>
          <t>📕 PDF Document</t>
        </is>
      </c>
      <c r="K1503" s="9" t="n">
        <v>17.8</v>
      </c>
      <c r="L1503" s="10">
        <f>HYPERLINK("http://127.0.0.1:8000/api/documents/download?id=1226&amp;attachment=true", "⬇ Download Tendernotice_1.pdf")</f>
        <v/>
      </c>
      <c r="M1503" s="10">
        <f>HYPERLINK("http://localhost:5173/?state=Haryana&amp;keyword=GIS&amp;tender=2026_HBC_546502_1", "🚀 Open in Portal")</f>
        <v/>
      </c>
    </row>
    <row r="1504" ht="24" customHeight="1">
      <c r="A1504" s="11" t="inlineStr">
        <is>
          <t>Haryana</t>
        </is>
      </c>
      <c r="B1504" s="12" t="inlineStr">
        <is>
          <t>GIS</t>
        </is>
      </c>
      <c r="C1504" s="13" t="inlineStr">
        <is>
          <t>2026_HBC_546502_1</t>
        </is>
      </c>
      <c r="D1504" s="14" t="inlineStr">
        <is>
          <t>[Design, Manufacture, Supply, Erection, Testing, and Commissioning of 02 Nos. 33/11 KV Indoor substations (A3 and A7) (Electrical plus Civil) with 2x12.5 MVA each connecting from 220 KV GIS Substation-pocket-A, at IMT Kharkhoda.]</t>
        </is>
      </c>
      <c r="E1504" s="14" t="inlineStr">
        <is>
          <t>Haryana Public Works &amp; Technology Department</t>
        </is>
      </c>
      <c r="F1504" s="13" t="inlineStr">
        <is>
          <t>27 Oct 2026</t>
        </is>
      </c>
      <c r="G1504" s="12" t="inlineStr">
        <is>
          <t>17 Nov 2026</t>
        </is>
      </c>
      <c r="H1504" s="8" t="inlineStr">
        <is>
          <t>⏳ UPCOMING</t>
        </is>
      </c>
      <c r="I1504" s="11" t="inlineStr">
        <is>
          <t>BOQ_626141.xls</t>
        </is>
      </c>
      <c r="J1504" s="13" t="inlineStr">
        <is>
          <t>📊 Excel BOQ</t>
        </is>
      </c>
      <c r="K1504" s="15" t="n">
        <v>2.6</v>
      </c>
      <c r="L1504" s="16">
        <f>HYPERLINK("http://127.0.0.1:8000/api/documents/download?id=1227&amp;attachment=true", "⬇ Download BOQ_626141.xls")</f>
        <v/>
      </c>
      <c r="M1504" s="16">
        <f>HYPERLINK("http://localhost:5173/?state=Haryana&amp;keyword=GIS&amp;tender=2026_HBC_546502_1", "🚀 Open in Portal")</f>
        <v/>
      </c>
    </row>
    <row r="1505" ht="24" customHeight="1">
      <c r="A1505" s="4" t="inlineStr">
        <is>
          <t>Haryana</t>
        </is>
      </c>
      <c r="B1505" s="5" t="inlineStr">
        <is>
          <t>GIS</t>
        </is>
      </c>
      <c r="C1505" s="6" t="inlineStr">
        <is>
          <t>2026_HBC_546502_1</t>
        </is>
      </c>
      <c r="D1505" s="7" t="inlineStr">
        <is>
          <t>[Design, Manufacture, Supply, Erection, Testing, and Commissioning of 02 Nos. 33/11 KV Indoor substations (A3 and A7) (Electrical plus Civil) with 2x12.5 MVA each connecting from 220 KV GIS Substation-pocket-A, at IMT Kharkhoda.]</t>
        </is>
      </c>
      <c r="E1505" s="7" t="inlineStr">
        <is>
          <t>Haryana Public Works &amp; Technology Department</t>
        </is>
      </c>
      <c r="F1505" s="6" t="inlineStr">
        <is>
          <t>27 Oct 2026</t>
        </is>
      </c>
      <c r="G1505" s="5" t="inlineStr">
        <is>
          <t>17 Nov 2026</t>
        </is>
      </c>
      <c r="H1505" s="8" t="inlineStr">
        <is>
          <t>⏳ UPCOMING</t>
        </is>
      </c>
      <c r="I1505" s="4" t="inlineStr">
        <is>
          <t>AD0178658.pdf</t>
        </is>
      </c>
      <c r="J1505" s="6" t="inlineStr">
        <is>
          <t>📕 PDF Document</t>
        </is>
      </c>
      <c r="K1505" s="9" t="n">
        <v>17.8</v>
      </c>
      <c r="L1505" s="10">
        <f>HYPERLINK("http://127.0.0.1:8000/api/documents/download?id=1228&amp;attachment=true", "⬇ Download AD0178658.pdf")</f>
        <v/>
      </c>
      <c r="M1505" s="10">
        <f>HYPERLINK("http://localhost:5173/?state=Haryana&amp;keyword=GIS&amp;tender=2026_HBC_546502_1", "🚀 Open in Portal")</f>
        <v/>
      </c>
    </row>
    <row r="1506" ht="24" customHeight="1">
      <c r="A1506" s="11" t="inlineStr">
        <is>
          <t>Haryana</t>
        </is>
      </c>
      <c r="B1506" s="12" t="inlineStr">
        <is>
          <t>GIS</t>
        </is>
      </c>
      <c r="C1506" s="13" t="inlineStr">
        <is>
          <t>2026_HBC_546502_1</t>
        </is>
      </c>
      <c r="D1506" s="14" t="inlineStr">
        <is>
          <t>[Design, Manufacture, Supply, Erection, Testing, and Commissioning of 02 Nos. 33/11 KV Indoor substations (A3 and A7) (Electrical plus Civil) with 2x12.5 MVA each connecting from 220 KV GIS Substation-pocket-A, at IMT Kharkhoda.]</t>
        </is>
      </c>
      <c r="E1506" s="14" t="inlineStr">
        <is>
          <t>Haryana Public Works &amp; Technology Department</t>
        </is>
      </c>
      <c r="F1506" s="13" t="inlineStr">
        <is>
          <t>27 Oct 2026</t>
        </is>
      </c>
      <c r="G1506" s="12" t="inlineStr">
        <is>
          <t>17 Nov 2026</t>
        </is>
      </c>
      <c r="H1506" s="8" t="inlineStr">
        <is>
          <t>⏳ UPCOMING</t>
        </is>
      </c>
      <c r="I1506" s="11" t="inlineStr">
        <is>
          <t>OT0178658.pdf</t>
        </is>
      </c>
      <c r="J1506" s="13" t="inlineStr">
        <is>
          <t>📕 PDF Document</t>
        </is>
      </c>
      <c r="K1506" s="15" t="n">
        <v>17.8</v>
      </c>
      <c r="L1506" s="16">
        <f>HYPERLINK("http://127.0.0.1:8000/api/documents/download?id=1229&amp;attachment=true", "⬇ Download OT0178658.pdf")</f>
        <v/>
      </c>
      <c r="M1506" s="16">
        <f>HYPERLINK("http://localhost:5173/?state=Haryana&amp;keyword=GIS&amp;tender=2026_HBC_546502_1", "🚀 Open in Portal")</f>
        <v/>
      </c>
    </row>
    <row r="1507" ht="24" customHeight="1">
      <c r="A1507" s="4" t="inlineStr">
        <is>
          <t>Haryana</t>
        </is>
      </c>
      <c r="B1507" s="5" t="inlineStr">
        <is>
          <t>GIS</t>
        </is>
      </c>
      <c r="C1507" s="6" t="inlineStr">
        <is>
          <t>2026_HBC_546502_1</t>
        </is>
      </c>
      <c r="D1507" s="7" t="inlineStr">
        <is>
          <t>[Design, Manufacture, Supply, Erection, Testing, and Commissioning of 02 Nos. 33/11 KV Indoor substations (A3 and A7) (Electrical plus Civil) with 2x12.5 MVA each connecting from 220 KV GIS Substation-pocket-A, at IMT Kharkhoda.]</t>
        </is>
      </c>
      <c r="E1507" s="7" t="inlineStr">
        <is>
          <t>Haryana Public Works &amp; Technology Department</t>
        </is>
      </c>
      <c r="F1507" s="6" t="inlineStr">
        <is>
          <t>27 Oct 2026</t>
        </is>
      </c>
      <c r="G1507" s="5" t="inlineStr">
        <is>
          <t>17 Nov 2026</t>
        </is>
      </c>
      <c r="H1507" s="8" t="inlineStr">
        <is>
          <t>⏳ UPCOMING</t>
        </is>
      </c>
      <c r="I1507" s="4" t="inlineStr">
        <is>
          <t>Tender_2026_HBC_546502_1_All_Documents.zip</t>
        </is>
      </c>
      <c r="J1507" s="6" t="inlineStr">
        <is>
          <t>📦 ZIP Package</t>
        </is>
      </c>
      <c r="K1507" s="9" t="n">
        <v>30.2</v>
      </c>
      <c r="L1507" s="10">
        <f>HYPERLINK("http://127.0.0.1:8000/api/documents/download?id=1230&amp;attachment=true", "⬇ Download Tender_2026_HBC_546502_1")</f>
        <v/>
      </c>
      <c r="M1507" s="10">
        <f>HYPERLINK("http://localhost:5173/?state=Haryana&amp;keyword=GIS&amp;tender=2026_HBC_546502_1", "🚀 Open in Portal")</f>
        <v/>
      </c>
    </row>
    <row r="1508" ht="24" customHeight="1">
      <c r="A1508" s="11" t="inlineStr">
        <is>
          <t>Haryana</t>
        </is>
      </c>
      <c r="B1508" s="12" t="inlineStr">
        <is>
          <t>GIS</t>
        </is>
      </c>
      <c r="C1508" s="13" t="inlineStr">
        <is>
          <t>2026_HBC_552693_1</t>
        </is>
      </c>
      <c r="D1508" s="14" t="inlineStr">
        <is>
          <t>[Repairing the damages of 220kV 1000Sqmm XLPE power cable B phase GIS termination cable sealing end and attending SF-6 Gas leakage in D06 Bay and refilling of 1000Sqmm GIS Indoor cable termination of 220kV GIS transport hub to Mau Ckt.-2 bay]</t>
        </is>
      </c>
      <c r="E1508" s="14" t="inlineStr">
        <is>
          <t>Haryana Public Works &amp; Technology Department</t>
        </is>
      </c>
      <c r="F1508" s="13" t="inlineStr">
        <is>
          <t>01 Aug 2026</t>
        </is>
      </c>
      <c r="G1508" s="12" t="inlineStr">
        <is>
          <t>27 Aug 2026</t>
        </is>
      </c>
      <c r="H1508" s="8" t="inlineStr">
        <is>
          <t>⏳ UPCOMING</t>
        </is>
      </c>
      <c r="I1508" s="11" t="inlineStr">
        <is>
          <t>Tendernotice_1.pdf</t>
        </is>
      </c>
      <c r="J1508" s="13" t="inlineStr">
        <is>
          <t>📕 PDF Document</t>
        </is>
      </c>
      <c r="K1508" s="15" t="n">
        <v>17.8</v>
      </c>
      <c r="L1508" s="16">
        <f>HYPERLINK("http://127.0.0.1:8000/api/documents/download?id=1222&amp;attachment=true", "⬇ Download Tendernotice_1.pdf")</f>
        <v/>
      </c>
      <c r="M1508" s="16">
        <f>HYPERLINK("http://localhost:5173/?state=Haryana&amp;keyword=GIS&amp;tender=2026_HBC_552693_1", "🚀 Open in Portal")</f>
        <v/>
      </c>
    </row>
    <row r="1509" ht="24" customHeight="1">
      <c r="A1509" s="4" t="inlineStr">
        <is>
          <t>Haryana</t>
        </is>
      </c>
      <c r="B1509" s="5" t="inlineStr">
        <is>
          <t>GIS</t>
        </is>
      </c>
      <c r="C1509" s="6" t="inlineStr">
        <is>
          <t>2026_HBC_552693_1</t>
        </is>
      </c>
      <c r="D1509" s="7" t="inlineStr">
        <is>
          <t>[Repairing the damages of 220kV 1000Sqmm XLPE power cable B phase GIS termination cable sealing end and attending SF-6 Gas leakage in D06 Bay and refilling of 1000Sqmm GIS Indoor cable termination of 220kV GIS transport hub to Mau Ckt.-2 bay]</t>
        </is>
      </c>
      <c r="E1509" s="7" t="inlineStr">
        <is>
          <t>Haryana Public Works &amp; Technology Department</t>
        </is>
      </c>
      <c r="F1509" s="6" t="inlineStr">
        <is>
          <t>01 Aug 2026</t>
        </is>
      </c>
      <c r="G1509" s="5" t="inlineStr">
        <is>
          <t>27 Aug 2026</t>
        </is>
      </c>
      <c r="H1509" s="8" t="inlineStr">
        <is>
          <t>⏳ UPCOMING</t>
        </is>
      </c>
      <c r="I1509" s="4" t="inlineStr">
        <is>
          <t>BOQ_632560.xls</t>
        </is>
      </c>
      <c r="J1509" s="6" t="inlineStr">
        <is>
          <t>📊 Excel BOQ</t>
        </is>
      </c>
      <c r="K1509" s="9" t="n">
        <v>2.5</v>
      </c>
      <c r="L1509" s="10">
        <f>HYPERLINK("http://127.0.0.1:8000/api/documents/download?id=1223&amp;attachment=true", "⬇ Download BOQ_632560.xls")</f>
        <v/>
      </c>
      <c r="M1509" s="10">
        <f>HYPERLINK("http://localhost:5173/?state=Haryana&amp;keyword=GIS&amp;tender=2026_HBC_552693_1", "🚀 Open in Portal")</f>
        <v/>
      </c>
    </row>
    <row r="1510" ht="24" customHeight="1">
      <c r="A1510" s="11" t="inlineStr">
        <is>
          <t>Haryana</t>
        </is>
      </c>
      <c r="B1510" s="12" t="inlineStr">
        <is>
          <t>GIS</t>
        </is>
      </c>
      <c r="C1510" s="13" t="inlineStr">
        <is>
          <t>2026_HBC_552693_1</t>
        </is>
      </c>
      <c r="D1510" s="14" t="inlineStr">
        <is>
          <t>[Repairing the damages of 220kV 1000Sqmm XLPE power cable B phase GIS termination cable sealing end and attending SF-6 Gas leakage in D06 Bay and refilling of 1000Sqmm GIS Indoor cable termination of 220kV GIS transport hub to Mau Ckt.-2 bay]</t>
        </is>
      </c>
      <c r="E1510" s="14" t="inlineStr">
        <is>
          <t>Haryana Public Works &amp; Technology Department</t>
        </is>
      </c>
      <c r="F1510" s="13" t="inlineStr">
        <is>
          <t>01 Aug 2026</t>
        </is>
      </c>
      <c r="G1510" s="12" t="inlineStr">
        <is>
          <t>27 Aug 2026</t>
        </is>
      </c>
      <c r="H1510" s="8" t="inlineStr">
        <is>
          <t>⏳ UPCOMING</t>
        </is>
      </c>
      <c r="I1510" s="11" t="inlineStr">
        <is>
          <t>FinalNIT.pdf</t>
        </is>
      </c>
      <c r="J1510" s="13" t="inlineStr">
        <is>
          <t>📕 PDF Document</t>
        </is>
      </c>
      <c r="K1510" s="15" t="n">
        <v>17.8</v>
      </c>
      <c r="L1510" s="16">
        <f>HYPERLINK("http://127.0.0.1:8000/api/documents/download?id=1224&amp;attachment=true", "⬇ Download FinalNIT.pdf")</f>
        <v/>
      </c>
      <c r="M1510" s="16">
        <f>HYPERLINK("http://localhost:5173/?state=Haryana&amp;keyword=GIS&amp;tender=2026_HBC_552693_1", "🚀 Open in Portal")</f>
        <v/>
      </c>
    </row>
    <row r="1511" ht="24" customHeight="1">
      <c r="A1511" s="4" t="inlineStr">
        <is>
          <t>Haryana</t>
        </is>
      </c>
      <c r="B1511" s="5" t="inlineStr">
        <is>
          <t>GIS</t>
        </is>
      </c>
      <c r="C1511" s="6" t="inlineStr">
        <is>
          <t>2026_HBC_552693_1</t>
        </is>
      </c>
      <c r="D1511" s="7" t="inlineStr">
        <is>
          <t>[Repairing the damages of 220kV 1000Sqmm XLPE power cable B phase GIS termination cable sealing end and attending SF-6 Gas leakage in D06 Bay and refilling of 1000Sqmm GIS Indoor cable termination of 220kV GIS transport hub to Mau Ckt.-2 bay]</t>
        </is>
      </c>
      <c r="E1511" s="7" t="inlineStr">
        <is>
          <t>Haryana Public Works &amp; Technology Department</t>
        </is>
      </c>
      <c r="F1511" s="6" t="inlineStr">
        <is>
          <t>01 Aug 2026</t>
        </is>
      </c>
      <c r="G1511" s="5" t="inlineStr">
        <is>
          <t>27 Aug 2026</t>
        </is>
      </c>
      <c r="H1511" s="8" t="inlineStr">
        <is>
          <t>⏳ UPCOMING</t>
        </is>
      </c>
      <c r="I1511" s="4" t="inlineStr">
        <is>
          <t>Tender_2026_HBC_552693_1_All_Documents.zip</t>
        </is>
      </c>
      <c r="J1511" s="6" t="inlineStr">
        <is>
          <t>📦 ZIP Package</t>
        </is>
      </c>
      <c r="K1511" s="9" t="n">
        <v>20.7</v>
      </c>
      <c r="L1511" s="10">
        <f>HYPERLINK("http://127.0.0.1:8000/api/documents/download?id=1225&amp;attachment=true", "⬇ Download Tender_2026_HBC_552693_1")</f>
        <v/>
      </c>
      <c r="M1511" s="10">
        <f>HYPERLINK("http://localhost:5173/?state=Haryana&amp;keyword=GIS&amp;tender=2026_HBC_552693_1", "🚀 Open in Portal")</f>
        <v/>
      </c>
    </row>
    <row r="1512" ht="24" customHeight="1">
      <c r="A1512" s="11" t="inlineStr">
        <is>
          <t>Haryana</t>
        </is>
      </c>
      <c r="B1512" s="12" t="inlineStr">
        <is>
          <t>ICT</t>
        </is>
      </c>
      <c r="C1512" s="13" t="inlineStr">
        <is>
          <t>2026_HAR_2254644_55</t>
        </is>
      </c>
      <c r="D1512" s="14" t="inlineStr">
        <is>
          <t>ICT-Based Cloud Data Center Modernization &amp; Statewide Integrated Video Command Analytics</t>
        </is>
      </c>
      <c r="E1512" s="14" t="inlineStr">
        <is>
          <t>DEPARTMENT OF INFORMATION TECHNOLOGY &amp; e-GOVERNANCE</t>
        </is>
      </c>
      <c r="F1512" s="13" t="inlineStr">
        <is>
          <t>23 Jul 2026</t>
        </is>
      </c>
      <c r="G1512" s="12" t="inlineStr">
        <is>
          <t>17 Aug 2026</t>
        </is>
      </c>
      <c r="H1512" s="8" t="inlineStr">
        <is>
          <t>⏳ UPCOMING</t>
        </is>
      </c>
      <c r="I1512" s="11" t="inlineStr">
        <is>
          <t>Tendernotice_2026_HAR_2254644_55.pdf</t>
        </is>
      </c>
      <c r="J1512" s="13" t="inlineStr">
        <is>
          <t>📕 PDF Document</t>
        </is>
      </c>
      <c r="K1512" s="15" t="n">
        <v>7.7</v>
      </c>
      <c r="L1512" s="16">
        <f>HYPERLINK("http://127.0.0.1:8000/api/documents/download?id=3445&amp;attachment=true", "⬇ Download Tendernotice_2026_HAR_22")</f>
        <v/>
      </c>
      <c r="M1512" s="16">
        <f>HYPERLINK("http://localhost:5173/?state=Haryana&amp;keyword=ICT&amp;tender=2026_HAR_2254644_55", "🚀 Open in Portal")</f>
        <v/>
      </c>
    </row>
    <row r="1513" ht="24" customHeight="1">
      <c r="A1513" s="4" t="inlineStr">
        <is>
          <t>Haryana</t>
        </is>
      </c>
      <c r="B1513" s="5" t="inlineStr">
        <is>
          <t>ICT</t>
        </is>
      </c>
      <c r="C1513" s="6" t="inlineStr">
        <is>
          <t>2026_HAR_2254644_55</t>
        </is>
      </c>
      <c r="D1513" s="7" t="inlineStr">
        <is>
          <t>ICT-Based Cloud Data Center Modernization &amp; Statewide Integrated Video Command Analytics</t>
        </is>
      </c>
      <c r="E1513" s="7" t="inlineStr">
        <is>
          <t>DEPARTMENT OF INFORMATION TECHNOLOGY &amp; e-GOVERNANCE</t>
        </is>
      </c>
      <c r="F1513" s="6" t="inlineStr">
        <is>
          <t>23 Jul 2026</t>
        </is>
      </c>
      <c r="G1513" s="5" t="inlineStr">
        <is>
          <t>17 Aug 2026</t>
        </is>
      </c>
      <c r="H1513" s="8" t="inlineStr">
        <is>
          <t>⏳ UPCOMING</t>
        </is>
      </c>
      <c r="I1513" s="4" t="inlineStr">
        <is>
          <t>Technical_RFP_Specification_ICT.pdf</t>
        </is>
      </c>
      <c r="J1513" s="6" t="inlineStr">
        <is>
          <t>📕 PDF Document</t>
        </is>
      </c>
      <c r="K1513" s="9" t="n">
        <v>7.7</v>
      </c>
      <c r="L1513" s="10">
        <f>HYPERLINK("http://127.0.0.1:8000/api/documents/download?id=3446&amp;attachment=true", "⬇ Download Technical_RFP_Specificat")</f>
        <v/>
      </c>
      <c r="M1513" s="10">
        <f>HYPERLINK("http://localhost:5173/?state=Haryana&amp;keyword=ICT&amp;tender=2026_HAR_2254644_55", "🚀 Open in Portal")</f>
        <v/>
      </c>
    </row>
    <row r="1514" ht="24" customHeight="1">
      <c r="A1514" s="11" t="inlineStr">
        <is>
          <t>Haryana</t>
        </is>
      </c>
      <c r="B1514" s="12" t="inlineStr">
        <is>
          <t>ICT</t>
        </is>
      </c>
      <c r="C1514" s="13" t="inlineStr">
        <is>
          <t>2026_HAR_2254644_55</t>
        </is>
      </c>
      <c r="D1514" s="14" t="inlineStr">
        <is>
          <t>ICT-Based Cloud Data Center Modernization &amp; Statewide Integrated Video Command Analytics</t>
        </is>
      </c>
      <c r="E1514" s="14" t="inlineStr">
        <is>
          <t>DEPARTMENT OF INFORMATION TECHNOLOGY &amp; e-GOVERNANCE</t>
        </is>
      </c>
      <c r="F1514" s="13" t="inlineStr">
        <is>
          <t>23 Jul 2026</t>
        </is>
      </c>
      <c r="G1514" s="12" t="inlineStr">
        <is>
          <t>17 Aug 2026</t>
        </is>
      </c>
      <c r="H1514" s="8" t="inlineStr">
        <is>
          <t>⏳ UPCOMING</t>
        </is>
      </c>
      <c r="I1514" s="11" t="inlineStr">
        <is>
          <t>BOQ_Financial_Schedule_2026_HAR_2254644_55.xlsx</t>
        </is>
      </c>
      <c r="J1514" s="13" t="inlineStr">
        <is>
          <t>📊 Excel BOQ</t>
        </is>
      </c>
      <c r="K1514" s="15" t="n">
        <v>5.9</v>
      </c>
      <c r="L1514" s="16">
        <f>HYPERLINK("http://127.0.0.1:8000/api/documents/download?id=3447&amp;attachment=true", "⬇ Download BOQ_Financial_Schedule_2")</f>
        <v/>
      </c>
      <c r="M1514" s="16">
        <f>HYPERLINK("http://localhost:5173/?state=Haryana&amp;keyword=ICT&amp;tender=2026_HAR_2254644_55", "🚀 Open in Portal")</f>
        <v/>
      </c>
    </row>
    <row r="1515" ht="24" customHeight="1">
      <c r="A1515" s="4" t="inlineStr">
        <is>
          <t>Haryana</t>
        </is>
      </c>
      <c r="B1515" s="5" t="inlineStr">
        <is>
          <t>ICT</t>
        </is>
      </c>
      <c r="C1515" s="6" t="inlineStr">
        <is>
          <t>2026_HAR_2254644_55</t>
        </is>
      </c>
      <c r="D1515" s="7" t="inlineStr">
        <is>
          <t>ICT-Based Cloud Data Center Modernization &amp; Statewide Integrated Video Command Analytics</t>
        </is>
      </c>
      <c r="E1515" s="7" t="inlineStr">
        <is>
          <t>DEPARTMENT OF INFORMATION TECHNOLOGY &amp; e-GOVERNANCE</t>
        </is>
      </c>
      <c r="F1515" s="6" t="inlineStr">
        <is>
          <t>23 Jul 2026</t>
        </is>
      </c>
      <c r="G1515" s="5" t="inlineStr">
        <is>
          <t>17 Aug 2026</t>
        </is>
      </c>
      <c r="H1515" s="8" t="inlineStr">
        <is>
          <t>⏳ UPCOMING</t>
        </is>
      </c>
      <c r="I1515" s="4" t="inlineStr">
        <is>
          <t>Tender_2026_HAR_2254644_55_All_Documents.zip</t>
        </is>
      </c>
      <c r="J1515" s="6" t="inlineStr">
        <is>
          <t>📦 ZIP Package</t>
        </is>
      </c>
      <c r="K1515" s="9" t="n">
        <v>45</v>
      </c>
      <c r="L1515" s="10">
        <f>HYPERLINK("https://etenders.hry.nic.in/tender/2026_HAR_2254644_55", "⬇ Download Tender_2026_HAR_2254644_")</f>
        <v/>
      </c>
      <c r="M1515" s="10">
        <f>HYPERLINK("http://localhost:5173/?state=Haryana&amp;keyword=ICT&amp;tender=2026_HAR_2254644_55", "🚀 Open in Portal")</f>
        <v/>
      </c>
    </row>
    <row r="1516" ht="24" customHeight="1">
      <c r="A1516" s="11" t="inlineStr">
        <is>
          <t>Haryana</t>
        </is>
      </c>
      <c r="B1516" s="12" t="inlineStr">
        <is>
          <t>Forest</t>
        </is>
      </c>
      <c r="C1516" s="13" t="inlineStr">
        <is>
          <t>2026_HAR_1784872_37</t>
        </is>
      </c>
      <c r="D1516" s="14" t="inlineStr">
        <is>
          <t>Forest-Based Satellite-Based Forest Canopy Density &amp; Wildlife Corridor Spatial Monitoring</t>
        </is>
      </c>
      <c r="E1516" s="14" t="inlineStr">
        <is>
          <t>STATE FOREST &amp; ENVIRONMENT DEPARTMENT</t>
        </is>
      </c>
      <c r="F1516" s="13" t="inlineStr">
        <is>
          <t>15 Aug 2026</t>
        </is>
      </c>
      <c r="G1516" s="12" t="inlineStr">
        <is>
          <t>06 Sep 2026</t>
        </is>
      </c>
      <c r="H1516" s="8" t="inlineStr">
        <is>
          <t>⏳ UPCOMING</t>
        </is>
      </c>
      <c r="I1516" s="11" t="inlineStr">
        <is>
          <t>Tendernotice_2026_HAR_1784872_37.pdf</t>
        </is>
      </c>
      <c r="J1516" s="13" t="inlineStr">
        <is>
          <t>📕 PDF Document</t>
        </is>
      </c>
      <c r="K1516" s="15" t="n">
        <v>17.9</v>
      </c>
      <c r="L1516" s="16">
        <f>HYPERLINK("http://127.0.0.1:8000/api/documents/download?id=3265&amp;attachment=true", "⬇ Download Tendernotice_2026_HAR_17")</f>
        <v/>
      </c>
      <c r="M1516" s="16">
        <f>HYPERLINK("http://localhost:5173/?state=Haryana&amp;keyword=Forest&amp;tender=2026_HAR_1784872_37", "🚀 Open in Portal")</f>
        <v/>
      </c>
    </row>
    <row r="1517" ht="24" customHeight="1">
      <c r="A1517" s="4" t="inlineStr">
        <is>
          <t>Haryana</t>
        </is>
      </c>
      <c r="B1517" s="5" t="inlineStr">
        <is>
          <t>Forest</t>
        </is>
      </c>
      <c r="C1517" s="6" t="inlineStr">
        <is>
          <t>2026_HAR_1784872_37</t>
        </is>
      </c>
      <c r="D1517" s="7" t="inlineStr">
        <is>
          <t>Forest-Based Satellite-Based Forest Canopy Density &amp; Wildlife Corridor Spatial Monitoring</t>
        </is>
      </c>
      <c r="E1517" s="7" t="inlineStr">
        <is>
          <t>STATE FOREST &amp; ENVIRONMENT DEPARTMENT</t>
        </is>
      </c>
      <c r="F1517" s="6" t="inlineStr">
        <is>
          <t>15 Aug 2026</t>
        </is>
      </c>
      <c r="G1517" s="5" t="inlineStr">
        <is>
          <t>06 Sep 2026</t>
        </is>
      </c>
      <c r="H1517" s="8" t="inlineStr">
        <is>
          <t>⏳ UPCOMING</t>
        </is>
      </c>
      <c r="I1517" s="4" t="inlineStr">
        <is>
          <t>Technical_RFP_Specification_Forest.pdf</t>
        </is>
      </c>
      <c r="J1517" s="6" t="inlineStr">
        <is>
          <t>📕 PDF Document</t>
        </is>
      </c>
      <c r="K1517" s="9" t="n">
        <v>17.9</v>
      </c>
      <c r="L1517" s="10">
        <f>HYPERLINK("http://127.0.0.1:8000/api/documents/download?id=3266&amp;attachment=true", "⬇ Download Technical_RFP_Specificat")</f>
        <v/>
      </c>
      <c r="M1517" s="10">
        <f>HYPERLINK("http://localhost:5173/?state=Haryana&amp;keyword=Forest&amp;tender=2026_HAR_1784872_37", "🚀 Open in Portal")</f>
        <v/>
      </c>
    </row>
    <row r="1518" ht="24" customHeight="1">
      <c r="A1518" s="11" t="inlineStr">
        <is>
          <t>Haryana</t>
        </is>
      </c>
      <c r="B1518" s="12" t="inlineStr">
        <is>
          <t>Forest</t>
        </is>
      </c>
      <c r="C1518" s="13" t="inlineStr">
        <is>
          <t>2026_HAR_1784872_37</t>
        </is>
      </c>
      <c r="D1518" s="14" t="inlineStr">
        <is>
          <t>Forest-Based Satellite-Based Forest Canopy Density &amp; Wildlife Corridor Spatial Monitoring</t>
        </is>
      </c>
      <c r="E1518" s="14" t="inlineStr">
        <is>
          <t>STATE FOREST &amp; ENVIRONMENT DEPARTMENT</t>
        </is>
      </c>
      <c r="F1518" s="13" t="inlineStr">
        <is>
          <t>15 Aug 2026</t>
        </is>
      </c>
      <c r="G1518" s="12" t="inlineStr">
        <is>
          <t>06 Sep 2026</t>
        </is>
      </c>
      <c r="H1518" s="8" t="inlineStr">
        <is>
          <t>⏳ UPCOMING</t>
        </is>
      </c>
      <c r="I1518" s="11" t="inlineStr">
        <is>
          <t>BOQ_Financial_Schedule_2026_HAR_1784872_37.xlsx</t>
        </is>
      </c>
      <c r="J1518" s="13" t="inlineStr">
        <is>
          <t>📊 Excel BOQ</t>
        </is>
      </c>
      <c r="K1518" s="15" t="n">
        <v>2.5</v>
      </c>
      <c r="L1518" s="16">
        <f>HYPERLINK("http://127.0.0.1:8000/api/documents/download?id=3267&amp;attachment=true", "⬇ Download BOQ_Financial_Schedule_2")</f>
        <v/>
      </c>
      <c r="M1518" s="16">
        <f>HYPERLINK("http://localhost:5173/?state=Haryana&amp;keyword=Forest&amp;tender=2026_HAR_1784872_37", "🚀 Open in Portal")</f>
        <v/>
      </c>
    </row>
    <row r="1519" ht="24" customHeight="1">
      <c r="A1519" s="4" t="inlineStr">
        <is>
          <t>Haryana</t>
        </is>
      </c>
      <c r="B1519" s="5" t="inlineStr">
        <is>
          <t>Forest</t>
        </is>
      </c>
      <c r="C1519" s="6" t="inlineStr">
        <is>
          <t>2026_HAR_1784872_37</t>
        </is>
      </c>
      <c r="D1519" s="7" t="inlineStr">
        <is>
          <t>Forest-Based Satellite-Based Forest Canopy Density &amp; Wildlife Corridor Spatial Monitoring</t>
        </is>
      </c>
      <c r="E1519" s="7" t="inlineStr">
        <is>
          <t>STATE FOREST &amp; ENVIRONMENT DEPARTMENT</t>
        </is>
      </c>
      <c r="F1519" s="6" t="inlineStr">
        <is>
          <t>15 Aug 2026</t>
        </is>
      </c>
      <c r="G1519" s="5" t="inlineStr">
        <is>
          <t>06 Sep 2026</t>
        </is>
      </c>
      <c r="H1519" s="8" t="inlineStr">
        <is>
          <t>⏳ UPCOMING</t>
        </is>
      </c>
      <c r="I1519" s="4" t="inlineStr">
        <is>
          <t>Tender_2026_HAR_1784872_37_All_Documents.zip</t>
        </is>
      </c>
      <c r="J1519" s="6" t="inlineStr">
        <is>
          <t>📦 ZIP Package</t>
        </is>
      </c>
      <c r="K1519" s="9" t="n">
        <v>45</v>
      </c>
      <c r="L1519" s="10">
        <f>HYPERLINK("https://etenders.hry.nic.in/tender/2026_HAR_1784872_37", "⬇ Download Tender_2026_HAR_1784872_")</f>
        <v/>
      </c>
      <c r="M1519" s="10">
        <f>HYPERLINK("http://localhost:5173/?state=Haryana&amp;keyword=Forest&amp;tender=2026_HAR_1784872_37", "🚀 Open in Portal")</f>
        <v/>
      </c>
    </row>
    <row r="1520" ht="24" customHeight="1">
      <c r="A1520" s="11" t="inlineStr">
        <is>
          <t>Haryana</t>
        </is>
      </c>
      <c r="B1520" s="12" t="inlineStr">
        <is>
          <t>Forest</t>
        </is>
      </c>
      <c r="C1520" s="13" t="inlineStr">
        <is>
          <t>2026_HAR_922284_92</t>
        </is>
      </c>
      <c r="D1520" s="14" t="inlineStr">
        <is>
          <t>Forest-Based Satellite-Based Forest Canopy Density &amp; Wildlife Corridor Spatial Monitoring</t>
        </is>
      </c>
      <c r="E1520" s="14" t="inlineStr">
        <is>
          <t>STATE FOREST &amp; ENVIRONMENT DEPARTMENT</t>
        </is>
      </c>
      <c r="F1520" s="13" t="inlineStr">
        <is>
          <t>22 Sep 2026</t>
        </is>
      </c>
      <c r="G1520" s="12" t="inlineStr">
        <is>
          <t>19 Oct 2026</t>
        </is>
      </c>
      <c r="H1520" s="8" t="inlineStr">
        <is>
          <t>⏳ UPCOMING</t>
        </is>
      </c>
      <c r="I1520" s="11" t="inlineStr">
        <is>
          <t>Tendernotice_2026_HAR_922284_92.pdf</t>
        </is>
      </c>
      <c r="J1520" s="13" t="inlineStr">
        <is>
          <t>📕 PDF Document</t>
        </is>
      </c>
      <c r="K1520" s="15" t="n">
        <v>17.9</v>
      </c>
      <c r="L1520" s="16">
        <f>HYPERLINK("http://127.0.0.1:8000/api/documents/download?id=3097&amp;attachment=true", "⬇ Download Tendernotice_2026_HAR_92")</f>
        <v/>
      </c>
      <c r="M1520" s="16">
        <f>HYPERLINK("http://localhost:5173/?state=Haryana&amp;keyword=Forest&amp;tender=2026_HAR_922284_92", "🚀 Open in Portal")</f>
        <v/>
      </c>
    </row>
    <row r="1521" ht="24" customHeight="1">
      <c r="A1521" s="4" t="inlineStr">
        <is>
          <t>Haryana</t>
        </is>
      </c>
      <c r="B1521" s="5" t="inlineStr">
        <is>
          <t>Forest</t>
        </is>
      </c>
      <c r="C1521" s="6" t="inlineStr">
        <is>
          <t>2026_HAR_922284_92</t>
        </is>
      </c>
      <c r="D1521" s="7" t="inlineStr">
        <is>
          <t>Forest-Based Satellite-Based Forest Canopy Density &amp; Wildlife Corridor Spatial Monitoring</t>
        </is>
      </c>
      <c r="E1521" s="7" t="inlineStr">
        <is>
          <t>STATE FOREST &amp; ENVIRONMENT DEPARTMENT</t>
        </is>
      </c>
      <c r="F1521" s="6" t="inlineStr">
        <is>
          <t>22 Sep 2026</t>
        </is>
      </c>
      <c r="G1521" s="5" t="inlineStr">
        <is>
          <t>19 Oct 2026</t>
        </is>
      </c>
      <c r="H1521" s="8" t="inlineStr">
        <is>
          <t>⏳ UPCOMING</t>
        </is>
      </c>
      <c r="I1521" s="4" t="inlineStr">
        <is>
          <t>Technical_RFP_Specification_Forest.pdf</t>
        </is>
      </c>
      <c r="J1521" s="6" t="inlineStr">
        <is>
          <t>📕 PDF Document</t>
        </is>
      </c>
      <c r="K1521" s="9" t="n">
        <v>17.9</v>
      </c>
      <c r="L1521" s="10">
        <f>HYPERLINK("http://127.0.0.1:8000/api/documents/download?id=3098&amp;attachment=true", "⬇ Download Technical_RFP_Specificat")</f>
        <v/>
      </c>
      <c r="M1521" s="10">
        <f>HYPERLINK("http://localhost:5173/?state=Haryana&amp;keyword=Forest&amp;tender=2026_HAR_922284_92", "🚀 Open in Portal")</f>
        <v/>
      </c>
    </row>
    <row r="1522" ht="24" customHeight="1">
      <c r="A1522" s="11" t="inlineStr">
        <is>
          <t>Haryana</t>
        </is>
      </c>
      <c r="B1522" s="12" t="inlineStr">
        <is>
          <t>Forest</t>
        </is>
      </c>
      <c r="C1522" s="13" t="inlineStr">
        <is>
          <t>2026_HAR_922284_92</t>
        </is>
      </c>
      <c r="D1522" s="14" t="inlineStr">
        <is>
          <t>Forest-Based Satellite-Based Forest Canopy Density &amp; Wildlife Corridor Spatial Monitoring</t>
        </is>
      </c>
      <c r="E1522" s="14" t="inlineStr">
        <is>
          <t>STATE FOREST &amp; ENVIRONMENT DEPARTMENT</t>
        </is>
      </c>
      <c r="F1522" s="13" t="inlineStr">
        <is>
          <t>22 Sep 2026</t>
        </is>
      </c>
      <c r="G1522" s="12" t="inlineStr">
        <is>
          <t>19 Oct 2026</t>
        </is>
      </c>
      <c r="H1522" s="8" t="inlineStr">
        <is>
          <t>⏳ UPCOMING</t>
        </is>
      </c>
      <c r="I1522" s="11" t="inlineStr">
        <is>
          <t>BOQ_Financial_Schedule_2026_HAR_922284_92.xlsx</t>
        </is>
      </c>
      <c r="J1522" s="13" t="inlineStr">
        <is>
          <t>📊 Excel BOQ</t>
        </is>
      </c>
      <c r="K1522" s="15" t="n">
        <v>2.5</v>
      </c>
      <c r="L1522" s="16">
        <f>HYPERLINK("http://127.0.0.1:8000/api/documents/download?id=3099&amp;attachment=true", "⬇ Download BOQ_Financial_Schedule_2")</f>
        <v/>
      </c>
      <c r="M1522" s="16">
        <f>HYPERLINK("http://localhost:5173/?state=Haryana&amp;keyword=Forest&amp;tender=2026_HAR_922284_92", "🚀 Open in Portal")</f>
        <v/>
      </c>
    </row>
    <row r="1523" ht="24" customHeight="1">
      <c r="A1523" s="4" t="inlineStr">
        <is>
          <t>Haryana</t>
        </is>
      </c>
      <c r="B1523" s="5" t="inlineStr">
        <is>
          <t>Forest</t>
        </is>
      </c>
      <c r="C1523" s="6" t="inlineStr">
        <is>
          <t>2026_HAR_922284_92</t>
        </is>
      </c>
      <c r="D1523" s="7" t="inlineStr">
        <is>
          <t>Forest-Based Satellite-Based Forest Canopy Density &amp; Wildlife Corridor Spatial Monitoring</t>
        </is>
      </c>
      <c r="E1523" s="7" t="inlineStr">
        <is>
          <t>STATE FOREST &amp; ENVIRONMENT DEPARTMENT</t>
        </is>
      </c>
      <c r="F1523" s="6" t="inlineStr">
        <is>
          <t>22 Sep 2026</t>
        </is>
      </c>
      <c r="G1523" s="5" t="inlineStr">
        <is>
          <t>19 Oct 2026</t>
        </is>
      </c>
      <c r="H1523" s="8" t="inlineStr">
        <is>
          <t>⏳ UPCOMING</t>
        </is>
      </c>
      <c r="I1523" s="4" t="inlineStr">
        <is>
          <t>Tender_2026_HAR_922284_92_All_Documents.zip</t>
        </is>
      </c>
      <c r="J1523" s="6" t="inlineStr">
        <is>
          <t>📦 ZIP Package</t>
        </is>
      </c>
      <c r="K1523" s="9" t="n">
        <v>45</v>
      </c>
      <c r="L1523" s="10">
        <f>HYPERLINK("https://etenders.hry.nic.in/tender/2026_HAR_922284_92", "⬇ Download Tender_2026_HAR_922284_9")</f>
        <v/>
      </c>
      <c r="M1523" s="10">
        <f>HYPERLINK("http://localhost:5173/?state=Haryana&amp;keyword=Forest&amp;tender=2026_HAR_922284_92", "🚀 Open in Portal")</f>
        <v/>
      </c>
    </row>
    <row r="1524" ht="24" customHeight="1">
      <c r="A1524" s="11" t="inlineStr">
        <is>
          <t>Haryana</t>
        </is>
      </c>
      <c r="B1524" s="12" t="inlineStr">
        <is>
          <t>Water Resources</t>
        </is>
      </c>
      <c r="C1524" s="13" t="inlineStr">
        <is>
          <t>2026_HAR_6437617_66</t>
        </is>
      </c>
      <c r="D1524" s="14" t="inlineStr">
        <is>
          <t>Water Resources-Based River Basin Hydro-Meteorological Sensor Network &amp; GIS Flood Simulation</t>
        </is>
      </c>
      <c r="E1524" s="14" t="inlineStr">
        <is>
          <t>WATER RESOURCES &amp; IRRIGATION DEPARTMENT</t>
        </is>
      </c>
      <c r="F1524" s="13" t="inlineStr">
        <is>
          <t>02 Oct 2026</t>
        </is>
      </c>
      <c r="G1524" s="12" t="inlineStr">
        <is>
          <t>29 Oct 2026</t>
        </is>
      </c>
      <c r="H1524" s="17" t="inlineStr">
        <is>
          <t>🟢 LIVE ACTIVE</t>
        </is>
      </c>
      <c r="I1524" s="11" t="inlineStr">
        <is>
          <t>Tendernotice_2026_HAR_6437617_66.pdf</t>
        </is>
      </c>
      <c r="J1524" s="13" t="inlineStr">
        <is>
          <t>📕 PDF Document</t>
        </is>
      </c>
      <c r="K1524" s="15" t="n">
        <v>17.9</v>
      </c>
      <c r="L1524" s="16">
        <f>HYPERLINK("http://127.0.0.1:8000/api/documents/download?id=3365&amp;attachment=true", "⬇ Download Tendernotice_2026_HAR_64")</f>
        <v/>
      </c>
      <c r="M1524" s="16">
        <f>HYPERLINK("http://localhost:5173/?state=Haryana&amp;keyword=Water%20Resources&amp;tender=2026_HAR_6437617_66", "🚀 Open in Portal")</f>
        <v/>
      </c>
    </row>
    <row r="1525" ht="24" customHeight="1">
      <c r="A1525" s="4" t="inlineStr">
        <is>
          <t>Haryana</t>
        </is>
      </c>
      <c r="B1525" s="5" t="inlineStr">
        <is>
          <t>Water Resources</t>
        </is>
      </c>
      <c r="C1525" s="6" t="inlineStr">
        <is>
          <t>2026_HAR_6437617_66</t>
        </is>
      </c>
      <c r="D1525" s="7" t="inlineStr">
        <is>
          <t>Water Resources-Based River Basin Hydro-Meteorological Sensor Network &amp; GIS Flood Simulation</t>
        </is>
      </c>
      <c r="E1525" s="7" t="inlineStr">
        <is>
          <t>WATER RESOURCES &amp; IRRIGATION DEPARTMENT</t>
        </is>
      </c>
      <c r="F1525" s="6" t="inlineStr">
        <is>
          <t>02 Oct 2026</t>
        </is>
      </c>
      <c r="G1525" s="5" t="inlineStr">
        <is>
          <t>29 Oct 2026</t>
        </is>
      </c>
      <c r="H1525" s="17" t="inlineStr">
        <is>
          <t>🟢 LIVE ACTIVE</t>
        </is>
      </c>
      <c r="I1525" s="4" t="inlineStr">
        <is>
          <t>Technical_RFP_Specification_Water Resources.pdf</t>
        </is>
      </c>
      <c r="J1525" s="6" t="inlineStr">
        <is>
          <t>📕 PDF Document</t>
        </is>
      </c>
      <c r="K1525" s="9" t="n">
        <v>18</v>
      </c>
      <c r="L1525" s="10">
        <f>HYPERLINK("http://127.0.0.1:8000/api/documents/download?id=3366&amp;attachment=true", "⬇ Download Technical_RFP_Specificat")</f>
        <v/>
      </c>
      <c r="M1525" s="10">
        <f>HYPERLINK("http://localhost:5173/?state=Haryana&amp;keyword=Water%20Resources&amp;tender=2026_HAR_6437617_66", "🚀 Open in Portal")</f>
        <v/>
      </c>
    </row>
    <row r="1526" ht="24" customHeight="1">
      <c r="A1526" s="11" t="inlineStr">
        <is>
          <t>Haryana</t>
        </is>
      </c>
      <c r="B1526" s="12" t="inlineStr">
        <is>
          <t>Water Resources</t>
        </is>
      </c>
      <c r="C1526" s="13" t="inlineStr">
        <is>
          <t>2026_HAR_6437617_66</t>
        </is>
      </c>
      <c r="D1526" s="14" t="inlineStr">
        <is>
          <t>Water Resources-Based River Basin Hydro-Meteorological Sensor Network &amp; GIS Flood Simulation</t>
        </is>
      </c>
      <c r="E1526" s="14" t="inlineStr">
        <is>
          <t>WATER RESOURCES &amp; IRRIGATION DEPARTMENT</t>
        </is>
      </c>
      <c r="F1526" s="13" t="inlineStr">
        <is>
          <t>02 Oct 2026</t>
        </is>
      </c>
      <c r="G1526" s="12" t="inlineStr">
        <is>
          <t>29 Oct 2026</t>
        </is>
      </c>
      <c r="H1526" s="17" t="inlineStr">
        <is>
          <t>🟢 LIVE ACTIVE</t>
        </is>
      </c>
      <c r="I1526" s="11" t="inlineStr">
        <is>
          <t>BOQ_Financial_Schedule_2026_HAR_6437617_66.xlsx</t>
        </is>
      </c>
      <c r="J1526" s="13" t="inlineStr">
        <is>
          <t>📊 Excel BOQ</t>
        </is>
      </c>
      <c r="K1526" s="15" t="n">
        <v>2.5</v>
      </c>
      <c r="L1526" s="16">
        <f>HYPERLINK("http://127.0.0.1:8000/api/documents/download?id=3367&amp;attachment=true", "⬇ Download BOQ_Financial_Schedule_2")</f>
        <v/>
      </c>
      <c r="M1526" s="16">
        <f>HYPERLINK("http://localhost:5173/?state=Haryana&amp;keyword=Water%20Resources&amp;tender=2026_HAR_6437617_66", "🚀 Open in Portal")</f>
        <v/>
      </c>
    </row>
    <row r="1527" ht="24" customHeight="1">
      <c r="A1527" s="4" t="inlineStr">
        <is>
          <t>Haryana</t>
        </is>
      </c>
      <c r="B1527" s="5" t="inlineStr">
        <is>
          <t>Water Resources</t>
        </is>
      </c>
      <c r="C1527" s="6" t="inlineStr">
        <is>
          <t>2026_HAR_6437617_66</t>
        </is>
      </c>
      <c r="D1527" s="7" t="inlineStr">
        <is>
          <t>Water Resources-Based River Basin Hydro-Meteorological Sensor Network &amp; GIS Flood Simulation</t>
        </is>
      </c>
      <c r="E1527" s="7" t="inlineStr">
        <is>
          <t>WATER RESOURCES &amp; IRRIGATION DEPARTMENT</t>
        </is>
      </c>
      <c r="F1527" s="6" t="inlineStr">
        <is>
          <t>02 Oct 2026</t>
        </is>
      </c>
      <c r="G1527" s="5" t="inlineStr">
        <is>
          <t>29 Oct 2026</t>
        </is>
      </c>
      <c r="H1527" s="17" t="inlineStr">
        <is>
          <t>🟢 LIVE ACTIVE</t>
        </is>
      </c>
      <c r="I1527" s="4" t="inlineStr">
        <is>
          <t>Tender_2026_HAR_6437617_66_All_Documents.zip</t>
        </is>
      </c>
      <c r="J1527" s="6" t="inlineStr">
        <is>
          <t>📦 ZIP Package</t>
        </is>
      </c>
      <c r="K1527" s="9" t="n">
        <v>45</v>
      </c>
      <c r="L1527" s="10">
        <f>HYPERLINK("https://etenders.hry.nic.in/tender/2026_HAR_6437617_66", "⬇ Download Tender_2026_HAR_6437617_")</f>
        <v/>
      </c>
      <c r="M1527" s="10">
        <f>HYPERLINK("http://localhost:5173/?state=Haryana&amp;keyword=Water%20Resources&amp;tender=2026_HAR_6437617_66", "🚀 Open in Portal")</f>
        <v/>
      </c>
    </row>
    <row r="1528" ht="24" customHeight="1">
      <c r="A1528" s="11" t="inlineStr">
        <is>
          <t>Haryana</t>
        </is>
      </c>
      <c r="B1528" s="12" t="inlineStr">
        <is>
          <t>Design</t>
        </is>
      </c>
      <c r="C1528" s="13" t="inlineStr">
        <is>
          <t>2026_HBC_546502_1</t>
        </is>
      </c>
      <c r="D1528" s="14" t="inlineStr">
        <is>
          <t>[Design, Manufacture, Supply, Erection, Testing, and Commissioning of 02 Nos. 33/11 KV Indoor substations (A3 and A7) (Electrical plus Civil) with 2x12.5 MVA each connecting from 220 KV GIS Substation-pocket-A, at IMT Kharkhoda.]</t>
        </is>
      </c>
      <c r="E1528" s="14" t="inlineStr">
        <is>
          <t>Haryana Public Works &amp; Technology Department</t>
        </is>
      </c>
      <c r="F1528" s="13" t="inlineStr">
        <is>
          <t>27 Oct 2026</t>
        </is>
      </c>
      <c r="G1528" s="12" t="inlineStr">
        <is>
          <t>17 Nov 2026</t>
        </is>
      </c>
      <c r="H1528" s="8" t="inlineStr">
        <is>
          <t>⏳ UPCOMING</t>
        </is>
      </c>
      <c r="I1528" s="11" t="inlineStr">
        <is>
          <t>Tendernotice_1.pdf</t>
        </is>
      </c>
      <c r="J1528" s="13" t="inlineStr">
        <is>
          <t>📕 PDF Document</t>
        </is>
      </c>
      <c r="K1528" s="15" t="n">
        <v>17.8</v>
      </c>
      <c r="L1528" s="16">
        <f>HYPERLINK("http://127.0.0.1:8000/api/documents/download?id=1226&amp;attachment=true", "⬇ Download Tendernotice_1.pdf")</f>
        <v/>
      </c>
      <c r="M1528" s="16">
        <f>HYPERLINK("http://localhost:5173/?state=Haryana&amp;keyword=Design&amp;tender=2026_HBC_546502_1", "🚀 Open in Portal")</f>
        <v/>
      </c>
    </row>
    <row r="1529" ht="24" customHeight="1">
      <c r="A1529" s="4" t="inlineStr">
        <is>
          <t>Haryana</t>
        </is>
      </c>
      <c r="B1529" s="5" t="inlineStr">
        <is>
          <t>Design</t>
        </is>
      </c>
      <c r="C1529" s="6" t="inlineStr">
        <is>
          <t>2026_HBC_546502_1</t>
        </is>
      </c>
      <c r="D1529" s="7" t="inlineStr">
        <is>
          <t>[Design, Manufacture, Supply, Erection, Testing, and Commissioning of 02 Nos. 33/11 KV Indoor substations (A3 and A7) (Electrical plus Civil) with 2x12.5 MVA each connecting from 220 KV GIS Substation-pocket-A, at IMT Kharkhoda.]</t>
        </is>
      </c>
      <c r="E1529" s="7" t="inlineStr">
        <is>
          <t>Haryana Public Works &amp; Technology Department</t>
        </is>
      </c>
      <c r="F1529" s="6" t="inlineStr">
        <is>
          <t>27 Oct 2026</t>
        </is>
      </c>
      <c r="G1529" s="5" t="inlineStr">
        <is>
          <t>17 Nov 2026</t>
        </is>
      </c>
      <c r="H1529" s="8" t="inlineStr">
        <is>
          <t>⏳ UPCOMING</t>
        </is>
      </c>
      <c r="I1529" s="4" t="inlineStr">
        <is>
          <t>BOQ_626141.xls</t>
        </is>
      </c>
      <c r="J1529" s="6" t="inlineStr">
        <is>
          <t>📊 Excel BOQ</t>
        </is>
      </c>
      <c r="K1529" s="9" t="n">
        <v>2.6</v>
      </c>
      <c r="L1529" s="10">
        <f>HYPERLINK("http://127.0.0.1:8000/api/documents/download?id=1227&amp;attachment=true", "⬇ Download BOQ_626141.xls")</f>
        <v/>
      </c>
      <c r="M1529" s="10">
        <f>HYPERLINK("http://localhost:5173/?state=Haryana&amp;keyword=Design&amp;tender=2026_HBC_546502_1", "🚀 Open in Portal")</f>
        <v/>
      </c>
    </row>
    <row r="1530" ht="24" customHeight="1">
      <c r="A1530" s="11" t="inlineStr">
        <is>
          <t>Haryana</t>
        </is>
      </c>
      <c r="B1530" s="12" t="inlineStr">
        <is>
          <t>Design</t>
        </is>
      </c>
      <c r="C1530" s="13" t="inlineStr">
        <is>
          <t>2026_HBC_546502_1</t>
        </is>
      </c>
      <c r="D1530" s="14" t="inlineStr">
        <is>
          <t>[Design, Manufacture, Supply, Erection, Testing, and Commissioning of 02 Nos. 33/11 KV Indoor substations (A3 and A7) (Electrical plus Civil) with 2x12.5 MVA each connecting from 220 KV GIS Substation-pocket-A, at IMT Kharkhoda.]</t>
        </is>
      </c>
      <c r="E1530" s="14" t="inlineStr">
        <is>
          <t>Haryana Public Works &amp; Technology Department</t>
        </is>
      </c>
      <c r="F1530" s="13" t="inlineStr">
        <is>
          <t>27 Oct 2026</t>
        </is>
      </c>
      <c r="G1530" s="12" t="inlineStr">
        <is>
          <t>17 Nov 2026</t>
        </is>
      </c>
      <c r="H1530" s="8" t="inlineStr">
        <is>
          <t>⏳ UPCOMING</t>
        </is>
      </c>
      <c r="I1530" s="11" t="inlineStr">
        <is>
          <t>AD0178658.pdf</t>
        </is>
      </c>
      <c r="J1530" s="13" t="inlineStr">
        <is>
          <t>📕 PDF Document</t>
        </is>
      </c>
      <c r="K1530" s="15" t="n">
        <v>17.8</v>
      </c>
      <c r="L1530" s="16">
        <f>HYPERLINK("http://127.0.0.1:8000/api/documents/download?id=1228&amp;attachment=true", "⬇ Download AD0178658.pdf")</f>
        <v/>
      </c>
      <c r="M1530" s="16">
        <f>HYPERLINK("http://localhost:5173/?state=Haryana&amp;keyword=Design&amp;tender=2026_HBC_546502_1", "🚀 Open in Portal")</f>
        <v/>
      </c>
    </row>
    <row r="1531" ht="24" customHeight="1">
      <c r="A1531" s="4" t="inlineStr">
        <is>
          <t>Haryana</t>
        </is>
      </c>
      <c r="B1531" s="5" t="inlineStr">
        <is>
          <t>Design</t>
        </is>
      </c>
      <c r="C1531" s="6" t="inlineStr">
        <is>
          <t>2026_HBC_546502_1</t>
        </is>
      </c>
      <c r="D1531" s="7" t="inlineStr">
        <is>
          <t>[Design, Manufacture, Supply, Erection, Testing, and Commissioning of 02 Nos. 33/11 KV Indoor substations (A3 and A7) (Electrical plus Civil) with 2x12.5 MVA each connecting from 220 KV GIS Substation-pocket-A, at IMT Kharkhoda.]</t>
        </is>
      </c>
      <c r="E1531" s="7" t="inlineStr">
        <is>
          <t>Haryana Public Works &amp; Technology Department</t>
        </is>
      </c>
      <c r="F1531" s="6" t="inlineStr">
        <is>
          <t>27 Oct 2026</t>
        </is>
      </c>
      <c r="G1531" s="5" t="inlineStr">
        <is>
          <t>17 Nov 2026</t>
        </is>
      </c>
      <c r="H1531" s="8" t="inlineStr">
        <is>
          <t>⏳ UPCOMING</t>
        </is>
      </c>
      <c r="I1531" s="4" t="inlineStr">
        <is>
          <t>OT0178658.pdf</t>
        </is>
      </c>
      <c r="J1531" s="6" t="inlineStr">
        <is>
          <t>📕 PDF Document</t>
        </is>
      </c>
      <c r="K1531" s="9" t="n">
        <v>17.8</v>
      </c>
      <c r="L1531" s="10">
        <f>HYPERLINK("http://127.0.0.1:8000/api/documents/download?id=1229&amp;attachment=true", "⬇ Download OT0178658.pdf")</f>
        <v/>
      </c>
      <c r="M1531" s="10">
        <f>HYPERLINK("http://localhost:5173/?state=Haryana&amp;keyword=Design&amp;tender=2026_HBC_546502_1", "🚀 Open in Portal")</f>
        <v/>
      </c>
    </row>
    <row r="1532" ht="24" customHeight="1">
      <c r="A1532" s="11" t="inlineStr">
        <is>
          <t>Haryana</t>
        </is>
      </c>
      <c r="B1532" s="12" t="inlineStr">
        <is>
          <t>Design</t>
        </is>
      </c>
      <c r="C1532" s="13" t="inlineStr">
        <is>
          <t>2026_HBC_546502_1</t>
        </is>
      </c>
      <c r="D1532" s="14" t="inlineStr">
        <is>
          <t>[Design, Manufacture, Supply, Erection, Testing, and Commissioning of 02 Nos. 33/11 KV Indoor substations (A3 and A7) (Electrical plus Civil) with 2x12.5 MVA each connecting from 220 KV GIS Substation-pocket-A, at IMT Kharkhoda.]</t>
        </is>
      </c>
      <c r="E1532" s="14" t="inlineStr">
        <is>
          <t>Haryana Public Works &amp; Technology Department</t>
        </is>
      </c>
      <c r="F1532" s="13" t="inlineStr">
        <is>
          <t>27 Oct 2026</t>
        </is>
      </c>
      <c r="G1532" s="12" t="inlineStr">
        <is>
          <t>17 Nov 2026</t>
        </is>
      </c>
      <c r="H1532" s="8" t="inlineStr">
        <is>
          <t>⏳ UPCOMING</t>
        </is>
      </c>
      <c r="I1532" s="11" t="inlineStr">
        <is>
          <t>Tender_2026_HBC_546502_1_All_Documents.zip</t>
        </is>
      </c>
      <c r="J1532" s="13" t="inlineStr">
        <is>
          <t>📦 ZIP Package</t>
        </is>
      </c>
      <c r="K1532" s="15" t="n">
        <v>30.2</v>
      </c>
      <c r="L1532" s="16">
        <f>HYPERLINK("http://127.0.0.1:8000/api/documents/download?id=1230&amp;attachment=true", "⬇ Download Tender_2026_HBC_546502_1")</f>
        <v/>
      </c>
      <c r="M1532" s="16">
        <f>HYPERLINK("http://localhost:5173/?state=Haryana&amp;keyword=Design&amp;tender=2026_HBC_546502_1", "🚀 Open in Portal")</f>
        <v/>
      </c>
    </row>
    <row r="1533" ht="24" customHeight="1">
      <c r="A1533" s="4" t="inlineStr">
        <is>
          <t>Haryana</t>
        </is>
      </c>
      <c r="B1533" s="5" t="inlineStr">
        <is>
          <t>Development</t>
        </is>
      </c>
      <c r="C1533" s="6" t="inlineStr">
        <is>
          <t>2025_HBC_466318_1</t>
        </is>
      </c>
      <c r="D1533" s="7" t="inlineStr">
        <is>
          <t>[Development, Operation and Maintenance of the Multi Modal Logistic Hub Project (IMLH) at Nangal Choudhary (District Mahendragarh) in the State of Haryana through Public Private Partnership on DBFOT basis]</t>
        </is>
      </c>
      <c r="E1533" s="7" t="inlineStr">
        <is>
          <t>Haryana Public Works &amp; Technology Department</t>
        </is>
      </c>
      <c r="F1533" s="6" t="inlineStr">
        <is>
          <t>28 Jul 2026</t>
        </is>
      </c>
      <c r="G1533" s="5" t="inlineStr">
        <is>
          <t>21 Aug 2026</t>
        </is>
      </c>
      <c r="H1533" s="8" t="inlineStr">
        <is>
          <t>⏳ UPCOMING</t>
        </is>
      </c>
      <c r="I1533" s="4" t="inlineStr">
        <is>
          <t>Tendernotice_1.pdf</t>
        </is>
      </c>
      <c r="J1533" s="6" t="inlineStr">
        <is>
          <t>📕 PDF Document</t>
        </is>
      </c>
      <c r="K1533" s="9" t="n">
        <v>17.9</v>
      </c>
      <c r="L1533" s="10">
        <f>HYPERLINK("http://127.0.0.1:8000/api/documents/download?id=1241&amp;attachment=true", "⬇ Download Tendernotice_1.pdf")</f>
        <v/>
      </c>
      <c r="M1533" s="10">
        <f>HYPERLINK("http://localhost:5173/?state=Haryana&amp;keyword=Development&amp;tender=2025_HBC_466318_1", "🚀 Open in Portal")</f>
        <v/>
      </c>
    </row>
    <row r="1534" ht="24" customHeight="1">
      <c r="A1534" s="11" t="inlineStr">
        <is>
          <t>Haryana</t>
        </is>
      </c>
      <c r="B1534" s="12" t="inlineStr">
        <is>
          <t>Development</t>
        </is>
      </c>
      <c r="C1534" s="13" t="inlineStr">
        <is>
          <t>2025_HBC_466318_1</t>
        </is>
      </c>
      <c r="D1534" s="14" t="inlineStr">
        <is>
          <t>[Development, Operation and Maintenance of the Multi Modal Logistic Hub Project (IMLH) at Nangal Choudhary (District Mahendragarh) in the State of Haryana through Public Private Partnership on DBFOT basis]</t>
        </is>
      </c>
      <c r="E1534" s="14" t="inlineStr">
        <is>
          <t>Haryana Public Works &amp; Technology Department</t>
        </is>
      </c>
      <c r="F1534" s="13" t="inlineStr">
        <is>
          <t>28 Jul 2026</t>
        </is>
      </c>
      <c r="G1534" s="12" t="inlineStr">
        <is>
          <t>21 Aug 2026</t>
        </is>
      </c>
      <c r="H1534" s="8" t="inlineStr">
        <is>
          <t>⏳ UPCOMING</t>
        </is>
      </c>
      <c r="I1534" s="11" t="inlineStr">
        <is>
          <t>FinancialFormat.xls</t>
        </is>
      </c>
      <c r="J1534" s="13" t="inlineStr">
        <is>
          <t>📊 Excel BOQ</t>
        </is>
      </c>
      <c r="K1534" s="15" t="n">
        <v>2.5</v>
      </c>
      <c r="L1534" s="16">
        <f>HYPERLINK("http://127.0.0.1:8000/api/documents/download?id=1242&amp;attachment=true", "⬇ Download FinancialFormat.xls")</f>
        <v/>
      </c>
      <c r="M1534" s="16">
        <f>HYPERLINK("http://localhost:5173/?state=Haryana&amp;keyword=Development&amp;tender=2025_HBC_466318_1", "🚀 Open in Portal")</f>
        <v/>
      </c>
    </row>
    <row r="1535" ht="24" customHeight="1">
      <c r="A1535" s="4" t="inlineStr">
        <is>
          <t>Haryana</t>
        </is>
      </c>
      <c r="B1535" s="5" t="inlineStr">
        <is>
          <t>Development</t>
        </is>
      </c>
      <c r="C1535" s="6" t="inlineStr">
        <is>
          <t>2025_HBC_466318_1</t>
        </is>
      </c>
      <c r="D1535" s="7" t="inlineStr">
        <is>
          <t>[Development, Operation and Maintenance of the Multi Modal Logistic Hub Project (IMLH) at Nangal Choudhary (District Mahendragarh) in the State of Haryana through Public Private Partnership on DBFOT basis]</t>
        </is>
      </c>
      <c r="E1535" s="7" t="inlineStr">
        <is>
          <t>Haryana Public Works &amp; Technology Department</t>
        </is>
      </c>
      <c r="F1535" s="6" t="inlineStr">
        <is>
          <t>28 Jul 2026</t>
        </is>
      </c>
      <c r="G1535" s="5" t="inlineStr">
        <is>
          <t>21 Aug 2026</t>
        </is>
      </c>
      <c r="H1535" s="8" t="inlineStr">
        <is>
          <t>⏳ UPCOMING</t>
        </is>
      </c>
      <c r="I1535" s="4" t="inlineStr">
        <is>
          <t>Tender_2025_HBC_466318_1_All_Documents.zip</t>
        </is>
      </c>
      <c r="J1535" s="6" t="inlineStr">
        <is>
          <t>📦 ZIP Package</t>
        </is>
      </c>
      <c r="K1535" s="9" t="n">
        <v>11.6</v>
      </c>
      <c r="L1535" s="10">
        <f>HYPERLINK("http://127.0.0.1:8000/api/documents/download?id=1243&amp;attachment=true", "⬇ Download Tender_2025_HBC_466318_1")</f>
        <v/>
      </c>
      <c r="M1535" s="10">
        <f>HYPERLINK("http://localhost:5173/?state=Haryana&amp;keyword=Development&amp;tender=2025_HBC_466318_1", "🚀 Open in Portal")</f>
        <v/>
      </c>
    </row>
    <row r="1536" ht="24" customHeight="1">
      <c r="A1536" s="11" t="inlineStr">
        <is>
          <t>Haryana</t>
        </is>
      </c>
      <c r="B1536" s="12" t="inlineStr">
        <is>
          <t>Empanelment</t>
        </is>
      </c>
      <c r="C1536" s="13" t="inlineStr">
        <is>
          <t>2026_HAR_2993032_87</t>
        </is>
      </c>
      <c r="D1536" s="14" t="inlineStr">
        <is>
          <t>Empanelment-Based Empanelment of Specialized Geospatial &amp; AI Solutions Consulting Agencies</t>
        </is>
      </c>
      <c r="E1536" s="14" t="inlineStr">
        <is>
          <t>STATE ELECTRONICS DEVELOPMENT CORPORATION</t>
        </is>
      </c>
      <c r="F1536" s="13" t="inlineStr">
        <is>
          <t>10 Sep 2026</t>
        </is>
      </c>
      <c r="G1536" s="12" t="inlineStr">
        <is>
          <t>02 Oct 2026</t>
        </is>
      </c>
      <c r="H1536" s="8" t="inlineStr">
        <is>
          <t>⏳ UPCOMING</t>
        </is>
      </c>
      <c r="I1536" s="11" t="inlineStr">
        <is>
          <t>Tendernotice_2026_HAR_2993032_87.pdf</t>
        </is>
      </c>
      <c r="J1536" s="13" t="inlineStr">
        <is>
          <t>📕 PDF Document</t>
        </is>
      </c>
      <c r="K1536" s="15" t="n">
        <v>17.9</v>
      </c>
      <c r="L1536" s="16">
        <f>HYPERLINK("http://127.0.0.1:8000/api/documents/download?id=3285&amp;attachment=true", "⬇ Download Tendernotice_2026_HAR_29")</f>
        <v/>
      </c>
      <c r="M1536" s="16">
        <f>HYPERLINK("http://localhost:5173/?state=Haryana&amp;keyword=Empanelment&amp;tender=2026_HAR_2993032_87", "🚀 Open in Portal")</f>
        <v/>
      </c>
    </row>
    <row r="1537" ht="24" customHeight="1">
      <c r="A1537" s="4" t="inlineStr">
        <is>
          <t>Haryana</t>
        </is>
      </c>
      <c r="B1537" s="5" t="inlineStr">
        <is>
          <t>Empanelment</t>
        </is>
      </c>
      <c r="C1537" s="6" t="inlineStr">
        <is>
          <t>2026_HAR_2993032_87</t>
        </is>
      </c>
      <c r="D1537" s="7" t="inlineStr">
        <is>
          <t>Empanelment-Based Empanelment of Specialized Geospatial &amp; AI Solutions Consulting Agencies</t>
        </is>
      </c>
      <c r="E1537" s="7" t="inlineStr">
        <is>
          <t>STATE ELECTRONICS DEVELOPMENT CORPORATION</t>
        </is>
      </c>
      <c r="F1537" s="6" t="inlineStr">
        <is>
          <t>10 Sep 2026</t>
        </is>
      </c>
      <c r="G1537" s="5" t="inlineStr">
        <is>
          <t>02 Oct 2026</t>
        </is>
      </c>
      <c r="H1537" s="8" t="inlineStr">
        <is>
          <t>⏳ UPCOMING</t>
        </is>
      </c>
      <c r="I1537" s="4" t="inlineStr">
        <is>
          <t>Technical_RFP_Specification_Empanelment.pdf</t>
        </is>
      </c>
      <c r="J1537" s="6" t="inlineStr">
        <is>
          <t>📕 PDF Document</t>
        </is>
      </c>
      <c r="K1537" s="9" t="n">
        <v>17.9</v>
      </c>
      <c r="L1537" s="10">
        <f>HYPERLINK("http://127.0.0.1:8000/api/documents/download?id=3286&amp;attachment=true", "⬇ Download Technical_RFP_Specificat")</f>
        <v/>
      </c>
      <c r="M1537" s="10">
        <f>HYPERLINK("http://localhost:5173/?state=Haryana&amp;keyword=Empanelment&amp;tender=2026_HAR_2993032_87", "🚀 Open in Portal")</f>
        <v/>
      </c>
    </row>
    <row r="1538" ht="24" customHeight="1">
      <c r="A1538" s="11" t="inlineStr">
        <is>
          <t>Haryana</t>
        </is>
      </c>
      <c r="B1538" s="12" t="inlineStr">
        <is>
          <t>Empanelment</t>
        </is>
      </c>
      <c r="C1538" s="13" t="inlineStr">
        <is>
          <t>2026_HAR_2993032_87</t>
        </is>
      </c>
      <c r="D1538" s="14" t="inlineStr">
        <is>
          <t>Empanelment-Based Empanelment of Specialized Geospatial &amp; AI Solutions Consulting Agencies</t>
        </is>
      </c>
      <c r="E1538" s="14" t="inlineStr">
        <is>
          <t>STATE ELECTRONICS DEVELOPMENT CORPORATION</t>
        </is>
      </c>
      <c r="F1538" s="13" t="inlineStr">
        <is>
          <t>10 Sep 2026</t>
        </is>
      </c>
      <c r="G1538" s="12" t="inlineStr">
        <is>
          <t>02 Oct 2026</t>
        </is>
      </c>
      <c r="H1538" s="8" t="inlineStr">
        <is>
          <t>⏳ UPCOMING</t>
        </is>
      </c>
      <c r="I1538" s="11" t="inlineStr">
        <is>
          <t>BOQ_Financial_Schedule_2026_HAR_2993032_87.xlsx</t>
        </is>
      </c>
      <c r="J1538" s="13" t="inlineStr">
        <is>
          <t>📊 Excel BOQ</t>
        </is>
      </c>
      <c r="K1538" s="15" t="n">
        <v>2.5</v>
      </c>
      <c r="L1538" s="16">
        <f>HYPERLINK("http://127.0.0.1:8000/api/documents/download?id=3287&amp;attachment=true", "⬇ Download BOQ_Financial_Schedule_2")</f>
        <v/>
      </c>
      <c r="M1538" s="16">
        <f>HYPERLINK("http://localhost:5173/?state=Haryana&amp;keyword=Empanelment&amp;tender=2026_HAR_2993032_87", "🚀 Open in Portal")</f>
        <v/>
      </c>
    </row>
    <row r="1539" ht="24" customHeight="1">
      <c r="A1539" s="4" t="inlineStr">
        <is>
          <t>Haryana</t>
        </is>
      </c>
      <c r="B1539" s="5" t="inlineStr">
        <is>
          <t>Empanelment</t>
        </is>
      </c>
      <c r="C1539" s="6" t="inlineStr">
        <is>
          <t>2026_HAR_2993032_87</t>
        </is>
      </c>
      <c r="D1539" s="7" t="inlineStr">
        <is>
          <t>Empanelment-Based Empanelment of Specialized Geospatial &amp; AI Solutions Consulting Agencies</t>
        </is>
      </c>
      <c r="E1539" s="7" t="inlineStr">
        <is>
          <t>STATE ELECTRONICS DEVELOPMENT CORPORATION</t>
        </is>
      </c>
      <c r="F1539" s="6" t="inlineStr">
        <is>
          <t>10 Sep 2026</t>
        </is>
      </c>
      <c r="G1539" s="5" t="inlineStr">
        <is>
          <t>02 Oct 2026</t>
        </is>
      </c>
      <c r="H1539" s="8" t="inlineStr">
        <is>
          <t>⏳ UPCOMING</t>
        </is>
      </c>
      <c r="I1539" s="4" t="inlineStr">
        <is>
          <t>Tender_2026_HAR_2993032_87_All_Documents.zip</t>
        </is>
      </c>
      <c r="J1539" s="6" t="inlineStr">
        <is>
          <t>📦 ZIP Package</t>
        </is>
      </c>
      <c r="K1539" s="9" t="n">
        <v>45</v>
      </c>
      <c r="L1539" s="10">
        <f>HYPERLINK("https://etenders.hry.nic.in/tender/2026_HAR_2993032_87", "⬇ Download Tender_2026_HAR_2993032_")</f>
        <v/>
      </c>
      <c r="M1539" s="10">
        <f>HYPERLINK("http://localhost:5173/?state=Haryana&amp;keyword=Empanelment&amp;tender=2026_HAR_2993032_87", "🚀 Open in Portal")</f>
        <v/>
      </c>
    </row>
    <row r="1540" ht="24" customHeight="1">
      <c r="A1540" s="11" t="inlineStr">
        <is>
          <t>Himachal Pradesh</t>
        </is>
      </c>
      <c r="B1540" s="12" t="inlineStr">
        <is>
          <t>GIS</t>
        </is>
      </c>
      <c r="C1540" s="13" t="inlineStr">
        <is>
          <t>2026_HIM_1952403_33</t>
        </is>
      </c>
      <c r="D1540" s="14" t="inlineStr">
        <is>
          <t>GIS-Based Drone LiDAR Survey &amp; Web GIS Geodatabase Integration for Smart Infrastructure</t>
        </is>
      </c>
      <c r="E1540" s="14" t="inlineStr">
        <is>
          <t>DIRECTORATE OF MUNICIPAL URBAN INFRASTRUCTURE</t>
        </is>
      </c>
      <c r="F1540" s="13" t="inlineStr">
        <is>
          <t>12 Sep 2026</t>
        </is>
      </c>
      <c r="G1540" s="12" t="inlineStr">
        <is>
          <t>09 Oct 2026</t>
        </is>
      </c>
      <c r="H1540" s="8" t="inlineStr">
        <is>
          <t>⏳ UPCOMING</t>
        </is>
      </c>
      <c r="I1540" s="11" t="inlineStr">
        <is>
          <t>Tendernotice_2026_HIM_1952403_33.pdf</t>
        </is>
      </c>
      <c r="J1540" s="13" t="inlineStr">
        <is>
          <t>📕 PDF Document</t>
        </is>
      </c>
      <c r="K1540" s="15" t="n">
        <v>17.9</v>
      </c>
      <c r="L1540" s="16">
        <f>HYPERLINK("http://127.0.0.1:8000/api/documents/download?id=3089&amp;attachment=true", "⬇ Download Tendernotice_2026_HIM_19")</f>
        <v/>
      </c>
      <c r="M1540" s="16">
        <f>HYPERLINK("http://localhost:5173/?state=Himachal%20Pradesh&amp;keyword=GIS&amp;tender=2026_HIM_1952403_33", "🚀 Open in Portal")</f>
        <v/>
      </c>
    </row>
    <row r="1541" ht="24" customHeight="1">
      <c r="A1541" s="4" t="inlineStr">
        <is>
          <t>Himachal Pradesh</t>
        </is>
      </c>
      <c r="B1541" s="5" t="inlineStr">
        <is>
          <t>GIS</t>
        </is>
      </c>
      <c r="C1541" s="6" t="inlineStr">
        <is>
          <t>2026_HIM_1952403_33</t>
        </is>
      </c>
      <c r="D1541" s="7" t="inlineStr">
        <is>
          <t>GIS-Based Drone LiDAR Survey &amp; Web GIS Geodatabase Integration for Smart Infrastructure</t>
        </is>
      </c>
      <c r="E1541" s="7" t="inlineStr">
        <is>
          <t>DIRECTORATE OF MUNICIPAL URBAN INFRASTRUCTURE</t>
        </is>
      </c>
      <c r="F1541" s="6" t="inlineStr">
        <is>
          <t>12 Sep 2026</t>
        </is>
      </c>
      <c r="G1541" s="5" t="inlineStr">
        <is>
          <t>09 Oct 2026</t>
        </is>
      </c>
      <c r="H1541" s="8" t="inlineStr">
        <is>
          <t>⏳ UPCOMING</t>
        </is>
      </c>
      <c r="I1541" s="4" t="inlineStr">
        <is>
          <t>Technical_RFP_Specification_GIS.pdf</t>
        </is>
      </c>
      <c r="J1541" s="6" t="inlineStr">
        <is>
          <t>📕 PDF Document</t>
        </is>
      </c>
      <c r="K1541" s="9" t="n">
        <v>17.9</v>
      </c>
      <c r="L1541" s="10">
        <f>HYPERLINK("http://127.0.0.1:8000/api/documents/download?id=3090&amp;attachment=true", "⬇ Download Technical_RFP_Specificat")</f>
        <v/>
      </c>
      <c r="M1541" s="10">
        <f>HYPERLINK("http://localhost:5173/?state=Himachal%20Pradesh&amp;keyword=GIS&amp;tender=2026_HIM_1952403_33", "🚀 Open in Portal")</f>
        <v/>
      </c>
    </row>
    <row r="1542" ht="24" customHeight="1">
      <c r="A1542" s="11" t="inlineStr">
        <is>
          <t>Himachal Pradesh</t>
        </is>
      </c>
      <c r="B1542" s="12" t="inlineStr">
        <is>
          <t>GIS</t>
        </is>
      </c>
      <c r="C1542" s="13" t="inlineStr">
        <is>
          <t>2026_HIM_1952403_33</t>
        </is>
      </c>
      <c r="D1542" s="14" t="inlineStr">
        <is>
          <t>GIS-Based Drone LiDAR Survey &amp; Web GIS Geodatabase Integration for Smart Infrastructure</t>
        </is>
      </c>
      <c r="E1542" s="14" t="inlineStr">
        <is>
          <t>DIRECTORATE OF MUNICIPAL URBAN INFRASTRUCTURE</t>
        </is>
      </c>
      <c r="F1542" s="13" t="inlineStr">
        <is>
          <t>12 Sep 2026</t>
        </is>
      </c>
      <c r="G1542" s="12" t="inlineStr">
        <is>
          <t>09 Oct 2026</t>
        </is>
      </c>
      <c r="H1542" s="8" t="inlineStr">
        <is>
          <t>⏳ UPCOMING</t>
        </is>
      </c>
      <c r="I1542" s="11" t="inlineStr">
        <is>
          <t>BOQ_Financial_Schedule_2026_HIM_1952403_33.xlsx</t>
        </is>
      </c>
      <c r="J1542" s="13" t="inlineStr">
        <is>
          <t>📊 Excel BOQ</t>
        </is>
      </c>
      <c r="K1542" s="15" t="n">
        <v>2.5</v>
      </c>
      <c r="L1542" s="16">
        <f>HYPERLINK("http://127.0.0.1:8000/api/documents/download?id=3091&amp;attachment=true", "⬇ Download BOQ_Financial_Schedule_2")</f>
        <v/>
      </c>
      <c r="M1542" s="16">
        <f>HYPERLINK("http://localhost:5173/?state=Himachal%20Pradesh&amp;keyword=GIS&amp;tender=2026_HIM_1952403_33", "🚀 Open in Portal")</f>
        <v/>
      </c>
    </row>
    <row r="1543" ht="24" customHeight="1">
      <c r="A1543" s="4" t="inlineStr">
        <is>
          <t>Himachal Pradesh</t>
        </is>
      </c>
      <c r="B1543" s="5" t="inlineStr">
        <is>
          <t>GIS</t>
        </is>
      </c>
      <c r="C1543" s="6" t="inlineStr">
        <is>
          <t>2026_HIM_1952403_33</t>
        </is>
      </c>
      <c r="D1543" s="7" t="inlineStr">
        <is>
          <t>GIS-Based Drone LiDAR Survey &amp; Web GIS Geodatabase Integration for Smart Infrastructure</t>
        </is>
      </c>
      <c r="E1543" s="7" t="inlineStr">
        <is>
          <t>DIRECTORATE OF MUNICIPAL URBAN INFRASTRUCTURE</t>
        </is>
      </c>
      <c r="F1543" s="6" t="inlineStr">
        <is>
          <t>12 Sep 2026</t>
        </is>
      </c>
      <c r="G1543" s="5" t="inlineStr">
        <is>
          <t>09 Oct 2026</t>
        </is>
      </c>
      <c r="H1543" s="8" t="inlineStr">
        <is>
          <t>⏳ UPCOMING</t>
        </is>
      </c>
      <c r="I1543" s="4" t="inlineStr">
        <is>
          <t>Tender_2026_HIM_1952403_33_All_Documents.zip</t>
        </is>
      </c>
      <c r="J1543" s="6" t="inlineStr">
        <is>
          <t>📦 ZIP Package</t>
        </is>
      </c>
      <c r="K1543" s="9" t="n">
        <v>45</v>
      </c>
      <c r="L1543" s="10">
        <f>HYPERLINK("https://hptenders.gov.in/tender/2026_HIM_1952403_33", "⬇ Download Tender_2026_HIM_1952403_")</f>
        <v/>
      </c>
      <c r="M1543" s="10">
        <f>HYPERLINK("http://localhost:5173/?state=Himachal%20Pradesh&amp;keyword=GIS&amp;tender=2026_HIM_1952403_33", "🚀 Open in Portal")</f>
        <v/>
      </c>
    </row>
    <row r="1544" ht="24" customHeight="1">
      <c r="A1544" s="11" t="inlineStr">
        <is>
          <t>Himachal Pradesh</t>
        </is>
      </c>
      <c r="B1544" s="12" t="inlineStr">
        <is>
          <t>GIS</t>
        </is>
      </c>
      <c r="C1544" s="13" t="inlineStr">
        <is>
          <t>2026_HPSEB_143816_1</t>
        </is>
      </c>
      <c r="D1544" s="14" t="inlineStr">
        <is>
          <t>[ Tender for C/o 33 kV Single Circuit Line on Double Pole Structures from 132/33 kV s/stn Tahliwal to the proposed 2x10 MVA, 33/11 KV GIS Sub Station at village Pollian to cater additional 20 MVA load demand of Bulk Drug Park at village Pollian Beet]</t>
        </is>
      </c>
      <c r="E1544" s="14" t="inlineStr">
        <is>
          <t>Himachal Pradesh Public Works &amp; Technology Department</t>
        </is>
      </c>
      <c r="F1544" s="13" t="inlineStr">
        <is>
          <t>02 Aug 2026</t>
        </is>
      </c>
      <c r="G1544" s="12" t="inlineStr">
        <is>
          <t>23 Aug 2026</t>
        </is>
      </c>
      <c r="H1544" s="8" t="inlineStr">
        <is>
          <t>⏳ UPCOMING</t>
        </is>
      </c>
      <c r="I1544" s="11" t="inlineStr">
        <is>
          <t>Tendernotice_1.pdf</t>
        </is>
      </c>
      <c r="J1544" s="13" t="inlineStr">
        <is>
          <t>📕 PDF Document</t>
        </is>
      </c>
      <c r="K1544" s="15" t="n">
        <v>17.9</v>
      </c>
      <c r="L1544" s="16">
        <f>HYPERLINK("http://127.0.0.1:8000/api/documents/download?id=1905&amp;attachment=true", "⬇ Download Tendernotice_1.pdf")</f>
        <v/>
      </c>
      <c r="M1544" s="16">
        <f>HYPERLINK("http://localhost:5173/?state=Himachal%20Pradesh&amp;keyword=GIS&amp;tender=2026_HPSEB_143816_1", "🚀 Open in Portal")</f>
        <v/>
      </c>
    </row>
    <row r="1545" ht="24" customHeight="1">
      <c r="A1545" s="4" t="inlineStr">
        <is>
          <t>Himachal Pradesh</t>
        </is>
      </c>
      <c r="B1545" s="5" t="inlineStr">
        <is>
          <t>GIS</t>
        </is>
      </c>
      <c r="C1545" s="6" t="inlineStr">
        <is>
          <t>2026_HPSEB_143816_1</t>
        </is>
      </c>
      <c r="D1545" s="7" t="inlineStr">
        <is>
          <t>[ Tender for C/o 33 kV Single Circuit Line on Double Pole Structures from 132/33 kV s/stn Tahliwal to the proposed 2x10 MVA, 33/11 KV GIS Sub Station at village Pollian to cater additional 20 MVA load demand of Bulk Drug Park at village Pollian Beet]</t>
        </is>
      </c>
      <c r="E1545" s="7" t="inlineStr">
        <is>
          <t>Himachal Pradesh Public Works &amp; Technology Department</t>
        </is>
      </c>
      <c r="F1545" s="6" t="inlineStr">
        <is>
          <t>02 Aug 2026</t>
        </is>
      </c>
      <c r="G1545" s="5" t="inlineStr">
        <is>
          <t>23 Aug 2026</t>
        </is>
      </c>
      <c r="H1545" s="8" t="inlineStr">
        <is>
          <t>⏳ UPCOMING</t>
        </is>
      </c>
      <c r="I1545" s="4" t="inlineStr">
        <is>
          <t>Specs22new.rar</t>
        </is>
      </c>
      <c r="J1545" s="6" t="inlineStr">
        <is>
          <t>📄 RAR</t>
        </is>
      </c>
      <c r="K1545" s="9" t="n">
        <v>17.9</v>
      </c>
      <c r="L1545" s="10">
        <f>HYPERLINK("http://127.0.0.1:8000/api/documents/download?id=1906&amp;attachment=true", "⬇ Download Specs22new.rar")</f>
        <v/>
      </c>
      <c r="M1545" s="10">
        <f>HYPERLINK("http://localhost:5173/?state=Himachal%20Pradesh&amp;keyword=GIS&amp;tender=2026_HPSEB_143816_1", "🚀 Open in Portal")</f>
        <v/>
      </c>
    </row>
    <row r="1546" ht="24" customHeight="1">
      <c r="A1546" s="11" t="inlineStr">
        <is>
          <t>Himachal Pradesh</t>
        </is>
      </c>
      <c r="B1546" s="12" t="inlineStr">
        <is>
          <t>GIS</t>
        </is>
      </c>
      <c r="C1546" s="13" t="inlineStr">
        <is>
          <t>2026_HPSEB_143816_1</t>
        </is>
      </c>
      <c r="D1546" s="14" t="inlineStr">
        <is>
          <t>[ Tender for C/o 33 kV Single Circuit Line on Double Pole Structures from 132/33 kV s/stn Tahliwal to the proposed 2x10 MVA, 33/11 KV GIS Sub Station at village Pollian to cater additional 20 MVA load demand of Bulk Drug Park at village Pollian Beet]</t>
        </is>
      </c>
      <c r="E1546" s="14" t="inlineStr">
        <is>
          <t>Himachal Pradesh Public Works &amp; Technology Department</t>
        </is>
      </c>
      <c r="F1546" s="13" t="inlineStr">
        <is>
          <t>02 Aug 2026</t>
        </is>
      </c>
      <c r="G1546" s="12" t="inlineStr">
        <is>
          <t>23 Aug 2026</t>
        </is>
      </c>
      <c r="H1546" s="8" t="inlineStr">
        <is>
          <t>⏳ UPCOMING</t>
        </is>
      </c>
      <c r="I1546" s="11" t="inlineStr">
        <is>
          <t>TechCommfinal.xls</t>
        </is>
      </c>
      <c r="J1546" s="13" t="inlineStr">
        <is>
          <t>📊 Excel BOQ</t>
        </is>
      </c>
      <c r="K1546" s="15" t="n">
        <v>2.6</v>
      </c>
      <c r="L1546" s="16">
        <f>HYPERLINK("http://127.0.0.1:8000/api/documents/download?id=1907&amp;attachment=true", "⬇ Download TechCommfinal.xls")</f>
        <v/>
      </c>
      <c r="M1546" s="16">
        <f>HYPERLINK("http://localhost:5173/?state=Himachal%20Pradesh&amp;keyword=GIS&amp;tender=2026_HPSEB_143816_1", "🚀 Open in Portal")</f>
        <v/>
      </c>
    </row>
    <row r="1547" ht="24" customHeight="1">
      <c r="A1547" s="4" t="inlineStr">
        <is>
          <t>Himachal Pradesh</t>
        </is>
      </c>
      <c r="B1547" s="5" t="inlineStr">
        <is>
          <t>GIS</t>
        </is>
      </c>
      <c r="C1547" s="6" t="inlineStr">
        <is>
          <t>2026_HPSEB_143816_1</t>
        </is>
      </c>
      <c r="D1547" s="7" t="inlineStr">
        <is>
          <t>[ Tender for C/o 33 kV Single Circuit Line on Double Pole Structures from 132/33 kV s/stn Tahliwal to the proposed 2x10 MVA, 33/11 KV GIS Sub Station at village Pollian to cater additional 20 MVA load demand of Bulk Drug Park at village Pollian Beet]</t>
        </is>
      </c>
      <c r="E1547" s="7" t="inlineStr">
        <is>
          <t>Himachal Pradesh Public Works &amp; Technology Department</t>
        </is>
      </c>
      <c r="F1547" s="6" t="inlineStr">
        <is>
          <t>02 Aug 2026</t>
        </is>
      </c>
      <c r="G1547" s="5" t="inlineStr">
        <is>
          <t>23 Aug 2026</t>
        </is>
      </c>
      <c r="H1547" s="8" t="inlineStr">
        <is>
          <t>⏳ UPCOMING</t>
        </is>
      </c>
      <c r="I1547" s="4" t="inlineStr">
        <is>
          <t>Estimate22new.pdf</t>
        </is>
      </c>
      <c r="J1547" s="6" t="inlineStr">
        <is>
          <t>📕 PDF Document</t>
        </is>
      </c>
      <c r="K1547" s="9" t="n">
        <v>17.9</v>
      </c>
      <c r="L1547" s="10">
        <f>HYPERLINK("http://127.0.0.1:8000/api/documents/download?id=1908&amp;attachment=true", "⬇ Download Estimate22new.pdf")</f>
        <v/>
      </c>
      <c r="M1547" s="10">
        <f>HYPERLINK("http://localhost:5173/?state=Himachal%20Pradesh&amp;keyword=GIS&amp;tender=2026_HPSEB_143816_1", "🚀 Open in Portal")</f>
        <v/>
      </c>
    </row>
    <row r="1548" ht="24" customHeight="1">
      <c r="A1548" s="11" t="inlineStr">
        <is>
          <t>Himachal Pradesh</t>
        </is>
      </c>
      <c r="B1548" s="12" t="inlineStr">
        <is>
          <t>GIS</t>
        </is>
      </c>
      <c r="C1548" s="13" t="inlineStr">
        <is>
          <t>2026_HPSEB_143816_1</t>
        </is>
      </c>
      <c r="D1548" s="14" t="inlineStr">
        <is>
          <t>[ Tender for C/o 33 kV Single Circuit Line on Double Pole Structures from 132/33 kV s/stn Tahliwal to the proposed 2x10 MVA, 33/11 KV GIS Sub Station at village Pollian to cater additional 20 MVA load demand of Bulk Drug Park at village Pollian Beet]</t>
        </is>
      </c>
      <c r="E1548" s="14" t="inlineStr">
        <is>
          <t>Himachal Pradesh Public Works &amp; Technology Department</t>
        </is>
      </c>
      <c r="F1548" s="13" t="inlineStr">
        <is>
          <t>02 Aug 2026</t>
        </is>
      </c>
      <c r="G1548" s="12" t="inlineStr">
        <is>
          <t>23 Aug 2026</t>
        </is>
      </c>
      <c r="H1548" s="8" t="inlineStr">
        <is>
          <t>⏳ UPCOMING</t>
        </is>
      </c>
      <c r="I1548" s="11" t="inlineStr">
        <is>
          <t>BOQ_213786.xls</t>
        </is>
      </c>
      <c r="J1548" s="13" t="inlineStr">
        <is>
          <t>📊 Excel BOQ</t>
        </is>
      </c>
      <c r="K1548" s="15" t="n">
        <v>2.6</v>
      </c>
      <c r="L1548" s="16">
        <f>HYPERLINK("http://127.0.0.1:8000/api/documents/download?id=1909&amp;attachment=true", "⬇ Download BOQ_213786.xls")</f>
        <v/>
      </c>
      <c r="M1548" s="16">
        <f>HYPERLINK("http://localhost:5173/?state=Himachal%20Pradesh&amp;keyword=GIS&amp;tender=2026_HPSEB_143816_1", "🚀 Open in Portal")</f>
        <v/>
      </c>
    </row>
    <row r="1549" ht="24" customHeight="1">
      <c r="A1549" s="4" t="inlineStr">
        <is>
          <t>Himachal Pradesh</t>
        </is>
      </c>
      <c r="B1549" s="5" t="inlineStr">
        <is>
          <t>GIS</t>
        </is>
      </c>
      <c r="C1549" s="6" t="inlineStr">
        <is>
          <t>2026_HPSEB_143816_1</t>
        </is>
      </c>
      <c r="D1549" s="7" t="inlineStr">
        <is>
          <t>[ Tender for C/o 33 kV Single Circuit Line on Double Pole Structures from 132/33 kV s/stn Tahliwal to the proposed 2x10 MVA, 33/11 KV GIS Sub Station at village Pollian to cater additional 20 MVA load demand of Bulk Drug Park at village Pollian Beet]</t>
        </is>
      </c>
      <c r="E1549" s="7" t="inlineStr">
        <is>
          <t>Himachal Pradesh Public Works &amp; Technology Department</t>
        </is>
      </c>
      <c r="F1549" s="6" t="inlineStr">
        <is>
          <t>02 Aug 2026</t>
        </is>
      </c>
      <c r="G1549" s="5" t="inlineStr">
        <is>
          <t>23 Aug 2026</t>
        </is>
      </c>
      <c r="H1549" s="8" t="inlineStr">
        <is>
          <t>⏳ UPCOMING</t>
        </is>
      </c>
      <c r="I1549" s="4" t="inlineStr">
        <is>
          <t>Tender_2026_HPSEB_143816_1_All_Documents.zip</t>
        </is>
      </c>
      <c r="J1549" s="6" t="inlineStr">
        <is>
          <t>📦 ZIP Package</t>
        </is>
      </c>
      <c r="K1549" s="9" t="n">
        <v>32.6</v>
      </c>
      <c r="L1549" s="10">
        <f>HYPERLINK("http://127.0.0.1:8000/api/documents/download?id=1910&amp;attachment=true", "⬇ Download Tender_2026_HPSEB_143816")</f>
        <v/>
      </c>
      <c r="M1549" s="10">
        <f>HYPERLINK("http://localhost:5173/?state=Himachal%20Pradesh&amp;keyword=GIS&amp;tender=2026_HPSEB_143816_1", "🚀 Open in Portal")</f>
        <v/>
      </c>
    </row>
    <row r="1550" ht="24" customHeight="1">
      <c r="A1550" s="11" t="inlineStr">
        <is>
          <t>Himachal Pradesh</t>
        </is>
      </c>
      <c r="B1550" s="12" t="inlineStr">
        <is>
          <t>ICT</t>
        </is>
      </c>
      <c r="C1550" s="13" t="inlineStr">
        <is>
          <t>2026_DRDPR_145527_1</t>
        </is>
      </c>
      <c r="D1550" s="14" t="inlineStr">
        <is>
          <t>[C/O Community Bhawan at Madhawani GP Madhawani Dev. Block Narkanda District Shimla]</t>
        </is>
      </c>
      <c r="E1550" s="14" t="inlineStr">
        <is>
          <t>Himachal Pradesh Public Works &amp; Technology Department</t>
        </is>
      </c>
      <c r="F1550" s="13" t="inlineStr">
        <is>
          <t>31 Aug 2026</t>
        </is>
      </c>
      <c r="G1550" s="12" t="inlineStr">
        <is>
          <t>29 Sep 2026</t>
        </is>
      </c>
      <c r="H1550" s="8" t="inlineStr">
        <is>
          <t>⏳ UPCOMING</t>
        </is>
      </c>
      <c r="I1550" s="11" t="inlineStr">
        <is>
          <t>Tendernotice_1.pdf</t>
        </is>
      </c>
      <c r="J1550" s="13" t="inlineStr">
        <is>
          <t>📕 PDF Document</t>
        </is>
      </c>
      <c r="K1550" s="15" t="n">
        <v>17.9</v>
      </c>
      <c r="L1550" s="16">
        <f>HYPERLINK("http://127.0.0.1:8000/api/documents/download?id=1911&amp;attachment=true", "⬇ Download Tendernotice_1.pdf")</f>
        <v/>
      </c>
      <c r="M1550" s="16">
        <f>HYPERLINK("http://localhost:5173/?state=Himachal%20Pradesh&amp;keyword=ICT&amp;tender=2026_DRDPR_145527_1", "🚀 Open in Portal")</f>
        <v/>
      </c>
    </row>
    <row r="1551" ht="24" customHeight="1">
      <c r="A1551" s="4" t="inlineStr">
        <is>
          <t>Himachal Pradesh</t>
        </is>
      </c>
      <c r="B1551" s="5" t="inlineStr">
        <is>
          <t>ICT</t>
        </is>
      </c>
      <c r="C1551" s="6" t="inlineStr">
        <is>
          <t>2026_DRDPR_145527_1</t>
        </is>
      </c>
      <c r="D1551" s="7" t="inlineStr">
        <is>
          <t>[C/O Community Bhawan at Madhawani GP Madhawani Dev. Block Narkanda District Shimla]</t>
        </is>
      </c>
      <c r="E1551" s="7" t="inlineStr">
        <is>
          <t>Himachal Pradesh Public Works &amp; Technology Department</t>
        </is>
      </c>
      <c r="F1551" s="6" t="inlineStr">
        <is>
          <t>31 Aug 2026</t>
        </is>
      </c>
      <c r="G1551" s="5" t="inlineStr">
        <is>
          <t>29 Sep 2026</t>
        </is>
      </c>
      <c r="H1551" s="8" t="inlineStr">
        <is>
          <t>⏳ UPCOMING</t>
        </is>
      </c>
      <c r="I1551" s="4" t="inlineStr">
        <is>
          <t>TenderDocuments.pdf</t>
        </is>
      </c>
      <c r="J1551" s="6" t="inlineStr">
        <is>
          <t>📕 PDF Document</t>
        </is>
      </c>
      <c r="K1551" s="9" t="n">
        <v>17.9</v>
      </c>
      <c r="L1551" s="10">
        <f>HYPERLINK("http://127.0.0.1:8000/api/documents/download?id=1912&amp;attachment=true", "⬇ Download TenderDocuments.pdf")</f>
        <v/>
      </c>
      <c r="M1551" s="10">
        <f>HYPERLINK("http://localhost:5173/?state=Himachal%20Pradesh&amp;keyword=ICT&amp;tender=2026_DRDPR_145527_1", "🚀 Open in Portal")</f>
        <v/>
      </c>
    </row>
    <row r="1552" ht="24" customHeight="1">
      <c r="A1552" s="11" t="inlineStr">
        <is>
          <t>Himachal Pradesh</t>
        </is>
      </c>
      <c r="B1552" s="12" t="inlineStr">
        <is>
          <t>ICT</t>
        </is>
      </c>
      <c r="C1552" s="13" t="inlineStr">
        <is>
          <t>2026_DRDPR_145527_1</t>
        </is>
      </c>
      <c r="D1552" s="14" t="inlineStr">
        <is>
          <t>[C/O Community Bhawan at Madhawani GP Madhawani Dev. Block Narkanda District Shimla]</t>
        </is>
      </c>
      <c r="E1552" s="14" t="inlineStr">
        <is>
          <t>Himachal Pradesh Public Works &amp; Technology Department</t>
        </is>
      </c>
      <c r="F1552" s="13" t="inlineStr">
        <is>
          <t>31 Aug 2026</t>
        </is>
      </c>
      <c r="G1552" s="12" t="inlineStr">
        <is>
          <t>29 Sep 2026</t>
        </is>
      </c>
      <c r="H1552" s="8" t="inlineStr">
        <is>
          <t>⏳ UPCOMING</t>
        </is>
      </c>
      <c r="I1552" s="11" t="inlineStr">
        <is>
          <t>BOQ_216787.xls</t>
        </is>
      </c>
      <c r="J1552" s="13" t="inlineStr">
        <is>
          <t>📊 Excel BOQ</t>
        </is>
      </c>
      <c r="K1552" s="15" t="n">
        <v>2.5</v>
      </c>
      <c r="L1552" s="16">
        <f>HYPERLINK("http://127.0.0.1:8000/api/documents/download?id=1913&amp;attachment=true", "⬇ Download BOQ_216787.xls")</f>
        <v/>
      </c>
      <c r="M1552" s="16">
        <f>HYPERLINK("http://localhost:5173/?state=Himachal%20Pradesh&amp;keyword=ICT&amp;tender=2026_DRDPR_145527_1", "🚀 Open in Portal")</f>
        <v/>
      </c>
    </row>
    <row r="1553" ht="24" customHeight="1">
      <c r="A1553" s="4" t="inlineStr">
        <is>
          <t>Himachal Pradesh</t>
        </is>
      </c>
      <c r="B1553" s="5" t="inlineStr">
        <is>
          <t>ICT</t>
        </is>
      </c>
      <c r="C1553" s="6" t="inlineStr">
        <is>
          <t>2026_DRDPR_145527_1</t>
        </is>
      </c>
      <c r="D1553" s="7" t="inlineStr">
        <is>
          <t>[C/O Community Bhawan at Madhawani GP Madhawani Dev. Block Narkanda District Shimla]</t>
        </is>
      </c>
      <c r="E1553" s="7" t="inlineStr">
        <is>
          <t>Himachal Pradesh Public Works &amp; Technology Department</t>
        </is>
      </c>
      <c r="F1553" s="6" t="inlineStr">
        <is>
          <t>31 Aug 2026</t>
        </is>
      </c>
      <c r="G1553" s="5" t="inlineStr">
        <is>
          <t>29 Sep 2026</t>
        </is>
      </c>
      <c r="H1553" s="8" t="inlineStr">
        <is>
          <t>⏳ UPCOMING</t>
        </is>
      </c>
      <c r="I1553" s="4" t="inlineStr">
        <is>
          <t>Tender_2026_DRDPR_145527_1_All_Documents.zip</t>
        </is>
      </c>
      <c r="J1553" s="6" t="inlineStr">
        <is>
          <t>📦 ZIP Package</t>
        </is>
      </c>
      <c r="K1553" s="9" t="n">
        <v>20.8</v>
      </c>
      <c r="L1553" s="10">
        <f>HYPERLINK("http://127.0.0.1:8000/api/documents/download?id=1914&amp;attachment=true", "⬇ Download Tender_2026_DRDPR_145527")</f>
        <v/>
      </c>
      <c r="M1553" s="10">
        <f>HYPERLINK("http://localhost:5173/?state=Himachal%20Pradesh&amp;keyword=ICT&amp;tender=2026_DRDPR_145527_1", "🚀 Open in Portal")</f>
        <v/>
      </c>
    </row>
    <row r="1554" ht="24" customHeight="1">
      <c r="A1554" s="11" t="inlineStr">
        <is>
          <t>Himachal Pradesh</t>
        </is>
      </c>
      <c r="B1554" s="12" t="inlineStr">
        <is>
          <t>ICT</t>
        </is>
      </c>
      <c r="C1554" s="13" t="inlineStr">
        <is>
          <t>2026_HIMUD_145339_1</t>
        </is>
      </c>
      <c r="D1554" s="14" t="inlineStr">
        <is>
          <t>[Renovation of Existing District Institute of Education and Training DIET complex at Gauna Karaur Nadaun Distt Hamirpur HP SH Repair maintenance of Institute block and Hostel Block]</t>
        </is>
      </c>
      <c r="E1554" s="14" t="inlineStr">
        <is>
          <t>Himachal Pradesh Public Works &amp; Technology Department</t>
        </is>
      </c>
      <c r="F1554" s="13" t="inlineStr">
        <is>
          <t>24 Oct 2026</t>
        </is>
      </c>
      <c r="G1554" s="12" t="inlineStr">
        <is>
          <t>14 Nov 2026</t>
        </is>
      </c>
      <c r="H1554" s="8" t="inlineStr">
        <is>
          <t>⏳ UPCOMING</t>
        </is>
      </c>
      <c r="I1554" s="11" t="inlineStr">
        <is>
          <t>Tendernotice_1.pdf</t>
        </is>
      </c>
      <c r="J1554" s="13" t="inlineStr">
        <is>
          <t>📕 PDF Document</t>
        </is>
      </c>
      <c r="K1554" s="15" t="n">
        <v>17.9</v>
      </c>
      <c r="L1554" s="16">
        <f>HYPERLINK("http://127.0.0.1:8000/api/documents/download?id=1986&amp;attachment=true", "⬇ Download Tendernotice_1.pdf")</f>
        <v/>
      </c>
      <c r="M1554" s="16">
        <f>HYPERLINK("http://localhost:5173/?state=Himachal%20Pradesh&amp;keyword=ICT&amp;tender=2026_HIMUD_145339_1", "🚀 Open in Portal")</f>
        <v/>
      </c>
    </row>
    <row r="1555" ht="24" customHeight="1">
      <c r="A1555" s="4" t="inlineStr">
        <is>
          <t>Himachal Pradesh</t>
        </is>
      </c>
      <c r="B1555" s="5" t="inlineStr">
        <is>
          <t>ICT</t>
        </is>
      </c>
      <c r="C1555" s="6" t="inlineStr">
        <is>
          <t>2026_HIMUD_145339_1</t>
        </is>
      </c>
      <c r="D1555" s="7" t="inlineStr">
        <is>
          <t>[Renovation of Existing District Institute of Education and Training DIET complex at Gauna Karaur Nadaun Distt Hamirpur HP SH Repair maintenance of Institute block and Hostel Block]</t>
        </is>
      </c>
      <c r="E1555" s="7" t="inlineStr">
        <is>
          <t>Himachal Pradesh Public Works &amp; Technology Department</t>
        </is>
      </c>
      <c r="F1555" s="6" t="inlineStr">
        <is>
          <t>24 Oct 2026</t>
        </is>
      </c>
      <c r="G1555" s="5" t="inlineStr">
        <is>
          <t>14 Nov 2026</t>
        </is>
      </c>
      <c r="H1555" s="8" t="inlineStr">
        <is>
          <t>⏳ UPCOMING</t>
        </is>
      </c>
      <c r="I1555" s="4" t="inlineStr">
        <is>
          <t>TenderForm.pdf</t>
        </is>
      </c>
      <c r="J1555" s="6" t="inlineStr">
        <is>
          <t>📕 PDF Document</t>
        </is>
      </c>
      <c r="K1555" s="9" t="n">
        <v>17.9</v>
      </c>
      <c r="L1555" s="10">
        <f>HYPERLINK("http://127.0.0.1:8000/api/documents/download?id=1987&amp;attachment=true", "⬇ Download TenderForm.pdf")</f>
        <v/>
      </c>
      <c r="M1555" s="10">
        <f>HYPERLINK("http://localhost:5173/?state=Himachal%20Pradesh&amp;keyword=ICT&amp;tender=2026_HIMUD_145339_1", "🚀 Open in Portal")</f>
        <v/>
      </c>
    </row>
    <row r="1556" ht="24" customHeight="1">
      <c r="A1556" s="11" t="inlineStr">
        <is>
          <t>Himachal Pradesh</t>
        </is>
      </c>
      <c r="B1556" s="12" t="inlineStr">
        <is>
          <t>ICT</t>
        </is>
      </c>
      <c r="C1556" s="13" t="inlineStr">
        <is>
          <t>2026_HIMUD_145339_1</t>
        </is>
      </c>
      <c r="D1556" s="14" t="inlineStr">
        <is>
          <t>[Renovation of Existing District Institute of Education and Training DIET complex at Gauna Karaur Nadaun Distt Hamirpur HP SH Repair maintenance of Institute block and Hostel Block]</t>
        </is>
      </c>
      <c r="E1556" s="14" t="inlineStr">
        <is>
          <t>Himachal Pradesh Public Works &amp; Technology Department</t>
        </is>
      </c>
      <c r="F1556" s="13" t="inlineStr">
        <is>
          <t>24 Oct 2026</t>
        </is>
      </c>
      <c r="G1556" s="12" t="inlineStr">
        <is>
          <t>14 Nov 2026</t>
        </is>
      </c>
      <c r="H1556" s="8" t="inlineStr">
        <is>
          <t>⏳ UPCOMING</t>
        </is>
      </c>
      <c r="I1556" s="11" t="inlineStr">
        <is>
          <t>BOQ_216410.xls</t>
        </is>
      </c>
      <c r="J1556" s="13" t="inlineStr">
        <is>
          <t>📊 Excel BOQ</t>
        </is>
      </c>
      <c r="K1556" s="15" t="n">
        <v>2.5</v>
      </c>
      <c r="L1556" s="16">
        <f>HYPERLINK("http://127.0.0.1:8000/api/documents/download?id=1988&amp;attachment=true", "⬇ Download BOQ_216410.xls")</f>
        <v/>
      </c>
      <c r="M1556" s="16">
        <f>HYPERLINK("http://localhost:5173/?state=Himachal%20Pradesh&amp;keyword=ICT&amp;tender=2026_HIMUD_145339_1", "🚀 Open in Portal")</f>
        <v/>
      </c>
    </row>
    <row r="1557" ht="24" customHeight="1">
      <c r="A1557" s="4" t="inlineStr">
        <is>
          <t>Himachal Pradesh</t>
        </is>
      </c>
      <c r="B1557" s="5" t="inlineStr">
        <is>
          <t>ICT</t>
        </is>
      </c>
      <c r="C1557" s="6" t="inlineStr">
        <is>
          <t>2026_HIMUD_145339_1</t>
        </is>
      </c>
      <c r="D1557" s="7" t="inlineStr">
        <is>
          <t>[Renovation of Existing District Institute of Education and Training DIET complex at Gauna Karaur Nadaun Distt Hamirpur HP SH Repair maintenance of Institute block and Hostel Block]</t>
        </is>
      </c>
      <c r="E1557" s="7" t="inlineStr">
        <is>
          <t>Himachal Pradesh Public Works &amp; Technology Department</t>
        </is>
      </c>
      <c r="F1557" s="6" t="inlineStr">
        <is>
          <t>24 Oct 2026</t>
        </is>
      </c>
      <c r="G1557" s="5" t="inlineStr">
        <is>
          <t>14 Nov 2026</t>
        </is>
      </c>
      <c r="H1557" s="8" t="inlineStr">
        <is>
          <t>⏳ UPCOMING</t>
        </is>
      </c>
      <c r="I1557" s="4" t="inlineStr">
        <is>
          <t>UNDERTAKING.pdf</t>
        </is>
      </c>
      <c r="J1557" s="6" t="inlineStr">
        <is>
          <t>📕 PDF Document</t>
        </is>
      </c>
      <c r="K1557" s="9" t="n">
        <v>17.9</v>
      </c>
      <c r="L1557" s="10">
        <f>HYPERLINK("http://127.0.0.1:8000/api/documents/download?id=1989&amp;attachment=true", "⬇ Download UNDERTAKING.pdf")</f>
        <v/>
      </c>
      <c r="M1557" s="10">
        <f>HYPERLINK("http://localhost:5173/?state=Himachal%20Pradesh&amp;keyword=ICT&amp;tender=2026_HIMUD_145339_1", "🚀 Open in Portal")</f>
        <v/>
      </c>
    </row>
    <row r="1558" ht="24" customHeight="1">
      <c r="A1558" s="11" t="inlineStr">
        <is>
          <t>Himachal Pradesh</t>
        </is>
      </c>
      <c r="B1558" s="12" t="inlineStr">
        <is>
          <t>ICT</t>
        </is>
      </c>
      <c r="C1558" s="13" t="inlineStr">
        <is>
          <t>2026_HIMUD_145339_1</t>
        </is>
      </c>
      <c r="D1558" s="14" t="inlineStr">
        <is>
          <t>[Renovation of Existing District Institute of Education and Training DIET complex at Gauna Karaur Nadaun Distt Hamirpur HP SH Repair maintenance of Institute block and Hostel Block]</t>
        </is>
      </c>
      <c r="E1558" s="14" t="inlineStr">
        <is>
          <t>Himachal Pradesh Public Works &amp; Technology Department</t>
        </is>
      </c>
      <c r="F1558" s="13" t="inlineStr">
        <is>
          <t>24 Oct 2026</t>
        </is>
      </c>
      <c r="G1558" s="12" t="inlineStr">
        <is>
          <t>14 Nov 2026</t>
        </is>
      </c>
      <c r="H1558" s="8" t="inlineStr">
        <is>
          <t>⏳ UPCOMING</t>
        </is>
      </c>
      <c r="I1558" s="11" t="inlineStr">
        <is>
          <t>Condition.pdf</t>
        </is>
      </c>
      <c r="J1558" s="13" t="inlineStr">
        <is>
          <t>📕 PDF Document</t>
        </is>
      </c>
      <c r="K1558" s="15" t="n">
        <v>17.9</v>
      </c>
      <c r="L1558" s="16">
        <f>HYPERLINK("http://127.0.0.1:8000/api/documents/download?id=1990&amp;attachment=true", "⬇ Download Condition.pdf")</f>
        <v/>
      </c>
      <c r="M1558" s="16">
        <f>HYPERLINK("http://localhost:5173/?state=Himachal%20Pradesh&amp;keyword=ICT&amp;tender=2026_HIMUD_145339_1", "🚀 Open in Portal")</f>
        <v/>
      </c>
    </row>
    <row r="1559" ht="24" customHeight="1">
      <c r="A1559" s="4" t="inlineStr">
        <is>
          <t>Himachal Pradesh</t>
        </is>
      </c>
      <c r="B1559" s="5" t="inlineStr">
        <is>
          <t>ICT</t>
        </is>
      </c>
      <c r="C1559" s="6" t="inlineStr">
        <is>
          <t>2026_HIMUD_145339_1</t>
        </is>
      </c>
      <c r="D1559" s="7" t="inlineStr">
        <is>
          <t>[Renovation of Existing District Institute of Education and Training DIET complex at Gauna Karaur Nadaun Distt Hamirpur HP SH Repair maintenance of Institute block and Hostel Block]</t>
        </is>
      </c>
      <c r="E1559" s="7" t="inlineStr">
        <is>
          <t>Himachal Pradesh Public Works &amp; Technology Department</t>
        </is>
      </c>
      <c r="F1559" s="6" t="inlineStr">
        <is>
          <t>24 Oct 2026</t>
        </is>
      </c>
      <c r="G1559" s="5" t="inlineStr">
        <is>
          <t>14 Nov 2026</t>
        </is>
      </c>
      <c r="H1559" s="8" t="inlineStr">
        <is>
          <t>⏳ UPCOMING</t>
        </is>
      </c>
      <c r="I1559" s="4" t="inlineStr">
        <is>
          <t>Tender_2026_HIMUD_145339_1_All_Documents.zip</t>
        </is>
      </c>
      <c r="J1559" s="6" t="inlineStr">
        <is>
          <t>📦 ZIP Package</t>
        </is>
      </c>
      <c r="K1559" s="9" t="n">
        <v>39.3</v>
      </c>
      <c r="L1559" s="10">
        <f>HYPERLINK("http://127.0.0.1:8000/api/documents/download?id=1991&amp;attachment=true", "⬇ Download Tender_2026_HIMUD_145339")</f>
        <v/>
      </c>
      <c r="M1559" s="10">
        <f>HYPERLINK("http://localhost:5173/?state=Himachal%20Pradesh&amp;keyword=ICT&amp;tender=2026_HIMUD_145339_1", "🚀 Open in Portal")</f>
        <v/>
      </c>
    </row>
    <row r="1560" ht="24" customHeight="1">
      <c r="A1560" s="11" t="inlineStr">
        <is>
          <t>Himachal Pradesh</t>
        </is>
      </c>
      <c r="B1560" s="12" t="inlineStr">
        <is>
          <t>ICT</t>
        </is>
      </c>
      <c r="C1560" s="13" t="inlineStr">
        <is>
          <t>2026_HIM_5329513_99</t>
        </is>
      </c>
      <c r="D1560" s="14" t="inlineStr">
        <is>
          <t>ICT-Based Cloud Data Center Modernization &amp; Statewide Integrated Video Command Analytics</t>
        </is>
      </c>
      <c r="E1560" s="14" t="inlineStr">
        <is>
          <t>DEPARTMENT OF INFORMATION TECHNOLOGY &amp; e-GOVERNANCE</t>
        </is>
      </c>
      <c r="F1560" s="13" t="inlineStr">
        <is>
          <t>05 Aug 2026</t>
        </is>
      </c>
      <c r="G1560" s="12" t="inlineStr">
        <is>
          <t>31 Aug 2026</t>
        </is>
      </c>
      <c r="H1560" s="8" t="inlineStr">
        <is>
          <t>⏳ UPCOMING</t>
        </is>
      </c>
      <c r="I1560" s="11" t="inlineStr">
        <is>
          <t>Tendernotice_2026_HIM_5329513_99.pdf</t>
        </is>
      </c>
      <c r="J1560" s="13" t="inlineStr">
        <is>
          <t>📕 PDF Document</t>
        </is>
      </c>
      <c r="K1560" s="15" t="n">
        <v>7.7</v>
      </c>
      <c r="L1560" s="16">
        <f>HYPERLINK("http://127.0.0.1:8000/api/documents/download?id=3485&amp;attachment=true", "⬇ Download Tendernotice_2026_HIM_53")</f>
        <v/>
      </c>
      <c r="M1560" s="16">
        <f>HYPERLINK("http://localhost:5173/?state=Himachal%20Pradesh&amp;keyword=ICT&amp;tender=2026_HIM_5329513_99", "🚀 Open in Portal")</f>
        <v/>
      </c>
    </row>
    <row r="1561" ht="24" customHeight="1">
      <c r="A1561" s="4" t="inlineStr">
        <is>
          <t>Himachal Pradesh</t>
        </is>
      </c>
      <c r="B1561" s="5" t="inlineStr">
        <is>
          <t>ICT</t>
        </is>
      </c>
      <c r="C1561" s="6" t="inlineStr">
        <is>
          <t>2026_HIM_5329513_99</t>
        </is>
      </c>
      <c r="D1561" s="7" t="inlineStr">
        <is>
          <t>ICT-Based Cloud Data Center Modernization &amp; Statewide Integrated Video Command Analytics</t>
        </is>
      </c>
      <c r="E1561" s="7" t="inlineStr">
        <is>
          <t>DEPARTMENT OF INFORMATION TECHNOLOGY &amp; e-GOVERNANCE</t>
        </is>
      </c>
      <c r="F1561" s="6" t="inlineStr">
        <is>
          <t>05 Aug 2026</t>
        </is>
      </c>
      <c r="G1561" s="5" t="inlineStr">
        <is>
          <t>31 Aug 2026</t>
        </is>
      </c>
      <c r="H1561" s="8" t="inlineStr">
        <is>
          <t>⏳ UPCOMING</t>
        </is>
      </c>
      <c r="I1561" s="4" t="inlineStr">
        <is>
          <t>Technical_RFP_Specification_ICT.pdf</t>
        </is>
      </c>
      <c r="J1561" s="6" t="inlineStr">
        <is>
          <t>📕 PDF Document</t>
        </is>
      </c>
      <c r="K1561" s="9" t="n">
        <v>7.7</v>
      </c>
      <c r="L1561" s="10">
        <f>HYPERLINK("http://127.0.0.1:8000/api/documents/download?id=3486&amp;attachment=true", "⬇ Download Technical_RFP_Specificat")</f>
        <v/>
      </c>
      <c r="M1561" s="10">
        <f>HYPERLINK("http://localhost:5173/?state=Himachal%20Pradesh&amp;keyword=ICT&amp;tender=2026_HIM_5329513_99", "🚀 Open in Portal")</f>
        <v/>
      </c>
    </row>
    <row r="1562" ht="24" customHeight="1">
      <c r="A1562" s="11" t="inlineStr">
        <is>
          <t>Himachal Pradesh</t>
        </is>
      </c>
      <c r="B1562" s="12" t="inlineStr">
        <is>
          <t>ICT</t>
        </is>
      </c>
      <c r="C1562" s="13" t="inlineStr">
        <is>
          <t>2026_HIM_5329513_99</t>
        </is>
      </c>
      <c r="D1562" s="14" t="inlineStr">
        <is>
          <t>ICT-Based Cloud Data Center Modernization &amp; Statewide Integrated Video Command Analytics</t>
        </is>
      </c>
      <c r="E1562" s="14" t="inlineStr">
        <is>
          <t>DEPARTMENT OF INFORMATION TECHNOLOGY &amp; e-GOVERNANCE</t>
        </is>
      </c>
      <c r="F1562" s="13" t="inlineStr">
        <is>
          <t>05 Aug 2026</t>
        </is>
      </c>
      <c r="G1562" s="12" t="inlineStr">
        <is>
          <t>31 Aug 2026</t>
        </is>
      </c>
      <c r="H1562" s="8" t="inlineStr">
        <is>
          <t>⏳ UPCOMING</t>
        </is>
      </c>
      <c r="I1562" s="11" t="inlineStr">
        <is>
          <t>BOQ_Financial_Schedule_2026_HIM_5329513_99.xlsx</t>
        </is>
      </c>
      <c r="J1562" s="13" t="inlineStr">
        <is>
          <t>📊 Excel BOQ</t>
        </is>
      </c>
      <c r="K1562" s="15" t="n">
        <v>5.9</v>
      </c>
      <c r="L1562" s="16">
        <f>HYPERLINK("http://127.0.0.1:8000/api/documents/download?id=3487&amp;attachment=true", "⬇ Download BOQ_Financial_Schedule_2")</f>
        <v/>
      </c>
      <c r="M1562" s="16">
        <f>HYPERLINK("http://localhost:5173/?state=Himachal%20Pradesh&amp;keyword=ICT&amp;tender=2026_HIM_5329513_99", "🚀 Open in Portal")</f>
        <v/>
      </c>
    </row>
    <row r="1563" ht="24" customHeight="1">
      <c r="A1563" s="4" t="inlineStr">
        <is>
          <t>Himachal Pradesh</t>
        </is>
      </c>
      <c r="B1563" s="5" t="inlineStr">
        <is>
          <t>ICT</t>
        </is>
      </c>
      <c r="C1563" s="6" t="inlineStr">
        <is>
          <t>2026_HIM_5329513_99</t>
        </is>
      </c>
      <c r="D1563" s="7" t="inlineStr">
        <is>
          <t>ICT-Based Cloud Data Center Modernization &amp; Statewide Integrated Video Command Analytics</t>
        </is>
      </c>
      <c r="E1563" s="7" t="inlineStr">
        <is>
          <t>DEPARTMENT OF INFORMATION TECHNOLOGY &amp; e-GOVERNANCE</t>
        </is>
      </c>
      <c r="F1563" s="6" t="inlineStr">
        <is>
          <t>05 Aug 2026</t>
        </is>
      </c>
      <c r="G1563" s="5" t="inlineStr">
        <is>
          <t>31 Aug 2026</t>
        </is>
      </c>
      <c r="H1563" s="8" t="inlineStr">
        <is>
          <t>⏳ UPCOMING</t>
        </is>
      </c>
      <c r="I1563" s="4" t="inlineStr">
        <is>
          <t>Tender_2026_HIM_5329513_99_All_Documents.zip</t>
        </is>
      </c>
      <c r="J1563" s="6" t="inlineStr">
        <is>
          <t>📦 ZIP Package</t>
        </is>
      </c>
      <c r="K1563" s="9" t="n">
        <v>45</v>
      </c>
      <c r="L1563" s="10">
        <f>HYPERLINK("https://hptenders.gov.in/tender/2026_HIM_5329513_99", "⬇ Download Tender_2026_HIM_5329513_")</f>
        <v/>
      </c>
      <c r="M1563" s="10">
        <f>HYPERLINK("http://localhost:5173/?state=Himachal%20Pradesh&amp;keyword=ICT&amp;tender=2026_HIM_5329513_99", "🚀 Open in Portal")</f>
        <v/>
      </c>
    </row>
    <row r="1564" ht="24" customHeight="1">
      <c r="A1564" s="11" t="inlineStr">
        <is>
          <t>Himachal Pradesh</t>
        </is>
      </c>
      <c r="B1564" s="12" t="inlineStr">
        <is>
          <t>ICT</t>
        </is>
      </c>
      <c r="C1564" s="13" t="inlineStr">
        <is>
          <t>2026_HIM_6095769_22</t>
        </is>
      </c>
      <c r="D1564" s="14" t="inlineStr">
        <is>
          <t>ICT-Based Cloud Data Center Modernization &amp; Statewide Integrated Video Command Analytics</t>
        </is>
      </c>
      <c r="E1564" s="14" t="inlineStr">
        <is>
          <t>DEPARTMENT OF INFORMATION TECHNOLOGY &amp; e-GOVERNANCE</t>
        </is>
      </c>
      <c r="F1564" s="13" t="inlineStr">
        <is>
          <t>24 Jul 2026</t>
        </is>
      </c>
      <c r="G1564" s="12" t="inlineStr">
        <is>
          <t>18 Aug 2026</t>
        </is>
      </c>
      <c r="H1564" s="8" t="inlineStr">
        <is>
          <t>⏳ UPCOMING</t>
        </is>
      </c>
      <c r="I1564" s="11" t="inlineStr">
        <is>
          <t>Tendernotice_2026_HIM_6095769_22.pdf</t>
        </is>
      </c>
      <c r="J1564" s="13" t="inlineStr">
        <is>
          <t>📕 PDF Document</t>
        </is>
      </c>
      <c r="K1564" s="15" t="n">
        <v>17.9</v>
      </c>
      <c r="L1564" s="16">
        <f>HYPERLINK("http://127.0.0.1:8000/api/documents/download?id=3333&amp;attachment=true", "⬇ Download Tendernotice_2026_HIM_60")</f>
        <v/>
      </c>
      <c r="M1564" s="16">
        <f>HYPERLINK("http://localhost:5173/?state=Himachal%20Pradesh&amp;keyword=ICT&amp;tender=2026_HIM_6095769_22", "🚀 Open in Portal")</f>
        <v/>
      </c>
    </row>
    <row r="1565" ht="24" customHeight="1">
      <c r="A1565" s="4" t="inlineStr">
        <is>
          <t>Himachal Pradesh</t>
        </is>
      </c>
      <c r="B1565" s="5" t="inlineStr">
        <is>
          <t>ICT</t>
        </is>
      </c>
      <c r="C1565" s="6" t="inlineStr">
        <is>
          <t>2026_HIM_6095769_22</t>
        </is>
      </c>
      <c r="D1565" s="7" t="inlineStr">
        <is>
          <t>ICT-Based Cloud Data Center Modernization &amp; Statewide Integrated Video Command Analytics</t>
        </is>
      </c>
      <c r="E1565" s="7" t="inlineStr">
        <is>
          <t>DEPARTMENT OF INFORMATION TECHNOLOGY &amp; e-GOVERNANCE</t>
        </is>
      </c>
      <c r="F1565" s="6" t="inlineStr">
        <is>
          <t>24 Jul 2026</t>
        </is>
      </c>
      <c r="G1565" s="5" t="inlineStr">
        <is>
          <t>18 Aug 2026</t>
        </is>
      </c>
      <c r="H1565" s="8" t="inlineStr">
        <is>
          <t>⏳ UPCOMING</t>
        </is>
      </c>
      <c r="I1565" s="4" t="inlineStr">
        <is>
          <t>Technical_RFP_Specification_ICT.pdf</t>
        </is>
      </c>
      <c r="J1565" s="6" t="inlineStr">
        <is>
          <t>📕 PDF Document</t>
        </is>
      </c>
      <c r="K1565" s="9" t="n">
        <v>18</v>
      </c>
      <c r="L1565" s="10">
        <f>HYPERLINK("http://127.0.0.1:8000/api/documents/download?id=3334&amp;attachment=true", "⬇ Download Technical_RFP_Specificat")</f>
        <v/>
      </c>
      <c r="M1565" s="10">
        <f>HYPERLINK("http://localhost:5173/?state=Himachal%20Pradesh&amp;keyword=ICT&amp;tender=2026_HIM_6095769_22", "🚀 Open in Portal")</f>
        <v/>
      </c>
    </row>
    <row r="1566" ht="24" customHeight="1">
      <c r="A1566" s="11" t="inlineStr">
        <is>
          <t>Himachal Pradesh</t>
        </is>
      </c>
      <c r="B1566" s="12" t="inlineStr">
        <is>
          <t>ICT</t>
        </is>
      </c>
      <c r="C1566" s="13" t="inlineStr">
        <is>
          <t>2026_HIM_6095769_22</t>
        </is>
      </c>
      <c r="D1566" s="14" t="inlineStr">
        <is>
          <t>ICT-Based Cloud Data Center Modernization &amp; Statewide Integrated Video Command Analytics</t>
        </is>
      </c>
      <c r="E1566" s="14" t="inlineStr">
        <is>
          <t>DEPARTMENT OF INFORMATION TECHNOLOGY &amp; e-GOVERNANCE</t>
        </is>
      </c>
      <c r="F1566" s="13" t="inlineStr">
        <is>
          <t>24 Jul 2026</t>
        </is>
      </c>
      <c r="G1566" s="12" t="inlineStr">
        <is>
          <t>18 Aug 2026</t>
        </is>
      </c>
      <c r="H1566" s="8" t="inlineStr">
        <is>
          <t>⏳ UPCOMING</t>
        </is>
      </c>
      <c r="I1566" s="11" t="inlineStr">
        <is>
          <t>BOQ_Financial_Schedule_2026_HIM_6095769_22.xlsx</t>
        </is>
      </c>
      <c r="J1566" s="13" t="inlineStr">
        <is>
          <t>📊 Excel BOQ</t>
        </is>
      </c>
      <c r="K1566" s="15" t="n">
        <v>2.5</v>
      </c>
      <c r="L1566" s="16">
        <f>HYPERLINK("http://127.0.0.1:8000/api/documents/download?id=3335&amp;attachment=true", "⬇ Download BOQ_Financial_Schedule_2")</f>
        <v/>
      </c>
      <c r="M1566" s="16">
        <f>HYPERLINK("http://localhost:5173/?state=Himachal%20Pradesh&amp;keyword=ICT&amp;tender=2026_HIM_6095769_22", "🚀 Open in Portal")</f>
        <v/>
      </c>
    </row>
    <row r="1567" ht="24" customHeight="1">
      <c r="A1567" s="4" t="inlineStr">
        <is>
          <t>Himachal Pradesh</t>
        </is>
      </c>
      <c r="B1567" s="5" t="inlineStr">
        <is>
          <t>ICT</t>
        </is>
      </c>
      <c r="C1567" s="6" t="inlineStr">
        <is>
          <t>2026_HIM_6095769_22</t>
        </is>
      </c>
      <c r="D1567" s="7" t="inlineStr">
        <is>
          <t>ICT-Based Cloud Data Center Modernization &amp; Statewide Integrated Video Command Analytics</t>
        </is>
      </c>
      <c r="E1567" s="7" t="inlineStr">
        <is>
          <t>DEPARTMENT OF INFORMATION TECHNOLOGY &amp; e-GOVERNANCE</t>
        </is>
      </c>
      <c r="F1567" s="6" t="inlineStr">
        <is>
          <t>24 Jul 2026</t>
        </is>
      </c>
      <c r="G1567" s="5" t="inlineStr">
        <is>
          <t>18 Aug 2026</t>
        </is>
      </c>
      <c r="H1567" s="8" t="inlineStr">
        <is>
          <t>⏳ UPCOMING</t>
        </is>
      </c>
      <c r="I1567" s="4" t="inlineStr">
        <is>
          <t>Tender_2026_HIM_6095769_22_All_Documents.zip</t>
        </is>
      </c>
      <c r="J1567" s="6" t="inlineStr">
        <is>
          <t>📦 ZIP Package</t>
        </is>
      </c>
      <c r="K1567" s="9" t="n">
        <v>45</v>
      </c>
      <c r="L1567" s="10">
        <f>HYPERLINK("https://hptenders.gov.in/tender/2026_HIM_6095769_22", "⬇ Download Tender_2026_HIM_6095769_")</f>
        <v/>
      </c>
      <c r="M1567" s="10">
        <f>HYPERLINK("http://localhost:5173/?state=Himachal%20Pradesh&amp;keyword=ICT&amp;tender=2026_HIM_6095769_22", "🚀 Open in Portal")</f>
        <v/>
      </c>
    </row>
    <row r="1568" ht="24" customHeight="1">
      <c r="A1568" s="11" t="inlineStr">
        <is>
          <t>Himachal Pradesh</t>
        </is>
      </c>
      <c r="B1568" s="12" t="inlineStr">
        <is>
          <t>ICT</t>
        </is>
      </c>
      <c r="C1568" s="13" t="inlineStr">
        <is>
          <t>2026_HPIPH_145332_1</t>
        </is>
      </c>
      <c r="D1568" s="14" t="inlineStr">
        <is>
          <t>[Annual Repair and Operation and Maintenance of Sewerage Treatment Plant Kunihar area in Tehsil Arki District Solan HP SH Deployment of labour_staff for operation running and maintenance of 0.90 MLD capacity STP including sewerage network system to K]</t>
        </is>
      </c>
      <c r="E1568" s="14" t="inlineStr">
        <is>
          <t>Himachal Pradesh Public Works &amp; Technology Department</t>
        </is>
      </c>
      <c r="F1568" s="13" t="inlineStr">
        <is>
          <t>23 Sep 2026</t>
        </is>
      </c>
      <c r="G1568" s="12" t="inlineStr">
        <is>
          <t>21 Oct 2026</t>
        </is>
      </c>
      <c r="H1568" s="18" t="inlineStr">
        <is>
          <t>⚠️ CLOSING SOON</t>
        </is>
      </c>
      <c r="I1568" s="11" t="inlineStr">
        <is>
          <t>Tendernotice_1.pdf</t>
        </is>
      </c>
      <c r="J1568" s="13" t="inlineStr">
        <is>
          <t>📕 PDF Document</t>
        </is>
      </c>
      <c r="K1568" s="15" t="n">
        <v>17.9</v>
      </c>
      <c r="L1568" s="16">
        <f>HYPERLINK("http://127.0.0.1:8000/api/documents/download?id=1927&amp;attachment=true", "⬇ Download Tendernotice_1.pdf")</f>
        <v/>
      </c>
      <c r="M1568" s="16">
        <f>HYPERLINK("http://localhost:5173/?state=Himachal%20Pradesh&amp;keyword=ICT&amp;tender=2026_HPIPH_145332_1", "🚀 Open in Portal")</f>
        <v/>
      </c>
    </row>
    <row r="1569" ht="24" customHeight="1">
      <c r="A1569" s="4" t="inlineStr">
        <is>
          <t>Himachal Pradesh</t>
        </is>
      </c>
      <c r="B1569" s="5" t="inlineStr">
        <is>
          <t>ICT</t>
        </is>
      </c>
      <c r="C1569" s="6" t="inlineStr">
        <is>
          <t>2026_HPIPH_145332_1</t>
        </is>
      </c>
      <c r="D1569" s="7" t="inlineStr">
        <is>
          <t>[Annual Repair and Operation and Maintenance of Sewerage Treatment Plant Kunihar area in Tehsil Arki District Solan HP SH Deployment of labour_staff for operation running and maintenance of 0.90 MLD capacity STP including sewerage network system to K]</t>
        </is>
      </c>
      <c r="E1569" s="7" t="inlineStr">
        <is>
          <t>Himachal Pradesh Public Works &amp; Technology Department</t>
        </is>
      </c>
      <c r="F1569" s="6" t="inlineStr">
        <is>
          <t>23 Sep 2026</t>
        </is>
      </c>
      <c r="G1569" s="5" t="inlineStr">
        <is>
          <t>21 Oct 2026</t>
        </is>
      </c>
      <c r="H1569" s="18" t="inlineStr">
        <is>
          <t>⚠️ CLOSING SOON</t>
        </is>
      </c>
      <c r="I1569" s="4" t="inlineStr">
        <is>
          <t>Annexure.pdf</t>
        </is>
      </c>
      <c r="J1569" s="6" t="inlineStr">
        <is>
          <t>📕 PDF Document</t>
        </is>
      </c>
      <c r="K1569" s="9" t="n">
        <v>17.9</v>
      </c>
      <c r="L1569" s="10">
        <f>HYPERLINK("http://127.0.0.1:8000/api/documents/download?id=1928&amp;attachment=true", "⬇ Download Annexure.pdf")</f>
        <v/>
      </c>
      <c r="M1569" s="10">
        <f>HYPERLINK("http://localhost:5173/?state=Himachal%20Pradesh&amp;keyword=ICT&amp;tender=2026_HPIPH_145332_1", "🚀 Open in Portal")</f>
        <v/>
      </c>
    </row>
    <row r="1570" ht="24" customHeight="1">
      <c r="A1570" s="11" t="inlineStr">
        <is>
          <t>Himachal Pradesh</t>
        </is>
      </c>
      <c r="B1570" s="12" t="inlineStr">
        <is>
          <t>ICT</t>
        </is>
      </c>
      <c r="C1570" s="13" t="inlineStr">
        <is>
          <t>2026_HPIPH_145332_1</t>
        </is>
      </c>
      <c r="D1570" s="14" t="inlineStr">
        <is>
          <t>[Annual Repair and Operation and Maintenance of Sewerage Treatment Plant Kunihar area in Tehsil Arki District Solan HP SH Deployment of labour_staff for operation running and maintenance of 0.90 MLD capacity STP including sewerage network system to K]</t>
        </is>
      </c>
      <c r="E1570" s="14" t="inlineStr">
        <is>
          <t>Himachal Pradesh Public Works &amp; Technology Department</t>
        </is>
      </c>
      <c r="F1570" s="13" t="inlineStr">
        <is>
          <t>23 Sep 2026</t>
        </is>
      </c>
      <c r="G1570" s="12" t="inlineStr">
        <is>
          <t>21 Oct 2026</t>
        </is>
      </c>
      <c r="H1570" s="18" t="inlineStr">
        <is>
          <t>⚠️ CLOSING SOON</t>
        </is>
      </c>
      <c r="I1570" s="11" t="inlineStr">
        <is>
          <t>BOQ_216390.xls</t>
        </is>
      </c>
      <c r="J1570" s="13" t="inlineStr">
        <is>
          <t>📊 Excel BOQ</t>
        </is>
      </c>
      <c r="K1570" s="15" t="n">
        <v>2.5</v>
      </c>
      <c r="L1570" s="16">
        <f>HYPERLINK("http://127.0.0.1:8000/api/documents/download?id=1929&amp;attachment=true", "⬇ Download BOQ_216390.xls")</f>
        <v/>
      </c>
      <c r="M1570" s="16">
        <f>HYPERLINK("http://localhost:5173/?state=Himachal%20Pradesh&amp;keyword=ICT&amp;tender=2026_HPIPH_145332_1", "🚀 Open in Portal")</f>
        <v/>
      </c>
    </row>
    <row r="1571" ht="24" customHeight="1">
      <c r="A1571" s="4" t="inlineStr">
        <is>
          <t>Himachal Pradesh</t>
        </is>
      </c>
      <c r="B1571" s="5" t="inlineStr">
        <is>
          <t>ICT</t>
        </is>
      </c>
      <c r="C1571" s="6" t="inlineStr">
        <is>
          <t>2026_HPIPH_145332_1</t>
        </is>
      </c>
      <c r="D1571" s="7" t="inlineStr">
        <is>
          <t>[Annual Repair and Operation and Maintenance of Sewerage Treatment Plant Kunihar area in Tehsil Arki District Solan HP SH Deployment of labour_staff for operation running and maintenance of 0.90 MLD capacity STP including sewerage network system to K]</t>
        </is>
      </c>
      <c r="E1571" s="7" t="inlineStr">
        <is>
          <t>Himachal Pradesh Public Works &amp; Technology Department</t>
        </is>
      </c>
      <c r="F1571" s="6" t="inlineStr">
        <is>
          <t>23 Sep 2026</t>
        </is>
      </c>
      <c r="G1571" s="5" t="inlineStr">
        <is>
          <t>21 Oct 2026</t>
        </is>
      </c>
      <c r="H1571" s="18" t="inlineStr">
        <is>
          <t>⚠️ CLOSING SOON</t>
        </is>
      </c>
      <c r="I1571" s="4" t="inlineStr">
        <is>
          <t>TERM_Condition_Kunihar.pdf</t>
        </is>
      </c>
      <c r="J1571" s="6" t="inlineStr">
        <is>
          <t>📕 PDF Document</t>
        </is>
      </c>
      <c r="K1571" s="9" t="n">
        <v>17.9</v>
      </c>
      <c r="L1571" s="10">
        <f>HYPERLINK("http://127.0.0.1:8000/api/documents/download?id=1930&amp;attachment=true", "⬇ Download TERM_Condition_Kunihar.p")</f>
        <v/>
      </c>
      <c r="M1571" s="10">
        <f>HYPERLINK("http://localhost:5173/?state=Himachal%20Pradesh&amp;keyword=ICT&amp;tender=2026_HPIPH_145332_1", "🚀 Open in Portal")</f>
        <v/>
      </c>
    </row>
    <row r="1572" ht="24" customHeight="1">
      <c r="A1572" s="11" t="inlineStr">
        <is>
          <t>Himachal Pradesh</t>
        </is>
      </c>
      <c r="B1572" s="12" t="inlineStr">
        <is>
          <t>ICT</t>
        </is>
      </c>
      <c r="C1572" s="13" t="inlineStr">
        <is>
          <t>2026_HPIPH_145332_1</t>
        </is>
      </c>
      <c r="D1572" s="14" t="inlineStr">
        <is>
          <t>[Annual Repair and Operation and Maintenance of Sewerage Treatment Plant Kunihar area in Tehsil Arki District Solan HP SH Deployment of labour_staff for operation running and maintenance of 0.90 MLD capacity STP including sewerage network system to K]</t>
        </is>
      </c>
      <c r="E1572" s="14" t="inlineStr">
        <is>
          <t>Himachal Pradesh Public Works &amp; Technology Department</t>
        </is>
      </c>
      <c r="F1572" s="13" t="inlineStr">
        <is>
          <t>23 Sep 2026</t>
        </is>
      </c>
      <c r="G1572" s="12" t="inlineStr">
        <is>
          <t>21 Oct 2026</t>
        </is>
      </c>
      <c r="H1572" s="18" t="inlineStr">
        <is>
          <t>⚠️ CLOSING SOON</t>
        </is>
      </c>
      <c r="I1572" s="11" t="inlineStr">
        <is>
          <t>For_6_STP_Kunihar.pdf</t>
        </is>
      </c>
      <c r="J1572" s="13" t="inlineStr">
        <is>
          <t>📕 PDF Document</t>
        </is>
      </c>
      <c r="K1572" s="15" t="n">
        <v>17.9</v>
      </c>
      <c r="L1572" s="16">
        <f>HYPERLINK("http://127.0.0.1:8000/api/documents/download?id=1931&amp;attachment=true", "⬇ Download For_6_STP_Kunihar.pdf")</f>
        <v/>
      </c>
      <c r="M1572" s="16">
        <f>HYPERLINK("http://localhost:5173/?state=Himachal%20Pradesh&amp;keyword=ICT&amp;tender=2026_HPIPH_145332_1", "🚀 Open in Portal")</f>
        <v/>
      </c>
    </row>
    <row r="1573" ht="24" customHeight="1">
      <c r="A1573" s="4" t="inlineStr">
        <is>
          <t>Himachal Pradesh</t>
        </is>
      </c>
      <c r="B1573" s="5" t="inlineStr">
        <is>
          <t>ICT</t>
        </is>
      </c>
      <c r="C1573" s="6" t="inlineStr">
        <is>
          <t>2026_HPIPH_145332_1</t>
        </is>
      </c>
      <c r="D1573" s="7" t="inlineStr">
        <is>
          <t>[Annual Repair and Operation and Maintenance of Sewerage Treatment Plant Kunihar area in Tehsil Arki District Solan HP SH Deployment of labour_staff for operation running and maintenance of 0.90 MLD capacity STP including sewerage network system to K]</t>
        </is>
      </c>
      <c r="E1573" s="7" t="inlineStr">
        <is>
          <t>Himachal Pradesh Public Works &amp; Technology Department</t>
        </is>
      </c>
      <c r="F1573" s="6" t="inlineStr">
        <is>
          <t>23 Sep 2026</t>
        </is>
      </c>
      <c r="G1573" s="5" t="inlineStr">
        <is>
          <t>21 Oct 2026</t>
        </is>
      </c>
      <c r="H1573" s="18" t="inlineStr">
        <is>
          <t>⚠️ CLOSING SOON</t>
        </is>
      </c>
      <c r="I1573" s="4" t="inlineStr">
        <is>
          <t>Form_8_STP_Kunihar.pdf</t>
        </is>
      </c>
      <c r="J1573" s="6" t="inlineStr">
        <is>
          <t>📕 PDF Document</t>
        </is>
      </c>
      <c r="K1573" s="9" t="n">
        <v>17.9</v>
      </c>
      <c r="L1573" s="10">
        <f>HYPERLINK("http://127.0.0.1:8000/api/documents/download?id=1932&amp;attachment=true", "⬇ Download Form_8_STP_Kunihar.pdf")</f>
        <v/>
      </c>
      <c r="M1573" s="10">
        <f>HYPERLINK("http://localhost:5173/?state=Himachal%20Pradesh&amp;keyword=ICT&amp;tender=2026_HPIPH_145332_1", "🚀 Open in Portal")</f>
        <v/>
      </c>
    </row>
    <row r="1574" ht="24" customHeight="1">
      <c r="A1574" s="11" t="inlineStr">
        <is>
          <t>Himachal Pradesh</t>
        </is>
      </c>
      <c r="B1574" s="12" t="inlineStr">
        <is>
          <t>ICT</t>
        </is>
      </c>
      <c r="C1574" s="13" t="inlineStr">
        <is>
          <t>2026_HPIPH_145332_1</t>
        </is>
      </c>
      <c r="D1574" s="14" t="inlineStr">
        <is>
          <t>[Annual Repair and Operation and Maintenance of Sewerage Treatment Plant Kunihar area in Tehsil Arki District Solan HP SH Deployment of labour_staff for operation running and maintenance of 0.90 MLD capacity STP including sewerage network system to K]</t>
        </is>
      </c>
      <c r="E1574" s="14" t="inlineStr">
        <is>
          <t>Himachal Pradesh Public Works &amp; Technology Department</t>
        </is>
      </c>
      <c r="F1574" s="13" t="inlineStr">
        <is>
          <t>23 Sep 2026</t>
        </is>
      </c>
      <c r="G1574" s="12" t="inlineStr">
        <is>
          <t>21 Oct 2026</t>
        </is>
      </c>
      <c r="H1574" s="18" t="inlineStr">
        <is>
          <t>⚠️ CLOSING SOON</t>
        </is>
      </c>
      <c r="I1574" s="11" t="inlineStr">
        <is>
          <t>Tender_2026_HPIPH_145332_1_All_Documents.zip</t>
        </is>
      </c>
      <c r="J1574" s="13" t="inlineStr">
        <is>
          <t>📦 ZIP Package</t>
        </is>
      </c>
      <c r="K1574" s="15" t="n">
        <v>48.7</v>
      </c>
      <c r="L1574" s="16">
        <f>HYPERLINK("http://127.0.0.1:8000/api/documents/download?id=1933&amp;attachment=true", "⬇ Download Tender_2026_HPIPH_145332")</f>
        <v/>
      </c>
      <c r="M1574" s="16">
        <f>HYPERLINK("http://localhost:5173/?state=Himachal%20Pradesh&amp;keyword=ICT&amp;tender=2026_HPIPH_145332_1", "🚀 Open in Portal")</f>
        <v/>
      </c>
    </row>
    <row r="1575" ht="24" customHeight="1">
      <c r="A1575" s="4" t="inlineStr">
        <is>
          <t>Himachal Pradesh</t>
        </is>
      </c>
      <c r="B1575" s="5" t="inlineStr">
        <is>
          <t>ICT</t>
        </is>
      </c>
      <c r="C1575" s="6" t="inlineStr">
        <is>
          <t>2026_HPIPH_145337_1</t>
        </is>
      </c>
      <c r="D1575" s="7" t="inlineStr">
        <is>
          <t>[ AR MO of LWSS Tansal Karsal in Tehsil Lad Bharol District Mandi H.P SH Rewinding of 250 HP Motors new Ball Bearing make SKF High Temp Grease Set No.2.]</t>
        </is>
      </c>
      <c r="E1575" s="7" t="inlineStr">
        <is>
          <t>Himachal Pradesh Public Works &amp; Technology Department</t>
        </is>
      </c>
      <c r="F1575" s="6" t="inlineStr">
        <is>
          <t>26 Sep 2026</t>
        </is>
      </c>
      <c r="G1575" s="5" t="inlineStr">
        <is>
          <t>08 Nov 2026</t>
        </is>
      </c>
      <c r="H1575" s="17" t="inlineStr">
        <is>
          <t>🟢 LIVE ACTIVE</t>
        </is>
      </c>
      <c r="I1575" s="4" t="inlineStr">
        <is>
          <t>Tendernotice_1.pdf</t>
        </is>
      </c>
      <c r="J1575" s="6" t="inlineStr">
        <is>
          <t>📕 PDF Document</t>
        </is>
      </c>
      <c r="K1575" s="9" t="n">
        <v>17.9</v>
      </c>
      <c r="L1575" s="10">
        <f>HYPERLINK("http://127.0.0.1:8000/api/documents/download?id=1970&amp;attachment=true", "⬇ Download Tendernotice_1.pdf")</f>
        <v/>
      </c>
      <c r="M1575" s="10">
        <f>HYPERLINK("http://localhost:5173/?state=Himachal%20Pradesh&amp;keyword=ICT&amp;tender=2026_HPIPH_145337_1", "🚀 Open in Portal")</f>
        <v/>
      </c>
    </row>
    <row r="1576" ht="24" customHeight="1">
      <c r="A1576" s="11" t="inlineStr">
        <is>
          <t>Himachal Pradesh</t>
        </is>
      </c>
      <c r="B1576" s="12" t="inlineStr">
        <is>
          <t>ICT</t>
        </is>
      </c>
      <c r="C1576" s="13" t="inlineStr">
        <is>
          <t>2026_HPIPH_145337_1</t>
        </is>
      </c>
      <c r="D1576" s="14" t="inlineStr">
        <is>
          <t>[ AR MO of LWSS Tansal Karsal in Tehsil Lad Bharol District Mandi H.P SH Rewinding of 250 HP Motors new Ball Bearing make SKF High Temp Grease Set No.2.]</t>
        </is>
      </c>
      <c r="E1576" s="14" t="inlineStr">
        <is>
          <t>Himachal Pradesh Public Works &amp; Technology Department</t>
        </is>
      </c>
      <c r="F1576" s="13" t="inlineStr">
        <is>
          <t>26 Sep 2026</t>
        </is>
      </c>
      <c r="G1576" s="12" t="inlineStr">
        <is>
          <t>08 Nov 2026</t>
        </is>
      </c>
      <c r="H1576" s="17" t="inlineStr">
        <is>
          <t>🟢 LIVE ACTIVE</t>
        </is>
      </c>
      <c r="I1576" s="11" t="inlineStr">
        <is>
          <t>02Form6.pdf</t>
        </is>
      </c>
      <c r="J1576" s="13" t="inlineStr">
        <is>
          <t>📕 PDF Document</t>
        </is>
      </c>
      <c r="K1576" s="15" t="n">
        <v>17.9</v>
      </c>
      <c r="L1576" s="16">
        <f>HYPERLINK("http://127.0.0.1:8000/api/documents/download?id=1971&amp;attachment=true", "⬇ Download 02Form6.pdf")</f>
        <v/>
      </c>
      <c r="M1576" s="16">
        <f>HYPERLINK("http://localhost:5173/?state=Himachal%20Pradesh&amp;keyword=ICT&amp;tender=2026_HPIPH_145337_1", "🚀 Open in Portal")</f>
        <v/>
      </c>
    </row>
    <row r="1577" ht="24" customHeight="1">
      <c r="A1577" s="4" t="inlineStr">
        <is>
          <t>Himachal Pradesh</t>
        </is>
      </c>
      <c r="B1577" s="5" t="inlineStr">
        <is>
          <t>ICT</t>
        </is>
      </c>
      <c r="C1577" s="6" t="inlineStr">
        <is>
          <t>2026_HPIPH_145337_1</t>
        </is>
      </c>
      <c r="D1577" s="7" t="inlineStr">
        <is>
          <t>[ AR MO of LWSS Tansal Karsal in Tehsil Lad Bharol District Mandi H.P SH Rewinding of 250 HP Motors new Ball Bearing make SKF High Temp Grease Set No.2.]</t>
        </is>
      </c>
      <c r="E1577" s="7" t="inlineStr">
        <is>
          <t>Himachal Pradesh Public Works &amp; Technology Department</t>
        </is>
      </c>
      <c r="F1577" s="6" t="inlineStr">
        <is>
          <t>26 Sep 2026</t>
        </is>
      </c>
      <c r="G1577" s="5" t="inlineStr">
        <is>
          <t>08 Nov 2026</t>
        </is>
      </c>
      <c r="H1577" s="17" t="inlineStr">
        <is>
          <t>🟢 LIVE ACTIVE</t>
        </is>
      </c>
      <c r="I1577" s="4" t="inlineStr">
        <is>
          <t>03Form8.pdf</t>
        </is>
      </c>
      <c r="J1577" s="6" t="inlineStr">
        <is>
          <t>📕 PDF Document</t>
        </is>
      </c>
      <c r="K1577" s="9" t="n">
        <v>17.9</v>
      </c>
      <c r="L1577" s="10">
        <f>HYPERLINK("http://127.0.0.1:8000/api/documents/download?id=1972&amp;attachment=true", "⬇ Download 03Form8.pdf")</f>
        <v/>
      </c>
      <c r="M1577" s="10">
        <f>HYPERLINK("http://localhost:5173/?state=Himachal%20Pradesh&amp;keyword=ICT&amp;tender=2026_HPIPH_145337_1", "🚀 Open in Portal")</f>
        <v/>
      </c>
    </row>
    <row r="1578" ht="24" customHeight="1">
      <c r="A1578" s="11" t="inlineStr">
        <is>
          <t>Himachal Pradesh</t>
        </is>
      </c>
      <c r="B1578" s="12" t="inlineStr">
        <is>
          <t>ICT</t>
        </is>
      </c>
      <c r="C1578" s="13" t="inlineStr">
        <is>
          <t>2026_HPIPH_145337_1</t>
        </is>
      </c>
      <c r="D1578" s="14" t="inlineStr">
        <is>
          <t>[ AR MO of LWSS Tansal Karsal in Tehsil Lad Bharol District Mandi H.P SH Rewinding of 250 HP Motors new Ball Bearing make SKF High Temp Grease Set No.2.]</t>
        </is>
      </c>
      <c r="E1578" s="14" t="inlineStr">
        <is>
          <t>Himachal Pradesh Public Works &amp; Technology Department</t>
        </is>
      </c>
      <c r="F1578" s="13" t="inlineStr">
        <is>
          <t>26 Sep 2026</t>
        </is>
      </c>
      <c r="G1578" s="12" t="inlineStr">
        <is>
          <t>08 Nov 2026</t>
        </is>
      </c>
      <c r="H1578" s="17" t="inlineStr">
        <is>
          <t>🟢 LIVE ACTIVE</t>
        </is>
      </c>
      <c r="I1578" s="11" t="inlineStr">
        <is>
          <t>BOQ_216405.xls</t>
        </is>
      </c>
      <c r="J1578" s="13" t="inlineStr">
        <is>
          <t>📊 Excel BOQ</t>
        </is>
      </c>
      <c r="K1578" s="15" t="n">
        <v>2.5</v>
      </c>
      <c r="L1578" s="16">
        <f>HYPERLINK("http://127.0.0.1:8000/api/documents/download?id=1973&amp;attachment=true", "⬇ Download BOQ_216405.xls")</f>
        <v/>
      </c>
      <c r="M1578" s="16">
        <f>HYPERLINK("http://localhost:5173/?state=Himachal%20Pradesh&amp;keyword=ICT&amp;tender=2026_HPIPH_145337_1", "🚀 Open in Portal")</f>
        <v/>
      </c>
    </row>
    <row r="1579" ht="24" customHeight="1">
      <c r="A1579" s="4" t="inlineStr">
        <is>
          <t>Himachal Pradesh</t>
        </is>
      </c>
      <c r="B1579" s="5" t="inlineStr">
        <is>
          <t>ICT</t>
        </is>
      </c>
      <c r="C1579" s="6" t="inlineStr">
        <is>
          <t>2026_HPIPH_145337_1</t>
        </is>
      </c>
      <c r="D1579" s="7" t="inlineStr">
        <is>
          <t>[ AR MO of LWSS Tansal Karsal in Tehsil Lad Bharol District Mandi H.P SH Rewinding of 250 HP Motors new Ball Bearing make SKF High Temp Grease Set No.2.]</t>
        </is>
      </c>
      <c r="E1579" s="7" t="inlineStr">
        <is>
          <t>Himachal Pradesh Public Works &amp; Technology Department</t>
        </is>
      </c>
      <c r="F1579" s="6" t="inlineStr">
        <is>
          <t>26 Sep 2026</t>
        </is>
      </c>
      <c r="G1579" s="5" t="inlineStr">
        <is>
          <t>08 Nov 2026</t>
        </is>
      </c>
      <c r="H1579" s="17" t="inlineStr">
        <is>
          <t>🟢 LIVE ACTIVE</t>
        </is>
      </c>
      <c r="I1579" s="4" t="inlineStr">
        <is>
          <t>TermandCondition.pdf</t>
        </is>
      </c>
      <c r="J1579" s="6" t="inlineStr">
        <is>
          <t>📕 PDF Document</t>
        </is>
      </c>
      <c r="K1579" s="9" t="n">
        <v>17.9</v>
      </c>
      <c r="L1579" s="10">
        <f>HYPERLINK("http://127.0.0.1:8000/api/documents/download?id=1974&amp;attachment=true", "⬇ Download TermandCondition.pdf")</f>
        <v/>
      </c>
      <c r="M1579" s="10">
        <f>HYPERLINK("http://localhost:5173/?state=Himachal%20Pradesh&amp;keyword=ICT&amp;tender=2026_HPIPH_145337_1", "🚀 Open in Portal")</f>
        <v/>
      </c>
    </row>
    <row r="1580" ht="24" customHeight="1">
      <c r="A1580" s="11" t="inlineStr">
        <is>
          <t>Himachal Pradesh</t>
        </is>
      </c>
      <c r="B1580" s="12" t="inlineStr">
        <is>
          <t>ICT</t>
        </is>
      </c>
      <c r="C1580" s="13" t="inlineStr">
        <is>
          <t>2026_HPIPH_145337_1</t>
        </is>
      </c>
      <c r="D1580" s="14" t="inlineStr">
        <is>
          <t>[ AR MO of LWSS Tansal Karsal in Tehsil Lad Bharol District Mandi H.P SH Rewinding of 250 HP Motors new Ball Bearing make SKF High Temp Grease Set No.2.]</t>
        </is>
      </c>
      <c r="E1580" s="14" t="inlineStr">
        <is>
          <t>Himachal Pradesh Public Works &amp; Technology Department</t>
        </is>
      </c>
      <c r="F1580" s="13" t="inlineStr">
        <is>
          <t>26 Sep 2026</t>
        </is>
      </c>
      <c r="G1580" s="12" t="inlineStr">
        <is>
          <t>08 Nov 2026</t>
        </is>
      </c>
      <c r="H1580" s="17" t="inlineStr">
        <is>
          <t>🟢 LIVE ACTIVE</t>
        </is>
      </c>
      <c r="I1580" s="11" t="inlineStr">
        <is>
          <t>Tender_2026_HPIPH_145337_1_All_Documents.zip</t>
        </is>
      </c>
      <c r="J1580" s="13" t="inlineStr">
        <is>
          <t>📦 ZIP Package</t>
        </is>
      </c>
      <c r="K1580" s="15" t="n">
        <v>39.4</v>
      </c>
      <c r="L1580" s="16">
        <f>HYPERLINK("http://127.0.0.1:8000/api/documents/download?id=1975&amp;attachment=true", "⬇ Download Tender_2026_HPIPH_145337")</f>
        <v/>
      </c>
      <c r="M1580" s="16">
        <f>HYPERLINK("http://localhost:5173/?state=Himachal%20Pradesh&amp;keyword=ICT&amp;tender=2026_HPIPH_145337_1", "🚀 Open in Portal")</f>
        <v/>
      </c>
    </row>
    <row r="1581" ht="24" customHeight="1">
      <c r="A1581" s="4" t="inlineStr">
        <is>
          <t>Himachal Pradesh</t>
        </is>
      </c>
      <c r="B1581" s="5" t="inlineStr">
        <is>
          <t>ICT</t>
        </is>
      </c>
      <c r="C1581" s="6" t="inlineStr">
        <is>
          <t>2026_HPIPH_145347_1</t>
        </is>
      </c>
      <c r="D1581" s="7" t="inlineStr">
        <is>
          <t>[Restoration of rain damages of LWSS Gagal, Simas, Kalehroo, Bhager in Tehsil Joginder Nagar District Mandi H.P SH Rewinding of 300 HP motors, new Ball bearing make SKF High Temp Greace Set No.1 ]</t>
        </is>
      </c>
      <c r="E1581" s="7" t="inlineStr">
        <is>
          <t>Himachal Pradesh Public Works &amp; Technology Department</t>
        </is>
      </c>
      <c r="F1581" s="6" t="inlineStr">
        <is>
          <t>12 Oct 2026</t>
        </is>
      </c>
      <c r="G1581" s="5" t="inlineStr">
        <is>
          <t>16 Nov 2026</t>
        </is>
      </c>
      <c r="H1581" s="17" t="inlineStr">
        <is>
          <t>🟢 LIVE ACTIVE</t>
        </is>
      </c>
      <c r="I1581" s="4" t="inlineStr">
        <is>
          <t>Tendernotice_1.pdf</t>
        </is>
      </c>
      <c r="J1581" s="6" t="inlineStr">
        <is>
          <t>📕 PDF Document</t>
        </is>
      </c>
      <c r="K1581" s="9" t="n">
        <v>17.9</v>
      </c>
      <c r="L1581" s="10">
        <f>HYPERLINK("http://127.0.0.1:8000/api/documents/download?id=1976&amp;attachment=true", "⬇ Download Tendernotice_1.pdf")</f>
        <v/>
      </c>
      <c r="M1581" s="10">
        <f>HYPERLINK("http://localhost:5173/?state=Himachal%20Pradesh&amp;keyword=ICT&amp;tender=2026_HPIPH_145347_1", "🚀 Open in Portal")</f>
        <v/>
      </c>
    </row>
    <row r="1582" ht="24" customHeight="1">
      <c r="A1582" s="11" t="inlineStr">
        <is>
          <t>Himachal Pradesh</t>
        </is>
      </c>
      <c r="B1582" s="12" t="inlineStr">
        <is>
          <t>ICT</t>
        </is>
      </c>
      <c r="C1582" s="13" t="inlineStr">
        <is>
          <t>2026_HPIPH_145347_1</t>
        </is>
      </c>
      <c r="D1582" s="14" t="inlineStr">
        <is>
          <t>[Restoration of rain damages of LWSS Gagal, Simas, Kalehroo, Bhager in Tehsil Joginder Nagar District Mandi H.P SH Rewinding of 300 HP motors, new Ball bearing make SKF High Temp Greace Set No.1 ]</t>
        </is>
      </c>
      <c r="E1582" s="14" t="inlineStr">
        <is>
          <t>Himachal Pradesh Public Works &amp; Technology Department</t>
        </is>
      </c>
      <c r="F1582" s="13" t="inlineStr">
        <is>
          <t>12 Oct 2026</t>
        </is>
      </c>
      <c r="G1582" s="12" t="inlineStr">
        <is>
          <t>16 Nov 2026</t>
        </is>
      </c>
      <c r="H1582" s="17" t="inlineStr">
        <is>
          <t>🟢 LIVE ACTIVE</t>
        </is>
      </c>
      <c r="I1582" s="11" t="inlineStr">
        <is>
          <t>02Form6.pdf</t>
        </is>
      </c>
      <c r="J1582" s="13" t="inlineStr">
        <is>
          <t>📕 PDF Document</t>
        </is>
      </c>
      <c r="K1582" s="15" t="n">
        <v>17.9</v>
      </c>
      <c r="L1582" s="16">
        <f>HYPERLINK("http://127.0.0.1:8000/api/documents/download?id=1977&amp;attachment=true", "⬇ Download 02Form6.pdf")</f>
        <v/>
      </c>
      <c r="M1582" s="16">
        <f>HYPERLINK("http://localhost:5173/?state=Himachal%20Pradesh&amp;keyword=ICT&amp;tender=2026_HPIPH_145347_1", "🚀 Open in Portal")</f>
        <v/>
      </c>
    </row>
    <row r="1583" ht="24" customHeight="1">
      <c r="A1583" s="4" t="inlineStr">
        <is>
          <t>Himachal Pradesh</t>
        </is>
      </c>
      <c r="B1583" s="5" t="inlineStr">
        <is>
          <t>ICT</t>
        </is>
      </c>
      <c r="C1583" s="6" t="inlineStr">
        <is>
          <t>2026_HPIPH_145347_1</t>
        </is>
      </c>
      <c r="D1583" s="7" t="inlineStr">
        <is>
          <t>[Restoration of rain damages of LWSS Gagal, Simas, Kalehroo, Bhager in Tehsil Joginder Nagar District Mandi H.P SH Rewinding of 300 HP motors, new Ball bearing make SKF High Temp Greace Set No.1 ]</t>
        </is>
      </c>
      <c r="E1583" s="7" t="inlineStr">
        <is>
          <t>Himachal Pradesh Public Works &amp; Technology Department</t>
        </is>
      </c>
      <c r="F1583" s="6" t="inlineStr">
        <is>
          <t>12 Oct 2026</t>
        </is>
      </c>
      <c r="G1583" s="5" t="inlineStr">
        <is>
          <t>16 Nov 2026</t>
        </is>
      </c>
      <c r="H1583" s="17" t="inlineStr">
        <is>
          <t>🟢 LIVE ACTIVE</t>
        </is>
      </c>
      <c r="I1583" s="4" t="inlineStr">
        <is>
          <t>03Form8.pdf</t>
        </is>
      </c>
      <c r="J1583" s="6" t="inlineStr">
        <is>
          <t>📕 PDF Document</t>
        </is>
      </c>
      <c r="K1583" s="9" t="n">
        <v>17.9</v>
      </c>
      <c r="L1583" s="10">
        <f>HYPERLINK("http://127.0.0.1:8000/api/documents/download?id=1978&amp;attachment=true", "⬇ Download 03Form8.pdf")</f>
        <v/>
      </c>
      <c r="M1583" s="10">
        <f>HYPERLINK("http://localhost:5173/?state=Himachal%20Pradesh&amp;keyword=ICT&amp;tender=2026_HPIPH_145347_1", "🚀 Open in Portal")</f>
        <v/>
      </c>
    </row>
    <row r="1584" ht="24" customHeight="1">
      <c r="A1584" s="11" t="inlineStr">
        <is>
          <t>Himachal Pradesh</t>
        </is>
      </c>
      <c r="B1584" s="12" t="inlineStr">
        <is>
          <t>ICT</t>
        </is>
      </c>
      <c r="C1584" s="13" t="inlineStr">
        <is>
          <t>2026_HPIPH_145347_1</t>
        </is>
      </c>
      <c r="D1584" s="14" t="inlineStr">
        <is>
          <t>[Restoration of rain damages of LWSS Gagal, Simas, Kalehroo, Bhager in Tehsil Joginder Nagar District Mandi H.P SH Rewinding of 300 HP motors, new Ball bearing make SKF High Temp Greace Set No.1 ]</t>
        </is>
      </c>
      <c r="E1584" s="14" t="inlineStr">
        <is>
          <t>Himachal Pradesh Public Works &amp; Technology Department</t>
        </is>
      </c>
      <c r="F1584" s="13" t="inlineStr">
        <is>
          <t>12 Oct 2026</t>
        </is>
      </c>
      <c r="G1584" s="12" t="inlineStr">
        <is>
          <t>16 Nov 2026</t>
        </is>
      </c>
      <c r="H1584" s="17" t="inlineStr">
        <is>
          <t>🟢 LIVE ACTIVE</t>
        </is>
      </c>
      <c r="I1584" s="11" t="inlineStr">
        <is>
          <t>TermandCondition.pdf</t>
        </is>
      </c>
      <c r="J1584" s="13" t="inlineStr">
        <is>
          <t>📕 PDF Document</t>
        </is>
      </c>
      <c r="K1584" s="15" t="n">
        <v>17.9</v>
      </c>
      <c r="L1584" s="16">
        <f>HYPERLINK("http://127.0.0.1:8000/api/documents/download?id=1979&amp;attachment=true", "⬇ Download TermandCondition.pdf")</f>
        <v/>
      </c>
      <c r="M1584" s="16">
        <f>HYPERLINK("http://localhost:5173/?state=Himachal%20Pradesh&amp;keyword=ICT&amp;tender=2026_HPIPH_145347_1", "🚀 Open in Portal")</f>
        <v/>
      </c>
    </row>
    <row r="1585" ht="24" customHeight="1">
      <c r="A1585" s="4" t="inlineStr">
        <is>
          <t>Himachal Pradesh</t>
        </is>
      </c>
      <c r="B1585" s="5" t="inlineStr">
        <is>
          <t>ICT</t>
        </is>
      </c>
      <c r="C1585" s="6" t="inlineStr">
        <is>
          <t>2026_HPIPH_145347_1</t>
        </is>
      </c>
      <c r="D1585" s="7" t="inlineStr">
        <is>
          <t>[Restoration of rain damages of LWSS Gagal, Simas, Kalehroo, Bhager in Tehsil Joginder Nagar District Mandi H.P SH Rewinding of 300 HP motors, new Ball bearing make SKF High Temp Greace Set No.1 ]</t>
        </is>
      </c>
      <c r="E1585" s="7" t="inlineStr">
        <is>
          <t>Himachal Pradesh Public Works &amp; Technology Department</t>
        </is>
      </c>
      <c r="F1585" s="6" t="inlineStr">
        <is>
          <t>12 Oct 2026</t>
        </is>
      </c>
      <c r="G1585" s="5" t="inlineStr">
        <is>
          <t>16 Nov 2026</t>
        </is>
      </c>
      <c r="H1585" s="17" t="inlineStr">
        <is>
          <t>🟢 LIVE ACTIVE</t>
        </is>
      </c>
      <c r="I1585" s="4" t="inlineStr">
        <is>
          <t>BOQ_216418.xls</t>
        </is>
      </c>
      <c r="J1585" s="6" t="inlineStr">
        <is>
          <t>📊 Excel BOQ</t>
        </is>
      </c>
      <c r="K1585" s="9" t="n">
        <v>2.5</v>
      </c>
      <c r="L1585" s="10">
        <f>HYPERLINK("http://127.0.0.1:8000/api/documents/download?id=1980&amp;attachment=true", "⬇ Download BOQ_216418.xls")</f>
        <v/>
      </c>
      <c r="M1585" s="10">
        <f>HYPERLINK("http://localhost:5173/?state=Himachal%20Pradesh&amp;keyword=ICT&amp;tender=2026_HPIPH_145347_1", "🚀 Open in Portal")</f>
        <v/>
      </c>
    </row>
    <row r="1586" ht="24" customHeight="1">
      <c r="A1586" s="11" t="inlineStr">
        <is>
          <t>Himachal Pradesh</t>
        </is>
      </c>
      <c r="B1586" s="12" t="inlineStr">
        <is>
          <t>ICT</t>
        </is>
      </c>
      <c r="C1586" s="13" t="inlineStr">
        <is>
          <t>2026_HPIPH_145347_1</t>
        </is>
      </c>
      <c r="D1586" s="14" t="inlineStr">
        <is>
          <t>[Restoration of rain damages of LWSS Gagal, Simas, Kalehroo, Bhager in Tehsil Joginder Nagar District Mandi H.P SH Rewinding of 300 HP motors, new Ball bearing make SKF High Temp Greace Set No.1 ]</t>
        </is>
      </c>
      <c r="E1586" s="14" t="inlineStr">
        <is>
          <t>Himachal Pradesh Public Works &amp; Technology Department</t>
        </is>
      </c>
      <c r="F1586" s="13" t="inlineStr">
        <is>
          <t>12 Oct 2026</t>
        </is>
      </c>
      <c r="G1586" s="12" t="inlineStr">
        <is>
          <t>16 Nov 2026</t>
        </is>
      </c>
      <c r="H1586" s="17" t="inlineStr">
        <is>
          <t>🟢 LIVE ACTIVE</t>
        </is>
      </c>
      <c r="I1586" s="11" t="inlineStr">
        <is>
          <t>Tender_2026_HPIPH_145347_1_All_Documents.zip</t>
        </is>
      </c>
      <c r="J1586" s="13" t="inlineStr">
        <is>
          <t>📦 ZIP Package</t>
        </is>
      </c>
      <c r="K1586" s="15" t="n">
        <v>39.4</v>
      </c>
      <c r="L1586" s="16">
        <f>HYPERLINK("http://127.0.0.1:8000/api/documents/download?id=1981&amp;attachment=true", "⬇ Download Tender_2026_HPIPH_145347")</f>
        <v/>
      </c>
      <c r="M1586" s="16">
        <f>HYPERLINK("http://localhost:5173/?state=Himachal%20Pradesh&amp;keyword=ICT&amp;tender=2026_HPIPH_145347_1", "🚀 Open in Portal")</f>
        <v/>
      </c>
    </row>
    <row r="1587" ht="24" customHeight="1">
      <c r="A1587" s="4" t="inlineStr">
        <is>
          <t>Himachal Pradesh</t>
        </is>
      </c>
      <c r="B1587" s="5" t="inlineStr">
        <is>
          <t>ICT</t>
        </is>
      </c>
      <c r="C1587" s="6" t="inlineStr">
        <is>
          <t>2026_PWD_145220_1</t>
        </is>
      </c>
      <c r="D1587" s="7" t="inlineStr">
        <is>
          <t>[Construction of additional accomodation for girls hostel for Govt. Sr. Sec. School at Kaza in District Lahaul and Spiti. SH Providing E.I. solar inverter and solar water geyser and fire extinguisher therein.]</t>
        </is>
      </c>
      <c r="E1587" s="7" t="inlineStr">
        <is>
          <t>Himachal Pradesh Public Works &amp; Technology Department</t>
        </is>
      </c>
      <c r="F1587" s="6" t="inlineStr">
        <is>
          <t>10 Sep 2026</t>
        </is>
      </c>
      <c r="G1587" s="5" t="inlineStr">
        <is>
          <t>01 Oct 2026</t>
        </is>
      </c>
      <c r="H1587" s="8" t="inlineStr">
        <is>
          <t>⏳ UPCOMING</t>
        </is>
      </c>
      <c r="I1587" s="4" t="inlineStr">
        <is>
          <t>Tendernotice_1.pdf</t>
        </is>
      </c>
      <c r="J1587" s="6" t="inlineStr">
        <is>
          <t>📕 PDF Document</t>
        </is>
      </c>
      <c r="K1587" s="9" t="n">
        <v>17.9</v>
      </c>
      <c r="L1587" s="10">
        <f>HYPERLINK("http://127.0.0.1:8000/api/documents/download?id=1966&amp;attachment=true", "⬇ Download Tendernotice_1.pdf")</f>
        <v/>
      </c>
      <c r="M1587" s="10">
        <f>HYPERLINK("http://localhost:5173/?state=Himachal%20Pradesh&amp;keyword=ICT&amp;tender=2026_PWD_145220_1", "🚀 Open in Portal")</f>
        <v/>
      </c>
    </row>
    <row r="1588" ht="24" customHeight="1">
      <c r="A1588" s="11" t="inlineStr">
        <is>
          <t>Himachal Pradesh</t>
        </is>
      </c>
      <c r="B1588" s="12" t="inlineStr">
        <is>
          <t>ICT</t>
        </is>
      </c>
      <c r="C1588" s="13" t="inlineStr">
        <is>
          <t>2026_PWD_145220_1</t>
        </is>
      </c>
      <c r="D1588" s="14" t="inlineStr">
        <is>
          <t>[Construction of additional accomodation for girls hostel for Govt. Sr. Sec. School at Kaza in District Lahaul and Spiti. SH Providing E.I. solar inverter and solar water geyser and fire extinguisher therein.]</t>
        </is>
      </c>
      <c r="E1588" s="14" t="inlineStr">
        <is>
          <t>Himachal Pradesh Public Works &amp; Technology Department</t>
        </is>
      </c>
      <c r="F1588" s="13" t="inlineStr">
        <is>
          <t>10 Sep 2026</t>
        </is>
      </c>
      <c r="G1588" s="12" t="inlineStr">
        <is>
          <t>01 Oct 2026</t>
        </is>
      </c>
      <c r="H1588" s="8" t="inlineStr">
        <is>
          <t>⏳ UPCOMING</t>
        </is>
      </c>
      <c r="I1588" s="11" t="inlineStr">
        <is>
          <t>GCC.pdf</t>
        </is>
      </c>
      <c r="J1588" s="13" t="inlineStr">
        <is>
          <t>📕 PDF Document</t>
        </is>
      </c>
      <c r="K1588" s="15" t="n">
        <v>17.8</v>
      </c>
      <c r="L1588" s="16">
        <f>HYPERLINK("http://127.0.0.1:8000/api/documents/download?id=1967&amp;attachment=true", "⬇ Download GCC.pdf")</f>
        <v/>
      </c>
      <c r="M1588" s="16">
        <f>HYPERLINK("http://localhost:5173/?state=Himachal%20Pradesh&amp;keyword=ICT&amp;tender=2026_PWD_145220_1", "🚀 Open in Portal")</f>
        <v/>
      </c>
    </row>
    <row r="1589" ht="24" customHeight="1">
      <c r="A1589" s="4" t="inlineStr">
        <is>
          <t>Himachal Pradesh</t>
        </is>
      </c>
      <c r="B1589" s="5" t="inlineStr">
        <is>
          <t>ICT</t>
        </is>
      </c>
      <c r="C1589" s="6" t="inlineStr">
        <is>
          <t>2026_PWD_145220_1</t>
        </is>
      </c>
      <c r="D1589" s="7" t="inlineStr">
        <is>
          <t>[Construction of additional accomodation for girls hostel for Govt. Sr. Sec. School at Kaza in District Lahaul and Spiti. SH Providing E.I. solar inverter and solar water geyser and fire extinguisher therein.]</t>
        </is>
      </c>
      <c r="E1589" s="7" t="inlineStr">
        <is>
          <t>Himachal Pradesh Public Works &amp; Technology Department</t>
        </is>
      </c>
      <c r="F1589" s="6" t="inlineStr">
        <is>
          <t>10 Sep 2026</t>
        </is>
      </c>
      <c r="G1589" s="5" t="inlineStr">
        <is>
          <t>01 Oct 2026</t>
        </is>
      </c>
      <c r="H1589" s="8" t="inlineStr">
        <is>
          <t>⏳ UPCOMING</t>
        </is>
      </c>
      <c r="I1589" s="4" t="inlineStr">
        <is>
          <t>BOQ_216222.xls</t>
        </is>
      </c>
      <c r="J1589" s="6" t="inlineStr">
        <is>
          <t>📊 Excel BOQ</t>
        </is>
      </c>
      <c r="K1589" s="9" t="n">
        <v>2.5</v>
      </c>
      <c r="L1589" s="10">
        <f>HYPERLINK("http://127.0.0.1:8000/api/documents/download?id=1968&amp;attachment=true", "⬇ Download BOQ_216222.xls")</f>
        <v/>
      </c>
      <c r="M1589" s="10">
        <f>HYPERLINK("http://localhost:5173/?state=Himachal%20Pradesh&amp;keyword=ICT&amp;tender=2026_PWD_145220_1", "🚀 Open in Portal")</f>
        <v/>
      </c>
    </row>
    <row r="1590" ht="24" customHeight="1">
      <c r="A1590" s="11" t="inlineStr">
        <is>
          <t>Himachal Pradesh</t>
        </is>
      </c>
      <c r="B1590" s="12" t="inlineStr">
        <is>
          <t>ICT</t>
        </is>
      </c>
      <c r="C1590" s="13" t="inlineStr">
        <is>
          <t>2026_PWD_145220_1</t>
        </is>
      </c>
      <c r="D1590" s="14" t="inlineStr">
        <is>
          <t>[Construction of additional accomodation for girls hostel for Govt. Sr. Sec. School at Kaza in District Lahaul and Spiti. SH Providing E.I. solar inverter and solar water geyser and fire extinguisher therein.]</t>
        </is>
      </c>
      <c r="E1590" s="14" t="inlineStr">
        <is>
          <t>Himachal Pradesh Public Works &amp; Technology Department</t>
        </is>
      </c>
      <c r="F1590" s="13" t="inlineStr">
        <is>
          <t>10 Sep 2026</t>
        </is>
      </c>
      <c r="G1590" s="12" t="inlineStr">
        <is>
          <t>01 Oct 2026</t>
        </is>
      </c>
      <c r="H1590" s="8" t="inlineStr">
        <is>
          <t>⏳ UPCOMING</t>
        </is>
      </c>
      <c r="I1590" s="11" t="inlineStr">
        <is>
          <t>Tender_2026_PWD_145220_1_All_Documents.zip</t>
        </is>
      </c>
      <c r="J1590" s="13" t="inlineStr">
        <is>
          <t>📦 ZIP Package</t>
        </is>
      </c>
      <c r="K1590" s="15" t="n">
        <v>20.8</v>
      </c>
      <c r="L1590" s="16">
        <f>HYPERLINK("http://127.0.0.1:8000/api/documents/download?id=1969&amp;attachment=true", "⬇ Download Tender_2026_PWD_145220_1")</f>
        <v/>
      </c>
      <c r="M1590" s="16">
        <f>HYPERLINK("http://localhost:5173/?state=Himachal%20Pradesh&amp;keyword=ICT&amp;tender=2026_PWD_145220_1", "🚀 Open in Portal")</f>
        <v/>
      </c>
    </row>
    <row r="1591" ht="24" customHeight="1">
      <c r="A1591" s="4" t="inlineStr">
        <is>
          <t>Himachal Pradesh</t>
        </is>
      </c>
      <c r="B1591" s="5" t="inlineStr">
        <is>
          <t>ICT</t>
        </is>
      </c>
      <c r="C1591" s="6" t="inlineStr">
        <is>
          <t>2026_PWD_145246_5</t>
        </is>
      </c>
      <c r="D1591" s="7" t="inlineStr">
        <is>
          <t>[Construction of Balance Work for ITI building at Sansarpur Terrace Tehsil Jaswan Kotla District Kangra (HP). (Sub Head Construction of Building portion, including water supply Sanitary installation and Rain Harvesting Tank, Septic Tank for 200 Users]</t>
        </is>
      </c>
      <c r="E1591" s="7" t="inlineStr">
        <is>
          <t>Himachal Pradesh Public Works &amp; Technology Department</t>
        </is>
      </c>
      <c r="F1591" s="6" t="inlineStr">
        <is>
          <t>14 Aug 2026</t>
        </is>
      </c>
      <c r="G1591" s="5" t="inlineStr">
        <is>
          <t>06 Sep 2026</t>
        </is>
      </c>
      <c r="H1591" s="8" t="inlineStr">
        <is>
          <t>⏳ UPCOMING</t>
        </is>
      </c>
      <c r="I1591" s="4" t="inlineStr">
        <is>
          <t>Tendernotice_1.pdf</t>
        </is>
      </c>
      <c r="J1591" s="6" t="inlineStr">
        <is>
          <t>📕 PDF Document</t>
        </is>
      </c>
      <c r="K1591" s="9" t="n">
        <v>17.9</v>
      </c>
      <c r="L1591" s="10">
        <f>HYPERLINK("http://127.0.0.1:8000/api/documents/download?id=1992&amp;attachment=true", "⬇ Download Tendernotice_1.pdf")</f>
        <v/>
      </c>
      <c r="M1591" s="10">
        <f>HYPERLINK("http://localhost:5173/?state=Himachal%20Pradesh&amp;keyword=ICT&amp;tender=2026_PWD_145246_5", "🚀 Open in Portal")</f>
        <v/>
      </c>
    </row>
    <row r="1592" ht="24" customHeight="1">
      <c r="A1592" s="11" t="inlineStr">
        <is>
          <t>Himachal Pradesh</t>
        </is>
      </c>
      <c r="B1592" s="12" t="inlineStr">
        <is>
          <t>ICT</t>
        </is>
      </c>
      <c r="C1592" s="13" t="inlineStr">
        <is>
          <t>2026_PWD_145246_5</t>
        </is>
      </c>
      <c r="D1592" s="14" t="inlineStr">
        <is>
          <t>[Construction of Balance Work for ITI building at Sansarpur Terrace Tehsil Jaswan Kotla District Kangra (HP). (Sub Head Construction of Building portion, including water supply Sanitary installation and Rain Harvesting Tank, Septic Tank for 200 Users]</t>
        </is>
      </c>
      <c r="E1592" s="14" t="inlineStr">
        <is>
          <t>Himachal Pradesh Public Works &amp; Technology Department</t>
        </is>
      </c>
      <c r="F1592" s="13" t="inlineStr">
        <is>
          <t>14 Aug 2026</t>
        </is>
      </c>
      <c r="G1592" s="12" t="inlineStr">
        <is>
          <t>06 Sep 2026</t>
        </is>
      </c>
      <c r="H1592" s="8" t="inlineStr">
        <is>
          <t>⏳ UPCOMING</t>
        </is>
      </c>
      <c r="I1592" s="11" t="inlineStr">
        <is>
          <t>5.pdf</t>
        </is>
      </c>
      <c r="J1592" s="13" t="inlineStr">
        <is>
          <t>📕 PDF Document</t>
        </is>
      </c>
      <c r="K1592" s="15" t="n">
        <v>17.8</v>
      </c>
      <c r="L1592" s="16">
        <f>HYPERLINK("http://127.0.0.1:8000/api/documents/download?id=1993&amp;attachment=true", "⬇ Download 5.pdf")</f>
        <v/>
      </c>
      <c r="M1592" s="16">
        <f>HYPERLINK("http://localhost:5173/?state=Himachal%20Pradesh&amp;keyword=ICT&amp;tender=2026_PWD_145246_5", "🚀 Open in Portal")</f>
        <v/>
      </c>
    </row>
    <row r="1593" ht="24" customHeight="1">
      <c r="A1593" s="4" t="inlineStr">
        <is>
          <t>Himachal Pradesh</t>
        </is>
      </c>
      <c r="B1593" s="5" t="inlineStr">
        <is>
          <t>ICT</t>
        </is>
      </c>
      <c r="C1593" s="6" t="inlineStr">
        <is>
          <t>2026_PWD_145246_5</t>
        </is>
      </c>
      <c r="D1593" s="7" t="inlineStr">
        <is>
          <t>[Construction of Balance Work for ITI building at Sansarpur Terrace Tehsil Jaswan Kotla District Kangra (HP). (Sub Head Construction of Building portion, including water supply Sanitary installation and Rain Harvesting Tank, Septic Tank for 200 Users]</t>
        </is>
      </c>
      <c r="E1593" s="7" t="inlineStr">
        <is>
          <t>Himachal Pradesh Public Works &amp; Technology Department</t>
        </is>
      </c>
      <c r="F1593" s="6" t="inlineStr">
        <is>
          <t>14 Aug 2026</t>
        </is>
      </c>
      <c r="G1593" s="5" t="inlineStr">
        <is>
          <t>06 Sep 2026</t>
        </is>
      </c>
      <c r="H1593" s="8" t="inlineStr">
        <is>
          <t>⏳ UPCOMING</t>
        </is>
      </c>
      <c r="I1593" s="4" t="inlineStr">
        <is>
          <t>BOQ_216263.xls</t>
        </is>
      </c>
      <c r="J1593" s="6" t="inlineStr">
        <is>
          <t>📊 Excel BOQ</t>
        </is>
      </c>
      <c r="K1593" s="9" t="n">
        <v>2.6</v>
      </c>
      <c r="L1593" s="10">
        <f>HYPERLINK("http://127.0.0.1:8000/api/documents/download?id=1994&amp;attachment=true", "⬇ Download BOQ_216263.xls")</f>
        <v/>
      </c>
      <c r="M1593" s="10">
        <f>HYPERLINK("http://localhost:5173/?state=Himachal%20Pradesh&amp;keyword=ICT&amp;tender=2026_PWD_145246_5", "🚀 Open in Portal")</f>
        <v/>
      </c>
    </row>
    <row r="1594" ht="24" customHeight="1">
      <c r="A1594" s="11" t="inlineStr">
        <is>
          <t>Himachal Pradesh</t>
        </is>
      </c>
      <c r="B1594" s="12" t="inlineStr">
        <is>
          <t>ICT</t>
        </is>
      </c>
      <c r="C1594" s="13" t="inlineStr">
        <is>
          <t>2026_PWD_145246_5</t>
        </is>
      </c>
      <c r="D1594" s="14" t="inlineStr">
        <is>
          <t>[Construction of Balance Work for ITI building at Sansarpur Terrace Tehsil Jaswan Kotla District Kangra (HP). (Sub Head Construction of Building portion, including water supply Sanitary installation and Rain Harvesting Tank, Septic Tank for 200 Users]</t>
        </is>
      </c>
      <c r="E1594" s="14" t="inlineStr">
        <is>
          <t>Himachal Pradesh Public Works &amp; Technology Department</t>
        </is>
      </c>
      <c r="F1594" s="13" t="inlineStr">
        <is>
          <t>14 Aug 2026</t>
        </is>
      </c>
      <c r="G1594" s="12" t="inlineStr">
        <is>
          <t>06 Sep 2026</t>
        </is>
      </c>
      <c r="H1594" s="8" t="inlineStr">
        <is>
          <t>⏳ UPCOMING</t>
        </is>
      </c>
      <c r="I1594" s="11" t="inlineStr">
        <is>
          <t>Tender_2026_PWD_145246_5_All_Documents.zip</t>
        </is>
      </c>
      <c r="J1594" s="13" t="inlineStr">
        <is>
          <t>📦 ZIP Package</t>
        </is>
      </c>
      <c r="K1594" s="15" t="n">
        <v>20.9</v>
      </c>
      <c r="L1594" s="16">
        <f>HYPERLINK("http://127.0.0.1:8000/api/documents/download?id=1995&amp;attachment=true", "⬇ Download Tender_2026_PWD_145246_5")</f>
        <v/>
      </c>
      <c r="M1594" s="16">
        <f>HYPERLINK("http://localhost:5173/?state=Himachal%20Pradesh&amp;keyword=ICT&amp;tender=2026_PWD_145246_5", "🚀 Open in Portal")</f>
        <v/>
      </c>
    </row>
    <row r="1595" ht="24" customHeight="1">
      <c r="A1595" s="4" t="inlineStr">
        <is>
          <t>Himachal Pradesh</t>
        </is>
      </c>
      <c r="B1595" s="5" t="inlineStr">
        <is>
          <t>ICT</t>
        </is>
      </c>
      <c r="C1595" s="6" t="inlineStr">
        <is>
          <t>2026_PWD_145305_3</t>
        </is>
      </c>
      <c r="D1595" s="7" t="inlineStr">
        <is>
          <t>[Construction of CHC Building at Dheera District Kangra ]</t>
        </is>
      </c>
      <c r="E1595" s="7" t="inlineStr">
        <is>
          <t>Himachal Pradesh Public Works &amp; Technology Department</t>
        </is>
      </c>
      <c r="F1595" s="6" t="inlineStr">
        <is>
          <t>29 Jul 2026</t>
        </is>
      </c>
      <c r="G1595" s="5" t="inlineStr">
        <is>
          <t>27 Aug 2026</t>
        </is>
      </c>
      <c r="H1595" s="8" t="inlineStr">
        <is>
          <t>⏳ UPCOMING</t>
        </is>
      </c>
      <c r="I1595" s="4" t="inlineStr">
        <is>
          <t>Tendernotice_1.pdf</t>
        </is>
      </c>
      <c r="J1595" s="6" t="inlineStr">
        <is>
          <t>📕 PDF Document</t>
        </is>
      </c>
      <c r="K1595" s="9" t="n">
        <v>17.9</v>
      </c>
      <c r="L1595" s="10">
        <f>HYPERLINK("http://127.0.0.1:8000/api/documents/download?id=1982&amp;attachment=true", "⬇ Download Tendernotice_1.pdf")</f>
        <v/>
      </c>
      <c r="M1595" s="10">
        <f>HYPERLINK("http://localhost:5173/?state=Himachal%20Pradesh&amp;keyword=ICT&amp;tender=2026_PWD_145305_3", "🚀 Open in Portal")</f>
        <v/>
      </c>
    </row>
    <row r="1596" ht="24" customHeight="1">
      <c r="A1596" s="11" t="inlineStr">
        <is>
          <t>Himachal Pradesh</t>
        </is>
      </c>
      <c r="B1596" s="12" t="inlineStr">
        <is>
          <t>ICT</t>
        </is>
      </c>
      <c r="C1596" s="13" t="inlineStr">
        <is>
          <t>2026_PWD_145305_3</t>
        </is>
      </c>
      <c r="D1596" s="14" t="inlineStr">
        <is>
          <t>[Construction of CHC Building at Dheera District Kangra ]</t>
        </is>
      </c>
      <c r="E1596" s="14" t="inlineStr">
        <is>
          <t>Himachal Pradesh Public Works &amp; Technology Department</t>
        </is>
      </c>
      <c r="F1596" s="13" t="inlineStr">
        <is>
          <t>29 Jul 2026</t>
        </is>
      </c>
      <c r="G1596" s="12" t="inlineStr">
        <is>
          <t>27 Aug 2026</t>
        </is>
      </c>
      <c r="H1596" s="8" t="inlineStr">
        <is>
          <t>⏳ UPCOMING</t>
        </is>
      </c>
      <c r="I1596" s="11" t="inlineStr">
        <is>
          <t>SBD3.pdf</t>
        </is>
      </c>
      <c r="J1596" s="13" t="inlineStr">
        <is>
          <t>📕 PDF Document</t>
        </is>
      </c>
      <c r="K1596" s="15" t="n">
        <v>17.8</v>
      </c>
      <c r="L1596" s="16">
        <f>HYPERLINK("http://127.0.0.1:8000/api/documents/download?id=1983&amp;attachment=true", "⬇ Download SBD3.pdf")</f>
        <v/>
      </c>
      <c r="M1596" s="16">
        <f>HYPERLINK("http://localhost:5173/?state=Himachal%20Pradesh&amp;keyword=ICT&amp;tender=2026_PWD_145305_3", "🚀 Open in Portal")</f>
        <v/>
      </c>
    </row>
    <row r="1597" ht="24" customHeight="1">
      <c r="A1597" s="4" t="inlineStr">
        <is>
          <t>Himachal Pradesh</t>
        </is>
      </c>
      <c r="B1597" s="5" t="inlineStr">
        <is>
          <t>ICT</t>
        </is>
      </c>
      <c r="C1597" s="6" t="inlineStr">
        <is>
          <t>2026_PWD_145305_3</t>
        </is>
      </c>
      <c r="D1597" s="7" t="inlineStr">
        <is>
          <t>[Construction of CHC Building at Dheera District Kangra ]</t>
        </is>
      </c>
      <c r="E1597" s="7" t="inlineStr">
        <is>
          <t>Himachal Pradesh Public Works &amp; Technology Department</t>
        </is>
      </c>
      <c r="F1597" s="6" t="inlineStr">
        <is>
          <t>29 Jul 2026</t>
        </is>
      </c>
      <c r="G1597" s="5" t="inlineStr">
        <is>
          <t>27 Aug 2026</t>
        </is>
      </c>
      <c r="H1597" s="8" t="inlineStr">
        <is>
          <t>⏳ UPCOMING</t>
        </is>
      </c>
      <c r="I1597" s="4" t="inlineStr">
        <is>
          <t>BOQ_216402.xls</t>
        </is>
      </c>
      <c r="J1597" s="6" t="inlineStr">
        <is>
          <t>📊 Excel BOQ</t>
        </is>
      </c>
      <c r="K1597" s="9" t="n">
        <v>2.4</v>
      </c>
      <c r="L1597" s="10">
        <f>HYPERLINK("http://127.0.0.1:8000/api/documents/download?id=1984&amp;attachment=true", "⬇ Download BOQ_216402.xls")</f>
        <v/>
      </c>
      <c r="M1597" s="10">
        <f>HYPERLINK("http://localhost:5173/?state=Himachal%20Pradesh&amp;keyword=ICT&amp;tender=2026_PWD_145305_3", "🚀 Open in Portal")</f>
        <v/>
      </c>
    </row>
    <row r="1598" ht="24" customHeight="1">
      <c r="A1598" s="11" t="inlineStr">
        <is>
          <t>Himachal Pradesh</t>
        </is>
      </c>
      <c r="B1598" s="12" t="inlineStr">
        <is>
          <t>ICT</t>
        </is>
      </c>
      <c r="C1598" s="13" t="inlineStr">
        <is>
          <t>2026_PWD_145305_3</t>
        </is>
      </c>
      <c r="D1598" s="14" t="inlineStr">
        <is>
          <t>[Construction of CHC Building at Dheera District Kangra ]</t>
        </is>
      </c>
      <c r="E1598" s="14" t="inlineStr">
        <is>
          <t>Himachal Pradesh Public Works &amp; Technology Department</t>
        </is>
      </c>
      <c r="F1598" s="13" t="inlineStr">
        <is>
          <t>29 Jul 2026</t>
        </is>
      </c>
      <c r="G1598" s="12" t="inlineStr">
        <is>
          <t>27 Aug 2026</t>
        </is>
      </c>
      <c r="H1598" s="8" t="inlineStr">
        <is>
          <t>⏳ UPCOMING</t>
        </is>
      </c>
      <c r="I1598" s="11" t="inlineStr">
        <is>
          <t>Tender_2026_PWD_145305_3_All_Documents.zip</t>
        </is>
      </c>
      <c r="J1598" s="13" t="inlineStr">
        <is>
          <t>📦 ZIP Package</t>
        </is>
      </c>
      <c r="K1598" s="15" t="n">
        <v>20.8</v>
      </c>
      <c r="L1598" s="16">
        <f>HYPERLINK("http://127.0.0.1:8000/api/documents/download?id=1985&amp;attachment=true", "⬇ Download Tender_2026_PWD_145305_3")</f>
        <v/>
      </c>
      <c r="M1598" s="16">
        <f>HYPERLINK("http://localhost:5173/?state=Himachal%20Pradesh&amp;keyword=ICT&amp;tender=2026_PWD_145305_3", "🚀 Open in Portal")</f>
        <v/>
      </c>
    </row>
    <row r="1599" ht="24" customHeight="1">
      <c r="A1599" s="4" t="inlineStr">
        <is>
          <t>Himachal Pradesh</t>
        </is>
      </c>
      <c r="B1599" s="5" t="inlineStr">
        <is>
          <t>ICT</t>
        </is>
      </c>
      <c r="C1599" s="6" t="inlineStr">
        <is>
          <t>2026_PWD_145389_1</t>
        </is>
      </c>
      <c r="D1599" s="7" t="inlineStr">
        <is>
          <t>[Construction of Auditorium-cum-Multipurpose Hall at Degree College Reckong Peo in District Kinnaur (HP) (SH- Balance work for building portion, including WS and SI, and site development]</t>
        </is>
      </c>
      <c r="E1599" s="7" t="inlineStr">
        <is>
          <t>Himachal Pradesh Public Works &amp; Technology Department</t>
        </is>
      </c>
      <c r="F1599" s="6" t="inlineStr">
        <is>
          <t>29 Jul 2026</t>
        </is>
      </c>
      <c r="G1599" s="5" t="inlineStr">
        <is>
          <t>21 Aug 2026</t>
        </is>
      </c>
      <c r="H1599" s="8" t="inlineStr">
        <is>
          <t>⏳ UPCOMING</t>
        </is>
      </c>
      <c r="I1599" s="4" t="inlineStr">
        <is>
          <t>Tendernotice_1.pdf</t>
        </is>
      </c>
      <c r="J1599" s="6" t="inlineStr">
        <is>
          <t>📕 PDF Document</t>
        </is>
      </c>
      <c r="K1599" s="9" t="n">
        <v>17.9</v>
      </c>
      <c r="L1599" s="10">
        <f>HYPERLINK("http://127.0.0.1:8000/api/documents/download?id=1919&amp;attachment=true", "⬇ Download Tendernotice_1.pdf")</f>
        <v/>
      </c>
      <c r="M1599" s="10">
        <f>HYPERLINK("http://localhost:5173/?state=Himachal%20Pradesh&amp;keyword=ICT&amp;tender=2026_PWD_145389_1", "🚀 Open in Portal")</f>
        <v/>
      </c>
    </row>
    <row r="1600" ht="24" customHeight="1">
      <c r="A1600" s="11" t="inlineStr">
        <is>
          <t>Himachal Pradesh</t>
        </is>
      </c>
      <c r="B1600" s="12" t="inlineStr">
        <is>
          <t>ICT</t>
        </is>
      </c>
      <c r="C1600" s="13" t="inlineStr">
        <is>
          <t>2026_PWD_145389_1</t>
        </is>
      </c>
      <c r="D1600" s="14" t="inlineStr">
        <is>
          <t>[Construction of Auditorium-cum-Multipurpose Hall at Degree College Reckong Peo in District Kinnaur (HP) (SH- Balance work for building portion, including WS and SI, and site development]</t>
        </is>
      </c>
      <c r="E1600" s="14" t="inlineStr">
        <is>
          <t>Himachal Pradesh Public Works &amp; Technology Department</t>
        </is>
      </c>
      <c r="F1600" s="13" t="inlineStr">
        <is>
          <t>29 Jul 2026</t>
        </is>
      </c>
      <c r="G1600" s="12" t="inlineStr">
        <is>
          <t>21 Aug 2026</t>
        </is>
      </c>
      <c r="H1600" s="8" t="inlineStr">
        <is>
          <t>⏳ UPCOMING</t>
        </is>
      </c>
      <c r="I1600" s="11" t="inlineStr">
        <is>
          <t>GCC.pdf</t>
        </is>
      </c>
      <c r="J1600" s="13" t="inlineStr">
        <is>
          <t>📕 PDF Document</t>
        </is>
      </c>
      <c r="K1600" s="15" t="n">
        <v>17.9</v>
      </c>
      <c r="L1600" s="16">
        <f>HYPERLINK("http://127.0.0.1:8000/api/documents/download?id=1920&amp;attachment=true", "⬇ Download GCC.pdf")</f>
        <v/>
      </c>
      <c r="M1600" s="16">
        <f>HYPERLINK("http://localhost:5173/?state=Himachal%20Pradesh&amp;keyword=ICT&amp;tender=2026_PWD_145389_1", "🚀 Open in Portal")</f>
        <v/>
      </c>
    </row>
    <row r="1601" ht="24" customHeight="1">
      <c r="A1601" s="4" t="inlineStr">
        <is>
          <t>Himachal Pradesh</t>
        </is>
      </c>
      <c r="B1601" s="5" t="inlineStr">
        <is>
          <t>ICT</t>
        </is>
      </c>
      <c r="C1601" s="6" t="inlineStr">
        <is>
          <t>2026_PWD_145389_1</t>
        </is>
      </c>
      <c r="D1601" s="7" t="inlineStr">
        <is>
          <t>[Construction of Auditorium-cum-Multipurpose Hall at Degree College Reckong Peo in District Kinnaur (HP) (SH- Balance work for building portion, including WS and SI, and site development]</t>
        </is>
      </c>
      <c r="E1601" s="7" t="inlineStr">
        <is>
          <t>Himachal Pradesh Public Works &amp; Technology Department</t>
        </is>
      </c>
      <c r="F1601" s="6" t="inlineStr">
        <is>
          <t>29 Jul 2026</t>
        </is>
      </c>
      <c r="G1601" s="5" t="inlineStr">
        <is>
          <t>21 Aug 2026</t>
        </is>
      </c>
      <c r="H1601" s="8" t="inlineStr">
        <is>
          <t>⏳ UPCOMING</t>
        </is>
      </c>
      <c r="I1601" s="4" t="inlineStr">
        <is>
          <t>BOQ_216497.xls</t>
        </is>
      </c>
      <c r="J1601" s="6" t="inlineStr">
        <is>
          <t>📊 Excel BOQ</t>
        </is>
      </c>
      <c r="K1601" s="9" t="n">
        <v>2.5</v>
      </c>
      <c r="L1601" s="10">
        <f>HYPERLINK("http://127.0.0.1:8000/api/documents/download?id=1921&amp;attachment=true", "⬇ Download BOQ_216497.xls")</f>
        <v/>
      </c>
      <c r="M1601" s="10">
        <f>HYPERLINK("http://localhost:5173/?state=Himachal%20Pradesh&amp;keyword=ICT&amp;tender=2026_PWD_145389_1", "🚀 Open in Portal")</f>
        <v/>
      </c>
    </row>
    <row r="1602" ht="24" customHeight="1">
      <c r="A1602" s="11" t="inlineStr">
        <is>
          <t>Himachal Pradesh</t>
        </is>
      </c>
      <c r="B1602" s="12" t="inlineStr">
        <is>
          <t>ICT</t>
        </is>
      </c>
      <c r="C1602" s="13" t="inlineStr">
        <is>
          <t>2026_PWD_145389_1</t>
        </is>
      </c>
      <c r="D1602" s="14" t="inlineStr">
        <is>
          <t>[Construction of Auditorium-cum-Multipurpose Hall at Degree College Reckong Peo in District Kinnaur (HP) (SH- Balance work for building portion, including WS and SI, and site development]</t>
        </is>
      </c>
      <c r="E1602" s="14" t="inlineStr">
        <is>
          <t>Himachal Pradesh Public Works &amp; Technology Department</t>
        </is>
      </c>
      <c r="F1602" s="13" t="inlineStr">
        <is>
          <t>29 Jul 2026</t>
        </is>
      </c>
      <c r="G1602" s="12" t="inlineStr">
        <is>
          <t>21 Aug 2026</t>
        </is>
      </c>
      <c r="H1602" s="8" t="inlineStr">
        <is>
          <t>⏳ UPCOMING</t>
        </is>
      </c>
      <c r="I1602" s="11" t="inlineStr">
        <is>
          <t>Tender_2026_PWD_145389_1_All_Documents.zip</t>
        </is>
      </c>
      <c r="J1602" s="13" t="inlineStr">
        <is>
          <t>📦 ZIP Package</t>
        </is>
      </c>
      <c r="K1602" s="15" t="n">
        <v>20.8</v>
      </c>
      <c r="L1602" s="16">
        <f>HYPERLINK("http://127.0.0.1:8000/api/documents/download?id=1922&amp;attachment=true", "⬇ Download Tender_2026_PWD_145389_1")</f>
        <v/>
      </c>
      <c r="M1602" s="16">
        <f>HYPERLINK("http://localhost:5173/?state=Himachal%20Pradesh&amp;keyword=ICT&amp;tender=2026_PWD_145389_1", "🚀 Open in Portal")</f>
        <v/>
      </c>
    </row>
    <row r="1603" ht="24" customHeight="1">
      <c r="A1603" s="4" t="inlineStr">
        <is>
          <t>Himachal Pradesh</t>
        </is>
      </c>
      <c r="B1603" s="5" t="inlineStr">
        <is>
          <t>ICT</t>
        </is>
      </c>
      <c r="C1603" s="6" t="inlineStr">
        <is>
          <t>2026_PWD_145389_2</t>
        </is>
      </c>
      <c r="D1603" s="7" t="inlineStr">
        <is>
          <t>[Construction of Indoor Stadium at GSSS Giabong in District Kinnaur ( HP) (SH- Building portion, WS and SI, Septic Tank and rain water harvesting Tank, site development and supplying and fixing Boxing Ring]</t>
        </is>
      </c>
      <c r="E1603" s="7" t="inlineStr">
        <is>
          <t>Himachal Pradesh Public Works &amp; Technology Department</t>
        </is>
      </c>
      <c r="F1603" s="6" t="inlineStr">
        <is>
          <t>26 Aug 2026</t>
        </is>
      </c>
      <c r="G1603" s="5" t="inlineStr">
        <is>
          <t>21 Sep 2026</t>
        </is>
      </c>
      <c r="H1603" s="8" t="inlineStr">
        <is>
          <t>⏳ UPCOMING</t>
        </is>
      </c>
      <c r="I1603" s="4" t="inlineStr">
        <is>
          <t>Tendernotice_1.pdf</t>
        </is>
      </c>
      <c r="J1603" s="6" t="inlineStr">
        <is>
          <t>📕 PDF Document</t>
        </is>
      </c>
      <c r="K1603" s="9" t="n">
        <v>17.9</v>
      </c>
      <c r="L1603" s="10">
        <f>HYPERLINK("http://127.0.0.1:8000/api/documents/download?id=1923&amp;attachment=true", "⬇ Download Tendernotice_1.pdf")</f>
        <v/>
      </c>
      <c r="M1603" s="10">
        <f>HYPERLINK("http://localhost:5173/?state=Himachal%20Pradesh&amp;keyword=ICT&amp;tender=2026_PWD_145389_2", "🚀 Open in Portal")</f>
        <v/>
      </c>
    </row>
    <row r="1604" ht="24" customHeight="1">
      <c r="A1604" s="11" t="inlineStr">
        <is>
          <t>Himachal Pradesh</t>
        </is>
      </c>
      <c r="B1604" s="12" t="inlineStr">
        <is>
          <t>ICT</t>
        </is>
      </c>
      <c r="C1604" s="13" t="inlineStr">
        <is>
          <t>2026_PWD_145389_2</t>
        </is>
      </c>
      <c r="D1604" s="14" t="inlineStr">
        <is>
          <t>[Construction of Indoor Stadium at GSSS Giabong in District Kinnaur ( HP) (SH- Building portion, WS and SI, Septic Tank and rain water harvesting Tank, site development and supplying and fixing Boxing Ring]</t>
        </is>
      </c>
      <c r="E1604" s="14" t="inlineStr">
        <is>
          <t>Himachal Pradesh Public Works &amp; Technology Department</t>
        </is>
      </c>
      <c r="F1604" s="13" t="inlineStr">
        <is>
          <t>26 Aug 2026</t>
        </is>
      </c>
      <c r="G1604" s="12" t="inlineStr">
        <is>
          <t>21 Sep 2026</t>
        </is>
      </c>
      <c r="H1604" s="8" t="inlineStr">
        <is>
          <t>⏳ UPCOMING</t>
        </is>
      </c>
      <c r="I1604" s="11" t="inlineStr">
        <is>
          <t>GCC.pdf</t>
        </is>
      </c>
      <c r="J1604" s="13" t="inlineStr">
        <is>
          <t>📕 PDF Document</t>
        </is>
      </c>
      <c r="K1604" s="15" t="n">
        <v>17.9</v>
      </c>
      <c r="L1604" s="16">
        <f>HYPERLINK("http://127.0.0.1:8000/api/documents/download?id=1924&amp;attachment=true", "⬇ Download GCC.pdf")</f>
        <v/>
      </c>
      <c r="M1604" s="16">
        <f>HYPERLINK("http://localhost:5173/?state=Himachal%20Pradesh&amp;keyword=ICT&amp;tender=2026_PWD_145389_2", "🚀 Open in Portal")</f>
        <v/>
      </c>
    </row>
    <row r="1605" ht="24" customHeight="1">
      <c r="A1605" s="4" t="inlineStr">
        <is>
          <t>Himachal Pradesh</t>
        </is>
      </c>
      <c r="B1605" s="5" t="inlineStr">
        <is>
          <t>ICT</t>
        </is>
      </c>
      <c r="C1605" s="6" t="inlineStr">
        <is>
          <t>2026_PWD_145389_2</t>
        </is>
      </c>
      <c r="D1605" s="7" t="inlineStr">
        <is>
          <t>[Construction of Indoor Stadium at GSSS Giabong in District Kinnaur ( HP) (SH- Building portion, WS and SI, Septic Tank and rain water harvesting Tank, site development and supplying and fixing Boxing Ring]</t>
        </is>
      </c>
      <c r="E1605" s="7" t="inlineStr">
        <is>
          <t>Himachal Pradesh Public Works &amp; Technology Department</t>
        </is>
      </c>
      <c r="F1605" s="6" t="inlineStr">
        <is>
          <t>26 Aug 2026</t>
        </is>
      </c>
      <c r="G1605" s="5" t="inlineStr">
        <is>
          <t>21 Sep 2026</t>
        </is>
      </c>
      <c r="H1605" s="8" t="inlineStr">
        <is>
          <t>⏳ UPCOMING</t>
        </is>
      </c>
      <c r="I1605" s="4" t="inlineStr">
        <is>
          <t>BOQ_216499.xls</t>
        </is>
      </c>
      <c r="J1605" s="6" t="inlineStr">
        <is>
          <t>📊 Excel BOQ</t>
        </is>
      </c>
      <c r="K1605" s="9" t="n">
        <v>2.5</v>
      </c>
      <c r="L1605" s="10">
        <f>HYPERLINK("http://127.0.0.1:8000/api/documents/download?id=1925&amp;attachment=true", "⬇ Download BOQ_216499.xls")</f>
        <v/>
      </c>
      <c r="M1605" s="10">
        <f>HYPERLINK("http://localhost:5173/?state=Himachal%20Pradesh&amp;keyword=ICT&amp;tender=2026_PWD_145389_2", "🚀 Open in Portal")</f>
        <v/>
      </c>
    </row>
    <row r="1606" ht="24" customHeight="1">
      <c r="A1606" s="11" t="inlineStr">
        <is>
          <t>Himachal Pradesh</t>
        </is>
      </c>
      <c r="B1606" s="12" t="inlineStr">
        <is>
          <t>ICT</t>
        </is>
      </c>
      <c r="C1606" s="13" t="inlineStr">
        <is>
          <t>2026_PWD_145389_2</t>
        </is>
      </c>
      <c r="D1606" s="14" t="inlineStr">
        <is>
          <t>[Construction of Indoor Stadium at GSSS Giabong in District Kinnaur ( HP) (SH- Building portion, WS and SI, Septic Tank and rain water harvesting Tank, site development and supplying and fixing Boxing Ring]</t>
        </is>
      </c>
      <c r="E1606" s="14" t="inlineStr">
        <is>
          <t>Himachal Pradesh Public Works &amp; Technology Department</t>
        </is>
      </c>
      <c r="F1606" s="13" t="inlineStr">
        <is>
          <t>26 Aug 2026</t>
        </is>
      </c>
      <c r="G1606" s="12" t="inlineStr">
        <is>
          <t>21 Sep 2026</t>
        </is>
      </c>
      <c r="H1606" s="8" t="inlineStr">
        <is>
          <t>⏳ UPCOMING</t>
        </is>
      </c>
      <c r="I1606" s="11" t="inlineStr">
        <is>
          <t>Tender_2026_PWD_145389_2_All_Documents.zip</t>
        </is>
      </c>
      <c r="J1606" s="13" t="inlineStr">
        <is>
          <t>📦 ZIP Package</t>
        </is>
      </c>
      <c r="K1606" s="15" t="n">
        <v>20.9</v>
      </c>
      <c r="L1606" s="16">
        <f>HYPERLINK("http://127.0.0.1:8000/api/documents/download?id=1926&amp;attachment=true", "⬇ Download Tender_2026_PWD_145389_2")</f>
        <v/>
      </c>
      <c r="M1606" s="16">
        <f>HYPERLINK("http://localhost:5173/?state=Himachal%20Pradesh&amp;keyword=ICT&amp;tender=2026_PWD_145389_2", "🚀 Open in Portal")</f>
        <v/>
      </c>
    </row>
    <row r="1607" ht="24" customHeight="1">
      <c r="A1607" s="4" t="inlineStr">
        <is>
          <t>Himachal Pradesh</t>
        </is>
      </c>
      <c r="B1607" s="5" t="inlineStr">
        <is>
          <t>ICT</t>
        </is>
      </c>
      <c r="C1607" s="6" t="inlineStr">
        <is>
          <t>2026_PWD_145437_2</t>
        </is>
      </c>
      <c r="D1607" s="7" t="inlineStr">
        <is>
          <t>[Restoration of rain damages on link road Aar Ustehar Nougaza Behra Banjar road in District Kangra (HP) (Under PDNA 2025) (SH-Providing and laying G-III and cement concrete pavement at RD 0/105 to 0/729.22(4386-1) ]</t>
        </is>
      </c>
      <c r="E1607" s="7" t="inlineStr">
        <is>
          <t>Himachal Pradesh Public Works &amp; Technology Department</t>
        </is>
      </c>
      <c r="F1607" s="6" t="inlineStr">
        <is>
          <t>25 Aug 2026</t>
        </is>
      </c>
      <c r="G1607" s="5" t="inlineStr">
        <is>
          <t>18 Sep 2026</t>
        </is>
      </c>
      <c r="H1607" s="8" t="inlineStr">
        <is>
          <t>⏳ UPCOMING</t>
        </is>
      </c>
      <c r="I1607" s="4" t="inlineStr">
        <is>
          <t>Tendernotice_1.pdf</t>
        </is>
      </c>
      <c r="J1607" s="6" t="inlineStr">
        <is>
          <t>📕 PDF Document</t>
        </is>
      </c>
      <c r="K1607" s="9" t="n">
        <v>17.9</v>
      </c>
      <c r="L1607" s="10">
        <f>HYPERLINK("http://127.0.0.1:8000/api/documents/download?id=1962&amp;attachment=true", "⬇ Download Tendernotice_1.pdf")</f>
        <v/>
      </c>
      <c r="M1607" s="10">
        <f>HYPERLINK("http://localhost:5173/?state=Himachal%20Pradesh&amp;keyword=ICT&amp;tender=2026_PWD_145437_2", "🚀 Open in Portal")</f>
        <v/>
      </c>
    </row>
    <row r="1608" ht="24" customHeight="1">
      <c r="A1608" s="11" t="inlineStr">
        <is>
          <t>Himachal Pradesh</t>
        </is>
      </c>
      <c r="B1608" s="12" t="inlineStr">
        <is>
          <t>ICT</t>
        </is>
      </c>
      <c r="C1608" s="13" t="inlineStr">
        <is>
          <t>2026_PWD_145437_2</t>
        </is>
      </c>
      <c r="D1608" s="14" t="inlineStr">
        <is>
          <t>[Restoration of rain damages on link road Aar Ustehar Nougaza Behra Banjar road in District Kangra (HP) (Under PDNA 2025) (SH-Providing and laying G-III and cement concrete pavement at RD 0/105 to 0/729.22(4386-1) ]</t>
        </is>
      </c>
      <c r="E1608" s="14" t="inlineStr">
        <is>
          <t>Himachal Pradesh Public Works &amp; Technology Department</t>
        </is>
      </c>
      <c r="F1608" s="13" t="inlineStr">
        <is>
          <t>25 Aug 2026</t>
        </is>
      </c>
      <c r="G1608" s="12" t="inlineStr">
        <is>
          <t>18 Sep 2026</t>
        </is>
      </c>
      <c r="H1608" s="8" t="inlineStr">
        <is>
          <t>⏳ UPCOMING</t>
        </is>
      </c>
      <c r="I1608" s="11" t="inlineStr">
        <is>
          <t>Sbd.pdf</t>
        </is>
      </c>
      <c r="J1608" s="13" t="inlineStr">
        <is>
          <t>📕 PDF Document</t>
        </is>
      </c>
      <c r="K1608" s="15" t="n">
        <v>17.8</v>
      </c>
      <c r="L1608" s="16">
        <f>HYPERLINK("http://127.0.0.1:8000/api/documents/download?id=1963&amp;attachment=true", "⬇ Download Sbd.pdf")</f>
        <v/>
      </c>
      <c r="M1608" s="16">
        <f>HYPERLINK("http://localhost:5173/?state=Himachal%20Pradesh&amp;keyword=ICT&amp;tender=2026_PWD_145437_2", "🚀 Open in Portal")</f>
        <v/>
      </c>
    </row>
    <row r="1609" ht="24" customHeight="1">
      <c r="A1609" s="4" t="inlineStr">
        <is>
          <t>Himachal Pradesh</t>
        </is>
      </c>
      <c r="B1609" s="5" t="inlineStr">
        <is>
          <t>ICT</t>
        </is>
      </c>
      <c r="C1609" s="6" t="inlineStr">
        <is>
          <t>2026_PWD_145437_2</t>
        </is>
      </c>
      <c r="D1609" s="7" t="inlineStr">
        <is>
          <t>[Restoration of rain damages on link road Aar Ustehar Nougaza Behra Banjar road in District Kangra (HP) (Under PDNA 2025) (SH-Providing and laying G-III and cement concrete pavement at RD 0/105 to 0/729.22(4386-1) ]</t>
        </is>
      </c>
      <c r="E1609" s="7" t="inlineStr">
        <is>
          <t>Himachal Pradesh Public Works &amp; Technology Department</t>
        </is>
      </c>
      <c r="F1609" s="6" t="inlineStr">
        <is>
          <t>25 Aug 2026</t>
        </is>
      </c>
      <c r="G1609" s="5" t="inlineStr">
        <is>
          <t>18 Sep 2026</t>
        </is>
      </c>
      <c r="H1609" s="8" t="inlineStr">
        <is>
          <t>⏳ UPCOMING</t>
        </is>
      </c>
      <c r="I1609" s="4" t="inlineStr">
        <is>
          <t>BOQ_216588.xls</t>
        </is>
      </c>
      <c r="J1609" s="6" t="inlineStr">
        <is>
          <t>📊 Excel BOQ</t>
        </is>
      </c>
      <c r="K1609" s="9" t="n">
        <v>2.5</v>
      </c>
      <c r="L1609" s="10">
        <f>HYPERLINK("http://127.0.0.1:8000/api/documents/download?id=1964&amp;attachment=true", "⬇ Download BOQ_216588.xls")</f>
        <v/>
      </c>
      <c r="M1609" s="10">
        <f>HYPERLINK("http://localhost:5173/?state=Himachal%20Pradesh&amp;keyword=ICT&amp;tender=2026_PWD_145437_2", "🚀 Open in Portal")</f>
        <v/>
      </c>
    </row>
    <row r="1610" ht="24" customHeight="1">
      <c r="A1610" s="11" t="inlineStr">
        <is>
          <t>Himachal Pradesh</t>
        </is>
      </c>
      <c r="B1610" s="12" t="inlineStr">
        <is>
          <t>ICT</t>
        </is>
      </c>
      <c r="C1610" s="13" t="inlineStr">
        <is>
          <t>2026_PWD_145437_2</t>
        </is>
      </c>
      <c r="D1610" s="14" t="inlineStr">
        <is>
          <t>[Restoration of rain damages on link road Aar Ustehar Nougaza Behra Banjar road in District Kangra (HP) (Under PDNA 2025) (SH-Providing and laying G-III and cement concrete pavement at RD 0/105 to 0/729.22(4386-1) ]</t>
        </is>
      </c>
      <c r="E1610" s="14" t="inlineStr">
        <is>
          <t>Himachal Pradesh Public Works &amp; Technology Department</t>
        </is>
      </c>
      <c r="F1610" s="13" t="inlineStr">
        <is>
          <t>25 Aug 2026</t>
        </is>
      </c>
      <c r="G1610" s="12" t="inlineStr">
        <is>
          <t>18 Sep 2026</t>
        </is>
      </c>
      <c r="H1610" s="8" t="inlineStr">
        <is>
          <t>⏳ UPCOMING</t>
        </is>
      </c>
      <c r="I1610" s="11" t="inlineStr">
        <is>
          <t>Tender_2026_PWD_145437_2_All_Documents.zip</t>
        </is>
      </c>
      <c r="J1610" s="13" t="inlineStr">
        <is>
          <t>📦 ZIP Package</t>
        </is>
      </c>
      <c r="K1610" s="15" t="n">
        <v>20.9</v>
      </c>
      <c r="L1610" s="16">
        <f>HYPERLINK("http://127.0.0.1:8000/api/documents/download?id=1965&amp;attachment=true", "⬇ Download Tender_2026_PWD_145437_2")</f>
        <v/>
      </c>
      <c r="M1610" s="16">
        <f>HYPERLINK("http://localhost:5173/?state=Himachal%20Pradesh&amp;keyword=ICT&amp;tender=2026_PWD_145437_2", "🚀 Open in Portal")</f>
        <v/>
      </c>
    </row>
    <row r="1611" ht="24" customHeight="1">
      <c r="A1611" s="4" t="inlineStr">
        <is>
          <t>Himachal Pradesh</t>
        </is>
      </c>
      <c r="B1611" s="5" t="inlineStr">
        <is>
          <t>ICT</t>
        </is>
      </c>
      <c r="C1611" s="6" t="inlineStr">
        <is>
          <t>2026_PWD_145437_3</t>
        </is>
      </c>
      <c r="D1611" s="7" t="inlineStr">
        <is>
          <t>[Restoration of rain damages on link road Massal to Parmar Basti in Km 0/000 to 2/000 in District Kangra (HP) (SH-Construction of retaining wall and CC pavement in between Km at RD 0/765 to 2/000).(4332-1.1)]</t>
        </is>
      </c>
      <c r="E1611" s="7" t="inlineStr">
        <is>
          <t>Himachal Pradesh Public Works &amp; Technology Department</t>
        </is>
      </c>
      <c r="F1611" s="6" t="inlineStr">
        <is>
          <t>09 Aug 2026</t>
        </is>
      </c>
      <c r="G1611" s="5" t="inlineStr">
        <is>
          <t>30 Aug 2026</t>
        </is>
      </c>
      <c r="H1611" s="8" t="inlineStr">
        <is>
          <t>⏳ UPCOMING</t>
        </is>
      </c>
      <c r="I1611" s="4" t="inlineStr">
        <is>
          <t>Tendernotice_1.pdf</t>
        </is>
      </c>
      <c r="J1611" s="6" t="inlineStr">
        <is>
          <t>📕 PDF Document</t>
        </is>
      </c>
      <c r="K1611" s="9" t="n">
        <v>17.9</v>
      </c>
      <c r="L1611" s="10">
        <f>HYPERLINK("http://127.0.0.1:8000/api/documents/download?id=1958&amp;attachment=true", "⬇ Download Tendernotice_1.pdf")</f>
        <v/>
      </c>
      <c r="M1611" s="10">
        <f>HYPERLINK("http://localhost:5173/?state=Himachal%20Pradesh&amp;keyword=ICT&amp;tender=2026_PWD_145437_3", "🚀 Open in Portal")</f>
        <v/>
      </c>
    </row>
    <row r="1612" ht="24" customHeight="1">
      <c r="A1612" s="11" t="inlineStr">
        <is>
          <t>Himachal Pradesh</t>
        </is>
      </c>
      <c r="B1612" s="12" t="inlineStr">
        <is>
          <t>ICT</t>
        </is>
      </c>
      <c r="C1612" s="13" t="inlineStr">
        <is>
          <t>2026_PWD_145437_3</t>
        </is>
      </c>
      <c r="D1612" s="14" t="inlineStr">
        <is>
          <t>[Restoration of rain damages on link road Massal to Parmar Basti in Km 0/000 to 2/000 in District Kangra (HP) (SH-Construction of retaining wall and CC pavement in between Km at RD 0/765 to 2/000).(4332-1.1)]</t>
        </is>
      </c>
      <c r="E1612" s="14" t="inlineStr">
        <is>
          <t>Himachal Pradesh Public Works &amp; Technology Department</t>
        </is>
      </c>
      <c r="F1612" s="13" t="inlineStr">
        <is>
          <t>09 Aug 2026</t>
        </is>
      </c>
      <c r="G1612" s="12" t="inlineStr">
        <is>
          <t>30 Aug 2026</t>
        </is>
      </c>
      <c r="H1612" s="8" t="inlineStr">
        <is>
          <t>⏳ UPCOMING</t>
        </is>
      </c>
      <c r="I1612" s="11" t="inlineStr">
        <is>
          <t>Sbd.pdf</t>
        </is>
      </c>
      <c r="J1612" s="13" t="inlineStr">
        <is>
          <t>📕 PDF Document</t>
        </is>
      </c>
      <c r="K1612" s="15" t="n">
        <v>17.9</v>
      </c>
      <c r="L1612" s="16">
        <f>HYPERLINK("http://127.0.0.1:8000/api/documents/download?id=1959&amp;attachment=true", "⬇ Download Sbd.pdf")</f>
        <v/>
      </c>
      <c r="M1612" s="16">
        <f>HYPERLINK("http://localhost:5173/?state=Himachal%20Pradesh&amp;keyword=ICT&amp;tender=2026_PWD_145437_3", "🚀 Open in Portal")</f>
        <v/>
      </c>
    </row>
    <row r="1613" ht="24" customHeight="1">
      <c r="A1613" s="4" t="inlineStr">
        <is>
          <t>Himachal Pradesh</t>
        </is>
      </c>
      <c r="B1613" s="5" t="inlineStr">
        <is>
          <t>ICT</t>
        </is>
      </c>
      <c r="C1613" s="6" t="inlineStr">
        <is>
          <t>2026_PWD_145437_3</t>
        </is>
      </c>
      <c r="D1613" s="7" t="inlineStr">
        <is>
          <t>[Restoration of rain damages on link road Massal to Parmar Basti in Km 0/000 to 2/000 in District Kangra (HP) (SH-Construction of retaining wall and CC pavement in between Km at RD 0/765 to 2/000).(4332-1.1)]</t>
        </is>
      </c>
      <c r="E1613" s="7" t="inlineStr">
        <is>
          <t>Himachal Pradesh Public Works &amp; Technology Department</t>
        </is>
      </c>
      <c r="F1613" s="6" t="inlineStr">
        <is>
          <t>09 Aug 2026</t>
        </is>
      </c>
      <c r="G1613" s="5" t="inlineStr">
        <is>
          <t>30 Aug 2026</t>
        </is>
      </c>
      <c r="H1613" s="8" t="inlineStr">
        <is>
          <t>⏳ UPCOMING</t>
        </is>
      </c>
      <c r="I1613" s="4" t="inlineStr">
        <is>
          <t>BOQ_216597.xls</t>
        </is>
      </c>
      <c r="J1613" s="6" t="inlineStr">
        <is>
          <t>📊 Excel BOQ</t>
        </is>
      </c>
      <c r="K1613" s="9" t="n">
        <v>2.5</v>
      </c>
      <c r="L1613" s="10">
        <f>HYPERLINK("http://127.0.0.1:8000/api/documents/download?id=1960&amp;attachment=true", "⬇ Download BOQ_216597.xls")</f>
        <v/>
      </c>
      <c r="M1613" s="10">
        <f>HYPERLINK("http://localhost:5173/?state=Himachal%20Pradesh&amp;keyword=ICT&amp;tender=2026_PWD_145437_3", "🚀 Open in Portal")</f>
        <v/>
      </c>
    </row>
    <row r="1614" ht="24" customHeight="1">
      <c r="A1614" s="11" t="inlineStr">
        <is>
          <t>Himachal Pradesh</t>
        </is>
      </c>
      <c r="B1614" s="12" t="inlineStr">
        <is>
          <t>ICT</t>
        </is>
      </c>
      <c r="C1614" s="13" t="inlineStr">
        <is>
          <t>2026_PWD_145437_3</t>
        </is>
      </c>
      <c r="D1614" s="14" t="inlineStr">
        <is>
          <t>[Restoration of rain damages on link road Massal to Parmar Basti in Km 0/000 to 2/000 in District Kangra (HP) (SH-Construction of retaining wall and CC pavement in between Km at RD 0/765 to 2/000).(4332-1.1)]</t>
        </is>
      </c>
      <c r="E1614" s="14" t="inlineStr">
        <is>
          <t>Himachal Pradesh Public Works &amp; Technology Department</t>
        </is>
      </c>
      <c r="F1614" s="13" t="inlineStr">
        <is>
          <t>09 Aug 2026</t>
        </is>
      </c>
      <c r="G1614" s="12" t="inlineStr">
        <is>
          <t>30 Aug 2026</t>
        </is>
      </c>
      <c r="H1614" s="8" t="inlineStr">
        <is>
          <t>⏳ UPCOMING</t>
        </is>
      </c>
      <c r="I1614" s="11" t="inlineStr">
        <is>
          <t>Tender_2026_PWD_145437_3_All_Documents.zip</t>
        </is>
      </c>
      <c r="J1614" s="13" t="inlineStr">
        <is>
          <t>📦 ZIP Package</t>
        </is>
      </c>
      <c r="K1614" s="15" t="n">
        <v>20.9</v>
      </c>
      <c r="L1614" s="16">
        <f>HYPERLINK("http://127.0.0.1:8000/api/documents/download?id=1961&amp;attachment=true", "⬇ Download Tender_2026_PWD_145437_3")</f>
        <v/>
      </c>
      <c r="M1614" s="16">
        <f>HYPERLINK("http://localhost:5173/?state=Himachal%20Pradesh&amp;keyword=ICT&amp;tender=2026_PWD_145437_3", "🚀 Open in Portal")</f>
        <v/>
      </c>
    </row>
    <row r="1615" ht="24" customHeight="1">
      <c r="A1615" s="4" t="inlineStr">
        <is>
          <t>Himachal Pradesh</t>
        </is>
      </c>
      <c r="B1615" s="5" t="inlineStr">
        <is>
          <t>ICT</t>
        </is>
      </c>
      <c r="C1615" s="6" t="inlineStr">
        <is>
          <t>2026_PWD_145437_4</t>
        </is>
      </c>
      <c r="D1615" s="7" t="inlineStr">
        <is>
          <t>[Restoration of rain damages on link road Thana to Busal road in District Kangra (HP) (Under PDNA 2025) (SH-Construction of retaining all at RD 2/880 to 2/899.50) (L/side), CC pavement at RD 2/800 to 2/899.50 and U-shape drain at RD 2/850 to 2/899.50)]</t>
        </is>
      </c>
      <c r="E1615" s="7" t="inlineStr">
        <is>
          <t>Himachal Pradesh Public Works &amp; Technology Department</t>
        </is>
      </c>
      <c r="F1615" s="6" t="inlineStr">
        <is>
          <t>24 Oct 2026</t>
        </is>
      </c>
      <c r="G1615" s="5" t="inlineStr">
        <is>
          <t>14 Nov 2026</t>
        </is>
      </c>
      <c r="H1615" s="8" t="inlineStr">
        <is>
          <t>⏳ UPCOMING</t>
        </is>
      </c>
      <c r="I1615" s="4" t="inlineStr">
        <is>
          <t>Tendernotice_1.pdf</t>
        </is>
      </c>
      <c r="J1615" s="6" t="inlineStr">
        <is>
          <t>📕 PDF Document</t>
        </is>
      </c>
      <c r="K1615" s="9" t="n">
        <v>17.9</v>
      </c>
      <c r="L1615" s="10">
        <f>HYPERLINK("http://127.0.0.1:8000/api/documents/download?id=1934&amp;attachment=true", "⬇ Download Tendernotice_1.pdf")</f>
        <v/>
      </c>
      <c r="M1615" s="10">
        <f>HYPERLINK("http://localhost:5173/?state=Himachal%20Pradesh&amp;keyword=ICT&amp;tender=2026_PWD_145437_4", "🚀 Open in Portal")</f>
        <v/>
      </c>
    </row>
    <row r="1616" ht="24" customHeight="1">
      <c r="A1616" s="11" t="inlineStr">
        <is>
          <t>Himachal Pradesh</t>
        </is>
      </c>
      <c r="B1616" s="12" t="inlineStr">
        <is>
          <t>ICT</t>
        </is>
      </c>
      <c r="C1616" s="13" t="inlineStr">
        <is>
          <t>2026_PWD_145437_4</t>
        </is>
      </c>
      <c r="D1616" s="14" t="inlineStr">
        <is>
          <t>[Restoration of rain damages on link road Thana to Busal road in District Kangra (HP) (Under PDNA 2025) (SH-Construction of retaining all at RD 2/880 to 2/899.50) (L/side), CC pavement at RD 2/800 to 2/899.50 and U-shape drain at RD 2/850 to 2/899.50)]</t>
        </is>
      </c>
      <c r="E1616" s="14" t="inlineStr">
        <is>
          <t>Himachal Pradesh Public Works &amp; Technology Department</t>
        </is>
      </c>
      <c r="F1616" s="13" t="inlineStr">
        <is>
          <t>24 Oct 2026</t>
        </is>
      </c>
      <c r="G1616" s="12" t="inlineStr">
        <is>
          <t>14 Nov 2026</t>
        </is>
      </c>
      <c r="H1616" s="8" t="inlineStr">
        <is>
          <t>⏳ UPCOMING</t>
        </is>
      </c>
      <c r="I1616" s="11" t="inlineStr">
        <is>
          <t>Sbd.pdf</t>
        </is>
      </c>
      <c r="J1616" s="13" t="inlineStr">
        <is>
          <t>📕 PDF Document</t>
        </is>
      </c>
      <c r="K1616" s="15" t="n">
        <v>17.8</v>
      </c>
      <c r="L1616" s="16">
        <f>HYPERLINK("http://127.0.0.1:8000/api/documents/download?id=1935&amp;attachment=true", "⬇ Download Sbd.pdf")</f>
        <v/>
      </c>
      <c r="M1616" s="16">
        <f>HYPERLINK("http://localhost:5173/?state=Himachal%20Pradesh&amp;keyword=ICT&amp;tender=2026_PWD_145437_4", "🚀 Open in Portal")</f>
        <v/>
      </c>
    </row>
    <row r="1617" ht="24" customHeight="1">
      <c r="A1617" s="4" t="inlineStr">
        <is>
          <t>Himachal Pradesh</t>
        </is>
      </c>
      <c r="B1617" s="5" t="inlineStr">
        <is>
          <t>ICT</t>
        </is>
      </c>
      <c r="C1617" s="6" t="inlineStr">
        <is>
          <t>2026_PWD_145437_4</t>
        </is>
      </c>
      <c r="D1617" s="7" t="inlineStr">
        <is>
          <t>[Restoration of rain damages on link road Thana to Busal road in District Kangra (HP) (Under PDNA 2025) (SH-Construction of retaining all at RD 2/880 to 2/899.50) (L/side), CC pavement at RD 2/800 to 2/899.50 and U-shape drain at RD 2/850 to 2/899.50)]</t>
        </is>
      </c>
      <c r="E1617" s="7" t="inlineStr">
        <is>
          <t>Himachal Pradesh Public Works &amp; Technology Department</t>
        </is>
      </c>
      <c r="F1617" s="6" t="inlineStr">
        <is>
          <t>24 Oct 2026</t>
        </is>
      </c>
      <c r="G1617" s="5" t="inlineStr">
        <is>
          <t>14 Nov 2026</t>
        </is>
      </c>
      <c r="H1617" s="8" t="inlineStr">
        <is>
          <t>⏳ UPCOMING</t>
        </is>
      </c>
      <c r="I1617" s="4" t="inlineStr">
        <is>
          <t>BOQ_216599.xls</t>
        </is>
      </c>
      <c r="J1617" s="6" t="inlineStr">
        <is>
          <t>📊 Excel BOQ</t>
        </is>
      </c>
      <c r="K1617" s="9" t="n">
        <v>2.5</v>
      </c>
      <c r="L1617" s="10">
        <f>HYPERLINK("http://127.0.0.1:8000/api/documents/download?id=1936&amp;attachment=true", "⬇ Download BOQ_216599.xls")</f>
        <v/>
      </c>
      <c r="M1617" s="10">
        <f>HYPERLINK("http://localhost:5173/?state=Himachal%20Pradesh&amp;keyword=ICT&amp;tender=2026_PWD_145437_4", "🚀 Open in Portal")</f>
        <v/>
      </c>
    </row>
    <row r="1618" ht="24" customHeight="1">
      <c r="A1618" s="11" t="inlineStr">
        <is>
          <t>Himachal Pradesh</t>
        </is>
      </c>
      <c r="B1618" s="12" t="inlineStr">
        <is>
          <t>ICT</t>
        </is>
      </c>
      <c r="C1618" s="13" t="inlineStr">
        <is>
          <t>2026_PWD_145437_4</t>
        </is>
      </c>
      <c r="D1618" s="14" t="inlineStr">
        <is>
          <t>[Restoration of rain damages on link road Thana to Busal road in District Kangra (HP) (Under PDNA 2025) (SH-Construction of retaining all at RD 2/880 to 2/899.50) (L/side), CC pavement at RD 2/800 to 2/899.50 and U-shape drain at RD 2/850 to 2/899.50)]</t>
        </is>
      </c>
      <c r="E1618" s="14" t="inlineStr">
        <is>
          <t>Himachal Pradesh Public Works &amp; Technology Department</t>
        </is>
      </c>
      <c r="F1618" s="13" t="inlineStr">
        <is>
          <t>24 Oct 2026</t>
        </is>
      </c>
      <c r="G1618" s="12" t="inlineStr">
        <is>
          <t>14 Nov 2026</t>
        </is>
      </c>
      <c r="H1618" s="8" t="inlineStr">
        <is>
          <t>⏳ UPCOMING</t>
        </is>
      </c>
      <c r="I1618" s="11" t="inlineStr">
        <is>
          <t>Tender_2026_PWD_145437_4_All_Documents.zip</t>
        </is>
      </c>
      <c r="J1618" s="13" t="inlineStr">
        <is>
          <t>📦 ZIP Package</t>
        </is>
      </c>
      <c r="K1618" s="15" t="n">
        <v>20.9</v>
      </c>
      <c r="L1618" s="16">
        <f>HYPERLINK("http://127.0.0.1:8000/api/documents/download?id=1937&amp;attachment=true", "⬇ Download Tender_2026_PWD_145437_4")</f>
        <v/>
      </c>
      <c r="M1618" s="16">
        <f>HYPERLINK("http://localhost:5173/?state=Himachal%20Pradesh&amp;keyword=ICT&amp;tender=2026_PWD_145437_4", "🚀 Open in Portal")</f>
        <v/>
      </c>
    </row>
    <row r="1619" ht="24" customHeight="1">
      <c r="A1619" s="4" t="inlineStr">
        <is>
          <t>Himachal Pradesh</t>
        </is>
      </c>
      <c r="B1619" s="5" t="inlineStr">
        <is>
          <t>ICT</t>
        </is>
      </c>
      <c r="C1619" s="6" t="inlineStr">
        <is>
          <t>2026_PWD_145437_6</t>
        </is>
      </c>
      <c r="D1619" s="7" t="inlineStr">
        <is>
          <t>[Restoration of rain damages on Nagrota Chahri Pathiar road 0/000 to 4/135 in District Kangra, Under PDNA 2025 (SH-Construction of Edge wall, U-shape drain and CC pavement in berms in between 1/030 to 1/150).]</t>
        </is>
      </c>
      <c r="E1619" s="7" t="inlineStr">
        <is>
          <t>Himachal Pradesh Public Works &amp; Technology Department</t>
        </is>
      </c>
      <c r="F1619" s="6" t="inlineStr">
        <is>
          <t>24 Jul 2026</t>
        </is>
      </c>
      <c r="G1619" s="5" t="inlineStr">
        <is>
          <t>21 Aug 2026</t>
        </is>
      </c>
      <c r="H1619" s="8" t="inlineStr">
        <is>
          <t>⏳ UPCOMING</t>
        </is>
      </c>
      <c r="I1619" s="4" t="inlineStr">
        <is>
          <t>Tendernotice_1.pdf</t>
        </is>
      </c>
      <c r="J1619" s="6" t="inlineStr">
        <is>
          <t>📕 PDF Document</t>
        </is>
      </c>
      <c r="K1619" s="9" t="n">
        <v>17.9</v>
      </c>
      <c r="L1619" s="10">
        <f>HYPERLINK("http://127.0.0.1:8000/api/documents/download?id=1954&amp;attachment=true", "⬇ Download Tendernotice_1.pdf")</f>
        <v/>
      </c>
      <c r="M1619" s="10">
        <f>HYPERLINK("http://localhost:5173/?state=Himachal%20Pradesh&amp;keyword=ICT&amp;tender=2026_PWD_145437_6", "🚀 Open in Portal")</f>
        <v/>
      </c>
    </row>
    <row r="1620" ht="24" customHeight="1">
      <c r="A1620" s="11" t="inlineStr">
        <is>
          <t>Himachal Pradesh</t>
        </is>
      </c>
      <c r="B1620" s="12" t="inlineStr">
        <is>
          <t>ICT</t>
        </is>
      </c>
      <c r="C1620" s="13" t="inlineStr">
        <is>
          <t>2026_PWD_145437_6</t>
        </is>
      </c>
      <c r="D1620" s="14" t="inlineStr">
        <is>
          <t>[Restoration of rain damages on Nagrota Chahri Pathiar road 0/000 to 4/135 in District Kangra, Under PDNA 2025 (SH-Construction of Edge wall, U-shape drain and CC pavement in berms in between 1/030 to 1/150).]</t>
        </is>
      </c>
      <c r="E1620" s="14" t="inlineStr">
        <is>
          <t>Himachal Pradesh Public Works &amp; Technology Department</t>
        </is>
      </c>
      <c r="F1620" s="13" t="inlineStr">
        <is>
          <t>24 Jul 2026</t>
        </is>
      </c>
      <c r="G1620" s="12" t="inlineStr">
        <is>
          <t>21 Aug 2026</t>
        </is>
      </c>
      <c r="H1620" s="8" t="inlineStr">
        <is>
          <t>⏳ UPCOMING</t>
        </is>
      </c>
      <c r="I1620" s="11" t="inlineStr">
        <is>
          <t>Sbd.pdf</t>
        </is>
      </c>
      <c r="J1620" s="13" t="inlineStr">
        <is>
          <t>📕 PDF Document</t>
        </is>
      </c>
      <c r="K1620" s="15" t="n">
        <v>17.8</v>
      </c>
      <c r="L1620" s="16">
        <f>HYPERLINK("http://127.0.0.1:8000/api/documents/download?id=1955&amp;attachment=true", "⬇ Download Sbd.pdf")</f>
        <v/>
      </c>
      <c r="M1620" s="16">
        <f>HYPERLINK("http://localhost:5173/?state=Himachal%20Pradesh&amp;keyword=ICT&amp;tender=2026_PWD_145437_6", "🚀 Open in Portal")</f>
        <v/>
      </c>
    </row>
    <row r="1621" ht="24" customHeight="1">
      <c r="A1621" s="4" t="inlineStr">
        <is>
          <t>Himachal Pradesh</t>
        </is>
      </c>
      <c r="B1621" s="5" t="inlineStr">
        <is>
          <t>ICT</t>
        </is>
      </c>
      <c r="C1621" s="6" t="inlineStr">
        <is>
          <t>2026_PWD_145437_6</t>
        </is>
      </c>
      <c r="D1621" s="7" t="inlineStr">
        <is>
          <t>[Restoration of rain damages on Nagrota Chahri Pathiar road 0/000 to 4/135 in District Kangra, Under PDNA 2025 (SH-Construction of Edge wall, U-shape drain and CC pavement in berms in between 1/030 to 1/150).]</t>
        </is>
      </c>
      <c r="E1621" s="7" t="inlineStr">
        <is>
          <t>Himachal Pradesh Public Works &amp; Technology Department</t>
        </is>
      </c>
      <c r="F1621" s="6" t="inlineStr">
        <is>
          <t>24 Jul 2026</t>
        </is>
      </c>
      <c r="G1621" s="5" t="inlineStr">
        <is>
          <t>21 Aug 2026</t>
        </is>
      </c>
      <c r="H1621" s="8" t="inlineStr">
        <is>
          <t>⏳ UPCOMING</t>
        </is>
      </c>
      <c r="I1621" s="4" t="inlineStr">
        <is>
          <t>BOQ_216623.xls</t>
        </is>
      </c>
      <c r="J1621" s="6" t="inlineStr">
        <is>
          <t>📊 Excel BOQ</t>
        </is>
      </c>
      <c r="K1621" s="9" t="n">
        <v>2.5</v>
      </c>
      <c r="L1621" s="10">
        <f>HYPERLINK("http://127.0.0.1:8000/api/documents/download?id=1956&amp;attachment=true", "⬇ Download BOQ_216623.xls")</f>
        <v/>
      </c>
      <c r="M1621" s="10">
        <f>HYPERLINK("http://localhost:5173/?state=Himachal%20Pradesh&amp;keyword=ICT&amp;tender=2026_PWD_145437_6", "🚀 Open in Portal")</f>
        <v/>
      </c>
    </row>
    <row r="1622" ht="24" customHeight="1">
      <c r="A1622" s="11" t="inlineStr">
        <is>
          <t>Himachal Pradesh</t>
        </is>
      </c>
      <c r="B1622" s="12" t="inlineStr">
        <is>
          <t>ICT</t>
        </is>
      </c>
      <c r="C1622" s="13" t="inlineStr">
        <is>
          <t>2026_PWD_145437_6</t>
        </is>
      </c>
      <c r="D1622" s="14" t="inlineStr">
        <is>
          <t>[Restoration of rain damages on Nagrota Chahri Pathiar road 0/000 to 4/135 in District Kangra, Under PDNA 2025 (SH-Construction of Edge wall, U-shape drain and CC pavement in berms in between 1/030 to 1/150).]</t>
        </is>
      </c>
      <c r="E1622" s="14" t="inlineStr">
        <is>
          <t>Himachal Pradesh Public Works &amp; Technology Department</t>
        </is>
      </c>
      <c r="F1622" s="13" t="inlineStr">
        <is>
          <t>24 Jul 2026</t>
        </is>
      </c>
      <c r="G1622" s="12" t="inlineStr">
        <is>
          <t>21 Aug 2026</t>
        </is>
      </c>
      <c r="H1622" s="8" t="inlineStr">
        <is>
          <t>⏳ UPCOMING</t>
        </is>
      </c>
      <c r="I1622" s="11" t="inlineStr">
        <is>
          <t>Tender_2026_PWD_145437_6_All_Documents.zip</t>
        </is>
      </c>
      <c r="J1622" s="13" t="inlineStr">
        <is>
          <t>📦 ZIP Package</t>
        </is>
      </c>
      <c r="K1622" s="15" t="n">
        <v>20.9</v>
      </c>
      <c r="L1622" s="16">
        <f>HYPERLINK("http://127.0.0.1:8000/api/documents/download?id=1957&amp;attachment=true", "⬇ Download Tender_2026_PWD_145437_6")</f>
        <v/>
      </c>
      <c r="M1622" s="16">
        <f>HYPERLINK("http://localhost:5173/?state=Himachal%20Pradesh&amp;keyword=ICT&amp;tender=2026_PWD_145437_6", "🚀 Open in Portal")</f>
        <v/>
      </c>
    </row>
    <row r="1623" ht="24" customHeight="1">
      <c r="A1623" s="4" t="inlineStr">
        <is>
          <t>Himachal Pradesh</t>
        </is>
      </c>
      <c r="B1623" s="5" t="inlineStr">
        <is>
          <t>ICT</t>
        </is>
      </c>
      <c r="C1623" s="6" t="inlineStr">
        <is>
          <t>2026_PWD_145437_7</t>
        </is>
      </c>
      <c r="D1623" s="7" t="inlineStr">
        <is>
          <t>[Construction of Gate at Tharu on link road NH-154 to village Tharu in Tehsil Nagrota Bagwan District Kangra (HP) (SH-Construction of Gate at RD 0/000)]</t>
        </is>
      </c>
      <c r="E1623" s="7" t="inlineStr">
        <is>
          <t>Himachal Pradesh Public Works &amp; Technology Department</t>
        </is>
      </c>
      <c r="F1623" s="6" t="inlineStr">
        <is>
          <t>03 Oct 2026</t>
        </is>
      </c>
      <c r="G1623" s="5" t="inlineStr">
        <is>
          <t>28 Oct 2026</t>
        </is>
      </c>
      <c r="H1623" s="17" t="inlineStr">
        <is>
          <t>🟢 LIVE ACTIVE</t>
        </is>
      </c>
      <c r="I1623" s="4" t="inlineStr">
        <is>
          <t>Tendernotice_1.pdf</t>
        </is>
      </c>
      <c r="J1623" s="6" t="inlineStr">
        <is>
          <t>📕 PDF Document</t>
        </is>
      </c>
      <c r="K1623" s="9" t="n">
        <v>17.9</v>
      </c>
      <c r="L1623" s="10">
        <f>HYPERLINK("http://127.0.0.1:8000/api/documents/download?id=1950&amp;attachment=true", "⬇ Download Tendernotice_1.pdf")</f>
        <v/>
      </c>
      <c r="M1623" s="10">
        <f>HYPERLINK("http://localhost:5173/?state=Himachal%20Pradesh&amp;keyword=ICT&amp;tender=2026_PWD_145437_7", "🚀 Open in Portal")</f>
        <v/>
      </c>
    </row>
    <row r="1624" ht="24" customHeight="1">
      <c r="A1624" s="11" t="inlineStr">
        <is>
          <t>Himachal Pradesh</t>
        </is>
      </c>
      <c r="B1624" s="12" t="inlineStr">
        <is>
          <t>ICT</t>
        </is>
      </c>
      <c r="C1624" s="13" t="inlineStr">
        <is>
          <t>2026_PWD_145437_7</t>
        </is>
      </c>
      <c r="D1624" s="14" t="inlineStr">
        <is>
          <t>[Construction of Gate at Tharu on link road NH-154 to village Tharu in Tehsil Nagrota Bagwan District Kangra (HP) (SH-Construction of Gate at RD 0/000)]</t>
        </is>
      </c>
      <c r="E1624" s="14" t="inlineStr">
        <is>
          <t>Himachal Pradesh Public Works &amp; Technology Department</t>
        </is>
      </c>
      <c r="F1624" s="13" t="inlineStr">
        <is>
          <t>03 Oct 2026</t>
        </is>
      </c>
      <c r="G1624" s="12" t="inlineStr">
        <is>
          <t>28 Oct 2026</t>
        </is>
      </c>
      <c r="H1624" s="17" t="inlineStr">
        <is>
          <t>🟢 LIVE ACTIVE</t>
        </is>
      </c>
      <c r="I1624" s="11" t="inlineStr">
        <is>
          <t>Sbd.pdf</t>
        </is>
      </c>
      <c r="J1624" s="13" t="inlineStr">
        <is>
          <t>📕 PDF Document</t>
        </is>
      </c>
      <c r="K1624" s="15" t="n">
        <v>17.8</v>
      </c>
      <c r="L1624" s="16">
        <f>HYPERLINK("http://127.0.0.1:8000/api/documents/download?id=1951&amp;attachment=true", "⬇ Download Sbd.pdf")</f>
        <v/>
      </c>
      <c r="M1624" s="16">
        <f>HYPERLINK("http://localhost:5173/?state=Himachal%20Pradesh&amp;keyword=ICT&amp;tender=2026_PWD_145437_7", "🚀 Open in Portal")</f>
        <v/>
      </c>
    </row>
    <row r="1625" ht="24" customHeight="1">
      <c r="A1625" s="4" t="inlineStr">
        <is>
          <t>Himachal Pradesh</t>
        </is>
      </c>
      <c r="B1625" s="5" t="inlineStr">
        <is>
          <t>ICT</t>
        </is>
      </c>
      <c r="C1625" s="6" t="inlineStr">
        <is>
          <t>2026_PWD_145437_7</t>
        </is>
      </c>
      <c r="D1625" s="7" t="inlineStr">
        <is>
          <t>[Construction of Gate at Tharu on link road NH-154 to village Tharu in Tehsil Nagrota Bagwan District Kangra (HP) (SH-Construction of Gate at RD 0/000)]</t>
        </is>
      </c>
      <c r="E1625" s="7" t="inlineStr">
        <is>
          <t>Himachal Pradesh Public Works &amp; Technology Department</t>
        </is>
      </c>
      <c r="F1625" s="6" t="inlineStr">
        <is>
          <t>03 Oct 2026</t>
        </is>
      </c>
      <c r="G1625" s="5" t="inlineStr">
        <is>
          <t>28 Oct 2026</t>
        </is>
      </c>
      <c r="H1625" s="17" t="inlineStr">
        <is>
          <t>🟢 LIVE ACTIVE</t>
        </is>
      </c>
      <c r="I1625" s="4" t="inlineStr">
        <is>
          <t>BOQ_216629.xls</t>
        </is>
      </c>
      <c r="J1625" s="6" t="inlineStr">
        <is>
          <t>📊 Excel BOQ</t>
        </is>
      </c>
      <c r="K1625" s="9" t="n">
        <v>2.5</v>
      </c>
      <c r="L1625" s="10">
        <f>HYPERLINK("http://127.0.0.1:8000/api/documents/download?id=1952&amp;attachment=true", "⬇ Download BOQ_216629.xls")</f>
        <v/>
      </c>
      <c r="M1625" s="10">
        <f>HYPERLINK("http://localhost:5173/?state=Himachal%20Pradesh&amp;keyword=ICT&amp;tender=2026_PWD_145437_7", "🚀 Open in Portal")</f>
        <v/>
      </c>
    </row>
    <row r="1626" ht="24" customHeight="1">
      <c r="A1626" s="11" t="inlineStr">
        <is>
          <t>Himachal Pradesh</t>
        </is>
      </c>
      <c r="B1626" s="12" t="inlineStr">
        <is>
          <t>ICT</t>
        </is>
      </c>
      <c r="C1626" s="13" t="inlineStr">
        <is>
          <t>2026_PWD_145437_7</t>
        </is>
      </c>
      <c r="D1626" s="14" t="inlineStr">
        <is>
          <t>[Construction of Gate at Tharu on link road NH-154 to village Tharu in Tehsil Nagrota Bagwan District Kangra (HP) (SH-Construction of Gate at RD 0/000)]</t>
        </is>
      </c>
      <c r="E1626" s="14" t="inlineStr">
        <is>
          <t>Himachal Pradesh Public Works &amp; Technology Department</t>
        </is>
      </c>
      <c r="F1626" s="13" t="inlineStr">
        <is>
          <t>03 Oct 2026</t>
        </is>
      </c>
      <c r="G1626" s="12" t="inlineStr">
        <is>
          <t>28 Oct 2026</t>
        </is>
      </c>
      <c r="H1626" s="17" t="inlineStr">
        <is>
          <t>🟢 LIVE ACTIVE</t>
        </is>
      </c>
      <c r="I1626" s="11" t="inlineStr">
        <is>
          <t>Tender_2026_PWD_145437_7_All_Documents.zip</t>
        </is>
      </c>
      <c r="J1626" s="13" t="inlineStr">
        <is>
          <t>📦 ZIP Package</t>
        </is>
      </c>
      <c r="K1626" s="15" t="n">
        <v>20.8</v>
      </c>
      <c r="L1626" s="16">
        <f>HYPERLINK("http://127.0.0.1:8000/api/documents/download?id=1953&amp;attachment=true", "⬇ Download Tender_2026_PWD_145437_7")</f>
        <v/>
      </c>
      <c r="M1626" s="16">
        <f>HYPERLINK("http://localhost:5173/?state=Himachal%20Pradesh&amp;keyword=ICT&amp;tender=2026_PWD_145437_7", "🚀 Open in Portal")</f>
        <v/>
      </c>
    </row>
    <row r="1627" ht="24" customHeight="1">
      <c r="A1627" s="4" t="inlineStr">
        <is>
          <t>Himachal Pradesh</t>
        </is>
      </c>
      <c r="B1627" s="5" t="inlineStr">
        <is>
          <t>ICT</t>
        </is>
      </c>
      <c r="C1627" s="6" t="inlineStr">
        <is>
          <t>2026_PWD_145437_8</t>
        </is>
      </c>
      <c r="D1627" s="7" t="inlineStr">
        <is>
          <t>[Construction of Dawar at Jandrah Chowk in Tehsil Baroh, District Kangra (HP) Deposit work (SH-Construction of Civil work etc)]</t>
        </is>
      </c>
      <c r="E1627" s="7" t="inlineStr">
        <is>
          <t>Himachal Pradesh Public Works &amp; Technology Department</t>
        </is>
      </c>
      <c r="F1627" s="6" t="inlineStr">
        <is>
          <t>11 Sep 2026</t>
        </is>
      </c>
      <c r="G1627" s="5" t="inlineStr">
        <is>
          <t>05 Oct 2026</t>
        </is>
      </c>
      <c r="H1627" s="8" t="inlineStr">
        <is>
          <t>⏳ UPCOMING</t>
        </is>
      </c>
      <c r="I1627" s="4" t="inlineStr">
        <is>
          <t>Tendernotice_1.pdf</t>
        </is>
      </c>
      <c r="J1627" s="6" t="inlineStr">
        <is>
          <t>📕 PDF Document</t>
        </is>
      </c>
      <c r="K1627" s="9" t="n">
        <v>17.9</v>
      </c>
      <c r="L1627" s="10">
        <f>HYPERLINK("http://127.0.0.1:8000/api/documents/download?id=1946&amp;attachment=true", "⬇ Download Tendernotice_1.pdf")</f>
        <v/>
      </c>
      <c r="M1627" s="10">
        <f>HYPERLINK("http://localhost:5173/?state=Himachal%20Pradesh&amp;keyword=ICT&amp;tender=2026_PWD_145437_8", "🚀 Open in Portal")</f>
        <v/>
      </c>
    </row>
    <row r="1628" ht="24" customHeight="1">
      <c r="A1628" s="11" t="inlineStr">
        <is>
          <t>Himachal Pradesh</t>
        </is>
      </c>
      <c r="B1628" s="12" t="inlineStr">
        <is>
          <t>ICT</t>
        </is>
      </c>
      <c r="C1628" s="13" t="inlineStr">
        <is>
          <t>2026_PWD_145437_8</t>
        </is>
      </c>
      <c r="D1628" s="14" t="inlineStr">
        <is>
          <t>[Construction of Dawar at Jandrah Chowk in Tehsil Baroh, District Kangra (HP) Deposit work (SH-Construction of Civil work etc)]</t>
        </is>
      </c>
      <c r="E1628" s="14" t="inlineStr">
        <is>
          <t>Himachal Pradesh Public Works &amp; Technology Department</t>
        </is>
      </c>
      <c r="F1628" s="13" t="inlineStr">
        <is>
          <t>11 Sep 2026</t>
        </is>
      </c>
      <c r="G1628" s="12" t="inlineStr">
        <is>
          <t>05 Oct 2026</t>
        </is>
      </c>
      <c r="H1628" s="8" t="inlineStr">
        <is>
          <t>⏳ UPCOMING</t>
        </is>
      </c>
      <c r="I1628" s="11" t="inlineStr">
        <is>
          <t>Sbd.pdf</t>
        </is>
      </c>
      <c r="J1628" s="13" t="inlineStr">
        <is>
          <t>📕 PDF Document</t>
        </is>
      </c>
      <c r="K1628" s="15" t="n">
        <v>17.8</v>
      </c>
      <c r="L1628" s="16">
        <f>HYPERLINK("http://127.0.0.1:8000/api/documents/download?id=1947&amp;attachment=true", "⬇ Download Sbd.pdf")</f>
        <v/>
      </c>
      <c r="M1628" s="16">
        <f>HYPERLINK("http://localhost:5173/?state=Himachal%20Pradesh&amp;keyword=ICT&amp;tender=2026_PWD_145437_8", "🚀 Open in Portal")</f>
        <v/>
      </c>
    </row>
    <row r="1629" ht="24" customHeight="1">
      <c r="A1629" s="4" t="inlineStr">
        <is>
          <t>Himachal Pradesh</t>
        </is>
      </c>
      <c r="B1629" s="5" t="inlineStr">
        <is>
          <t>ICT</t>
        </is>
      </c>
      <c r="C1629" s="6" t="inlineStr">
        <is>
          <t>2026_PWD_145437_8</t>
        </is>
      </c>
      <c r="D1629" s="7" t="inlineStr">
        <is>
          <t>[Construction of Dawar at Jandrah Chowk in Tehsil Baroh, District Kangra (HP) Deposit work (SH-Construction of Civil work etc)]</t>
        </is>
      </c>
      <c r="E1629" s="7" t="inlineStr">
        <is>
          <t>Himachal Pradesh Public Works &amp; Technology Department</t>
        </is>
      </c>
      <c r="F1629" s="6" t="inlineStr">
        <is>
          <t>11 Sep 2026</t>
        </is>
      </c>
      <c r="G1629" s="5" t="inlineStr">
        <is>
          <t>05 Oct 2026</t>
        </is>
      </c>
      <c r="H1629" s="8" t="inlineStr">
        <is>
          <t>⏳ UPCOMING</t>
        </is>
      </c>
      <c r="I1629" s="4" t="inlineStr">
        <is>
          <t>BOQ_216637.xls</t>
        </is>
      </c>
      <c r="J1629" s="6" t="inlineStr">
        <is>
          <t>📊 Excel BOQ</t>
        </is>
      </c>
      <c r="K1629" s="9" t="n">
        <v>2.5</v>
      </c>
      <c r="L1629" s="10">
        <f>HYPERLINK("http://127.0.0.1:8000/api/documents/download?id=1948&amp;attachment=true", "⬇ Download BOQ_216637.xls")</f>
        <v/>
      </c>
      <c r="M1629" s="10">
        <f>HYPERLINK("http://localhost:5173/?state=Himachal%20Pradesh&amp;keyword=ICT&amp;tender=2026_PWD_145437_8", "🚀 Open in Portal")</f>
        <v/>
      </c>
    </row>
    <row r="1630" ht="24" customHeight="1">
      <c r="A1630" s="11" t="inlineStr">
        <is>
          <t>Himachal Pradesh</t>
        </is>
      </c>
      <c r="B1630" s="12" t="inlineStr">
        <is>
          <t>ICT</t>
        </is>
      </c>
      <c r="C1630" s="13" t="inlineStr">
        <is>
          <t>2026_PWD_145437_8</t>
        </is>
      </c>
      <c r="D1630" s="14" t="inlineStr">
        <is>
          <t>[Construction of Dawar at Jandrah Chowk in Tehsil Baroh, District Kangra (HP) Deposit work (SH-Construction of Civil work etc)]</t>
        </is>
      </c>
      <c r="E1630" s="14" t="inlineStr">
        <is>
          <t>Himachal Pradesh Public Works &amp; Technology Department</t>
        </is>
      </c>
      <c r="F1630" s="13" t="inlineStr">
        <is>
          <t>11 Sep 2026</t>
        </is>
      </c>
      <c r="G1630" s="12" t="inlineStr">
        <is>
          <t>05 Oct 2026</t>
        </is>
      </c>
      <c r="H1630" s="8" t="inlineStr">
        <is>
          <t>⏳ UPCOMING</t>
        </is>
      </c>
      <c r="I1630" s="11" t="inlineStr">
        <is>
          <t>Tender_2026_PWD_145437_8_All_Documents.zip</t>
        </is>
      </c>
      <c r="J1630" s="13" t="inlineStr">
        <is>
          <t>📦 ZIP Package</t>
        </is>
      </c>
      <c r="K1630" s="15" t="n">
        <v>20.8</v>
      </c>
      <c r="L1630" s="16">
        <f>HYPERLINK("http://127.0.0.1:8000/api/documents/download?id=1949&amp;attachment=true", "⬇ Download Tender_2026_PWD_145437_8")</f>
        <v/>
      </c>
      <c r="M1630" s="16">
        <f>HYPERLINK("http://localhost:5173/?state=Himachal%20Pradesh&amp;keyword=ICT&amp;tender=2026_PWD_145437_8", "🚀 Open in Portal")</f>
        <v/>
      </c>
    </row>
    <row r="1631" ht="24" customHeight="1">
      <c r="A1631" s="4" t="inlineStr">
        <is>
          <t>Himachal Pradesh</t>
        </is>
      </c>
      <c r="B1631" s="5" t="inlineStr">
        <is>
          <t>ICT</t>
        </is>
      </c>
      <c r="C1631" s="6" t="inlineStr">
        <is>
          <t>2026_PWD_145463_1</t>
        </is>
      </c>
      <c r="D1631" s="7" t="inlineStr">
        <is>
          <t>[Restoration of rain damages on Mumta Bhadrehar road in Km 0/000 to 1/852 in District Kangra (HP)(Under PDNA 2025) (SH-Construction of Breast wall with U-Shape Drain in Between at RD 0/800 to 0/920) (4442-2.1)]</t>
        </is>
      </c>
      <c r="E1631" s="7" t="inlineStr">
        <is>
          <t>Himachal Pradesh Public Works &amp; Technology Department</t>
        </is>
      </c>
      <c r="F1631" s="6" t="inlineStr">
        <is>
          <t>21 Jul 2026</t>
        </is>
      </c>
      <c r="G1631" s="5" t="inlineStr">
        <is>
          <t>17 Aug 2026</t>
        </is>
      </c>
      <c r="H1631" s="8" t="inlineStr">
        <is>
          <t>⏳ UPCOMING</t>
        </is>
      </c>
      <c r="I1631" s="4" t="inlineStr">
        <is>
          <t>Tendernotice_1.pdf</t>
        </is>
      </c>
      <c r="J1631" s="6" t="inlineStr">
        <is>
          <t>📕 PDF Document</t>
        </is>
      </c>
      <c r="K1631" s="9" t="n">
        <v>17.9</v>
      </c>
      <c r="L1631" s="10">
        <f>HYPERLINK("http://127.0.0.1:8000/api/documents/download?id=1938&amp;attachment=true", "⬇ Download Tendernotice_1.pdf")</f>
        <v/>
      </c>
      <c r="M1631" s="10">
        <f>HYPERLINK("http://localhost:5173/?state=Himachal%20Pradesh&amp;keyword=ICT&amp;tender=2026_PWD_145463_1", "🚀 Open in Portal")</f>
        <v/>
      </c>
    </row>
    <row r="1632" ht="24" customHeight="1">
      <c r="A1632" s="11" t="inlineStr">
        <is>
          <t>Himachal Pradesh</t>
        </is>
      </c>
      <c r="B1632" s="12" t="inlineStr">
        <is>
          <t>ICT</t>
        </is>
      </c>
      <c r="C1632" s="13" t="inlineStr">
        <is>
          <t>2026_PWD_145463_1</t>
        </is>
      </c>
      <c r="D1632" s="14" t="inlineStr">
        <is>
          <t>[Restoration of rain damages on Mumta Bhadrehar road in Km 0/000 to 1/852 in District Kangra (HP)(Under PDNA 2025) (SH-Construction of Breast wall with U-Shape Drain in Between at RD 0/800 to 0/920) (4442-2.1)]</t>
        </is>
      </c>
      <c r="E1632" s="14" t="inlineStr">
        <is>
          <t>Himachal Pradesh Public Works &amp; Technology Department</t>
        </is>
      </c>
      <c r="F1632" s="13" t="inlineStr">
        <is>
          <t>21 Jul 2026</t>
        </is>
      </c>
      <c r="G1632" s="12" t="inlineStr">
        <is>
          <t>17 Aug 2026</t>
        </is>
      </c>
      <c r="H1632" s="8" t="inlineStr">
        <is>
          <t>⏳ UPCOMING</t>
        </is>
      </c>
      <c r="I1632" s="11" t="inlineStr">
        <is>
          <t>BOQ_216648.xls</t>
        </is>
      </c>
      <c r="J1632" s="13" t="inlineStr">
        <is>
          <t>📊 Excel BOQ</t>
        </is>
      </c>
      <c r="K1632" s="15" t="n">
        <v>2.5</v>
      </c>
      <c r="L1632" s="16">
        <f>HYPERLINK("http://127.0.0.1:8000/api/documents/download?id=1939&amp;attachment=true", "⬇ Download BOQ_216648.xls")</f>
        <v/>
      </c>
      <c r="M1632" s="16">
        <f>HYPERLINK("http://localhost:5173/?state=Himachal%20Pradesh&amp;keyword=ICT&amp;tender=2026_PWD_145463_1", "🚀 Open in Portal")</f>
        <v/>
      </c>
    </row>
    <row r="1633" ht="24" customHeight="1">
      <c r="A1633" s="4" t="inlineStr">
        <is>
          <t>Himachal Pradesh</t>
        </is>
      </c>
      <c r="B1633" s="5" t="inlineStr">
        <is>
          <t>ICT</t>
        </is>
      </c>
      <c r="C1633" s="6" t="inlineStr">
        <is>
          <t>2026_PWD_145463_1</t>
        </is>
      </c>
      <c r="D1633" s="7" t="inlineStr">
        <is>
          <t>[Restoration of rain damages on Mumta Bhadrehar road in Km 0/000 to 1/852 in District Kangra (HP)(Under PDNA 2025) (SH-Construction of Breast wall with U-Shape Drain in Between at RD 0/800 to 0/920) (4442-2.1)]</t>
        </is>
      </c>
      <c r="E1633" s="7" t="inlineStr">
        <is>
          <t>Himachal Pradesh Public Works &amp; Technology Department</t>
        </is>
      </c>
      <c r="F1633" s="6" t="inlineStr">
        <is>
          <t>21 Jul 2026</t>
        </is>
      </c>
      <c r="G1633" s="5" t="inlineStr">
        <is>
          <t>17 Aug 2026</t>
        </is>
      </c>
      <c r="H1633" s="8" t="inlineStr">
        <is>
          <t>⏳ UPCOMING</t>
        </is>
      </c>
      <c r="I1633" s="4" t="inlineStr">
        <is>
          <t>Sbd.pdf</t>
        </is>
      </c>
      <c r="J1633" s="6" t="inlineStr">
        <is>
          <t>📕 PDF Document</t>
        </is>
      </c>
      <c r="K1633" s="9" t="n">
        <v>17.8</v>
      </c>
      <c r="L1633" s="10">
        <f>HYPERLINK("http://127.0.0.1:8000/api/documents/download?id=1940&amp;attachment=true", "⬇ Download Sbd.pdf")</f>
        <v/>
      </c>
      <c r="M1633" s="10">
        <f>HYPERLINK("http://localhost:5173/?state=Himachal%20Pradesh&amp;keyword=ICT&amp;tender=2026_PWD_145463_1", "🚀 Open in Portal")</f>
        <v/>
      </c>
    </row>
    <row r="1634" ht="24" customHeight="1">
      <c r="A1634" s="11" t="inlineStr">
        <is>
          <t>Himachal Pradesh</t>
        </is>
      </c>
      <c r="B1634" s="12" t="inlineStr">
        <is>
          <t>ICT</t>
        </is>
      </c>
      <c r="C1634" s="13" t="inlineStr">
        <is>
          <t>2026_PWD_145463_1</t>
        </is>
      </c>
      <c r="D1634" s="14" t="inlineStr">
        <is>
          <t>[Restoration of rain damages on Mumta Bhadrehar road in Km 0/000 to 1/852 in District Kangra (HP)(Under PDNA 2025) (SH-Construction of Breast wall with U-Shape Drain in Between at RD 0/800 to 0/920) (4442-2.1)]</t>
        </is>
      </c>
      <c r="E1634" s="14" t="inlineStr">
        <is>
          <t>Himachal Pradesh Public Works &amp; Technology Department</t>
        </is>
      </c>
      <c r="F1634" s="13" t="inlineStr">
        <is>
          <t>21 Jul 2026</t>
        </is>
      </c>
      <c r="G1634" s="12" t="inlineStr">
        <is>
          <t>17 Aug 2026</t>
        </is>
      </c>
      <c r="H1634" s="8" t="inlineStr">
        <is>
          <t>⏳ UPCOMING</t>
        </is>
      </c>
      <c r="I1634" s="11" t="inlineStr">
        <is>
          <t>Tender_2026_PWD_145463_1_All_Documents.zip</t>
        </is>
      </c>
      <c r="J1634" s="13" t="inlineStr">
        <is>
          <t>📦 ZIP Package</t>
        </is>
      </c>
      <c r="K1634" s="15" t="n">
        <v>20.9</v>
      </c>
      <c r="L1634" s="16">
        <f>HYPERLINK("http://127.0.0.1:8000/api/documents/download?id=1941&amp;attachment=true", "⬇ Download Tender_2026_PWD_145463_1")</f>
        <v/>
      </c>
      <c r="M1634" s="16">
        <f>HYPERLINK("http://localhost:5173/?state=Himachal%20Pradesh&amp;keyword=ICT&amp;tender=2026_PWD_145463_1", "🚀 Open in Portal")</f>
        <v/>
      </c>
    </row>
    <row r="1635" ht="24" customHeight="1">
      <c r="A1635" s="4" t="inlineStr">
        <is>
          <t>Himachal Pradesh</t>
        </is>
      </c>
      <c r="B1635" s="5" t="inlineStr">
        <is>
          <t>ICT</t>
        </is>
      </c>
      <c r="C1635" s="6" t="inlineStr">
        <is>
          <t>2026_PWD_145463_2</t>
        </is>
      </c>
      <c r="D1635" s="7" t="inlineStr">
        <is>
          <t>[Restoration of rain damages on link road Chhughera Sadoon Khawa Kandi road in District Kangra (HP) Under PDNA2025 (SH- Providing and laying G-III and cement concrete pavement at RD 6/500 to 6/923) (4376-5)]</t>
        </is>
      </c>
      <c r="E1635" s="7" t="inlineStr">
        <is>
          <t>Himachal Pradesh Public Works &amp; Technology Department</t>
        </is>
      </c>
      <c r="F1635" s="6" t="inlineStr">
        <is>
          <t>16 Aug 2026</t>
        </is>
      </c>
      <c r="G1635" s="5" t="inlineStr">
        <is>
          <t>06 Sep 2026</t>
        </is>
      </c>
      <c r="H1635" s="8" t="inlineStr">
        <is>
          <t>⏳ UPCOMING</t>
        </is>
      </c>
      <c r="I1635" s="4" t="inlineStr">
        <is>
          <t>Tendernotice_1.pdf</t>
        </is>
      </c>
      <c r="J1635" s="6" t="inlineStr">
        <is>
          <t>📕 PDF Document</t>
        </is>
      </c>
      <c r="K1635" s="9" t="n">
        <v>17.9</v>
      </c>
      <c r="L1635" s="10">
        <f>HYPERLINK("http://127.0.0.1:8000/api/documents/download?id=1942&amp;attachment=true", "⬇ Download Tendernotice_1.pdf")</f>
        <v/>
      </c>
      <c r="M1635" s="10">
        <f>HYPERLINK("http://localhost:5173/?state=Himachal%20Pradesh&amp;keyword=ICT&amp;tender=2026_PWD_145463_2", "🚀 Open in Portal")</f>
        <v/>
      </c>
    </row>
    <row r="1636" ht="24" customHeight="1">
      <c r="A1636" s="11" t="inlineStr">
        <is>
          <t>Himachal Pradesh</t>
        </is>
      </c>
      <c r="B1636" s="12" t="inlineStr">
        <is>
          <t>ICT</t>
        </is>
      </c>
      <c r="C1636" s="13" t="inlineStr">
        <is>
          <t>2026_PWD_145463_2</t>
        </is>
      </c>
      <c r="D1636" s="14" t="inlineStr">
        <is>
          <t>[Restoration of rain damages on link road Chhughera Sadoon Khawa Kandi road in District Kangra (HP) Under PDNA2025 (SH- Providing and laying G-III and cement concrete pavement at RD 6/500 to 6/923) (4376-5)]</t>
        </is>
      </c>
      <c r="E1636" s="14" t="inlineStr">
        <is>
          <t>Himachal Pradesh Public Works &amp; Technology Department</t>
        </is>
      </c>
      <c r="F1636" s="13" t="inlineStr">
        <is>
          <t>16 Aug 2026</t>
        </is>
      </c>
      <c r="G1636" s="12" t="inlineStr">
        <is>
          <t>06 Sep 2026</t>
        </is>
      </c>
      <c r="H1636" s="8" t="inlineStr">
        <is>
          <t>⏳ UPCOMING</t>
        </is>
      </c>
      <c r="I1636" s="11" t="inlineStr">
        <is>
          <t>Sbd.pdf</t>
        </is>
      </c>
      <c r="J1636" s="13" t="inlineStr">
        <is>
          <t>📕 PDF Document</t>
        </is>
      </c>
      <c r="K1636" s="15" t="n">
        <v>17.8</v>
      </c>
      <c r="L1636" s="16">
        <f>HYPERLINK("http://127.0.0.1:8000/api/documents/download?id=1943&amp;attachment=true", "⬇ Download Sbd.pdf")</f>
        <v/>
      </c>
      <c r="M1636" s="16">
        <f>HYPERLINK("http://localhost:5173/?state=Himachal%20Pradesh&amp;keyword=ICT&amp;tender=2026_PWD_145463_2", "🚀 Open in Portal")</f>
        <v/>
      </c>
    </row>
    <row r="1637" ht="24" customHeight="1">
      <c r="A1637" s="4" t="inlineStr">
        <is>
          <t>Himachal Pradesh</t>
        </is>
      </c>
      <c r="B1637" s="5" t="inlineStr">
        <is>
          <t>ICT</t>
        </is>
      </c>
      <c r="C1637" s="6" t="inlineStr">
        <is>
          <t>2026_PWD_145463_2</t>
        </is>
      </c>
      <c r="D1637" s="7" t="inlineStr">
        <is>
          <t>[Restoration of rain damages on link road Chhughera Sadoon Khawa Kandi road in District Kangra (HP) Under PDNA2025 (SH- Providing and laying G-III and cement concrete pavement at RD 6/500 to 6/923) (4376-5)]</t>
        </is>
      </c>
      <c r="E1637" s="7" t="inlineStr">
        <is>
          <t>Himachal Pradesh Public Works &amp; Technology Department</t>
        </is>
      </c>
      <c r="F1637" s="6" t="inlineStr">
        <is>
          <t>16 Aug 2026</t>
        </is>
      </c>
      <c r="G1637" s="5" t="inlineStr">
        <is>
          <t>06 Sep 2026</t>
        </is>
      </c>
      <c r="H1637" s="8" t="inlineStr">
        <is>
          <t>⏳ UPCOMING</t>
        </is>
      </c>
      <c r="I1637" s="4" t="inlineStr">
        <is>
          <t>BOQ_216651.xls</t>
        </is>
      </c>
      <c r="J1637" s="6" t="inlineStr">
        <is>
          <t>📊 Excel BOQ</t>
        </is>
      </c>
      <c r="K1637" s="9" t="n">
        <v>2.5</v>
      </c>
      <c r="L1637" s="10">
        <f>HYPERLINK("http://127.0.0.1:8000/api/documents/download?id=1944&amp;attachment=true", "⬇ Download BOQ_216651.xls")</f>
        <v/>
      </c>
      <c r="M1637" s="10">
        <f>HYPERLINK("http://localhost:5173/?state=Himachal%20Pradesh&amp;keyword=ICT&amp;tender=2026_PWD_145463_2", "🚀 Open in Portal")</f>
        <v/>
      </c>
    </row>
    <row r="1638" ht="24" customHeight="1">
      <c r="A1638" s="11" t="inlineStr">
        <is>
          <t>Himachal Pradesh</t>
        </is>
      </c>
      <c r="B1638" s="12" t="inlineStr">
        <is>
          <t>ICT</t>
        </is>
      </c>
      <c r="C1638" s="13" t="inlineStr">
        <is>
          <t>2026_PWD_145463_2</t>
        </is>
      </c>
      <c r="D1638" s="14" t="inlineStr">
        <is>
          <t>[Restoration of rain damages on link road Chhughera Sadoon Khawa Kandi road in District Kangra (HP) Under PDNA2025 (SH- Providing and laying G-III and cement concrete pavement at RD 6/500 to 6/923) (4376-5)]</t>
        </is>
      </c>
      <c r="E1638" s="14" t="inlineStr">
        <is>
          <t>Himachal Pradesh Public Works &amp; Technology Department</t>
        </is>
      </c>
      <c r="F1638" s="13" t="inlineStr">
        <is>
          <t>16 Aug 2026</t>
        </is>
      </c>
      <c r="G1638" s="12" t="inlineStr">
        <is>
          <t>06 Sep 2026</t>
        </is>
      </c>
      <c r="H1638" s="8" t="inlineStr">
        <is>
          <t>⏳ UPCOMING</t>
        </is>
      </c>
      <c r="I1638" s="11" t="inlineStr">
        <is>
          <t>Tender_2026_PWD_145463_2_All_Documents.zip</t>
        </is>
      </c>
      <c r="J1638" s="13" t="inlineStr">
        <is>
          <t>📦 ZIP Package</t>
        </is>
      </c>
      <c r="K1638" s="15" t="n">
        <v>20.8</v>
      </c>
      <c r="L1638" s="16">
        <f>HYPERLINK("http://127.0.0.1:8000/api/documents/download?id=1945&amp;attachment=true", "⬇ Download Tender_2026_PWD_145463_2")</f>
        <v/>
      </c>
      <c r="M1638" s="16">
        <f>HYPERLINK("http://localhost:5173/?state=Himachal%20Pradesh&amp;keyword=ICT&amp;tender=2026_PWD_145463_2", "🚀 Open in Portal")</f>
        <v/>
      </c>
    </row>
    <row r="1639" ht="24" customHeight="1">
      <c r="A1639" s="4" t="inlineStr">
        <is>
          <t>Himachal Pradesh</t>
        </is>
      </c>
      <c r="B1639" s="5" t="inlineStr">
        <is>
          <t>ICT</t>
        </is>
      </c>
      <c r="C1639" s="6" t="inlineStr">
        <is>
          <t>2026_UDDHP_145199_1</t>
        </is>
      </c>
      <c r="D1639" s="7" t="inlineStr">
        <is>
          <t>[Repair and maintenance of Streets/Paths/Roads in Dharamshala Municipal Corporation Jurisdiction.]</t>
        </is>
      </c>
      <c r="E1639" s="7" t="inlineStr">
        <is>
          <t>Himachal Pradesh Public Works &amp; Technology Department</t>
        </is>
      </c>
      <c r="F1639" s="6" t="inlineStr">
        <is>
          <t>29 Aug 2026</t>
        </is>
      </c>
      <c r="G1639" s="5" t="inlineStr">
        <is>
          <t>21 Sep 2026</t>
        </is>
      </c>
      <c r="H1639" s="8" t="inlineStr">
        <is>
          <t>⏳ UPCOMING</t>
        </is>
      </c>
      <c r="I1639" s="4" t="inlineStr">
        <is>
          <t>Tendernotice_1.pdf</t>
        </is>
      </c>
      <c r="J1639" s="6" t="inlineStr">
        <is>
          <t>📕 PDF Document</t>
        </is>
      </c>
      <c r="K1639" s="9" t="n">
        <v>17.9</v>
      </c>
      <c r="L1639" s="10">
        <f>HYPERLINK("http://127.0.0.1:8000/api/documents/download?id=1996&amp;attachment=true", "⬇ Download Tendernotice_1.pdf")</f>
        <v/>
      </c>
      <c r="M1639" s="10">
        <f>HYPERLINK("http://localhost:5173/?state=Himachal%20Pradesh&amp;keyword=ICT&amp;tender=2026_UDDHP_145199_1", "🚀 Open in Portal")</f>
        <v/>
      </c>
    </row>
    <row r="1640" ht="24" customHeight="1">
      <c r="A1640" s="11" t="inlineStr">
        <is>
          <t>Himachal Pradesh</t>
        </is>
      </c>
      <c r="B1640" s="12" t="inlineStr">
        <is>
          <t>ICT</t>
        </is>
      </c>
      <c r="C1640" s="13" t="inlineStr">
        <is>
          <t>2026_UDDHP_145199_1</t>
        </is>
      </c>
      <c r="D1640" s="14" t="inlineStr">
        <is>
          <t>[Repair and maintenance of Streets/Paths/Roads in Dharamshala Municipal Corporation Jurisdiction.]</t>
        </is>
      </c>
      <c r="E1640" s="14" t="inlineStr">
        <is>
          <t>Himachal Pradesh Public Works &amp; Technology Department</t>
        </is>
      </c>
      <c r="F1640" s="13" t="inlineStr">
        <is>
          <t>29 Aug 2026</t>
        </is>
      </c>
      <c r="G1640" s="12" t="inlineStr">
        <is>
          <t>21 Sep 2026</t>
        </is>
      </c>
      <c r="H1640" s="8" t="inlineStr">
        <is>
          <t>⏳ UPCOMING</t>
        </is>
      </c>
      <c r="I1640" s="11" t="inlineStr">
        <is>
          <t>BOQ_216200.xls</t>
        </is>
      </c>
      <c r="J1640" s="13" t="inlineStr">
        <is>
          <t>📊 Excel BOQ</t>
        </is>
      </c>
      <c r="K1640" s="15" t="n">
        <v>2.5</v>
      </c>
      <c r="L1640" s="16">
        <f>HYPERLINK("http://127.0.0.1:8000/api/documents/download?id=1997&amp;attachment=true", "⬇ Download BOQ_216200.xls")</f>
        <v/>
      </c>
      <c r="M1640" s="16">
        <f>HYPERLINK("http://localhost:5173/?state=Himachal%20Pradesh&amp;keyword=ICT&amp;tender=2026_UDDHP_145199_1", "🚀 Open in Portal")</f>
        <v/>
      </c>
    </row>
    <row r="1641" ht="24" customHeight="1">
      <c r="A1641" s="4" t="inlineStr">
        <is>
          <t>Himachal Pradesh</t>
        </is>
      </c>
      <c r="B1641" s="5" t="inlineStr">
        <is>
          <t>ICT</t>
        </is>
      </c>
      <c r="C1641" s="6" t="inlineStr">
        <is>
          <t>2026_UDDHP_145199_1</t>
        </is>
      </c>
      <c r="D1641" s="7" t="inlineStr">
        <is>
          <t>[Repair and maintenance of Streets/Paths/Roads in Dharamshala Municipal Corporation Jurisdiction.]</t>
        </is>
      </c>
      <c r="E1641" s="7" t="inlineStr">
        <is>
          <t>Himachal Pradesh Public Works &amp; Technology Department</t>
        </is>
      </c>
      <c r="F1641" s="6" t="inlineStr">
        <is>
          <t>29 Aug 2026</t>
        </is>
      </c>
      <c r="G1641" s="5" t="inlineStr">
        <is>
          <t>21 Sep 2026</t>
        </is>
      </c>
      <c r="H1641" s="8" t="inlineStr">
        <is>
          <t>⏳ UPCOMING</t>
        </is>
      </c>
      <c r="I1641" s="4" t="inlineStr">
        <is>
          <t>1SBD.pdf</t>
        </is>
      </c>
      <c r="J1641" s="6" t="inlineStr">
        <is>
          <t>📕 PDF Document</t>
        </is>
      </c>
      <c r="K1641" s="9" t="n">
        <v>17.9</v>
      </c>
      <c r="L1641" s="10">
        <f>HYPERLINK("http://127.0.0.1:8000/api/documents/download?id=1998&amp;attachment=true", "⬇ Download 1SBD.pdf")</f>
        <v/>
      </c>
      <c r="M1641" s="10">
        <f>HYPERLINK("http://localhost:5173/?state=Himachal%20Pradesh&amp;keyword=ICT&amp;tender=2026_UDDHP_145199_1", "🚀 Open in Portal")</f>
        <v/>
      </c>
    </row>
    <row r="1642" ht="24" customHeight="1">
      <c r="A1642" s="11" t="inlineStr">
        <is>
          <t>Himachal Pradesh</t>
        </is>
      </c>
      <c r="B1642" s="12" t="inlineStr">
        <is>
          <t>ICT</t>
        </is>
      </c>
      <c r="C1642" s="13" t="inlineStr">
        <is>
          <t>2026_UDDHP_145199_1</t>
        </is>
      </c>
      <c r="D1642" s="14" t="inlineStr">
        <is>
          <t>[Repair and maintenance of Streets/Paths/Roads in Dharamshala Municipal Corporation Jurisdiction.]</t>
        </is>
      </c>
      <c r="E1642" s="14" t="inlineStr">
        <is>
          <t>Himachal Pradesh Public Works &amp; Technology Department</t>
        </is>
      </c>
      <c r="F1642" s="13" t="inlineStr">
        <is>
          <t>29 Aug 2026</t>
        </is>
      </c>
      <c r="G1642" s="12" t="inlineStr">
        <is>
          <t>21 Sep 2026</t>
        </is>
      </c>
      <c r="H1642" s="8" t="inlineStr">
        <is>
          <t>⏳ UPCOMING</t>
        </is>
      </c>
      <c r="I1642" s="11" t="inlineStr">
        <is>
          <t>Tender_2026_UDDHP_145199_1_All_Documents.zip</t>
        </is>
      </c>
      <c r="J1642" s="13" t="inlineStr">
        <is>
          <t>📦 ZIP Package</t>
        </is>
      </c>
      <c r="K1642" s="15" t="n">
        <v>20.8</v>
      </c>
      <c r="L1642" s="16">
        <f>HYPERLINK("http://127.0.0.1:8000/api/documents/download?id=1999&amp;attachment=true", "⬇ Download Tender_2026_UDDHP_145199")</f>
        <v/>
      </c>
      <c r="M1642" s="16">
        <f>HYPERLINK("http://localhost:5173/?state=Himachal%20Pradesh&amp;keyword=ICT&amp;tender=2026_UDDHP_145199_1", "🚀 Open in Portal")</f>
        <v/>
      </c>
    </row>
    <row r="1643" ht="24" customHeight="1">
      <c r="A1643" s="4" t="inlineStr">
        <is>
          <t>Himachal Pradesh</t>
        </is>
      </c>
      <c r="B1643" s="5" t="inlineStr">
        <is>
          <t>ICT</t>
        </is>
      </c>
      <c r="C1643" s="6" t="inlineStr">
        <is>
          <t>2026_UDDHP_145317_3</t>
        </is>
      </c>
      <c r="D1643" s="7" t="inlineStr">
        <is>
          <t>[Collection of parking fee from parking near Victoria Bridge MC Shops Khaliyar side to Shamshanghat Purani Mandi and Parking near Tharu,Purani Mandi, Mandi H.P.]</t>
        </is>
      </c>
      <c r="E1643" s="7" t="inlineStr">
        <is>
          <t>Himachal Pradesh Public Works &amp; Technology Department</t>
        </is>
      </c>
      <c r="F1643" s="6" t="inlineStr">
        <is>
          <t>29 Sep 2026</t>
        </is>
      </c>
      <c r="G1643" s="5" t="inlineStr">
        <is>
          <t>27 Oct 2026</t>
        </is>
      </c>
      <c r="H1643" s="17" t="inlineStr">
        <is>
          <t>🟢 LIVE ACTIVE</t>
        </is>
      </c>
      <c r="I1643" s="4" t="inlineStr">
        <is>
          <t>Tendernotice_1.pdf</t>
        </is>
      </c>
      <c r="J1643" s="6" t="inlineStr">
        <is>
          <t>📕 PDF Document</t>
        </is>
      </c>
      <c r="K1643" s="9" t="n">
        <v>17.9</v>
      </c>
      <c r="L1643" s="10">
        <f>HYPERLINK("http://127.0.0.1:8000/api/documents/download?id=1915&amp;attachment=true", "⬇ Download Tendernotice_1.pdf")</f>
        <v/>
      </c>
      <c r="M1643" s="10">
        <f>HYPERLINK("http://localhost:5173/?state=Himachal%20Pradesh&amp;keyword=ICT&amp;tender=2026_UDDHP_145317_3", "🚀 Open in Portal")</f>
        <v/>
      </c>
    </row>
    <row r="1644" ht="24" customHeight="1">
      <c r="A1644" s="11" t="inlineStr">
        <is>
          <t>Himachal Pradesh</t>
        </is>
      </c>
      <c r="B1644" s="12" t="inlineStr">
        <is>
          <t>ICT</t>
        </is>
      </c>
      <c r="C1644" s="13" t="inlineStr">
        <is>
          <t>2026_UDDHP_145317_3</t>
        </is>
      </c>
      <c r="D1644" s="14" t="inlineStr">
        <is>
          <t>[Collection of parking fee from parking near Victoria Bridge MC Shops Khaliyar side to Shamshanghat Purani Mandi and Parking near Tharu,Purani Mandi, Mandi H.P.]</t>
        </is>
      </c>
      <c r="E1644" s="14" t="inlineStr">
        <is>
          <t>Himachal Pradesh Public Works &amp; Technology Department</t>
        </is>
      </c>
      <c r="F1644" s="13" t="inlineStr">
        <is>
          <t>29 Sep 2026</t>
        </is>
      </c>
      <c r="G1644" s="12" t="inlineStr">
        <is>
          <t>27 Oct 2026</t>
        </is>
      </c>
      <c r="H1644" s="17" t="inlineStr">
        <is>
          <t>🟢 LIVE ACTIVE</t>
        </is>
      </c>
      <c r="I1644" s="11" t="inlineStr">
        <is>
          <t>termsandconditions.pdf</t>
        </is>
      </c>
      <c r="J1644" s="13" t="inlineStr">
        <is>
          <t>📕 PDF Document</t>
        </is>
      </c>
      <c r="K1644" s="15" t="n">
        <v>17.9</v>
      </c>
      <c r="L1644" s="16">
        <f>HYPERLINK("http://127.0.0.1:8000/api/documents/download?id=1916&amp;attachment=true", "⬇ Download termsandconditions.pdf")</f>
        <v/>
      </c>
      <c r="M1644" s="16">
        <f>HYPERLINK("http://localhost:5173/?state=Himachal%20Pradesh&amp;keyword=ICT&amp;tender=2026_UDDHP_145317_3", "🚀 Open in Portal")</f>
        <v/>
      </c>
    </row>
    <row r="1645" ht="24" customHeight="1">
      <c r="A1645" s="4" t="inlineStr">
        <is>
          <t>Himachal Pradesh</t>
        </is>
      </c>
      <c r="B1645" s="5" t="inlineStr">
        <is>
          <t>ICT</t>
        </is>
      </c>
      <c r="C1645" s="6" t="inlineStr">
        <is>
          <t>2026_UDDHP_145317_3</t>
        </is>
      </c>
      <c r="D1645" s="7" t="inlineStr">
        <is>
          <t>[Collection of parking fee from parking near Victoria Bridge MC Shops Khaliyar side to Shamshanghat Purani Mandi and Parking near Tharu,Purani Mandi, Mandi H.P.]</t>
        </is>
      </c>
      <c r="E1645" s="7" t="inlineStr">
        <is>
          <t>Himachal Pradesh Public Works &amp; Technology Department</t>
        </is>
      </c>
      <c r="F1645" s="6" t="inlineStr">
        <is>
          <t>29 Sep 2026</t>
        </is>
      </c>
      <c r="G1645" s="5" t="inlineStr">
        <is>
          <t>27 Oct 2026</t>
        </is>
      </c>
      <c r="H1645" s="17" t="inlineStr">
        <is>
          <t>🟢 LIVE ACTIVE</t>
        </is>
      </c>
      <c r="I1645" s="4" t="inlineStr">
        <is>
          <t>BOQ_216400.xls</t>
        </is>
      </c>
      <c r="J1645" s="6" t="inlineStr">
        <is>
          <t>📊 Excel BOQ</t>
        </is>
      </c>
      <c r="K1645" s="9" t="n">
        <v>2.5</v>
      </c>
      <c r="L1645" s="10">
        <f>HYPERLINK("http://127.0.0.1:8000/api/documents/download?id=1917&amp;attachment=true", "⬇ Download BOQ_216400.xls")</f>
        <v/>
      </c>
      <c r="M1645" s="10">
        <f>HYPERLINK("http://localhost:5173/?state=Himachal%20Pradesh&amp;keyword=ICT&amp;tender=2026_UDDHP_145317_3", "🚀 Open in Portal")</f>
        <v/>
      </c>
    </row>
    <row r="1646" ht="24" customHeight="1">
      <c r="A1646" s="11" t="inlineStr">
        <is>
          <t>Himachal Pradesh</t>
        </is>
      </c>
      <c r="B1646" s="12" t="inlineStr">
        <is>
          <t>ICT</t>
        </is>
      </c>
      <c r="C1646" s="13" t="inlineStr">
        <is>
          <t>2026_UDDHP_145317_3</t>
        </is>
      </c>
      <c r="D1646" s="14" t="inlineStr">
        <is>
          <t>[Collection of parking fee from parking near Victoria Bridge MC Shops Khaliyar side to Shamshanghat Purani Mandi and Parking near Tharu,Purani Mandi, Mandi H.P.]</t>
        </is>
      </c>
      <c r="E1646" s="14" t="inlineStr">
        <is>
          <t>Himachal Pradesh Public Works &amp; Technology Department</t>
        </is>
      </c>
      <c r="F1646" s="13" t="inlineStr">
        <is>
          <t>29 Sep 2026</t>
        </is>
      </c>
      <c r="G1646" s="12" t="inlineStr">
        <is>
          <t>27 Oct 2026</t>
        </is>
      </c>
      <c r="H1646" s="17" t="inlineStr">
        <is>
          <t>🟢 LIVE ACTIVE</t>
        </is>
      </c>
      <c r="I1646" s="11" t="inlineStr">
        <is>
          <t>Tender_2026_UDDHP_145317_3_All_Documents.zip</t>
        </is>
      </c>
      <c r="J1646" s="13" t="inlineStr">
        <is>
          <t>📦 ZIP Package</t>
        </is>
      </c>
      <c r="K1646" s="15" t="n">
        <v>20.9</v>
      </c>
      <c r="L1646" s="16">
        <f>HYPERLINK("http://127.0.0.1:8000/api/documents/download?id=1918&amp;attachment=true", "⬇ Download Tender_2026_UDDHP_145317")</f>
        <v/>
      </c>
      <c r="M1646" s="16">
        <f>HYPERLINK("http://localhost:5173/?state=Himachal%20Pradesh&amp;keyword=ICT&amp;tender=2026_UDDHP_145317_3", "🚀 Open in Portal")</f>
        <v/>
      </c>
    </row>
    <row r="1647" ht="24" customHeight="1">
      <c r="A1647" s="4" t="inlineStr">
        <is>
          <t>Himachal Pradesh</t>
        </is>
      </c>
      <c r="B1647" s="5" t="inlineStr">
        <is>
          <t>Water Resources</t>
        </is>
      </c>
      <c r="C1647" s="6" t="inlineStr">
        <is>
          <t>2026_HIM_718657_55</t>
        </is>
      </c>
      <c r="D1647" s="7" t="inlineStr">
        <is>
          <t>Water Resources-Based River Basin Hydro-Meteorological Sensor Network &amp; GIS Flood Simulation</t>
        </is>
      </c>
      <c r="E1647" s="7" t="inlineStr">
        <is>
          <t>WATER RESOURCES &amp; IRRIGATION DEPARTMENT</t>
        </is>
      </c>
      <c r="F1647" s="6" t="inlineStr">
        <is>
          <t>10 Oct 2026</t>
        </is>
      </c>
      <c r="G1647" s="5" t="inlineStr">
        <is>
          <t>21 Oct 2026</t>
        </is>
      </c>
      <c r="H1647" s="18" t="inlineStr">
        <is>
          <t>⚠️ CLOSING SOON</t>
        </is>
      </c>
      <c r="I1647" s="4" t="inlineStr">
        <is>
          <t>Tendernotice_2026_HIM_718657_55.pdf</t>
        </is>
      </c>
      <c r="J1647" s="6" t="inlineStr">
        <is>
          <t>📕 PDF Document</t>
        </is>
      </c>
      <c r="K1647" s="9" t="n">
        <v>18</v>
      </c>
      <c r="L1647" s="10">
        <f>HYPERLINK("http://127.0.0.1:8000/api/documents/download?id=3161&amp;attachment=true", "⬇ Download Tendernotice_2026_HIM_71")</f>
        <v/>
      </c>
      <c r="M1647" s="10">
        <f>HYPERLINK("http://localhost:5173/?state=Himachal%20Pradesh&amp;keyword=Water%20Resources&amp;tender=2026_HIM_718657_55", "🚀 Open in Portal")</f>
        <v/>
      </c>
    </row>
    <row r="1648" ht="24" customHeight="1">
      <c r="A1648" s="11" t="inlineStr">
        <is>
          <t>Himachal Pradesh</t>
        </is>
      </c>
      <c r="B1648" s="12" t="inlineStr">
        <is>
          <t>Water Resources</t>
        </is>
      </c>
      <c r="C1648" s="13" t="inlineStr">
        <is>
          <t>2026_HIM_718657_55</t>
        </is>
      </c>
      <c r="D1648" s="14" t="inlineStr">
        <is>
          <t>Water Resources-Based River Basin Hydro-Meteorological Sensor Network &amp; GIS Flood Simulation</t>
        </is>
      </c>
      <c r="E1648" s="14" t="inlineStr">
        <is>
          <t>WATER RESOURCES &amp; IRRIGATION DEPARTMENT</t>
        </is>
      </c>
      <c r="F1648" s="13" t="inlineStr">
        <is>
          <t>10 Oct 2026</t>
        </is>
      </c>
      <c r="G1648" s="12" t="inlineStr">
        <is>
          <t>21 Oct 2026</t>
        </is>
      </c>
      <c r="H1648" s="18" t="inlineStr">
        <is>
          <t>⚠️ CLOSING SOON</t>
        </is>
      </c>
      <c r="I1648" s="11" t="inlineStr">
        <is>
          <t>Technical_RFP_Specification_Water Resources.pdf</t>
        </is>
      </c>
      <c r="J1648" s="13" t="inlineStr">
        <is>
          <t>📕 PDF Document</t>
        </is>
      </c>
      <c r="K1648" s="15" t="n">
        <v>18</v>
      </c>
      <c r="L1648" s="16">
        <f>HYPERLINK("http://127.0.0.1:8000/api/documents/download?id=3162&amp;attachment=true", "⬇ Download Technical_RFP_Specificat")</f>
        <v/>
      </c>
      <c r="M1648" s="16">
        <f>HYPERLINK("http://localhost:5173/?state=Himachal%20Pradesh&amp;keyword=Water%20Resources&amp;tender=2026_HIM_718657_55", "🚀 Open in Portal")</f>
        <v/>
      </c>
    </row>
    <row r="1649" ht="24" customHeight="1">
      <c r="A1649" s="4" t="inlineStr">
        <is>
          <t>Himachal Pradesh</t>
        </is>
      </c>
      <c r="B1649" s="5" t="inlineStr">
        <is>
          <t>Water Resources</t>
        </is>
      </c>
      <c r="C1649" s="6" t="inlineStr">
        <is>
          <t>2026_HIM_718657_55</t>
        </is>
      </c>
      <c r="D1649" s="7" t="inlineStr">
        <is>
          <t>Water Resources-Based River Basin Hydro-Meteorological Sensor Network &amp; GIS Flood Simulation</t>
        </is>
      </c>
      <c r="E1649" s="7" t="inlineStr">
        <is>
          <t>WATER RESOURCES &amp; IRRIGATION DEPARTMENT</t>
        </is>
      </c>
      <c r="F1649" s="6" t="inlineStr">
        <is>
          <t>10 Oct 2026</t>
        </is>
      </c>
      <c r="G1649" s="5" t="inlineStr">
        <is>
          <t>21 Oct 2026</t>
        </is>
      </c>
      <c r="H1649" s="18" t="inlineStr">
        <is>
          <t>⚠️ CLOSING SOON</t>
        </is>
      </c>
      <c r="I1649" s="4" t="inlineStr">
        <is>
          <t>BOQ_Financial_Schedule_2026_HIM_718657_55.xlsx</t>
        </is>
      </c>
      <c r="J1649" s="6" t="inlineStr">
        <is>
          <t>📊 Excel BOQ</t>
        </is>
      </c>
      <c r="K1649" s="9" t="n">
        <v>2.5</v>
      </c>
      <c r="L1649" s="10">
        <f>HYPERLINK("http://127.0.0.1:8000/api/documents/download?id=3163&amp;attachment=true", "⬇ Download BOQ_Financial_Schedule_2")</f>
        <v/>
      </c>
      <c r="M1649" s="10">
        <f>HYPERLINK("http://localhost:5173/?state=Himachal%20Pradesh&amp;keyword=Water%20Resources&amp;tender=2026_HIM_718657_55", "🚀 Open in Portal")</f>
        <v/>
      </c>
    </row>
    <row r="1650" ht="24" customHeight="1">
      <c r="A1650" s="11" t="inlineStr">
        <is>
          <t>Himachal Pradesh</t>
        </is>
      </c>
      <c r="B1650" s="12" t="inlineStr">
        <is>
          <t>Water Resources</t>
        </is>
      </c>
      <c r="C1650" s="13" t="inlineStr">
        <is>
          <t>2026_HIM_718657_55</t>
        </is>
      </c>
      <c r="D1650" s="14" t="inlineStr">
        <is>
          <t>Water Resources-Based River Basin Hydro-Meteorological Sensor Network &amp; GIS Flood Simulation</t>
        </is>
      </c>
      <c r="E1650" s="14" t="inlineStr">
        <is>
          <t>WATER RESOURCES &amp; IRRIGATION DEPARTMENT</t>
        </is>
      </c>
      <c r="F1650" s="13" t="inlineStr">
        <is>
          <t>10 Oct 2026</t>
        </is>
      </c>
      <c r="G1650" s="12" t="inlineStr">
        <is>
          <t>21 Oct 2026</t>
        </is>
      </c>
      <c r="H1650" s="18" t="inlineStr">
        <is>
          <t>⚠️ CLOSING SOON</t>
        </is>
      </c>
      <c r="I1650" s="11" t="inlineStr">
        <is>
          <t>Tender_2026_HIM_718657_55_All_Documents.zip</t>
        </is>
      </c>
      <c r="J1650" s="13" t="inlineStr">
        <is>
          <t>📦 ZIP Package</t>
        </is>
      </c>
      <c r="K1650" s="15" t="n">
        <v>45</v>
      </c>
      <c r="L1650" s="16">
        <f>HYPERLINK("https://hptenders.gov.in/tender/2026_HIM_718657_55", "⬇ Download Tender_2026_HIM_718657_5")</f>
        <v/>
      </c>
      <c r="M1650" s="16">
        <f>HYPERLINK("http://localhost:5173/?state=Himachal%20Pradesh&amp;keyword=Water%20Resources&amp;tender=2026_HIM_718657_55", "🚀 Open in Portal")</f>
        <v/>
      </c>
    </row>
    <row r="1651" ht="24" customHeight="1">
      <c r="A1651" s="4" t="inlineStr">
        <is>
          <t>Himachal Pradesh</t>
        </is>
      </c>
      <c r="B1651" s="5" t="inlineStr">
        <is>
          <t>Mapping</t>
        </is>
      </c>
      <c r="C1651" s="6" t="inlineStr">
        <is>
          <t>2026_HIM_6113401_11</t>
        </is>
      </c>
      <c r="D1651" s="7" t="inlineStr">
        <is>
          <t>Mapping-Based High Resolution Satellite Imagery Land Use &amp; Land Cover Spatial Mapping</t>
        </is>
      </c>
      <c r="E1651" s="7" t="inlineStr">
        <is>
          <t>DEPARTMENT OF SCIENCE, TECHNOLOGY &amp; REMOTE SENSING</t>
        </is>
      </c>
      <c r="F1651" s="6" t="inlineStr">
        <is>
          <t>26 Sep 2026</t>
        </is>
      </c>
      <c r="G1651" s="5" t="inlineStr">
        <is>
          <t>31 Oct 2026</t>
        </is>
      </c>
      <c r="H1651" s="17" t="inlineStr">
        <is>
          <t>🟢 LIVE ACTIVE</t>
        </is>
      </c>
      <c r="I1651" s="4" t="inlineStr">
        <is>
          <t>Tendernotice_2026_HIM_6113401_11.pdf</t>
        </is>
      </c>
      <c r="J1651" s="6" t="inlineStr">
        <is>
          <t>📕 PDF Document</t>
        </is>
      </c>
      <c r="K1651" s="9" t="n">
        <v>18</v>
      </c>
      <c r="L1651" s="10">
        <f>HYPERLINK("http://127.0.0.1:8000/api/documents/download?id=3121&amp;attachment=true", "⬇ Download Tendernotice_2026_HIM_61")</f>
        <v/>
      </c>
      <c r="M1651" s="10">
        <f>HYPERLINK("http://localhost:5173/?state=Himachal%20Pradesh&amp;keyword=Mapping&amp;tender=2026_HIM_6113401_11", "🚀 Open in Portal")</f>
        <v/>
      </c>
    </row>
    <row r="1652" ht="24" customHeight="1">
      <c r="A1652" s="11" t="inlineStr">
        <is>
          <t>Himachal Pradesh</t>
        </is>
      </c>
      <c r="B1652" s="12" t="inlineStr">
        <is>
          <t>Mapping</t>
        </is>
      </c>
      <c r="C1652" s="13" t="inlineStr">
        <is>
          <t>2026_HIM_6113401_11</t>
        </is>
      </c>
      <c r="D1652" s="14" t="inlineStr">
        <is>
          <t>Mapping-Based High Resolution Satellite Imagery Land Use &amp; Land Cover Spatial Mapping</t>
        </is>
      </c>
      <c r="E1652" s="14" t="inlineStr">
        <is>
          <t>DEPARTMENT OF SCIENCE, TECHNOLOGY &amp; REMOTE SENSING</t>
        </is>
      </c>
      <c r="F1652" s="13" t="inlineStr">
        <is>
          <t>26 Sep 2026</t>
        </is>
      </c>
      <c r="G1652" s="12" t="inlineStr">
        <is>
          <t>31 Oct 2026</t>
        </is>
      </c>
      <c r="H1652" s="17" t="inlineStr">
        <is>
          <t>🟢 LIVE ACTIVE</t>
        </is>
      </c>
      <c r="I1652" s="11" t="inlineStr">
        <is>
          <t>Technical_RFP_Specification_Mapping.pdf</t>
        </is>
      </c>
      <c r="J1652" s="13" t="inlineStr">
        <is>
          <t>📕 PDF Document</t>
        </is>
      </c>
      <c r="K1652" s="15" t="n">
        <v>18</v>
      </c>
      <c r="L1652" s="16">
        <f>HYPERLINK("http://127.0.0.1:8000/api/documents/download?id=3122&amp;attachment=true", "⬇ Download Technical_RFP_Specificat")</f>
        <v/>
      </c>
      <c r="M1652" s="16">
        <f>HYPERLINK("http://localhost:5173/?state=Himachal%20Pradesh&amp;keyword=Mapping&amp;tender=2026_HIM_6113401_11", "🚀 Open in Portal")</f>
        <v/>
      </c>
    </row>
    <row r="1653" ht="24" customHeight="1">
      <c r="A1653" s="4" t="inlineStr">
        <is>
          <t>Himachal Pradesh</t>
        </is>
      </c>
      <c r="B1653" s="5" t="inlineStr">
        <is>
          <t>Mapping</t>
        </is>
      </c>
      <c r="C1653" s="6" t="inlineStr">
        <is>
          <t>2026_HIM_6113401_11</t>
        </is>
      </c>
      <c r="D1653" s="7" t="inlineStr">
        <is>
          <t>Mapping-Based High Resolution Satellite Imagery Land Use &amp; Land Cover Spatial Mapping</t>
        </is>
      </c>
      <c r="E1653" s="7" t="inlineStr">
        <is>
          <t>DEPARTMENT OF SCIENCE, TECHNOLOGY &amp; REMOTE SENSING</t>
        </is>
      </c>
      <c r="F1653" s="6" t="inlineStr">
        <is>
          <t>26 Sep 2026</t>
        </is>
      </c>
      <c r="G1653" s="5" t="inlineStr">
        <is>
          <t>31 Oct 2026</t>
        </is>
      </c>
      <c r="H1653" s="17" t="inlineStr">
        <is>
          <t>🟢 LIVE ACTIVE</t>
        </is>
      </c>
      <c r="I1653" s="4" t="inlineStr">
        <is>
          <t>BOQ_Financial_Schedule_2026_HIM_6113401_11.xlsx</t>
        </is>
      </c>
      <c r="J1653" s="6" t="inlineStr">
        <is>
          <t>📊 Excel BOQ</t>
        </is>
      </c>
      <c r="K1653" s="9" t="n">
        <v>2.5</v>
      </c>
      <c r="L1653" s="10">
        <f>HYPERLINK("http://127.0.0.1:8000/api/documents/download?id=3123&amp;attachment=true", "⬇ Download BOQ_Financial_Schedule_2")</f>
        <v/>
      </c>
      <c r="M1653" s="10">
        <f>HYPERLINK("http://localhost:5173/?state=Himachal%20Pradesh&amp;keyword=Mapping&amp;tender=2026_HIM_6113401_11", "🚀 Open in Portal")</f>
        <v/>
      </c>
    </row>
    <row r="1654" ht="24" customHeight="1">
      <c r="A1654" s="11" t="inlineStr">
        <is>
          <t>Himachal Pradesh</t>
        </is>
      </c>
      <c r="B1654" s="12" t="inlineStr">
        <is>
          <t>Mapping</t>
        </is>
      </c>
      <c r="C1654" s="13" t="inlineStr">
        <is>
          <t>2026_HIM_6113401_11</t>
        </is>
      </c>
      <c r="D1654" s="14" t="inlineStr">
        <is>
          <t>Mapping-Based High Resolution Satellite Imagery Land Use &amp; Land Cover Spatial Mapping</t>
        </is>
      </c>
      <c r="E1654" s="14" t="inlineStr">
        <is>
          <t>DEPARTMENT OF SCIENCE, TECHNOLOGY &amp; REMOTE SENSING</t>
        </is>
      </c>
      <c r="F1654" s="13" t="inlineStr">
        <is>
          <t>26 Sep 2026</t>
        </is>
      </c>
      <c r="G1654" s="12" t="inlineStr">
        <is>
          <t>31 Oct 2026</t>
        </is>
      </c>
      <c r="H1654" s="17" t="inlineStr">
        <is>
          <t>🟢 LIVE ACTIVE</t>
        </is>
      </c>
      <c r="I1654" s="11" t="inlineStr">
        <is>
          <t>Tender_2026_HIM_6113401_11_All_Documents.zip</t>
        </is>
      </c>
      <c r="J1654" s="13" t="inlineStr">
        <is>
          <t>📦 ZIP Package</t>
        </is>
      </c>
      <c r="K1654" s="15" t="n">
        <v>45</v>
      </c>
      <c r="L1654" s="16">
        <f>HYPERLINK("https://hptenders.gov.in/tender/2026_HIM_6113401_11", "⬇ Download Tender_2026_HIM_6113401_")</f>
        <v/>
      </c>
      <c r="M1654" s="16">
        <f>HYPERLINK("http://localhost:5173/?state=Himachal%20Pradesh&amp;keyword=Mapping&amp;tender=2026_HIM_6113401_11", "🚀 Open in Portal")</f>
        <v/>
      </c>
    </row>
    <row r="1655" ht="24" customHeight="1">
      <c r="A1655" s="4" t="inlineStr">
        <is>
          <t>Himachal Pradesh</t>
        </is>
      </c>
      <c r="B1655" s="5" t="inlineStr">
        <is>
          <t>Development</t>
        </is>
      </c>
      <c r="C1655" s="6" t="inlineStr">
        <is>
          <t>2026_PWD_145389_1</t>
        </is>
      </c>
      <c r="D1655" s="7" t="inlineStr">
        <is>
          <t>[Construction of Auditorium-cum-Multipurpose Hall at Degree College Reckong Peo in District Kinnaur (HP) (SH- Balance work for building portion, including WS and SI, and site development]</t>
        </is>
      </c>
      <c r="E1655" s="7" t="inlineStr">
        <is>
          <t>Himachal Pradesh Public Works &amp; Technology Department</t>
        </is>
      </c>
      <c r="F1655" s="6" t="inlineStr">
        <is>
          <t>29 Jul 2026</t>
        </is>
      </c>
      <c r="G1655" s="5" t="inlineStr">
        <is>
          <t>21 Aug 2026</t>
        </is>
      </c>
      <c r="H1655" s="8" t="inlineStr">
        <is>
          <t>⏳ UPCOMING</t>
        </is>
      </c>
      <c r="I1655" s="4" t="inlineStr">
        <is>
          <t>Tendernotice_1.pdf</t>
        </is>
      </c>
      <c r="J1655" s="6" t="inlineStr">
        <is>
          <t>📕 PDF Document</t>
        </is>
      </c>
      <c r="K1655" s="9" t="n">
        <v>17.9</v>
      </c>
      <c r="L1655" s="10">
        <f>HYPERLINK("http://127.0.0.1:8000/api/documents/download?id=1919&amp;attachment=true", "⬇ Download Tendernotice_1.pdf")</f>
        <v/>
      </c>
      <c r="M1655" s="10">
        <f>HYPERLINK("http://localhost:5173/?state=Himachal%20Pradesh&amp;keyword=Development&amp;tender=2026_PWD_145389_1", "🚀 Open in Portal")</f>
        <v/>
      </c>
    </row>
    <row r="1656" ht="24" customHeight="1">
      <c r="A1656" s="11" t="inlineStr">
        <is>
          <t>Himachal Pradesh</t>
        </is>
      </c>
      <c r="B1656" s="12" t="inlineStr">
        <is>
          <t>Development</t>
        </is>
      </c>
      <c r="C1656" s="13" t="inlineStr">
        <is>
          <t>2026_PWD_145389_1</t>
        </is>
      </c>
      <c r="D1656" s="14" t="inlineStr">
        <is>
          <t>[Construction of Auditorium-cum-Multipurpose Hall at Degree College Reckong Peo in District Kinnaur (HP) (SH- Balance work for building portion, including WS and SI, and site development]</t>
        </is>
      </c>
      <c r="E1656" s="14" t="inlineStr">
        <is>
          <t>Himachal Pradesh Public Works &amp; Technology Department</t>
        </is>
      </c>
      <c r="F1656" s="13" t="inlineStr">
        <is>
          <t>29 Jul 2026</t>
        </is>
      </c>
      <c r="G1656" s="12" t="inlineStr">
        <is>
          <t>21 Aug 2026</t>
        </is>
      </c>
      <c r="H1656" s="8" t="inlineStr">
        <is>
          <t>⏳ UPCOMING</t>
        </is>
      </c>
      <c r="I1656" s="11" t="inlineStr">
        <is>
          <t>GCC.pdf</t>
        </is>
      </c>
      <c r="J1656" s="13" t="inlineStr">
        <is>
          <t>📕 PDF Document</t>
        </is>
      </c>
      <c r="K1656" s="15" t="n">
        <v>17.9</v>
      </c>
      <c r="L1656" s="16">
        <f>HYPERLINK("http://127.0.0.1:8000/api/documents/download?id=1920&amp;attachment=true", "⬇ Download GCC.pdf")</f>
        <v/>
      </c>
      <c r="M1656" s="16">
        <f>HYPERLINK("http://localhost:5173/?state=Himachal%20Pradesh&amp;keyword=Development&amp;tender=2026_PWD_145389_1", "🚀 Open in Portal")</f>
        <v/>
      </c>
    </row>
    <row r="1657" ht="24" customHeight="1">
      <c r="A1657" s="4" t="inlineStr">
        <is>
          <t>Himachal Pradesh</t>
        </is>
      </c>
      <c r="B1657" s="5" t="inlineStr">
        <is>
          <t>Development</t>
        </is>
      </c>
      <c r="C1657" s="6" t="inlineStr">
        <is>
          <t>2026_PWD_145389_1</t>
        </is>
      </c>
      <c r="D1657" s="7" t="inlineStr">
        <is>
          <t>[Construction of Auditorium-cum-Multipurpose Hall at Degree College Reckong Peo in District Kinnaur (HP) (SH- Balance work for building portion, including WS and SI, and site development]</t>
        </is>
      </c>
      <c r="E1657" s="7" t="inlineStr">
        <is>
          <t>Himachal Pradesh Public Works &amp; Technology Department</t>
        </is>
      </c>
      <c r="F1657" s="6" t="inlineStr">
        <is>
          <t>29 Jul 2026</t>
        </is>
      </c>
      <c r="G1657" s="5" t="inlineStr">
        <is>
          <t>21 Aug 2026</t>
        </is>
      </c>
      <c r="H1657" s="8" t="inlineStr">
        <is>
          <t>⏳ UPCOMING</t>
        </is>
      </c>
      <c r="I1657" s="4" t="inlineStr">
        <is>
          <t>BOQ_216497.xls</t>
        </is>
      </c>
      <c r="J1657" s="6" t="inlineStr">
        <is>
          <t>📊 Excel BOQ</t>
        </is>
      </c>
      <c r="K1657" s="9" t="n">
        <v>2.5</v>
      </c>
      <c r="L1657" s="10">
        <f>HYPERLINK("http://127.0.0.1:8000/api/documents/download?id=1921&amp;attachment=true", "⬇ Download BOQ_216497.xls")</f>
        <v/>
      </c>
      <c r="M1657" s="10">
        <f>HYPERLINK("http://localhost:5173/?state=Himachal%20Pradesh&amp;keyword=Development&amp;tender=2026_PWD_145389_1", "🚀 Open in Portal")</f>
        <v/>
      </c>
    </row>
    <row r="1658" ht="24" customHeight="1">
      <c r="A1658" s="11" t="inlineStr">
        <is>
          <t>Himachal Pradesh</t>
        </is>
      </c>
      <c r="B1658" s="12" t="inlineStr">
        <is>
          <t>Development</t>
        </is>
      </c>
      <c r="C1658" s="13" t="inlineStr">
        <is>
          <t>2026_PWD_145389_1</t>
        </is>
      </c>
      <c r="D1658" s="14" t="inlineStr">
        <is>
          <t>[Construction of Auditorium-cum-Multipurpose Hall at Degree College Reckong Peo in District Kinnaur (HP) (SH- Balance work for building portion, including WS and SI, and site development]</t>
        </is>
      </c>
      <c r="E1658" s="14" t="inlineStr">
        <is>
          <t>Himachal Pradesh Public Works &amp; Technology Department</t>
        </is>
      </c>
      <c r="F1658" s="13" t="inlineStr">
        <is>
          <t>29 Jul 2026</t>
        </is>
      </c>
      <c r="G1658" s="12" t="inlineStr">
        <is>
          <t>21 Aug 2026</t>
        </is>
      </c>
      <c r="H1658" s="8" t="inlineStr">
        <is>
          <t>⏳ UPCOMING</t>
        </is>
      </c>
      <c r="I1658" s="11" t="inlineStr">
        <is>
          <t>Tender_2026_PWD_145389_1_All_Documents.zip</t>
        </is>
      </c>
      <c r="J1658" s="13" t="inlineStr">
        <is>
          <t>📦 ZIP Package</t>
        </is>
      </c>
      <c r="K1658" s="15" t="n">
        <v>20.8</v>
      </c>
      <c r="L1658" s="16">
        <f>HYPERLINK("http://127.0.0.1:8000/api/documents/download?id=1922&amp;attachment=true", "⬇ Download Tender_2026_PWD_145389_1")</f>
        <v/>
      </c>
      <c r="M1658" s="16">
        <f>HYPERLINK("http://localhost:5173/?state=Himachal%20Pradesh&amp;keyword=Development&amp;tender=2026_PWD_145389_1", "🚀 Open in Portal")</f>
        <v/>
      </c>
    </row>
    <row r="1659" ht="24" customHeight="1">
      <c r="A1659" s="4" t="inlineStr">
        <is>
          <t>Himachal Pradesh</t>
        </is>
      </c>
      <c r="B1659" s="5" t="inlineStr">
        <is>
          <t>Development</t>
        </is>
      </c>
      <c r="C1659" s="6" t="inlineStr">
        <is>
          <t>2026_PWD_145389_2</t>
        </is>
      </c>
      <c r="D1659" s="7" t="inlineStr">
        <is>
          <t>[Construction of Indoor Stadium at GSSS Giabong in District Kinnaur ( HP) (SH- Building portion, WS and SI, Septic Tank and rain water harvesting Tank, site development and supplying and fixing Boxing Ring]</t>
        </is>
      </c>
      <c r="E1659" s="7" t="inlineStr">
        <is>
          <t>Himachal Pradesh Public Works &amp; Technology Department</t>
        </is>
      </c>
      <c r="F1659" s="6" t="inlineStr">
        <is>
          <t>26 Aug 2026</t>
        </is>
      </c>
      <c r="G1659" s="5" t="inlineStr">
        <is>
          <t>21 Sep 2026</t>
        </is>
      </c>
      <c r="H1659" s="8" t="inlineStr">
        <is>
          <t>⏳ UPCOMING</t>
        </is>
      </c>
      <c r="I1659" s="4" t="inlineStr">
        <is>
          <t>Tendernotice_1.pdf</t>
        </is>
      </c>
      <c r="J1659" s="6" t="inlineStr">
        <is>
          <t>📕 PDF Document</t>
        </is>
      </c>
      <c r="K1659" s="9" t="n">
        <v>17.9</v>
      </c>
      <c r="L1659" s="10">
        <f>HYPERLINK("http://127.0.0.1:8000/api/documents/download?id=1923&amp;attachment=true", "⬇ Download Tendernotice_1.pdf")</f>
        <v/>
      </c>
      <c r="M1659" s="10">
        <f>HYPERLINK("http://localhost:5173/?state=Himachal%20Pradesh&amp;keyword=Development&amp;tender=2026_PWD_145389_2", "🚀 Open in Portal")</f>
        <v/>
      </c>
    </row>
    <row r="1660" ht="24" customHeight="1">
      <c r="A1660" s="11" t="inlineStr">
        <is>
          <t>Himachal Pradesh</t>
        </is>
      </c>
      <c r="B1660" s="12" t="inlineStr">
        <is>
          <t>Development</t>
        </is>
      </c>
      <c r="C1660" s="13" t="inlineStr">
        <is>
          <t>2026_PWD_145389_2</t>
        </is>
      </c>
      <c r="D1660" s="14" t="inlineStr">
        <is>
          <t>[Construction of Indoor Stadium at GSSS Giabong in District Kinnaur ( HP) (SH- Building portion, WS and SI, Septic Tank and rain water harvesting Tank, site development and supplying and fixing Boxing Ring]</t>
        </is>
      </c>
      <c r="E1660" s="14" t="inlineStr">
        <is>
          <t>Himachal Pradesh Public Works &amp; Technology Department</t>
        </is>
      </c>
      <c r="F1660" s="13" t="inlineStr">
        <is>
          <t>26 Aug 2026</t>
        </is>
      </c>
      <c r="G1660" s="12" t="inlineStr">
        <is>
          <t>21 Sep 2026</t>
        </is>
      </c>
      <c r="H1660" s="8" t="inlineStr">
        <is>
          <t>⏳ UPCOMING</t>
        </is>
      </c>
      <c r="I1660" s="11" t="inlineStr">
        <is>
          <t>GCC.pdf</t>
        </is>
      </c>
      <c r="J1660" s="13" t="inlineStr">
        <is>
          <t>📕 PDF Document</t>
        </is>
      </c>
      <c r="K1660" s="15" t="n">
        <v>17.9</v>
      </c>
      <c r="L1660" s="16">
        <f>HYPERLINK("http://127.0.0.1:8000/api/documents/download?id=1924&amp;attachment=true", "⬇ Download GCC.pdf")</f>
        <v/>
      </c>
      <c r="M1660" s="16">
        <f>HYPERLINK("http://localhost:5173/?state=Himachal%20Pradesh&amp;keyword=Development&amp;tender=2026_PWD_145389_2", "🚀 Open in Portal")</f>
        <v/>
      </c>
    </row>
    <row r="1661" ht="24" customHeight="1">
      <c r="A1661" s="4" t="inlineStr">
        <is>
          <t>Himachal Pradesh</t>
        </is>
      </c>
      <c r="B1661" s="5" t="inlineStr">
        <is>
          <t>Development</t>
        </is>
      </c>
      <c r="C1661" s="6" t="inlineStr">
        <is>
          <t>2026_PWD_145389_2</t>
        </is>
      </c>
      <c r="D1661" s="7" t="inlineStr">
        <is>
          <t>[Construction of Indoor Stadium at GSSS Giabong in District Kinnaur ( HP) (SH- Building portion, WS and SI, Septic Tank and rain water harvesting Tank, site development and supplying and fixing Boxing Ring]</t>
        </is>
      </c>
      <c r="E1661" s="7" t="inlineStr">
        <is>
          <t>Himachal Pradesh Public Works &amp; Technology Department</t>
        </is>
      </c>
      <c r="F1661" s="6" t="inlineStr">
        <is>
          <t>26 Aug 2026</t>
        </is>
      </c>
      <c r="G1661" s="5" t="inlineStr">
        <is>
          <t>21 Sep 2026</t>
        </is>
      </c>
      <c r="H1661" s="8" t="inlineStr">
        <is>
          <t>⏳ UPCOMING</t>
        </is>
      </c>
      <c r="I1661" s="4" t="inlineStr">
        <is>
          <t>BOQ_216499.xls</t>
        </is>
      </c>
      <c r="J1661" s="6" t="inlineStr">
        <is>
          <t>📊 Excel BOQ</t>
        </is>
      </c>
      <c r="K1661" s="9" t="n">
        <v>2.5</v>
      </c>
      <c r="L1661" s="10">
        <f>HYPERLINK("http://127.0.0.1:8000/api/documents/download?id=1925&amp;attachment=true", "⬇ Download BOQ_216499.xls")</f>
        <v/>
      </c>
      <c r="M1661" s="10">
        <f>HYPERLINK("http://localhost:5173/?state=Himachal%20Pradesh&amp;keyword=Development&amp;tender=2026_PWD_145389_2", "🚀 Open in Portal")</f>
        <v/>
      </c>
    </row>
    <row r="1662" ht="24" customHeight="1">
      <c r="A1662" s="11" t="inlineStr">
        <is>
          <t>Himachal Pradesh</t>
        </is>
      </c>
      <c r="B1662" s="12" t="inlineStr">
        <is>
          <t>Development</t>
        </is>
      </c>
      <c r="C1662" s="13" t="inlineStr">
        <is>
          <t>2026_PWD_145389_2</t>
        </is>
      </c>
      <c r="D1662" s="14" t="inlineStr">
        <is>
          <t>[Construction of Indoor Stadium at GSSS Giabong in District Kinnaur ( HP) (SH- Building portion, WS and SI, Septic Tank and rain water harvesting Tank, site development and supplying and fixing Boxing Ring]</t>
        </is>
      </c>
      <c r="E1662" s="14" t="inlineStr">
        <is>
          <t>Himachal Pradesh Public Works &amp; Technology Department</t>
        </is>
      </c>
      <c r="F1662" s="13" t="inlineStr">
        <is>
          <t>26 Aug 2026</t>
        </is>
      </c>
      <c r="G1662" s="12" t="inlineStr">
        <is>
          <t>21 Sep 2026</t>
        </is>
      </c>
      <c r="H1662" s="8" t="inlineStr">
        <is>
          <t>⏳ UPCOMING</t>
        </is>
      </c>
      <c r="I1662" s="11" t="inlineStr">
        <is>
          <t>Tender_2026_PWD_145389_2_All_Documents.zip</t>
        </is>
      </c>
      <c r="J1662" s="13" t="inlineStr">
        <is>
          <t>📦 ZIP Package</t>
        </is>
      </c>
      <c r="K1662" s="15" t="n">
        <v>20.9</v>
      </c>
      <c r="L1662" s="16">
        <f>HYPERLINK("http://127.0.0.1:8000/api/documents/download?id=1926&amp;attachment=true", "⬇ Download Tender_2026_PWD_145389_2")</f>
        <v/>
      </c>
      <c r="M1662" s="16">
        <f>HYPERLINK("http://localhost:5173/?state=Himachal%20Pradesh&amp;keyword=Development&amp;tender=2026_PWD_145389_2", "🚀 Open in Portal")</f>
        <v/>
      </c>
    </row>
    <row r="1663" ht="24" customHeight="1">
      <c r="A1663" s="4" t="inlineStr">
        <is>
          <t>Jharkhand</t>
        </is>
      </c>
      <c r="B1663" s="5" t="inlineStr">
        <is>
          <t>GIS</t>
        </is>
      </c>
      <c r="C1663" s="6" t="inlineStr">
        <is>
          <t>2026_JSEB_119087_1</t>
        </is>
      </c>
      <c r="D1663" s="7" t="inlineStr">
        <is>
          <t>[Annual operation and Preventive maintenance works Emergency Maintenance work of 220 by 33 KV GIS Smart City Ranchi for One (1) year.]</t>
        </is>
      </c>
      <c r="E1663" s="7" t="inlineStr">
        <is>
          <t>Jharkhand Public Works &amp; Technology Department</t>
        </is>
      </c>
      <c r="F1663" s="6" t="inlineStr">
        <is>
          <t>03 Aug 2026</t>
        </is>
      </c>
      <c r="G1663" s="5" t="inlineStr">
        <is>
          <t>30 Aug 2026</t>
        </is>
      </c>
      <c r="H1663" s="8" t="inlineStr">
        <is>
          <t>⏳ UPCOMING</t>
        </is>
      </c>
      <c r="I1663" s="4" t="inlineStr">
        <is>
          <t>Tendernotice_1.pdf</t>
        </is>
      </c>
      <c r="J1663" s="6" t="inlineStr">
        <is>
          <t>📕 PDF Document</t>
        </is>
      </c>
      <c r="K1663" s="9" t="n">
        <v>17.9</v>
      </c>
      <c r="L1663" s="10">
        <f>HYPERLINK("http://127.0.0.1:8000/api/documents/download?id=2000&amp;attachment=true", "⬇ Download Tendernotice_1.pdf")</f>
        <v/>
      </c>
      <c r="M1663" s="10">
        <f>HYPERLINK("http://localhost:5173/?state=Jharkhand&amp;keyword=GIS&amp;tender=2026_JSEB_119087_1", "🚀 Open in Portal")</f>
        <v/>
      </c>
    </row>
    <row r="1664" ht="24" customHeight="1">
      <c r="A1664" s="11" t="inlineStr">
        <is>
          <t>Jharkhand</t>
        </is>
      </c>
      <c r="B1664" s="12" t="inlineStr">
        <is>
          <t>GIS</t>
        </is>
      </c>
      <c r="C1664" s="13" t="inlineStr">
        <is>
          <t>2026_JSEB_119087_1</t>
        </is>
      </c>
      <c r="D1664" s="14" t="inlineStr">
        <is>
          <t>[Annual operation and Preventive maintenance works Emergency Maintenance work of 220 by 33 KV GIS Smart City Ranchi for One (1) year.]</t>
        </is>
      </c>
      <c r="E1664" s="14" t="inlineStr">
        <is>
          <t>Jharkhand Public Works &amp; Technology Department</t>
        </is>
      </c>
      <c r="F1664" s="13" t="inlineStr">
        <is>
          <t>03 Aug 2026</t>
        </is>
      </c>
      <c r="G1664" s="12" t="inlineStr">
        <is>
          <t>30 Aug 2026</t>
        </is>
      </c>
      <c r="H1664" s="8" t="inlineStr">
        <is>
          <t>⏳ UPCOMING</t>
        </is>
      </c>
      <c r="I1664" s="11" t="inlineStr">
        <is>
          <t>Tenderdocument514.pdf</t>
        </is>
      </c>
      <c r="J1664" s="13" t="inlineStr">
        <is>
          <t>📕 PDF Document</t>
        </is>
      </c>
      <c r="K1664" s="15" t="n">
        <v>17.9</v>
      </c>
      <c r="L1664" s="16">
        <f>HYPERLINK("http://127.0.0.1:8000/api/documents/download?id=2001&amp;attachment=true", "⬇ Download Tenderdocument514.pdf")</f>
        <v/>
      </c>
      <c r="M1664" s="16">
        <f>HYPERLINK("http://localhost:5173/?state=Jharkhand&amp;keyword=GIS&amp;tender=2026_JSEB_119087_1", "🚀 Open in Portal")</f>
        <v/>
      </c>
    </row>
    <row r="1665" ht="24" customHeight="1">
      <c r="A1665" s="4" t="inlineStr">
        <is>
          <t>Jharkhand</t>
        </is>
      </c>
      <c r="B1665" s="5" t="inlineStr">
        <is>
          <t>GIS</t>
        </is>
      </c>
      <c r="C1665" s="6" t="inlineStr">
        <is>
          <t>2026_JSEB_119087_1</t>
        </is>
      </c>
      <c r="D1665" s="7" t="inlineStr">
        <is>
          <t>[Annual operation and Preventive maintenance works Emergency Maintenance work of 220 by 33 KV GIS Smart City Ranchi for One (1) year.]</t>
        </is>
      </c>
      <c r="E1665" s="7" t="inlineStr">
        <is>
          <t>Jharkhand Public Works &amp; Technology Department</t>
        </is>
      </c>
      <c r="F1665" s="6" t="inlineStr">
        <is>
          <t>03 Aug 2026</t>
        </is>
      </c>
      <c r="G1665" s="5" t="inlineStr">
        <is>
          <t>30 Aug 2026</t>
        </is>
      </c>
      <c r="H1665" s="8" t="inlineStr">
        <is>
          <t>⏳ UPCOMING</t>
        </is>
      </c>
      <c r="I1665" s="4" t="inlineStr">
        <is>
          <t>Pricepart514.xls</t>
        </is>
      </c>
      <c r="J1665" s="6" t="inlineStr">
        <is>
          <t>📊 Excel BOQ</t>
        </is>
      </c>
      <c r="K1665" s="9" t="n">
        <v>2.5</v>
      </c>
      <c r="L1665" s="10">
        <f>HYPERLINK("http://127.0.0.1:8000/api/documents/download?id=2002&amp;attachment=true", "⬇ Download Pricepart514.xls")</f>
        <v/>
      </c>
      <c r="M1665" s="10">
        <f>HYPERLINK("http://localhost:5173/?state=Jharkhand&amp;keyword=GIS&amp;tender=2026_JSEB_119087_1", "🚀 Open in Portal")</f>
        <v/>
      </c>
    </row>
    <row r="1666" ht="24" customHeight="1">
      <c r="A1666" s="11" t="inlineStr">
        <is>
          <t>Jharkhand</t>
        </is>
      </c>
      <c r="B1666" s="12" t="inlineStr">
        <is>
          <t>GIS</t>
        </is>
      </c>
      <c r="C1666" s="13" t="inlineStr">
        <is>
          <t>2026_JSEB_119087_1</t>
        </is>
      </c>
      <c r="D1666" s="14" t="inlineStr">
        <is>
          <t>[Annual operation and Preventive maintenance works Emergency Maintenance work of 220 by 33 KV GIS Smart City Ranchi for One (1) year.]</t>
        </is>
      </c>
      <c r="E1666" s="14" t="inlineStr">
        <is>
          <t>Jharkhand Public Works &amp; Technology Department</t>
        </is>
      </c>
      <c r="F1666" s="13" t="inlineStr">
        <is>
          <t>03 Aug 2026</t>
        </is>
      </c>
      <c r="G1666" s="12" t="inlineStr">
        <is>
          <t>30 Aug 2026</t>
        </is>
      </c>
      <c r="H1666" s="8" t="inlineStr">
        <is>
          <t>⏳ UPCOMING</t>
        </is>
      </c>
      <c r="I1666" s="11" t="inlineStr">
        <is>
          <t>Tender_2026_JSEB_119087_1_All_Documents.zip</t>
        </is>
      </c>
      <c r="J1666" s="13" t="inlineStr">
        <is>
          <t>📦 ZIP Package</t>
        </is>
      </c>
      <c r="K1666" s="15" t="n">
        <v>20.8</v>
      </c>
      <c r="L1666" s="16">
        <f>HYPERLINK("http://127.0.0.1:8000/api/documents/download?id=2003&amp;attachment=true", "⬇ Download Tender_2026_JSEB_119087_")</f>
        <v/>
      </c>
      <c r="M1666" s="16">
        <f>HYPERLINK("http://localhost:5173/?state=Jharkhand&amp;keyword=GIS&amp;tender=2026_JSEB_119087_1", "🚀 Open in Portal")</f>
        <v/>
      </c>
    </row>
    <row r="1667" ht="24" customHeight="1">
      <c r="A1667" s="4" t="inlineStr">
        <is>
          <t>Jharkhand</t>
        </is>
      </c>
      <c r="B1667" s="5" t="inlineStr">
        <is>
          <t>ICT</t>
        </is>
      </c>
      <c r="C1667" s="6" t="inlineStr">
        <is>
          <t>2026_JHA_6376509_87</t>
        </is>
      </c>
      <c r="D1667" s="7" t="inlineStr">
        <is>
          <t>ICT-Based Cloud Data Center Modernization &amp; Statewide Integrated Video Command Analytics</t>
        </is>
      </c>
      <c r="E1667" s="7" t="inlineStr">
        <is>
          <t>DEPARTMENT OF INFORMATION TECHNOLOGY &amp; e-GOVERNANCE</t>
        </is>
      </c>
      <c r="F1667" s="6" t="inlineStr">
        <is>
          <t>11 Oct 2026</t>
        </is>
      </c>
      <c r="G1667" s="5" t="inlineStr">
        <is>
          <t>26 Oct 2026</t>
        </is>
      </c>
      <c r="H1667" s="17" t="inlineStr">
        <is>
          <t>🟢 LIVE ACTIVE</t>
        </is>
      </c>
      <c r="I1667" s="4" t="inlineStr">
        <is>
          <t>Tendernotice_2026_JHA_6376509_87.pdf</t>
        </is>
      </c>
      <c r="J1667" s="6" t="inlineStr">
        <is>
          <t>📕 PDF Document</t>
        </is>
      </c>
      <c r="K1667" s="9" t="n">
        <v>17.9</v>
      </c>
      <c r="L1667" s="10">
        <f>HYPERLINK("http://127.0.0.1:8000/api/documents/download?id=3349&amp;attachment=true", "⬇ Download Tendernotice_2026_JHA_63")</f>
        <v/>
      </c>
      <c r="M1667" s="10">
        <f>HYPERLINK("http://localhost:5173/?state=Jharkhand&amp;keyword=ICT&amp;tender=2026_JHA_6376509_87", "🚀 Open in Portal")</f>
        <v/>
      </c>
    </row>
    <row r="1668" ht="24" customHeight="1">
      <c r="A1668" s="11" t="inlineStr">
        <is>
          <t>Jharkhand</t>
        </is>
      </c>
      <c r="B1668" s="12" t="inlineStr">
        <is>
          <t>ICT</t>
        </is>
      </c>
      <c r="C1668" s="13" t="inlineStr">
        <is>
          <t>2026_JHA_6376509_87</t>
        </is>
      </c>
      <c r="D1668" s="14" t="inlineStr">
        <is>
          <t>ICT-Based Cloud Data Center Modernization &amp; Statewide Integrated Video Command Analytics</t>
        </is>
      </c>
      <c r="E1668" s="14" t="inlineStr">
        <is>
          <t>DEPARTMENT OF INFORMATION TECHNOLOGY &amp; e-GOVERNANCE</t>
        </is>
      </c>
      <c r="F1668" s="13" t="inlineStr">
        <is>
          <t>11 Oct 2026</t>
        </is>
      </c>
      <c r="G1668" s="12" t="inlineStr">
        <is>
          <t>26 Oct 2026</t>
        </is>
      </c>
      <c r="H1668" s="17" t="inlineStr">
        <is>
          <t>🟢 LIVE ACTIVE</t>
        </is>
      </c>
      <c r="I1668" s="11" t="inlineStr">
        <is>
          <t>Technical_RFP_Specification_ICT.pdf</t>
        </is>
      </c>
      <c r="J1668" s="13" t="inlineStr">
        <is>
          <t>📕 PDF Document</t>
        </is>
      </c>
      <c r="K1668" s="15" t="n">
        <v>17.9</v>
      </c>
      <c r="L1668" s="16">
        <f>HYPERLINK("http://127.0.0.1:8000/api/documents/download?id=3350&amp;attachment=true", "⬇ Download Technical_RFP_Specificat")</f>
        <v/>
      </c>
      <c r="M1668" s="16">
        <f>HYPERLINK("http://localhost:5173/?state=Jharkhand&amp;keyword=ICT&amp;tender=2026_JHA_6376509_87", "🚀 Open in Portal")</f>
        <v/>
      </c>
    </row>
    <row r="1669" ht="24" customHeight="1">
      <c r="A1669" s="4" t="inlineStr">
        <is>
          <t>Jharkhand</t>
        </is>
      </c>
      <c r="B1669" s="5" t="inlineStr">
        <is>
          <t>ICT</t>
        </is>
      </c>
      <c r="C1669" s="6" t="inlineStr">
        <is>
          <t>2026_JHA_6376509_87</t>
        </is>
      </c>
      <c r="D1669" s="7" t="inlineStr">
        <is>
          <t>ICT-Based Cloud Data Center Modernization &amp; Statewide Integrated Video Command Analytics</t>
        </is>
      </c>
      <c r="E1669" s="7" t="inlineStr">
        <is>
          <t>DEPARTMENT OF INFORMATION TECHNOLOGY &amp; e-GOVERNANCE</t>
        </is>
      </c>
      <c r="F1669" s="6" t="inlineStr">
        <is>
          <t>11 Oct 2026</t>
        </is>
      </c>
      <c r="G1669" s="5" t="inlineStr">
        <is>
          <t>26 Oct 2026</t>
        </is>
      </c>
      <c r="H1669" s="17" t="inlineStr">
        <is>
          <t>🟢 LIVE ACTIVE</t>
        </is>
      </c>
      <c r="I1669" s="4" t="inlineStr">
        <is>
          <t>BOQ_Financial_Schedule_2026_JHA_6376509_87.xlsx</t>
        </is>
      </c>
      <c r="J1669" s="6" t="inlineStr">
        <is>
          <t>📊 Excel BOQ</t>
        </is>
      </c>
      <c r="K1669" s="9" t="n">
        <v>2.5</v>
      </c>
      <c r="L1669" s="10">
        <f>HYPERLINK("http://127.0.0.1:8000/api/documents/download?id=3351&amp;attachment=true", "⬇ Download BOQ_Financial_Schedule_2")</f>
        <v/>
      </c>
      <c r="M1669" s="10">
        <f>HYPERLINK("http://localhost:5173/?state=Jharkhand&amp;keyword=ICT&amp;tender=2026_JHA_6376509_87", "🚀 Open in Portal")</f>
        <v/>
      </c>
    </row>
    <row r="1670" ht="24" customHeight="1">
      <c r="A1670" s="11" t="inlineStr">
        <is>
          <t>Jharkhand</t>
        </is>
      </c>
      <c r="B1670" s="12" t="inlineStr">
        <is>
          <t>ICT</t>
        </is>
      </c>
      <c r="C1670" s="13" t="inlineStr">
        <is>
          <t>2026_JHA_6376509_87</t>
        </is>
      </c>
      <c r="D1670" s="14" t="inlineStr">
        <is>
          <t>ICT-Based Cloud Data Center Modernization &amp; Statewide Integrated Video Command Analytics</t>
        </is>
      </c>
      <c r="E1670" s="14" t="inlineStr">
        <is>
          <t>DEPARTMENT OF INFORMATION TECHNOLOGY &amp; e-GOVERNANCE</t>
        </is>
      </c>
      <c r="F1670" s="13" t="inlineStr">
        <is>
          <t>11 Oct 2026</t>
        </is>
      </c>
      <c r="G1670" s="12" t="inlineStr">
        <is>
          <t>26 Oct 2026</t>
        </is>
      </c>
      <c r="H1670" s="17" t="inlineStr">
        <is>
          <t>🟢 LIVE ACTIVE</t>
        </is>
      </c>
      <c r="I1670" s="11" t="inlineStr">
        <is>
          <t>Tender_2026_JHA_6376509_87_All_Documents.zip</t>
        </is>
      </c>
      <c r="J1670" s="13" t="inlineStr">
        <is>
          <t>📦 ZIP Package</t>
        </is>
      </c>
      <c r="K1670" s="15" t="n">
        <v>45</v>
      </c>
      <c r="L1670" s="16">
        <f>HYPERLINK("https://jharkhandtenders.gov.in/tender/2026_JHA_6376509_87", "⬇ Download Tender_2026_JHA_6376509_")</f>
        <v/>
      </c>
      <c r="M1670" s="16">
        <f>HYPERLINK("http://localhost:5173/?state=Jharkhand&amp;keyword=ICT&amp;tender=2026_JHA_6376509_87", "🚀 Open in Portal")</f>
        <v/>
      </c>
    </row>
    <row r="1671" ht="24" customHeight="1">
      <c r="A1671" s="4" t="inlineStr">
        <is>
          <t>Jharkhand</t>
        </is>
      </c>
      <c r="B1671" s="5" t="inlineStr">
        <is>
          <t>ICT</t>
        </is>
      </c>
      <c r="C1671" s="6" t="inlineStr">
        <is>
          <t>2026_JPHCL_119812_1</t>
        </is>
      </c>
      <c r="D1671" s="7" t="inlineStr">
        <is>
          <t>[Renovation Work of Conference Hall with Room G. Floor, Renovation Work of DGP Conference Hall and Installation of Lift at PHQ, Dhurwa in the District of Ranchi]</t>
        </is>
      </c>
      <c r="E1671" s="7" t="inlineStr">
        <is>
          <t>Jharkhand Public Works &amp; Technology Department</t>
        </is>
      </c>
      <c r="F1671" s="6" t="inlineStr">
        <is>
          <t>12 Sep 2026</t>
        </is>
      </c>
      <c r="G1671" s="5" t="inlineStr">
        <is>
          <t>07 Oct 2026</t>
        </is>
      </c>
      <c r="H1671" s="8" t="inlineStr">
        <is>
          <t>⏳ UPCOMING</t>
        </is>
      </c>
      <c r="I1671" s="4" t="inlineStr">
        <is>
          <t>Tendernotice_1.pdf</t>
        </is>
      </c>
      <c r="J1671" s="6" t="inlineStr">
        <is>
          <t>📕 PDF Document</t>
        </is>
      </c>
      <c r="K1671" s="9" t="n">
        <v>17.9</v>
      </c>
      <c r="L1671" s="10">
        <f>HYPERLINK("http://127.0.0.1:8000/api/documents/download?id=2034&amp;attachment=true", "⬇ Download Tendernotice_1.pdf")</f>
        <v/>
      </c>
      <c r="M1671" s="10">
        <f>HYPERLINK("http://localhost:5173/?state=Jharkhand&amp;keyword=ICT&amp;tender=2026_JPHCL_119812_1", "🚀 Open in Portal")</f>
        <v/>
      </c>
    </row>
    <row r="1672" ht="24" customHeight="1">
      <c r="A1672" s="11" t="inlineStr">
        <is>
          <t>Jharkhand</t>
        </is>
      </c>
      <c r="B1672" s="12" t="inlineStr">
        <is>
          <t>ICT</t>
        </is>
      </c>
      <c r="C1672" s="13" t="inlineStr">
        <is>
          <t>2026_JPHCL_119812_1</t>
        </is>
      </c>
      <c r="D1672" s="14" t="inlineStr">
        <is>
          <t>[Renovation Work of Conference Hall with Room G. Floor, Renovation Work of DGP Conference Hall and Installation of Lift at PHQ, Dhurwa in the District of Ranchi]</t>
        </is>
      </c>
      <c r="E1672" s="14" t="inlineStr">
        <is>
          <t>Jharkhand Public Works &amp; Technology Department</t>
        </is>
      </c>
      <c r="F1672" s="13" t="inlineStr">
        <is>
          <t>12 Sep 2026</t>
        </is>
      </c>
      <c r="G1672" s="12" t="inlineStr">
        <is>
          <t>07 Oct 2026</t>
        </is>
      </c>
      <c r="H1672" s="8" t="inlineStr">
        <is>
          <t>⏳ UPCOMING</t>
        </is>
      </c>
      <c r="I1672" s="11" t="inlineStr">
        <is>
          <t>Techbid1.pdf</t>
        </is>
      </c>
      <c r="J1672" s="13" t="inlineStr">
        <is>
          <t>📕 PDF Document</t>
        </is>
      </c>
      <c r="K1672" s="15" t="n">
        <v>17.9</v>
      </c>
      <c r="L1672" s="16">
        <f>HYPERLINK("http://127.0.0.1:8000/api/documents/download?id=2035&amp;attachment=true", "⬇ Download Techbid1.pdf")</f>
        <v/>
      </c>
      <c r="M1672" s="16">
        <f>HYPERLINK("http://localhost:5173/?state=Jharkhand&amp;keyword=ICT&amp;tender=2026_JPHCL_119812_1", "🚀 Open in Portal")</f>
        <v/>
      </c>
    </row>
    <row r="1673" ht="24" customHeight="1">
      <c r="A1673" s="4" t="inlineStr">
        <is>
          <t>Jharkhand</t>
        </is>
      </c>
      <c r="B1673" s="5" t="inlineStr">
        <is>
          <t>ICT</t>
        </is>
      </c>
      <c r="C1673" s="6" t="inlineStr">
        <is>
          <t>2026_JPHCL_119812_1</t>
        </is>
      </c>
      <c r="D1673" s="7" t="inlineStr">
        <is>
          <t>[Renovation Work of Conference Hall with Room G. Floor, Renovation Work of DGP Conference Hall and Installation of Lift at PHQ, Dhurwa in the District of Ranchi]</t>
        </is>
      </c>
      <c r="E1673" s="7" t="inlineStr">
        <is>
          <t>Jharkhand Public Works &amp; Technology Department</t>
        </is>
      </c>
      <c r="F1673" s="6" t="inlineStr">
        <is>
          <t>12 Sep 2026</t>
        </is>
      </c>
      <c r="G1673" s="5" t="inlineStr">
        <is>
          <t>07 Oct 2026</t>
        </is>
      </c>
      <c r="H1673" s="8" t="inlineStr">
        <is>
          <t>⏳ UPCOMING</t>
        </is>
      </c>
      <c r="I1673" s="4" t="inlineStr">
        <is>
          <t>BOQ_162117.xls</t>
        </is>
      </c>
      <c r="J1673" s="6" t="inlineStr">
        <is>
          <t>📊 Excel BOQ</t>
        </is>
      </c>
      <c r="K1673" s="9" t="n">
        <v>2.5</v>
      </c>
      <c r="L1673" s="10">
        <f>HYPERLINK("http://127.0.0.1:8000/api/documents/download?id=2036&amp;attachment=true", "⬇ Download BOQ_162117.xls")</f>
        <v/>
      </c>
      <c r="M1673" s="10">
        <f>HYPERLINK("http://localhost:5173/?state=Jharkhand&amp;keyword=ICT&amp;tender=2026_JPHCL_119812_1", "🚀 Open in Portal")</f>
        <v/>
      </c>
    </row>
    <row r="1674" ht="24" customHeight="1">
      <c r="A1674" s="11" t="inlineStr">
        <is>
          <t>Jharkhand</t>
        </is>
      </c>
      <c r="B1674" s="12" t="inlineStr">
        <is>
          <t>ICT</t>
        </is>
      </c>
      <c r="C1674" s="13" t="inlineStr">
        <is>
          <t>2026_JPHCL_119812_1</t>
        </is>
      </c>
      <c r="D1674" s="14" t="inlineStr">
        <is>
          <t>[Renovation Work of Conference Hall with Room G. Floor, Renovation Work of DGP Conference Hall and Installation of Lift at PHQ, Dhurwa in the District of Ranchi]</t>
        </is>
      </c>
      <c r="E1674" s="14" t="inlineStr">
        <is>
          <t>Jharkhand Public Works &amp; Technology Department</t>
        </is>
      </c>
      <c r="F1674" s="13" t="inlineStr">
        <is>
          <t>12 Sep 2026</t>
        </is>
      </c>
      <c r="G1674" s="12" t="inlineStr">
        <is>
          <t>07 Oct 2026</t>
        </is>
      </c>
      <c r="H1674" s="8" t="inlineStr">
        <is>
          <t>⏳ UPCOMING</t>
        </is>
      </c>
      <c r="I1674" s="11" t="inlineStr">
        <is>
          <t>Tender_2026_JPHCL_119812_1_All_Documents.zip</t>
        </is>
      </c>
      <c r="J1674" s="13" t="inlineStr">
        <is>
          <t>📦 ZIP Package</t>
        </is>
      </c>
      <c r="K1674" s="15" t="n">
        <v>20.8</v>
      </c>
      <c r="L1674" s="16">
        <f>HYPERLINK("http://127.0.0.1:8000/api/documents/download?id=2037&amp;attachment=true", "⬇ Download Tender_2026_JPHCL_119812")</f>
        <v/>
      </c>
      <c r="M1674" s="16">
        <f>HYPERLINK("http://localhost:5173/?state=Jharkhand&amp;keyword=ICT&amp;tender=2026_JPHCL_119812_1", "🚀 Open in Portal")</f>
        <v/>
      </c>
    </row>
    <row r="1675" ht="24" customHeight="1">
      <c r="A1675" s="4" t="inlineStr">
        <is>
          <t>Jharkhand</t>
        </is>
      </c>
      <c r="B1675" s="5" t="inlineStr">
        <is>
          <t>ICT</t>
        </is>
      </c>
      <c r="C1675" s="6" t="inlineStr">
        <is>
          <t>2026_RDSPL_119736_1</t>
        </is>
      </c>
      <c r="D1675" s="7" t="inlineStr">
        <is>
          <t>[stallation of Advance Stem Lab In 1. SS plus 2 Block - Bansjor, 2. DCM School of Excellence, Block - Simdega, 3. DCM School of Excellence SS plus 2 High School Kolebira, 4. DCM School of Excellence SS plus 2 High School Bano of District - Simdega.]</t>
        </is>
      </c>
      <c r="E1675" s="7" t="inlineStr">
        <is>
          <t>Jharkhand Public Works &amp; Technology Department</t>
        </is>
      </c>
      <c r="F1675" s="6" t="inlineStr">
        <is>
          <t>23 Oct 2026</t>
        </is>
      </c>
      <c r="G1675" s="5" t="inlineStr">
        <is>
          <t>13 Nov 2026</t>
        </is>
      </c>
      <c r="H1675" s="8" t="inlineStr">
        <is>
          <t>⏳ UPCOMING</t>
        </is>
      </c>
      <c r="I1675" s="4" t="inlineStr">
        <is>
          <t>Tendernotice_1.pdf</t>
        </is>
      </c>
      <c r="J1675" s="6" t="inlineStr">
        <is>
          <t>📕 PDF Document</t>
        </is>
      </c>
      <c r="K1675" s="9" t="n">
        <v>17.9</v>
      </c>
      <c r="L1675" s="10">
        <f>HYPERLINK("http://127.0.0.1:8000/api/documents/download?id=2078&amp;attachment=true", "⬇ Download Tendernotice_1.pdf")</f>
        <v/>
      </c>
      <c r="M1675" s="10">
        <f>HYPERLINK("http://localhost:5173/?state=Jharkhand&amp;keyword=ICT&amp;tender=2026_RDSPL_119736_1", "🚀 Open in Portal")</f>
        <v/>
      </c>
    </row>
    <row r="1676" ht="24" customHeight="1">
      <c r="A1676" s="11" t="inlineStr">
        <is>
          <t>Jharkhand</t>
        </is>
      </c>
      <c r="B1676" s="12" t="inlineStr">
        <is>
          <t>ICT</t>
        </is>
      </c>
      <c r="C1676" s="13" t="inlineStr">
        <is>
          <t>2026_RDSPL_119736_1</t>
        </is>
      </c>
      <c r="D1676" s="14" t="inlineStr">
        <is>
          <t>[stallation of Advance Stem Lab In 1. SS plus 2 Block - Bansjor, 2. DCM School of Excellence, Block - Simdega, 3. DCM School of Excellence SS plus 2 High School Kolebira, 4. DCM School of Excellence SS plus 2 High School Bano of District - Simdega.]</t>
        </is>
      </c>
      <c r="E1676" s="14" t="inlineStr">
        <is>
          <t>Jharkhand Public Works &amp; Technology Department</t>
        </is>
      </c>
      <c r="F1676" s="13" t="inlineStr">
        <is>
          <t>23 Oct 2026</t>
        </is>
      </c>
      <c r="G1676" s="12" t="inlineStr">
        <is>
          <t>13 Nov 2026</t>
        </is>
      </c>
      <c r="H1676" s="8" t="inlineStr">
        <is>
          <t>⏳ UPCOMING</t>
        </is>
      </c>
      <c r="I1676" s="11" t="inlineStr">
        <is>
          <t>BOQ_162015.xls</t>
        </is>
      </c>
      <c r="J1676" s="13" t="inlineStr">
        <is>
          <t>📊 Excel BOQ</t>
        </is>
      </c>
      <c r="K1676" s="15" t="n">
        <v>2.5</v>
      </c>
      <c r="L1676" s="16">
        <f>HYPERLINK("http://127.0.0.1:8000/api/documents/download?id=2079&amp;attachment=true", "⬇ Download BOQ_162015.xls")</f>
        <v/>
      </c>
      <c r="M1676" s="16">
        <f>HYPERLINK("http://localhost:5173/?state=Jharkhand&amp;keyword=ICT&amp;tender=2026_RDSPL_119736_1", "🚀 Open in Portal")</f>
        <v/>
      </c>
    </row>
    <row r="1677" ht="24" customHeight="1">
      <c r="A1677" s="4" t="inlineStr">
        <is>
          <t>Jharkhand</t>
        </is>
      </c>
      <c r="B1677" s="5" t="inlineStr">
        <is>
          <t>ICT</t>
        </is>
      </c>
      <c r="C1677" s="6" t="inlineStr">
        <is>
          <t>2026_RDSPL_119736_1</t>
        </is>
      </c>
      <c r="D1677" s="7" t="inlineStr">
        <is>
          <t>[stallation of Advance Stem Lab In 1. SS plus 2 Block - Bansjor, 2. DCM School of Excellence, Block - Simdega, 3. DCM School of Excellence SS plus 2 High School Kolebira, 4. DCM School of Excellence SS plus 2 High School Bano of District - Simdega.]</t>
        </is>
      </c>
      <c r="E1677" s="7" t="inlineStr">
        <is>
          <t>Jharkhand Public Works &amp; Technology Department</t>
        </is>
      </c>
      <c r="F1677" s="6" t="inlineStr">
        <is>
          <t>23 Oct 2026</t>
        </is>
      </c>
      <c r="G1677" s="5" t="inlineStr">
        <is>
          <t>13 Nov 2026</t>
        </is>
      </c>
      <c r="H1677" s="8" t="inlineStr">
        <is>
          <t>⏳ UPCOMING</t>
        </is>
      </c>
      <c r="I1677" s="4" t="inlineStr">
        <is>
          <t>Tender_2026_RDSPL_119736_1_All_Documents.zip</t>
        </is>
      </c>
      <c r="J1677" s="6" t="inlineStr">
        <is>
          <t>📦 ZIP Package</t>
        </is>
      </c>
      <c r="K1677" s="9" t="n">
        <v>11.6</v>
      </c>
      <c r="L1677" s="10">
        <f>HYPERLINK("http://127.0.0.1:8000/api/documents/download?id=2080&amp;attachment=true", "⬇ Download Tender_2026_RDSPL_119736")</f>
        <v/>
      </c>
      <c r="M1677" s="10">
        <f>HYPERLINK("http://localhost:5173/?state=Jharkhand&amp;keyword=ICT&amp;tender=2026_RDSPL_119736_1", "🚀 Open in Portal")</f>
        <v/>
      </c>
    </row>
    <row r="1678" ht="24" customHeight="1">
      <c r="A1678" s="11" t="inlineStr">
        <is>
          <t>Jharkhand</t>
        </is>
      </c>
      <c r="B1678" s="12" t="inlineStr">
        <is>
          <t>ICT</t>
        </is>
      </c>
      <c r="C1678" s="13" t="inlineStr">
        <is>
          <t>2026_RDSPL_119801_1</t>
        </is>
      </c>
      <c r="D1678" s="14" t="inlineStr">
        <is>
          <t>[CONSTRUCTION OF WATER SUPPLY IN ANGANBARI KENDRA IN VILLAGE PALMA, PANCHAYAT DAMINBHITTA UNDER MANDRO BLOCK IN SAHIBGANJ DISTRICT]</t>
        </is>
      </c>
      <c r="E1678" s="14" t="inlineStr">
        <is>
          <t>Jharkhand Public Works &amp; Technology Department</t>
        </is>
      </c>
      <c r="F1678" s="13" t="inlineStr">
        <is>
          <t>10 Aug 2026</t>
        </is>
      </c>
      <c r="G1678" s="12" t="inlineStr">
        <is>
          <t>04 Sep 2026</t>
        </is>
      </c>
      <c r="H1678" s="8" t="inlineStr">
        <is>
          <t>⏳ UPCOMING</t>
        </is>
      </c>
      <c r="I1678" s="11" t="inlineStr">
        <is>
          <t>Tendernotice_1.pdf</t>
        </is>
      </c>
      <c r="J1678" s="13" t="inlineStr">
        <is>
          <t>📕 PDF Document</t>
        </is>
      </c>
      <c r="K1678" s="15" t="n">
        <v>17.9</v>
      </c>
      <c r="L1678" s="16">
        <f>HYPERLINK("http://127.0.0.1:8000/api/documents/download?id=2044&amp;attachment=true", "⬇ Download Tendernotice_1.pdf")</f>
        <v/>
      </c>
      <c r="M1678" s="16">
        <f>HYPERLINK("http://localhost:5173/?state=Jharkhand&amp;keyword=ICT&amp;tender=2026_RDSPL_119801_1", "🚀 Open in Portal")</f>
        <v/>
      </c>
    </row>
    <row r="1679" ht="24" customHeight="1">
      <c r="A1679" s="4" t="inlineStr">
        <is>
          <t>Jharkhand</t>
        </is>
      </c>
      <c r="B1679" s="5" t="inlineStr">
        <is>
          <t>ICT</t>
        </is>
      </c>
      <c r="C1679" s="6" t="inlineStr">
        <is>
          <t>2026_RDSPL_119801_1</t>
        </is>
      </c>
      <c r="D1679" s="7" t="inlineStr">
        <is>
          <t>[CONSTRUCTION OF WATER SUPPLY IN ANGANBARI KENDRA IN VILLAGE PALMA, PANCHAYAT DAMINBHITTA UNDER MANDRO BLOCK IN SAHIBGANJ DISTRICT]</t>
        </is>
      </c>
      <c r="E1679" s="7" t="inlineStr">
        <is>
          <t>Jharkhand Public Works &amp; Technology Department</t>
        </is>
      </c>
      <c r="F1679" s="6" t="inlineStr">
        <is>
          <t>10 Aug 2026</t>
        </is>
      </c>
      <c r="G1679" s="5" t="inlineStr">
        <is>
          <t>04 Sep 2026</t>
        </is>
      </c>
      <c r="H1679" s="8" t="inlineStr">
        <is>
          <t>⏳ UPCOMING</t>
        </is>
      </c>
      <c r="I1679" s="4" t="inlineStr">
        <is>
          <t>BOQ_162096.xls</t>
        </is>
      </c>
      <c r="J1679" s="6" t="inlineStr">
        <is>
          <t>📊 Excel BOQ</t>
        </is>
      </c>
      <c r="K1679" s="9" t="n">
        <v>2.5</v>
      </c>
      <c r="L1679" s="10">
        <f>HYPERLINK("http://127.0.0.1:8000/api/documents/download?id=2045&amp;attachment=true", "⬇ Download BOQ_162096.xls")</f>
        <v/>
      </c>
      <c r="M1679" s="10">
        <f>HYPERLINK("http://localhost:5173/?state=Jharkhand&amp;keyword=ICT&amp;tender=2026_RDSPL_119801_1", "🚀 Open in Portal")</f>
        <v/>
      </c>
    </row>
    <row r="1680" ht="24" customHeight="1">
      <c r="A1680" s="11" t="inlineStr">
        <is>
          <t>Jharkhand</t>
        </is>
      </c>
      <c r="B1680" s="12" t="inlineStr">
        <is>
          <t>ICT</t>
        </is>
      </c>
      <c r="C1680" s="13" t="inlineStr">
        <is>
          <t>2026_RDSPL_119801_1</t>
        </is>
      </c>
      <c r="D1680" s="14" t="inlineStr">
        <is>
          <t>[CONSTRUCTION OF WATER SUPPLY IN ANGANBARI KENDRA IN VILLAGE PALMA, PANCHAYAT DAMINBHITTA UNDER MANDRO BLOCK IN SAHIBGANJ DISTRICT]</t>
        </is>
      </c>
      <c r="E1680" s="14" t="inlineStr">
        <is>
          <t>Jharkhand Public Works &amp; Technology Department</t>
        </is>
      </c>
      <c r="F1680" s="13" t="inlineStr">
        <is>
          <t>10 Aug 2026</t>
        </is>
      </c>
      <c r="G1680" s="12" t="inlineStr">
        <is>
          <t>04 Sep 2026</t>
        </is>
      </c>
      <c r="H1680" s="8" t="inlineStr">
        <is>
          <t>⏳ UPCOMING</t>
        </is>
      </c>
      <c r="I1680" s="11" t="inlineStr">
        <is>
          <t>Tender_2026_RDSPL_119801_1_All_Documents.zip</t>
        </is>
      </c>
      <c r="J1680" s="13" t="inlineStr">
        <is>
          <t>📦 ZIP Package</t>
        </is>
      </c>
      <c r="K1680" s="15" t="n">
        <v>11.6</v>
      </c>
      <c r="L1680" s="16">
        <f>HYPERLINK("http://127.0.0.1:8000/api/documents/download?id=2046&amp;attachment=true", "⬇ Download Tender_2026_RDSPL_119801")</f>
        <v/>
      </c>
      <c r="M1680" s="16">
        <f>HYPERLINK("http://localhost:5173/?state=Jharkhand&amp;keyword=ICT&amp;tender=2026_RDSPL_119801_1", "🚀 Open in Portal")</f>
        <v/>
      </c>
    </row>
    <row r="1681" ht="24" customHeight="1">
      <c r="A1681" s="4" t="inlineStr">
        <is>
          <t>Jharkhand</t>
        </is>
      </c>
      <c r="B1681" s="5" t="inlineStr">
        <is>
          <t>ICT</t>
        </is>
      </c>
      <c r="C1681" s="6" t="inlineStr">
        <is>
          <t>2026_RDSPL_119803_1</t>
        </is>
      </c>
      <c r="D1681" s="7" t="inlineStr">
        <is>
          <t>[CONSTRUCTION OF WATER SUPPLY IN ANGANBARI KENDRA IN VILLAGE KHELATOLA, PANCHAYAT BASAHA UNDER MANDRO BLOCK IN SAHIBGANJ DISTRICT.]</t>
        </is>
      </c>
      <c r="E1681" s="7" t="inlineStr">
        <is>
          <t>Jharkhand Public Works &amp; Technology Department</t>
        </is>
      </c>
      <c r="F1681" s="6" t="inlineStr">
        <is>
          <t>25 Jul 2026</t>
        </is>
      </c>
      <c r="G1681" s="5" t="inlineStr">
        <is>
          <t>19 Aug 2026</t>
        </is>
      </c>
      <c r="H1681" s="8" t="inlineStr">
        <is>
          <t>⏳ UPCOMING</t>
        </is>
      </c>
      <c r="I1681" s="4" t="inlineStr">
        <is>
          <t>Tendernotice_1.pdf</t>
        </is>
      </c>
      <c r="J1681" s="6" t="inlineStr">
        <is>
          <t>📕 PDF Document</t>
        </is>
      </c>
      <c r="K1681" s="9" t="n">
        <v>17.9</v>
      </c>
      <c r="L1681" s="10">
        <f>HYPERLINK("http://127.0.0.1:8000/api/documents/download?id=2041&amp;attachment=true", "⬇ Download Tendernotice_1.pdf")</f>
        <v/>
      </c>
      <c r="M1681" s="10">
        <f>HYPERLINK("http://localhost:5173/?state=Jharkhand&amp;keyword=ICT&amp;tender=2026_RDSPL_119803_1", "🚀 Open in Portal")</f>
        <v/>
      </c>
    </row>
    <row r="1682" ht="24" customHeight="1">
      <c r="A1682" s="11" t="inlineStr">
        <is>
          <t>Jharkhand</t>
        </is>
      </c>
      <c r="B1682" s="12" t="inlineStr">
        <is>
          <t>ICT</t>
        </is>
      </c>
      <c r="C1682" s="13" t="inlineStr">
        <is>
          <t>2026_RDSPL_119803_1</t>
        </is>
      </c>
      <c r="D1682" s="14" t="inlineStr">
        <is>
          <t>[CONSTRUCTION OF WATER SUPPLY IN ANGANBARI KENDRA IN VILLAGE KHELATOLA, PANCHAYAT BASAHA UNDER MANDRO BLOCK IN SAHIBGANJ DISTRICT.]</t>
        </is>
      </c>
      <c r="E1682" s="14" t="inlineStr">
        <is>
          <t>Jharkhand Public Works &amp; Technology Department</t>
        </is>
      </c>
      <c r="F1682" s="13" t="inlineStr">
        <is>
          <t>25 Jul 2026</t>
        </is>
      </c>
      <c r="G1682" s="12" t="inlineStr">
        <is>
          <t>19 Aug 2026</t>
        </is>
      </c>
      <c r="H1682" s="8" t="inlineStr">
        <is>
          <t>⏳ UPCOMING</t>
        </is>
      </c>
      <c r="I1682" s="11" t="inlineStr">
        <is>
          <t>BOQ_162097.xls</t>
        </is>
      </c>
      <c r="J1682" s="13" t="inlineStr">
        <is>
          <t>📊 Excel BOQ</t>
        </is>
      </c>
      <c r="K1682" s="15" t="n">
        <v>2.5</v>
      </c>
      <c r="L1682" s="16">
        <f>HYPERLINK("http://127.0.0.1:8000/api/documents/download?id=2042&amp;attachment=true", "⬇ Download BOQ_162097.xls")</f>
        <v/>
      </c>
      <c r="M1682" s="16">
        <f>HYPERLINK("http://localhost:5173/?state=Jharkhand&amp;keyword=ICT&amp;tender=2026_RDSPL_119803_1", "🚀 Open in Portal")</f>
        <v/>
      </c>
    </row>
    <row r="1683" ht="24" customHeight="1">
      <c r="A1683" s="4" t="inlineStr">
        <is>
          <t>Jharkhand</t>
        </is>
      </c>
      <c r="B1683" s="5" t="inlineStr">
        <is>
          <t>ICT</t>
        </is>
      </c>
      <c r="C1683" s="6" t="inlineStr">
        <is>
          <t>2026_RDSPL_119803_1</t>
        </is>
      </c>
      <c r="D1683" s="7" t="inlineStr">
        <is>
          <t>[CONSTRUCTION OF WATER SUPPLY IN ANGANBARI KENDRA IN VILLAGE KHELATOLA, PANCHAYAT BASAHA UNDER MANDRO BLOCK IN SAHIBGANJ DISTRICT.]</t>
        </is>
      </c>
      <c r="E1683" s="7" t="inlineStr">
        <is>
          <t>Jharkhand Public Works &amp; Technology Department</t>
        </is>
      </c>
      <c r="F1683" s="6" t="inlineStr">
        <is>
          <t>25 Jul 2026</t>
        </is>
      </c>
      <c r="G1683" s="5" t="inlineStr">
        <is>
          <t>19 Aug 2026</t>
        </is>
      </c>
      <c r="H1683" s="8" t="inlineStr">
        <is>
          <t>⏳ UPCOMING</t>
        </is>
      </c>
      <c r="I1683" s="4" t="inlineStr">
        <is>
          <t>Tender_2026_RDSPL_119803_1_All_Documents.zip</t>
        </is>
      </c>
      <c r="J1683" s="6" t="inlineStr">
        <is>
          <t>📦 ZIP Package</t>
        </is>
      </c>
      <c r="K1683" s="9" t="n">
        <v>11.6</v>
      </c>
      <c r="L1683" s="10">
        <f>HYPERLINK("http://127.0.0.1:8000/api/documents/download?id=2043&amp;attachment=true", "⬇ Download Tender_2026_RDSPL_119803")</f>
        <v/>
      </c>
      <c r="M1683" s="10">
        <f>HYPERLINK("http://localhost:5173/?state=Jharkhand&amp;keyword=ICT&amp;tender=2026_RDSPL_119803_1", "🚀 Open in Portal")</f>
        <v/>
      </c>
    </row>
    <row r="1684" ht="24" customHeight="1">
      <c r="A1684" s="11" t="inlineStr">
        <is>
          <t>Jharkhand</t>
        </is>
      </c>
      <c r="B1684" s="12" t="inlineStr">
        <is>
          <t>ICT</t>
        </is>
      </c>
      <c r="C1684" s="13" t="inlineStr">
        <is>
          <t>2026_RDSPL_119806_1</t>
        </is>
      </c>
      <c r="D1684" s="14" t="inlineStr">
        <is>
          <t>[CONSTRUCTION OF HYDT BORING IN PRIMARY HEALTH CENTRE TINPAHAR UNDER RAJMAHAL BLOCK IN SAHIBGANJ DISTRICT.]</t>
        </is>
      </c>
      <c r="E1684" s="14" t="inlineStr">
        <is>
          <t>Jharkhand Public Works &amp; Technology Department</t>
        </is>
      </c>
      <c r="F1684" s="13" t="inlineStr">
        <is>
          <t>04 Oct 2026</t>
        </is>
      </c>
      <c r="G1684" s="12" t="inlineStr">
        <is>
          <t>26 Oct 2026</t>
        </is>
      </c>
      <c r="H1684" s="17" t="inlineStr">
        <is>
          <t>🟢 LIVE ACTIVE</t>
        </is>
      </c>
      <c r="I1684" s="11" t="inlineStr">
        <is>
          <t>Tendernotice_1.pdf</t>
        </is>
      </c>
      <c r="J1684" s="13" t="inlineStr">
        <is>
          <t>📕 PDF Document</t>
        </is>
      </c>
      <c r="K1684" s="15" t="n">
        <v>17.9</v>
      </c>
      <c r="L1684" s="16">
        <f>HYPERLINK("http://127.0.0.1:8000/api/documents/download?id=2038&amp;attachment=true", "⬇ Download Tendernotice_1.pdf")</f>
        <v/>
      </c>
      <c r="M1684" s="16">
        <f>HYPERLINK("http://localhost:5173/?state=Jharkhand&amp;keyword=ICT&amp;tender=2026_RDSPL_119806_1", "🚀 Open in Portal")</f>
        <v/>
      </c>
    </row>
    <row r="1685" ht="24" customHeight="1">
      <c r="A1685" s="4" t="inlineStr">
        <is>
          <t>Jharkhand</t>
        </is>
      </c>
      <c r="B1685" s="5" t="inlineStr">
        <is>
          <t>ICT</t>
        </is>
      </c>
      <c r="C1685" s="6" t="inlineStr">
        <is>
          <t>2026_RDSPL_119806_1</t>
        </is>
      </c>
      <c r="D1685" s="7" t="inlineStr">
        <is>
          <t>[CONSTRUCTION OF HYDT BORING IN PRIMARY HEALTH CENTRE TINPAHAR UNDER RAJMAHAL BLOCK IN SAHIBGANJ DISTRICT.]</t>
        </is>
      </c>
      <c r="E1685" s="7" t="inlineStr">
        <is>
          <t>Jharkhand Public Works &amp; Technology Department</t>
        </is>
      </c>
      <c r="F1685" s="6" t="inlineStr">
        <is>
          <t>04 Oct 2026</t>
        </is>
      </c>
      <c r="G1685" s="5" t="inlineStr">
        <is>
          <t>26 Oct 2026</t>
        </is>
      </c>
      <c r="H1685" s="17" t="inlineStr">
        <is>
          <t>🟢 LIVE ACTIVE</t>
        </is>
      </c>
      <c r="I1685" s="4" t="inlineStr">
        <is>
          <t>BOQ_162101.xls</t>
        </is>
      </c>
      <c r="J1685" s="6" t="inlineStr">
        <is>
          <t>📊 Excel BOQ</t>
        </is>
      </c>
      <c r="K1685" s="9" t="n">
        <v>2.5</v>
      </c>
      <c r="L1685" s="10">
        <f>HYPERLINK("http://127.0.0.1:8000/api/documents/download?id=2039&amp;attachment=true", "⬇ Download BOQ_162101.xls")</f>
        <v/>
      </c>
      <c r="M1685" s="10">
        <f>HYPERLINK("http://localhost:5173/?state=Jharkhand&amp;keyword=ICT&amp;tender=2026_RDSPL_119806_1", "🚀 Open in Portal")</f>
        <v/>
      </c>
    </row>
    <row r="1686" ht="24" customHeight="1">
      <c r="A1686" s="11" t="inlineStr">
        <is>
          <t>Jharkhand</t>
        </is>
      </c>
      <c r="B1686" s="12" t="inlineStr">
        <is>
          <t>ICT</t>
        </is>
      </c>
      <c r="C1686" s="13" t="inlineStr">
        <is>
          <t>2026_RDSPL_119806_1</t>
        </is>
      </c>
      <c r="D1686" s="14" t="inlineStr">
        <is>
          <t>[CONSTRUCTION OF HYDT BORING IN PRIMARY HEALTH CENTRE TINPAHAR UNDER RAJMAHAL BLOCK IN SAHIBGANJ DISTRICT.]</t>
        </is>
      </c>
      <c r="E1686" s="14" t="inlineStr">
        <is>
          <t>Jharkhand Public Works &amp; Technology Department</t>
        </is>
      </c>
      <c r="F1686" s="13" t="inlineStr">
        <is>
          <t>04 Oct 2026</t>
        </is>
      </c>
      <c r="G1686" s="12" t="inlineStr">
        <is>
          <t>26 Oct 2026</t>
        </is>
      </c>
      <c r="H1686" s="17" t="inlineStr">
        <is>
          <t>🟢 LIVE ACTIVE</t>
        </is>
      </c>
      <c r="I1686" s="11" t="inlineStr">
        <is>
          <t>Tender_2026_RDSPL_119806_1_All_Documents.zip</t>
        </is>
      </c>
      <c r="J1686" s="13" t="inlineStr">
        <is>
          <t>📦 ZIP Package</t>
        </is>
      </c>
      <c r="K1686" s="15" t="n">
        <v>11.6</v>
      </c>
      <c r="L1686" s="16">
        <f>HYPERLINK("http://127.0.0.1:8000/api/documents/download?id=2040&amp;attachment=true", "⬇ Download Tender_2026_RDSPL_119806")</f>
        <v/>
      </c>
      <c r="M1686" s="16">
        <f>HYPERLINK("http://localhost:5173/?state=Jharkhand&amp;keyword=ICT&amp;tender=2026_RDSPL_119806_1", "🚀 Open in Portal")</f>
        <v/>
      </c>
    </row>
    <row r="1687" ht="24" customHeight="1">
      <c r="A1687" s="4" t="inlineStr">
        <is>
          <t>Jharkhand</t>
        </is>
      </c>
      <c r="B1687" s="5" t="inlineStr">
        <is>
          <t>ICT</t>
        </is>
      </c>
      <c r="C1687" s="6" t="inlineStr">
        <is>
          <t>2026_RDSPL_119814_1</t>
        </is>
      </c>
      <c r="D1687" s="7" t="inlineStr">
        <is>
          <t>[Construction of 12 nos. Hand pump in different village under Block Barharwa District Sahibganj. Gr.06]</t>
        </is>
      </c>
      <c r="E1687" s="7" t="inlineStr">
        <is>
          <t>Jharkhand Public Works &amp; Technology Department</t>
        </is>
      </c>
      <c r="F1687" s="6" t="inlineStr">
        <is>
          <t>23 Oct 2026</t>
        </is>
      </c>
      <c r="G1687" s="5" t="inlineStr">
        <is>
          <t>13 Nov 2026</t>
        </is>
      </c>
      <c r="H1687" s="8" t="inlineStr">
        <is>
          <t>⏳ UPCOMING</t>
        </is>
      </c>
      <c r="I1687" s="4" t="inlineStr">
        <is>
          <t>Tendernotice_1.pdf</t>
        </is>
      </c>
      <c r="J1687" s="6" t="inlineStr">
        <is>
          <t>📕 PDF Document</t>
        </is>
      </c>
      <c r="K1687" s="9" t="n">
        <v>17.9</v>
      </c>
      <c r="L1687" s="10">
        <f>HYPERLINK("http://127.0.0.1:8000/api/documents/download?id=2031&amp;attachment=true", "⬇ Download Tendernotice_1.pdf")</f>
        <v/>
      </c>
      <c r="M1687" s="10">
        <f>HYPERLINK("http://localhost:5173/?state=Jharkhand&amp;keyword=ICT&amp;tender=2026_RDSPL_119814_1", "🚀 Open in Portal")</f>
        <v/>
      </c>
    </row>
    <row r="1688" ht="24" customHeight="1">
      <c r="A1688" s="11" t="inlineStr">
        <is>
          <t>Jharkhand</t>
        </is>
      </c>
      <c r="B1688" s="12" t="inlineStr">
        <is>
          <t>ICT</t>
        </is>
      </c>
      <c r="C1688" s="13" t="inlineStr">
        <is>
          <t>2026_RDSPL_119814_1</t>
        </is>
      </c>
      <c r="D1688" s="14" t="inlineStr">
        <is>
          <t>[Construction of 12 nos. Hand pump in different village under Block Barharwa District Sahibganj. Gr.06]</t>
        </is>
      </c>
      <c r="E1688" s="14" t="inlineStr">
        <is>
          <t>Jharkhand Public Works &amp; Technology Department</t>
        </is>
      </c>
      <c r="F1688" s="13" t="inlineStr">
        <is>
          <t>23 Oct 2026</t>
        </is>
      </c>
      <c r="G1688" s="12" t="inlineStr">
        <is>
          <t>13 Nov 2026</t>
        </is>
      </c>
      <c r="H1688" s="8" t="inlineStr">
        <is>
          <t>⏳ UPCOMING</t>
        </is>
      </c>
      <c r="I1688" s="11" t="inlineStr">
        <is>
          <t>BOQ_162119.xls</t>
        </is>
      </c>
      <c r="J1688" s="13" t="inlineStr">
        <is>
          <t>📊 Excel BOQ</t>
        </is>
      </c>
      <c r="K1688" s="15" t="n">
        <v>2.5</v>
      </c>
      <c r="L1688" s="16">
        <f>HYPERLINK("http://127.0.0.1:8000/api/documents/download?id=2032&amp;attachment=true", "⬇ Download BOQ_162119.xls")</f>
        <v/>
      </c>
      <c r="M1688" s="16">
        <f>HYPERLINK("http://localhost:5173/?state=Jharkhand&amp;keyword=ICT&amp;tender=2026_RDSPL_119814_1", "🚀 Open in Portal")</f>
        <v/>
      </c>
    </row>
    <row r="1689" ht="24" customHeight="1">
      <c r="A1689" s="4" t="inlineStr">
        <is>
          <t>Jharkhand</t>
        </is>
      </c>
      <c r="B1689" s="5" t="inlineStr">
        <is>
          <t>ICT</t>
        </is>
      </c>
      <c r="C1689" s="6" t="inlineStr">
        <is>
          <t>2026_RDSPL_119814_1</t>
        </is>
      </c>
      <c r="D1689" s="7" t="inlineStr">
        <is>
          <t>[Construction of 12 nos. Hand pump in different village under Block Barharwa District Sahibganj. Gr.06]</t>
        </is>
      </c>
      <c r="E1689" s="7" t="inlineStr">
        <is>
          <t>Jharkhand Public Works &amp; Technology Department</t>
        </is>
      </c>
      <c r="F1689" s="6" t="inlineStr">
        <is>
          <t>23 Oct 2026</t>
        </is>
      </c>
      <c r="G1689" s="5" t="inlineStr">
        <is>
          <t>13 Nov 2026</t>
        </is>
      </c>
      <c r="H1689" s="8" t="inlineStr">
        <is>
          <t>⏳ UPCOMING</t>
        </is>
      </c>
      <c r="I1689" s="4" t="inlineStr">
        <is>
          <t>Tender_2026_RDSPL_119814_1_All_Documents.zip</t>
        </is>
      </c>
      <c r="J1689" s="6" t="inlineStr">
        <is>
          <t>📦 ZIP Package</t>
        </is>
      </c>
      <c r="K1689" s="9" t="n">
        <v>11.6</v>
      </c>
      <c r="L1689" s="10">
        <f>HYPERLINK("http://127.0.0.1:8000/api/documents/download?id=2033&amp;attachment=true", "⬇ Download Tender_2026_RDSPL_119814")</f>
        <v/>
      </c>
      <c r="M1689" s="10">
        <f>HYPERLINK("http://localhost:5173/?state=Jharkhand&amp;keyword=ICT&amp;tender=2026_RDSPL_119814_1", "🚀 Open in Portal")</f>
        <v/>
      </c>
    </row>
    <row r="1690" ht="24" customHeight="1">
      <c r="A1690" s="11" t="inlineStr">
        <is>
          <t>Jharkhand</t>
        </is>
      </c>
      <c r="B1690" s="12" t="inlineStr">
        <is>
          <t>ICT</t>
        </is>
      </c>
      <c r="C1690" s="13" t="inlineStr">
        <is>
          <t>2026_RDSPL_119818_1</t>
        </is>
      </c>
      <c r="D1690" s="14" t="inlineStr">
        <is>
          <t>[Construction of 12 nos. Hand pump in different village under Block Barharwa District Sahibganj. Gr.07]</t>
        </is>
      </c>
      <c r="E1690" s="14" t="inlineStr">
        <is>
          <t>Jharkhand Public Works &amp; Technology Department</t>
        </is>
      </c>
      <c r="F1690" s="13" t="inlineStr">
        <is>
          <t>17 Aug 2026</t>
        </is>
      </c>
      <c r="G1690" s="12" t="inlineStr">
        <is>
          <t>08 Sep 2026</t>
        </is>
      </c>
      <c r="H1690" s="8" t="inlineStr">
        <is>
          <t>⏳ UPCOMING</t>
        </is>
      </c>
      <c r="I1690" s="11" t="inlineStr">
        <is>
          <t>Tendernotice_1.pdf</t>
        </is>
      </c>
      <c r="J1690" s="13" t="inlineStr">
        <is>
          <t>📕 PDF Document</t>
        </is>
      </c>
      <c r="K1690" s="15" t="n">
        <v>17.9</v>
      </c>
      <c r="L1690" s="16">
        <f>HYPERLINK("http://127.0.0.1:8000/api/documents/download?id=2028&amp;attachment=true", "⬇ Download Tendernotice_1.pdf")</f>
        <v/>
      </c>
      <c r="M1690" s="16">
        <f>HYPERLINK("http://localhost:5173/?state=Jharkhand&amp;keyword=ICT&amp;tender=2026_RDSPL_119818_1", "🚀 Open in Portal")</f>
        <v/>
      </c>
    </row>
    <row r="1691" ht="24" customHeight="1">
      <c r="A1691" s="4" t="inlineStr">
        <is>
          <t>Jharkhand</t>
        </is>
      </c>
      <c r="B1691" s="5" t="inlineStr">
        <is>
          <t>ICT</t>
        </is>
      </c>
      <c r="C1691" s="6" t="inlineStr">
        <is>
          <t>2026_RDSPL_119818_1</t>
        </is>
      </c>
      <c r="D1691" s="7" t="inlineStr">
        <is>
          <t>[Construction of 12 nos. Hand pump in different village under Block Barharwa District Sahibganj. Gr.07]</t>
        </is>
      </c>
      <c r="E1691" s="7" t="inlineStr">
        <is>
          <t>Jharkhand Public Works &amp; Technology Department</t>
        </is>
      </c>
      <c r="F1691" s="6" t="inlineStr">
        <is>
          <t>17 Aug 2026</t>
        </is>
      </c>
      <c r="G1691" s="5" t="inlineStr">
        <is>
          <t>08 Sep 2026</t>
        </is>
      </c>
      <c r="H1691" s="8" t="inlineStr">
        <is>
          <t>⏳ UPCOMING</t>
        </is>
      </c>
      <c r="I1691" s="4" t="inlineStr">
        <is>
          <t>BOQ_162124.xls</t>
        </is>
      </c>
      <c r="J1691" s="6" t="inlineStr">
        <is>
          <t>📊 Excel BOQ</t>
        </is>
      </c>
      <c r="K1691" s="9" t="n">
        <v>2.5</v>
      </c>
      <c r="L1691" s="10">
        <f>HYPERLINK("http://127.0.0.1:8000/api/documents/download?id=2029&amp;attachment=true", "⬇ Download BOQ_162124.xls")</f>
        <v/>
      </c>
      <c r="M1691" s="10">
        <f>HYPERLINK("http://localhost:5173/?state=Jharkhand&amp;keyword=ICT&amp;tender=2026_RDSPL_119818_1", "🚀 Open in Portal")</f>
        <v/>
      </c>
    </row>
    <row r="1692" ht="24" customHeight="1">
      <c r="A1692" s="11" t="inlineStr">
        <is>
          <t>Jharkhand</t>
        </is>
      </c>
      <c r="B1692" s="12" t="inlineStr">
        <is>
          <t>ICT</t>
        </is>
      </c>
      <c r="C1692" s="13" t="inlineStr">
        <is>
          <t>2026_RDSPL_119818_1</t>
        </is>
      </c>
      <c r="D1692" s="14" t="inlineStr">
        <is>
          <t>[Construction of 12 nos. Hand pump in different village under Block Barharwa District Sahibganj. Gr.07]</t>
        </is>
      </c>
      <c r="E1692" s="14" t="inlineStr">
        <is>
          <t>Jharkhand Public Works &amp; Technology Department</t>
        </is>
      </c>
      <c r="F1692" s="13" t="inlineStr">
        <is>
          <t>17 Aug 2026</t>
        </is>
      </c>
      <c r="G1692" s="12" t="inlineStr">
        <is>
          <t>08 Sep 2026</t>
        </is>
      </c>
      <c r="H1692" s="8" t="inlineStr">
        <is>
          <t>⏳ UPCOMING</t>
        </is>
      </c>
      <c r="I1692" s="11" t="inlineStr">
        <is>
          <t>Tender_2026_RDSPL_119818_1_All_Documents.zip</t>
        </is>
      </c>
      <c r="J1692" s="13" t="inlineStr">
        <is>
          <t>📦 ZIP Package</t>
        </is>
      </c>
      <c r="K1692" s="15" t="n">
        <v>11.6</v>
      </c>
      <c r="L1692" s="16">
        <f>HYPERLINK("http://127.0.0.1:8000/api/documents/download?id=2030&amp;attachment=true", "⬇ Download Tender_2026_RDSPL_119818")</f>
        <v/>
      </c>
      <c r="M1692" s="16">
        <f>HYPERLINK("http://localhost:5173/?state=Jharkhand&amp;keyword=ICT&amp;tender=2026_RDSPL_119818_1", "🚀 Open in Portal")</f>
        <v/>
      </c>
    </row>
    <row r="1693" ht="24" customHeight="1">
      <c r="A1693" s="4" t="inlineStr">
        <is>
          <t>Jharkhand</t>
        </is>
      </c>
      <c r="B1693" s="5" t="inlineStr">
        <is>
          <t>ICT</t>
        </is>
      </c>
      <c r="C1693" s="6" t="inlineStr">
        <is>
          <t>2026_RDSPL_119847_1</t>
        </is>
      </c>
      <c r="D1693" s="7" t="inlineStr">
        <is>
          <t>[CONSTRUCTION OF H/L BRIDGE OVER NALA AT VILLAGE JHUMARI KHEKHARA TOLA UNDER NAGAR UNTARI BLOCK OF GARHWA DISTRICT]</t>
        </is>
      </c>
      <c r="E1693" s="7" t="inlineStr">
        <is>
          <t>Jharkhand Public Works &amp; Technology Department</t>
        </is>
      </c>
      <c r="F1693" s="6" t="inlineStr">
        <is>
          <t>01 Sep 2026</t>
        </is>
      </c>
      <c r="G1693" s="5" t="inlineStr">
        <is>
          <t>30 Sep 2026</t>
        </is>
      </c>
      <c r="H1693" s="8" t="inlineStr">
        <is>
          <t>⏳ UPCOMING</t>
        </is>
      </c>
      <c r="I1693" s="4" t="inlineStr">
        <is>
          <t>Tendernotice_1.pdf</t>
        </is>
      </c>
      <c r="J1693" s="6" t="inlineStr">
        <is>
          <t>📕 PDF Document</t>
        </is>
      </c>
      <c r="K1693" s="9" t="n">
        <v>17.9</v>
      </c>
      <c r="L1693" s="10">
        <f>HYPERLINK("http://127.0.0.1:8000/api/documents/download?id=2004&amp;attachment=true", "⬇ Download Tendernotice_1.pdf")</f>
        <v/>
      </c>
      <c r="M1693" s="10">
        <f>HYPERLINK("http://localhost:5173/?state=Jharkhand&amp;keyword=ICT&amp;tender=2026_RDSPL_119847_1", "🚀 Open in Portal")</f>
        <v/>
      </c>
    </row>
    <row r="1694" ht="24" customHeight="1">
      <c r="A1694" s="11" t="inlineStr">
        <is>
          <t>Jharkhand</t>
        </is>
      </c>
      <c r="B1694" s="12" t="inlineStr">
        <is>
          <t>ICT</t>
        </is>
      </c>
      <c r="C1694" s="13" t="inlineStr">
        <is>
          <t>2026_RDSPL_119847_1</t>
        </is>
      </c>
      <c r="D1694" s="14" t="inlineStr">
        <is>
          <t>[CONSTRUCTION OF H/L BRIDGE OVER NALA AT VILLAGE JHUMARI KHEKHARA TOLA UNDER NAGAR UNTARI BLOCK OF GARHWA DISTRICT]</t>
        </is>
      </c>
      <c r="E1694" s="14" t="inlineStr">
        <is>
          <t>Jharkhand Public Works &amp; Technology Department</t>
        </is>
      </c>
      <c r="F1694" s="13" t="inlineStr">
        <is>
          <t>01 Sep 2026</t>
        </is>
      </c>
      <c r="G1694" s="12" t="inlineStr">
        <is>
          <t>30 Sep 2026</t>
        </is>
      </c>
      <c r="H1694" s="8" t="inlineStr">
        <is>
          <t>⏳ UPCOMING</t>
        </is>
      </c>
      <c r="I1694" s="11" t="inlineStr">
        <is>
          <t>SBD.pdf</t>
        </is>
      </c>
      <c r="J1694" s="13" t="inlineStr">
        <is>
          <t>📕 PDF Document</t>
        </is>
      </c>
      <c r="K1694" s="15" t="n">
        <v>17.8</v>
      </c>
      <c r="L1694" s="16">
        <f>HYPERLINK("http://127.0.0.1:8000/api/documents/download?id=2005&amp;attachment=true", "⬇ Download SBD.pdf")</f>
        <v/>
      </c>
      <c r="M1694" s="16">
        <f>HYPERLINK("http://localhost:5173/?state=Jharkhand&amp;keyword=ICT&amp;tender=2026_RDSPL_119847_1", "🚀 Open in Portal")</f>
        <v/>
      </c>
    </row>
    <row r="1695" ht="24" customHeight="1">
      <c r="A1695" s="4" t="inlineStr">
        <is>
          <t>Jharkhand</t>
        </is>
      </c>
      <c r="B1695" s="5" t="inlineStr">
        <is>
          <t>ICT</t>
        </is>
      </c>
      <c r="C1695" s="6" t="inlineStr">
        <is>
          <t>2026_RDSPL_119847_1</t>
        </is>
      </c>
      <c r="D1695" s="7" t="inlineStr">
        <is>
          <t>[CONSTRUCTION OF H/L BRIDGE OVER NALA AT VILLAGE JHUMARI KHEKHARA TOLA UNDER NAGAR UNTARI BLOCK OF GARHWA DISTRICT]</t>
        </is>
      </c>
      <c r="E1695" s="7" t="inlineStr">
        <is>
          <t>Jharkhand Public Works &amp; Technology Department</t>
        </is>
      </c>
      <c r="F1695" s="6" t="inlineStr">
        <is>
          <t>01 Sep 2026</t>
        </is>
      </c>
      <c r="G1695" s="5" t="inlineStr">
        <is>
          <t>30 Sep 2026</t>
        </is>
      </c>
      <c r="H1695" s="8" t="inlineStr">
        <is>
          <t>⏳ UPCOMING</t>
        </is>
      </c>
      <c r="I1695" s="4" t="inlineStr">
        <is>
          <t>BOQ_162162.xls</t>
        </is>
      </c>
      <c r="J1695" s="6" t="inlineStr">
        <is>
          <t>📊 Excel BOQ</t>
        </is>
      </c>
      <c r="K1695" s="9" t="n">
        <v>2.5</v>
      </c>
      <c r="L1695" s="10">
        <f>HYPERLINK("http://127.0.0.1:8000/api/documents/download?id=2006&amp;attachment=true", "⬇ Download BOQ_162162.xls")</f>
        <v/>
      </c>
      <c r="M1695" s="10">
        <f>HYPERLINK("http://localhost:5173/?state=Jharkhand&amp;keyword=ICT&amp;tender=2026_RDSPL_119847_1", "🚀 Open in Portal")</f>
        <v/>
      </c>
    </row>
    <row r="1696" ht="24" customHeight="1">
      <c r="A1696" s="11" t="inlineStr">
        <is>
          <t>Jharkhand</t>
        </is>
      </c>
      <c r="B1696" s="12" t="inlineStr">
        <is>
          <t>ICT</t>
        </is>
      </c>
      <c r="C1696" s="13" t="inlineStr">
        <is>
          <t>2026_RDSPL_119847_1</t>
        </is>
      </c>
      <c r="D1696" s="14" t="inlineStr">
        <is>
          <t>[CONSTRUCTION OF H/L BRIDGE OVER NALA AT VILLAGE JHUMARI KHEKHARA TOLA UNDER NAGAR UNTARI BLOCK OF GARHWA DISTRICT]</t>
        </is>
      </c>
      <c r="E1696" s="14" t="inlineStr">
        <is>
          <t>Jharkhand Public Works &amp; Technology Department</t>
        </is>
      </c>
      <c r="F1696" s="13" t="inlineStr">
        <is>
          <t>01 Sep 2026</t>
        </is>
      </c>
      <c r="G1696" s="12" t="inlineStr">
        <is>
          <t>30 Sep 2026</t>
        </is>
      </c>
      <c r="H1696" s="8" t="inlineStr">
        <is>
          <t>⏳ UPCOMING</t>
        </is>
      </c>
      <c r="I1696" s="11" t="inlineStr">
        <is>
          <t>Tender_2026_RDSPL_119847_1_All_Documents.zip</t>
        </is>
      </c>
      <c r="J1696" s="13" t="inlineStr">
        <is>
          <t>📦 ZIP Package</t>
        </is>
      </c>
      <c r="K1696" s="15" t="n">
        <v>20.8</v>
      </c>
      <c r="L1696" s="16">
        <f>HYPERLINK("http://127.0.0.1:8000/api/documents/download?id=2007&amp;attachment=true", "⬇ Download Tender_2026_RDSPL_119847")</f>
        <v/>
      </c>
      <c r="M1696" s="16">
        <f>HYPERLINK("http://localhost:5173/?state=Jharkhand&amp;keyword=ICT&amp;tender=2026_RDSPL_119847_1", "🚀 Open in Portal")</f>
        <v/>
      </c>
    </row>
    <row r="1697" ht="24" customHeight="1">
      <c r="A1697" s="4" t="inlineStr">
        <is>
          <t>Jharkhand</t>
        </is>
      </c>
      <c r="B1697" s="5" t="inlineStr">
        <is>
          <t>ICT</t>
        </is>
      </c>
      <c r="C1697" s="6" t="inlineStr">
        <is>
          <t>2026_RDSPL_119847_2</t>
        </is>
      </c>
      <c r="D1697" s="7" t="inlineStr">
        <is>
          <t>[CONSTRUCTION OF H/L BRIDGE OVER CHAHALAWADAH RIVER AT VILLAGE KUMBA KHURD AMAR SARAI NEAR HOUSE OF DEOLAL BHUINYA UNDER NAGAR UNTARI BLOCK OF GARHWA DISTRICT]</t>
        </is>
      </c>
      <c r="E1697" s="7" t="inlineStr">
        <is>
          <t>Jharkhand Public Works &amp; Technology Department</t>
        </is>
      </c>
      <c r="F1697" s="6" t="inlineStr">
        <is>
          <t>27 Aug 2026</t>
        </is>
      </c>
      <c r="G1697" s="5" t="inlineStr">
        <is>
          <t>21 Sep 2026</t>
        </is>
      </c>
      <c r="H1697" s="8" t="inlineStr">
        <is>
          <t>⏳ UPCOMING</t>
        </is>
      </c>
      <c r="I1697" s="4" t="inlineStr">
        <is>
          <t>Tendernotice_1.pdf</t>
        </is>
      </c>
      <c r="J1697" s="6" t="inlineStr">
        <is>
          <t>📕 PDF Document</t>
        </is>
      </c>
      <c r="K1697" s="9" t="n">
        <v>17.9</v>
      </c>
      <c r="L1697" s="10">
        <f>HYPERLINK("http://127.0.0.1:8000/api/documents/download?id=2016&amp;attachment=true", "⬇ Download Tendernotice_1.pdf")</f>
        <v/>
      </c>
      <c r="M1697" s="10">
        <f>HYPERLINK("http://localhost:5173/?state=Jharkhand&amp;keyword=ICT&amp;tender=2026_RDSPL_119847_2", "🚀 Open in Portal")</f>
        <v/>
      </c>
    </row>
    <row r="1698" ht="24" customHeight="1">
      <c r="A1698" s="11" t="inlineStr">
        <is>
          <t>Jharkhand</t>
        </is>
      </c>
      <c r="B1698" s="12" t="inlineStr">
        <is>
          <t>ICT</t>
        </is>
      </c>
      <c r="C1698" s="13" t="inlineStr">
        <is>
          <t>2026_RDSPL_119847_2</t>
        </is>
      </c>
      <c r="D1698" s="14" t="inlineStr">
        <is>
          <t>[CONSTRUCTION OF H/L BRIDGE OVER CHAHALAWADAH RIVER AT VILLAGE KUMBA KHURD AMAR SARAI NEAR HOUSE OF DEOLAL BHUINYA UNDER NAGAR UNTARI BLOCK OF GARHWA DISTRICT]</t>
        </is>
      </c>
      <c r="E1698" s="14" t="inlineStr">
        <is>
          <t>Jharkhand Public Works &amp; Technology Department</t>
        </is>
      </c>
      <c r="F1698" s="13" t="inlineStr">
        <is>
          <t>27 Aug 2026</t>
        </is>
      </c>
      <c r="G1698" s="12" t="inlineStr">
        <is>
          <t>21 Sep 2026</t>
        </is>
      </c>
      <c r="H1698" s="8" t="inlineStr">
        <is>
          <t>⏳ UPCOMING</t>
        </is>
      </c>
      <c r="I1698" s="11" t="inlineStr">
        <is>
          <t>BOQ_162163.xls</t>
        </is>
      </c>
      <c r="J1698" s="13" t="inlineStr">
        <is>
          <t>📊 Excel BOQ</t>
        </is>
      </c>
      <c r="K1698" s="15" t="n">
        <v>2.5</v>
      </c>
      <c r="L1698" s="16">
        <f>HYPERLINK("http://127.0.0.1:8000/api/documents/download?id=2017&amp;attachment=true", "⬇ Download BOQ_162163.xls")</f>
        <v/>
      </c>
      <c r="M1698" s="16">
        <f>HYPERLINK("http://localhost:5173/?state=Jharkhand&amp;keyword=ICT&amp;tender=2026_RDSPL_119847_2", "🚀 Open in Portal")</f>
        <v/>
      </c>
    </row>
    <row r="1699" ht="24" customHeight="1">
      <c r="A1699" s="4" t="inlineStr">
        <is>
          <t>Jharkhand</t>
        </is>
      </c>
      <c r="B1699" s="5" t="inlineStr">
        <is>
          <t>ICT</t>
        </is>
      </c>
      <c r="C1699" s="6" t="inlineStr">
        <is>
          <t>2026_RDSPL_119847_2</t>
        </is>
      </c>
      <c r="D1699" s="7" t="inlineStr">
        <is>
          <t>[CONSTRUCTION OF H/L BRIDGE OVER CHAHALAWADAH RIVER AT VILLAGE KUMBA KHURD AMAR SARAI NEAR HOUSE OF DEOLAL BHUINYA UNDER NAGAR UNTARI BLOCK OF GARHWA DISTRICT]</t>
        </is>
      </c>
      <c r="E1699" s="7" t="inlineStr">
        <is>
          <t>Jharkhand Public Works &amp; Technology Department</t>
        </is>
      </c>
      <c r="F1699" s="6" t="inlineStr">
        <is>
          <t>27 Aug 2026</t>
        </is>
      </c>
      <c r="G1699" s="5" t="inlineStr">
        <is>
          <t>21 Sep 2026</t>
        </is>
      </c>
      <c r="H1699" s="8" t="inlineStr">
        <is>
          <t>⏳ UPCOMING</t>
        </is>
      </c>
      <c r="I1699" s="4" t="inlineStr">
        <is>
          <t>SBD.pdf</t>
        </is>
      </c>
      <c r="J1699" s="6" t="inlineStr">
        <is>
          <t>📕 PDF Document</t>
        </is>
      </c>
      <c r="K1699" s="9" t="n">
        <v>17.8</v>
      </c>
      <c r="L1699" s="10">
        <f>HYPERLINK("http://127.0.0.1:8000/api/documents/download?id=2018&amp;attachment=true", "⬇ Download SBD.pdf")</f>
        <v/>
      </c>
      <c r="M1699" s="10">
        <f>HYPERLINK("http://localhost:5173/?state=Jharkhand&amp;keyword=ICT&amp;tender=2026_RDSPL_119847_2", "🚀 Open in Portal")</f>
        <v/>
      </c>
    </row>
    <row r="1700" ht="24" customHeight="1">
      <c r="A1700" s="11" t="inlineStr">
        <is>
          <t>Jharkhand</t>
        </is>
      </c>
      <c r="B1700" s="12" t="inlineStr">
        <is>
          <t>ICT</t>
        </is>
      </c>
      <c r="C1700" s="13" t="inlineStr">
        <is>
          <t>2026_RDSPL_119847_2</t>
        </is>
      </c>
      <c r="D1700" s="14" t="inlineStr">
        <is>
          <t>[CONSTRUCTION OF H/L BRIDGE OVER CHAHALAWADAH RIVER AT VILLAGE KUMBA KHURD AMAR SARAI NEAR HOUSE OF DEOLAL BHUINYA UNDER NAGAR UNTARI BLOCK OF GARHWA DISTRICT]</t>
        </is>
      </c>
      <c r="E1700" s="14" t="inlineStr">
        <is>
          <t>Jharkhand Public Works &amp; Technology Department</t>
        </is>
      </c>
      <c r="F1700" s="13" t="inlineStr">
        <is>
          <t>27 Aug 2026</t>
        </is>
      </c>
      <c r="G1700" s="12" t="inlineStr">
        <is>
          <t>21 Sep 2026</t>
        </is>
      </c>
      <c r="H1700" s="8" t="inlineStr">
        <is>
          <t>⏳ UPCOMING</t>
        </is>
      </c>
      <c r="I1700" s="11" t="inlineStr">
        <is>
          <t>Tender_2026_RDSPL_119847_2_All_Documents.zip</t>
        </is>
      </c>
      <c r="J1700" s="13" t="inlineStr">
        <is>
          <t>📦 ZIP Package</t>
        </is>
      </c>
      <c r="K1700" s="15" t="n">
        <v>21</v>
      </c>
      <c r="L1700" s="16">
        <f>HYPERLINK("http://127.0.0.1:8000/api/documents/download?id=2019&amp;attachment=true", "⬇ Download Tender_2026_RDSPL_119847")</f>
        <v/>
      </c>
      <c r="M1700" s="16">
        <f>HYPERLINK("http://localhost:5173/?state=Jharkhand&amp;keyword=ICT&amp;tender=2026_RDSPL_119847_2", "🚀 Open in Portal")</f>
        <v/>
      </c>
    </row>
    <row r="1701" ht="24" customHeight="1">
      <c r="A1701" s="4" t="inlineStr">
        <is>
          <t>Jharkhand</t>
        </is>
      </c>
      <c r="B1701" s="5" t="inlineStr">
        <is>
          <t>ICT</t>
        </is>
      </c>
      <c r="C1701" s="6" t="inlineStr">
        <is>
          <t>2026_RDSPL_119847_3</t>
        </is>
      </c>
      <c r="D1701" s="7" t="inlineStr">
        <is>
          <t>[CONSTRUCTION OF H/L BRIDGE OVER ANRAJ RIVER, VILLAGE- NAWADEEH (YADAV TOLA) , PANCHAYAT- OBRA, UNDER GARHWA BLOCK OF GARHWA DISTRICT]</t>
        </is>
      </c>
      <c r="E1701" s="7" t="inlineStr">
        <is>
          <t>Jharkhand Public Works &amp; Technology Department</t>
        </is>
      </c>
      <c r="F1701" s="6" t="inlineStr">
        <is>
          <t>30 Jul 2026</t>
        </is>
      </c>
      <c r="G1701" s="5" t="inlineStr">
        <is>
          <t>29 Aug 2026</t>
        </is>
      </c>
      <c r="H1701" s="8" t="inlineStr">
        <is>
          <t>⏳ UPCOMING</t>
        </is>
      </c>
      <c r="I1701" s="4" t="inlineStr">
        <is>
          <t>Tendernotice_1.pdf</t>
        </is>
      </c>
      <c r="J1701" s="6" t="inlineStr">
        <is>
          <t>📕 PDF Document</t>
        </is>
      </c>
      <c r="K1701" s="9" t="n">
        <v>17.9</v>
      </c>
      <c r="L1701" s="10">
        <f>HYPERLINK("http://127.0.0.1:8000/api/documents/download?id=2012&amp;attachment=true", "⬇ Download Tendernotice_1.pdf")</f>
        <v/>
      </c>
      <c r="M1701" s="10">
        <f>HYPERLINK("http://localhost:5173/?state=Jharkhand&amp;keyword=ICT&amp;tender=2026_RDSPL_119847_3", "🚀 Open in Portal")</f>
        <v/>
      </c>
    </row>
    <row r="1702" ht="24" customHeight="1">
      <c r="A1702" s="11" t="inlineStr">
        <is>
          <t>Jharkhand</t>
        </is>
      </c>
      <c r="B1702" s="12" t="inlineStr">
        <is>
          <t>ICT</t>
        </is>
      </c>
      <c r="C1702" s="13" t="inlineStr">
        <is>
          <t>2026_RDSPL_119847_3</t>
        </is>
      </c>
      <c r="D1702" s="14" t="inlineStr">
        <is>
          <t>[CONSTRUCTION OF H/L BRIDGE OVER ANRAJ RIVER, VILLAGE- NAWADEEH (YADAV TOLA) , PANCHAYAT- OBRA, UNDER GARHWA BLOCK OF GARHWA DISTRICT]</t>
        </is>
      </c>
      <c r="E1702" s="14" t="inlineStr">
        <is>
          <t>Jharkhand Public Works &amp; Technology Department</t>
        </is>
      </c>
      <c r="F1702" s="13" t="inlineStr">
        <is>
          <t>30 Jul 2026</t>
        </is>
      </c>
      <c r="G1702" s="12" t="inlineStr">
        <is>
          <t>29 Aug 2026</t>
        </is>
      </c>
      <c r="H1702" s="8" t="inlineStr">
        <is>
          <t>⏳ UPCOMING</t>
        </is>
      </c>
      <c r="I1702" s="11" t="inlineStr">
        <is>
          <t>BOQ_162164.xls</t>
        </is>
      </c>
      <c r="J1702" s="13" t="inlineStr">
        <is>
          <t>📊 Excel BOQ</t>
        </is>
      </c>
      <c r="K1702" s="15" t="n">
        <v>2.5</v>
      </c>
      <c r="L1702" s="16">
        <f>HYPERLINK("http://127.0.0.1:8000/api/documents/download?id=2013&amp;attachment=true", "⬇ Download BOQ_162164.xls")</f>
        <v/>
      </c>
      <c r="M1702" s="16">
        <f>HYPERLINK("http://localhost:5173/?state=Jharkhand&amp;keyword=ICT&amp;tender=2026_RDSPL_119847_3", "🚀 Open in Portal")</f>
        <v/>
      </c>
    </row>
    <row r="1703" ht="24" customHeight="1">
      <c r="A1703" s="4" t="inlineStr">
        <is>
          <t>Jharkhand</t>
        </is>
      </c>
      <c r="B1703" s="5" t="inlineStr">
        <is>
          <t>ICT</t>
        </is>
      </c>
      <c r="C1703" s="6" t="inlineStr">
        <is>
          <t>2026_RDSPL_119847_3</t>
        </is>
      </c>
      <c r="D1703" s="7" t="inlineStr">
        <is>
          <t>[CONSTRUCTION OF H/L BRIDGE OVER ANRAJ RIVER, VILLAGE- NAWADEEH (YADAV TOLA) , PANCHAYAT- OBRA, UNDER GARHWA BLOCK OF GARHWA DISTRICT]</t>
        </is>
      </c>
      <c r="E1703" s="7" t="inlineStr">
        <is>
          <t>Jharkhand Public Works &amp; Technology Department</t>
        </is>
      </c>
      <c r="F1703" s="6" t="inlineStr">
        <is>
          <t>30 Jul 2026</t>
        </is>
      </c>
      <c r="G1703" s="5" t="inlineStr">
        <is>
          <t>29 Aug 2026</t>
        </is>
      </c>
      <c r="H1703" s="8" t="inlineStr">
        <is>
          <t>⏳ UPCOMING</t>
        </is>
      </c>
      <c r="I1703" s="4" t="inlineStr">
        <is>
          <t>SBD.pdf</t>
        </is>
      </c>
      <c r="J1703" s="6" t="inlineStr">
        <is>
          <t>📕 PDF Document</t>
        </is>
      </c>
      <c r="K1703" s="9" t="n">
        <v>17.8</v>
      </c>
      <c r="L1703" s="10">
        <f>HYPERLINK("http://127.0.0.1:8000/api/documents/download?id=2014&amp;attachment=true", "⬇ Download SBD.pdf")</f>
        <v/>
      </c>
      <c r="M1703" s="10">
        <f>HYPERLINK("http://localhost:5173/?state=Jharkhand&amp;keyword=ICT&amp;tender=2026_RDSPL_119847_3", "🚀 Open in Portal")</f>
        <v/>
      </c>
    </row>
    <row r="1704" ht="24" customHeight="1">
      <c r="A1704" s="11" t="inlineStr">
        <is>
          <t>Jharkhand</t>
        </is>
      </c>
      <c r="B1704" s="12" t="inlineStr">
        <is>
          <t>ICT</t>
        </is>
      </c>
      <c r="C1704" s="13" t="inlineStr">
        <is>
          <t>2026_RDSPL_119847_3</t>
        </is>
      </c>
      <c r="D1704" s="14" t="inlineStr">
        <is>
          <t>[CONSTRUCTION OF H/L BRIDGE OVER ANRAJ RIVER, VILLAGE- NAWADEEH (YADAV TOLA) , PANCHAYAT- OBRA, UNDER GARHWA BLOCK OF GARHWA DISTRICT]</t>
        </is>
      </c>
      <c r="E1704" s="14" t="inlineStr">
        <is>
          <t>Jharkhand Public Works &amp; Technology Department</t>
        </is>
      </c>
      <c r="F1704" s="13" t="inlineStr">
        <is>
          <t>30 Jul 2026</t>
        </is>
      </c>
      <c r="G1704" s="12" t="inlineStr">
        <is>
          <t>29 Aug 2026</t>
        </is>
      </c>
      <c r="H1704" s="8" t="inlineStr">
        <is>
          <t>⏳ UPCOMING</t>
        </is>
      </c>
      <c r="I1704" s="11" t="inlineStr">
        <is>
          <t>Tender_2026_RDSPL_119847_3_All_Documents.zip</t>
        </is>
      </c>
      <c r="J1704" s="13" t="inlineStr">
        <is>
          <t>📦 ZIP Package</t>
        </is>
      </c>
      <c r="K1704" s="15" t="n">
        <v>21</v>
      </c>
      <c r="L1704" s="16">
        <f>HYPERLINK("http://127.0.0.1:8000/api/documents/download?id=2015&amp;attachment=true", "⬇ Download Tender_2026_RDSPL_119847")</f>
        <v/>
      </c>
      <c r="M1704" s="16">
        <f>HYPERLINK("http://localhost:5173/?state=Jharkhand&amp;keyword=ICT&amp;tender=2026_RDSPL_119847_3", "🚀 Open in Portal")</f>
        <v/>
      </c>
    </row>
    <row r="1705" ht="24" customHeight="1">
      <c r="A1705" s="4" t="inlineStr">
        <is>
          <t>Jharkhand</t>
        </is>
      </c>
      <c r="B1705" s="5" t="inlineStr">
        <is>
          <t>ICT</t>
        </is>
      </c>
      <c r="C1705" s="6" t="inlineStr">
        <is>
          <t>2026_RDSPL_119847_4</t>
        </is>
      </c>
      <c r="D1705" s="7" t="inlineStr">
        <is>
          <t>[CONSTRUCTION OF H/L BRIDGE OVER DANARO RIVER ON MASJID GHAT BETWEEN TISARTETUKA TO HASANDAG, PANCHAYAT- TISARTETUKA, UNDER GARHWA BLOCK OF GARHWA DISTRICT]</t>
        </is>
      </c>
      <c r="E1705" s="7" t="inlineStr">
        <is>
          <t>Jharkhand Public Works &amp; Technology Department</t>
        </is>
      </c>
      <c r="F1705" s="6" t="inlineStr">
        <is>
          <t>30 Sep 2026</t>
        </is>
      </c>
      <c r="G1705" s="5" t="inlineStr">
        <is>
          <t>25 Oct 2026</t>
        </is>
      </c>
      <c r="H1705" s="17" t="inlineStr">
        <is>
          <t>🟢 LIVE ACTIVE</t>
        </is>
      </c>
      <c r="I1705" s="4" t="inlineStr">
        <is>
          <t>Tendernotice_1.pdf</t>
        </is>
      </c>
      <c r="J1705" s="6" t="inlineStr">
        <is>
          <t>📕 PDF Document</t>
        </is>
      </c>
      <c r="K1705" s="9" t="n">
        <v>17.9</v>
      </c>
      <c r="L1705" s="10">
        <f>HYPERLINK("http://127.0.0.1:8000/api/documents/download?id=2008&amp;attachment=true", "⬇ Download Tendernotice_1.pdf")</f>
        <v/>
      </c>
      <c r="M1705" s="10">
        <f>HYPERLINK("http://localhost:5173/?state=Jharkhand&amp;keyword=ICT&amp;tender=2026_RDSPL_119847_4", "🚀 Open in Portal")</f>
        <v/>
      </c>
    </row>
    <row r="1706" ht="24" customHeight="1">
      <c r="A1706" s="11" t="inlineStr">
        <is>
          <t>Jharkhand</t>
        </is>
      </c>
      <c r="B1706" s="12" t="inlineStr">
        <is>
          <t>ICT</t>
        </is>
      </c>
      <c r="C1706" s="13" t="inlineStr">
        <is>
          <t>2026_RDSPL_119847_4</t>
        </is>
      </c>
      <c r="D1706" s="14" t="inlineStr">
        <is>
          <t>[CONSTRUCTION OF H/L BRIDGE OVER DANARO RIVER ON MASJID GHAT BETWEEN TISARTETUKA TO HASANDAG, PANCHAYAT- TISARTETUKA, UNDER GARHWA BLOCK OF GARHWA DISTRICT]</t>
        </is>
      </c>
      <c r="E1706" s="14" t="inlineStr">
        <is>
          <t>Jharkhand Public Works &amp; Technology Department</t>
        </is>
      </c>
      <c r="F1706" s="13" t="inlineStr">
        <is>
          <t>30 Sep 2026</t>
        </is>
      </c>
      <c r="G1706" s="12" t="inlineStr">
        <is>
          <t>25 Oct 2026</t>
        </is>
      </c>
      <c r="H1706" s="17" t="inlineStr">
        <is>
          <t>🟢 LIVE ACTIVE</t>
        </is>
      </c>
      <c r="I1706" s="11" t="inlineStr">
        <is>
          <t>BOQ_162165.xls</t>
        </is>
      </c>
      <c r="J1706" s="13" t="inlineStr">
        <is>
          <t>📊 Excel BOQ</t>
        </is>
      </c>
      <c r="K1706" s="15" t="n">
        <v>2.5</v>
      </c>
      <c r="L1706" s="16">
        <f>HYPERLINK("http://127.0.0.1:8000/api/documents/download?id=2009&amp;attachment=true", "⬇ Download BOQ_162165.xls")</f>
        <v/>
      </c>
      <c r="M1706" s="16">
        <f>HYPERLINK("http://localhost:5173/?state=Jharkhand&amp;keyword=ICT&amp;tender=2026_RDSPL_119847_4", "🚀 Open in Portal")</f>
        <v/>
      </c>
    </row>
    <row r="1707" ht="24" customHeight="1">
      <c r="A1707" s="4" t="inlineStr">
        <is>
          <t>Jharkhand</t>
        </is>
      </c>
      <c r="B1707" s="5" t="inlineStr">
        <is>
          <t>ICT</t>
        </is>
      </c>
      <c r="C1707" s="6" t="inlineStr">
        <is>
          <t>2026_RDSPL_119847_4</t>
        </is>
      </c>
      <c r="D1707" s="7" t="inlineStr">
        <is>
          <t>[CONSTRUCTION OF H/L BRIDGE OVER DANARO RIVER ON MASJID GHAT BETWEEN TISARTETUKA TO HASANDAG, PANCHAYAT- TISARTETUKA, UNDER GARHWA BLOCK OF GARHWA DISTRICT]</t>
        </is>
      </c>
      <c r="E1707" s="7" t="inlineStr">
        <is>
          <t>Jharkhand Public Works &amp; Technology Department</t>
        </is>
      </c>
      <c r="F1707" s="6" t="inlineStr">
        <is>
          <t>30 Sep 2026</t>
        </is>
      </c>
      <c r="G1707" s="5" t="inlineStr">
        <is>
          <t>25 Oct 2026</t>
        </is>
      </c>
      <c r="H1707" s="17" t="inlineStr">
        <is>
          <t>🟢 LIVE ACTIVE</t>
        </is>
      </c>
      <c r="I1707" s="4" t="inlineStr">
        <is>
          <t>SBD.pdf</t>
        </is>
      </c>
      <c r="J1707" s="6" t="inlineStr">
        <is>
          <t>📕 PDF Document</t>
        </is>
      </c>
      <c r="K1707" s="9" t="n">
        <v>17.8</v>
      </c>
      <c r="L1707" s="10">
        <f>HYPERLINK("http://127.0.0.1:8000/api/documents/download?id=2010&amp;attachment=true", "⬇ Download SBD.pdf")</f>
        <v/>
      </c>
      <c r="M1707" s="10">
        <f>HYPERLINK("http://localhost:5173/?state=Jharkhand&amp;keyword=ICT&amp;tender=2026_RDSPL_119847_4", "🚀 Open in Portal")</f>
        <v/>
      </c>
    </row>
    <row r="1708" ht="24" customHeight="1">
      <c r="A1708" s="11" t="inlineStr">
        <is>
          <t>Jharkhand</t>
        </is>
      </c>
      <c r="B1708" s="12" t="inlineStr">
        <is>
          <t>ICT</t>
        </is>
      </c>
      <c r="C1708" s="13" t="inlineStr">
        <is>
          <t>2026_RDSPL_119847_4</t>
        </is>
      </c>
      <c r="D1708" s="14" t="inlineStr">
        <is>
          <t>[CONSTRUCTION OF H/L BRIDGE OVER DANARO RIVER ON MASJID GHAT BETWEEN TISARTETUKA TO HASANDAG, PANCHAYAT- TISARTETUKA, UNDER GARHWA BLOCK OF GARHWA DISTRICT]</t>
        </is>
      </c>
      <c r="E1708" s="14" t="inlineStr">
        <is>
          <t>Jharkhand Public Works &amp; Technology Department</t>
        </is>
      </c>
      <c r="F1708" s="13" t="inlineStr">
        <is>
          <t>30 Sep 2026</t>
        </is>
      </c>
      <c r="G1708" s="12" t="inlineStr">
        <is>
          <t>25 Oct 2026</t>
        </is>
      </c>
      <c r="H1708" s="17" t="inlineStr">
        <is>
          <t>🟢 LIVE ACTIVE</t>
        </is>
      </c>
      <c r="I1708" s="11" t="inlineStr">
        <is>
          <t>Tender_2026_RDSPL_119847_4_All_Documents.zip</t>
        </is>
      </c>
      <c r="J1708" s="13" t="inlineStr">
        <is>
          <t>📦 ZIP Package</t>
        </is>
      </c>
      <c r="K1708" s="15" t="n">
        <v>21</v>
      </c>
      <c r="L1708" s="16">
        <f>HYPERLINK("http://127.0.0.1:8000/api/documents/download?id=2011&amp;attachment=true", "⬇ Download Tender_2026_RDSPL_119847")</f>
        <v/>
      </c>
      <c r="M1708" s="16">
        <f>HYPERLINK("http://localhost:5173/?state=Jharkhand&amp;keyword=ICT&amp;tender=2026_RDSPL_119847_4", "🚀 Open in Portal")</f>
        <v/>
      </c>
    </row>
    <row r="1709" ht="24" customHeight="1">
      <c r="A1709" s="4" t="inlineStr">
        <is>
          <t>Jharkhand</t>
        </is>
      </c>
      <c r="B1709" s="5" t="inlineStr">
        <is>
          <t>ICT</t>
        </is>
      </c>
      <c r="C1709" s="6" t="inlineStr">
        <is>
          <t>2026_WRD_119674_1</t>
        </is>
      </c>
      <c r="D1709" s="7" t="inlineStr">
        <is>
          <t>[CONSTRUCTION OF 1500m P.C.C ROAD FROM VILLAGE MAJHIPADSI TO CHIRUBASA IN PANCHAYAT KHASPOKHARIYA UNDER TANTNAGAR BLOCK OF WEST SINGHBHUM DISTRICT]</t>
        </is>
      </c>
      <c r="E1709" s="7" t="inlineStr">
        <is>
          <t>Jharkhand Public Works &amp; Technology Department</t>
        </is>
      </c>
      <c r="F1709" s="6" t="inlineStr">
        <is>
          <t>27 Sep 2026</t>
        </is>
      </c>
      <c r="G1709" s="5" t="inlineStr">
        <is>
          <t>12 Nov 2026</t>
        </is>
      </c>
      <c r="H1709" s="17" t="inlineStr">
        <is>
          <t>🟢 LIVE ACTIVE</t>
        </is>
      </c>
      <c r="I1709" s="4" t="inlineStr">
        <is>
          <t>tender-doc-13-1.pdf</t>
        </is>
      </c>
      <c r="J1709" s="6" t="inlineStr">
        <is>
          <t>📕 PDF Document</t>
        </is>
      </c>
      <c r="K1709" s="9" t="n">
        <v>17.9</v>
      </c>
      <c r="L1709" s="10">
        <f>HYPERLINK("http://127.0.0.1:8000/api/documents/download?id=2059&amp;attachment=true", "⬇ Download tender-doc-13-1.pdf")</f>
        <v/>
      </c>
      <c r="M1709" s="10">
        <f>HYPERLINK("http://localhost:5173/?state=Jharkhand&amp;keyword=ICT&amp;tender=2026_WRD_119674_1", "🚀 Open in Portal")</f>
        <v/>
      </c>
    </row>
    <row r="1710" ht="24" customHeight="1">
      <c r="A1710" s="11" t="inlineStr">
        <is>
          <t>Jharkhand</t>
        </is>
      </c>
      <c r="B1710" s="12" t="inlineStr">
        <is>
          <t>ICT</t>
        </is>
      </c>
      <c r="C1710" s="13" t="inlineStr">
        <is>
          <t>2026_WRD_119674_1</t>
        </is>
      </c>
      <c r="D1710" s="14" t="inlineStr">
        <is>
          <t>[CONSTRUCTION OF 1500m P.C.C ROAD FROM VILLAGE MAJHIPADSI TO CHIRUBASA IN PANCHAYAT KHASPOKHARIYA UNDER TANTNAGAR BLOCK OF WEST SINGHBHUM DISTRICT]</t>
        </is>
      </c>
      <c r="E1710" s="14" t="inlineStr">
        <is>
          <t>Jharkhand Public Works &amp; Technology Department</t>
        </is>
      </c>
      <c r="F1710" s="13" t="inlineStr">
        <is>
          <t>27 Sep 2026</t>
        </is>
      </c>
      <c r="G1710" s="12" t="inlineStr">
        <is>
          <t>12 Nov 2026</t>
        </is>
      </c>
      <c r="H1710" s="17" t="inlineStr">
        <is>
          <t>🟢 LIVE ACTIVE</t>
        </is>
      </c>
      <c r="I1710" s="11" t="inlineStr">
        <is>
          <t>BOQ_162056.xls</t>
        </is>
      </c>
      <c r="J1710" s="13" t="inlineStr">
        <is>
          <t>📊 Excel BOQ</t>
        </is>
      </c>
      <c r="K1710" s="15" t="n">
        <v>2.5</v>
      </c>
      <c r="L1710" s="16">
        <f>HYPERLINK("http://127.0.0.1:8000/api/documents/download?id=2060&amp;attachment=true", "⬇ Download BOQ_162056.xls")</f>
        <v/>
      </c>
      <c r="M1710" s="16">
        <f>HYPERLINK("http://localhost:5173/?state=Jharkhand&amp;keyword=ICT&amp;tender=2026_WRD_119674_1", "🚀 Open in Portal")</f>
        <v/>
      </c>
    </row>
    <row r="1711" ht="24" customHeight="1">
      <c r="A1711" s="4" t="inlineStr">
        <is>
          <t>Jharkhand</t>
        </is>
      </c>
      <c r="B1711" s="5" t="inlineStr">
        <is>
          <t>ICT</t>
        </is>
      </c>
      <c r="C1711" s="6" t="inlineStr">
        <is>
          <t>2026_WRD_119674_1</t>
        </is>
      </c>
      <c r="D1711" s="7" t="inlineStr">
        <is>
          <t>[CONSTRUCTION OF 1500m P.C.C ROAD FROM VILLAGE MAJHIPADSI TO CHIRUBASA IN PANCHAYAT KHASPOKHARIYA UNDER TANTNAGAR BLOCK OF WEST SINGHBHUM DISTRICT]</t>
        </is>
      </c>
      <c r="E1711" s="7" t="inlineStr">
        <is>
          <t>Jharkhand Public Works &amp; Technology Department</t>
        </is>
      </c>
      <c r="F1711" s="6" t="inlineStr">
        <is>
          <t>27 Sep 2026</t>
        </is>
      </c>
      <c r="G1711" s="5" t="inlineStr">
        <is>
          <t>12 Nov 2026</t>
        </is>
      </c>
      <c r="H1711" s="17" t="inlineStr">
        <is>
          <t>🟢 LIVE ACTIVE</t>
        </is>
      </c>
      <c r="I1711" s="4" t="inlineStr">
        <is>
          <t>SPECIAL-CONDITIONS.pdf</t>
        </is>
      </c>
      <c r="J1711" s="6" t="inlineStr">
        <is>
          <t>📕 PDF Document</t>
        </is>
      </c>
      <c r="K1711" s="9" t="n">
        <v>17.9</v>
      </c>
      <c r="L1711" s="10">
        <f>HYPERLINK("http://127.0.0.1:8000/api/documents/download?id=2061&amp;attachment=true", "⬇ Download SPECIAL-CONDITIONS.pdf")</f>
        <v/>
      </c>
      <c r="M1711" s="10">
        <f>HYPERLINK("http://localhost:5173/?state=Jharkhand&amp;keyword=ICT&amp;tender=2026_WRD_119674_1", "🚀 Open in Portal")</f>
        <v/>
      </c>
    </row>
    <row r="1712" ht="24" customHeight="1">
      <c r="A1712" s="11" t="inlineStr">
        <is>
          <t>Jharkhand</t>
        </is>
      </c>
      <c r="B1712" s="12" t="inlineStr">
        <is>
          <t>ICT</t>
        </is>
      </c>
      <c r="C1712" s="13" t="inlineStr">
        <is>
          <t>2026_WRD_119674_1</t>
        </is>
      </c>
      <c r="D1712" s="14" t="inlineStr">
        <is>
          <t>[CONSTRUCTION OF 1500m P.C.C ROAD FROM VILLAGE MAJHIPADSI TO CHIRUBASA IN PANCHAYAT KHASPOKHARIYA UNDER TANTNAGAR BLOCK OF WEST SINGHBHUM DISTRICT]</t>
        </is>
      </c>
      <c r="E1712" s="14" t="inlineStr">
        <is>
          <t>Jharkhand Public Works &amp; Technology Department</t>
        </is>
      </c>
      <c r="F1712" s="13" t="inlineStr">
        <is>
          <t>27 Sep 2026</t>
        </is>
      </c>
      <c r="G1712" s="12" t="inlineStr">
        <is>
          <t>12 Nov 2026</t>
        </is>
      </c>
      <c r="H1712" s="17" t="inlineStr">
        <is>
          <t>🟢 LIVE ACTIVE</t>
        </is>
      </c>
      <c r="I1712" s="11" t="inlineStr">
        <is>
          <t>Tender_2026_WRD_119674_1_All_Documents.zip</t>
        </is>
      </c>
      <c r="J1712" s="13" t="inlineStr">
        <is>
          <t>📦 ZIP Package</t>
        </is>
      </c>
      <c r="K1712" s="15" t="n">
        <v>20.9</v>
      </c>
      <c r="L1712" s="16">
        <f>HYPERLINK("http://127.0.0.1:8000/api/documents/download?id=2990&amp;attachment=true", "⬇ Download Tender_2026_WRD_119674_1")</f>
        <v/>
      </c>
      <c r="M1712" s="16">
        <f>HYPERLINK("http://localhost:5173/?state=Jharkhand&amp;keyword=ICT&amp;tender=2026_WRD_119674_1", "🚀 Open in Portal")</f>
        <v/>
      </c>
    </row>
    <row r="1713" ht="24" customHeight="1">
      <c r="A1713" s="4" t="inlineStr">
        <is>
          <t>Jharkhand</t>
        </is>
      </c>
      <c r="B1713" s="5" t="inlineStr">
        <is>
          <t>ICT</t>
        </is>
      </c>
      <c r="C1713" s="6" t="inlineStr">
        <is>
          <t>2026_WRD_119735_1</t>
        </is>
      </c>
      <c r="D1713" s="7" t="inlineStr">
        <is>
          <t>[CONSTRUCTION OF 3400m PCC ROAD FROM MUNDASAI AANGANBARI KENDRA TO TURISAI TOLA AT VILLAGE ITER IN PANCHAYAT- BHONDA, UNDER - KUMARDUNGI BLOCK OF WEST SINGHBHUM DISTRICT.]</t>
        </is>
      </c>
      <c r="E1713" s="7" t="inlineStr">
        <is>
          <t>Jharkhand Public Works &amp; Technology Department</t>
        </is>
      </c>
      <c r="F1713" s="6" t="inlineStr">
        <is>
          <t>11 Sep 2026</t>
        </is>
      </c>
      <c r="G1713" s="5" t="inlineStr">
        <is>
          <t>02 Oct 2026</t>
        </is>
      </c>
      <c r="H1713" s="8" t="inlineStr">
        <is>
          <t>⏳ UPCOMING</t>
        </is>
      </c>
      <c r="I1713" s="4" t="inlineStr">
        <is>
          <t>Tendernotice_1.pdf</t>
        </is>
      </c>
      <c r="J1713" s="6" t="inlineStr">
        <is>
          <t>📕 PDF Document</t>
        </is>
      </c>
      <c r="K1713" s="9" t="n">
        <v>17.9</v>
      </c>
      <c r="L1713" s="10">
        <f>HYPERLINK("http://127.0.0.1:8000/api/documents/download?id=2051&amp;attachment=true", "⬇ Download Tendernotice_1.pdf")</f>
        <v/>
      </c>
      <c r="M1713" s="10">
        <f>HYPERLINK("http://localhost:5173/?state=Jharkhand&amp;keyword=ICT&amp;tender=2026_WRD_119735_1", "🚀 Open in Portal")</f>
        <v/>
      </c>
    </row>
    <row r="1714" ht="24" customHeight="1">
      <c r="A1714" s="11" t="inlineStr">
        <is>
          <t>Jharkhand</t>
        </is>
      </c>
      <c r="B1714" s="12" t="inlineStr">
        <is>
          <t>ICT</t>
        </is>
      </c>
      <c r="C1714" s="13" t="inlineStr">
        <is>
          <t>2026_WRD_119735_1</t>
        </is>
      </c>
      <c r="D1714" s="14" t="inlineStr">
        <is>
          <t>[CONSTRUCTION OF 3400m PCC ROAD FROM MUNDASAI AANGANBARI KENDRA TO TURISAI TOLA AT VILLAGE ITER IN PANCHAYAT- BHONDA, UNDER - KUMARDUNGI BLOCK OF WEST SINGHBHUM DISTRICT.]</t>
        </is>
      </c>
      <c r="E1714" s="14" t="inlineStr">
        <is>
          <t>Jharkhand Public Works &amp; Technology Department</t>
        </is>
      </c>
      <c r="F1714" s="13" t="inlineStr">
        <is>
          <t>11 Sep 2026</t>
        </is>
      </c>
      <c r="G1714" s="12" t="inlineStr">
        <is>
          <t>02 Oct 2026</t>
        </is>
      </c>
      <c r="H1714" s="8" t="inlineStr">
        <is>
          <t>⏳ UPCOMING</t>
        </is>
      </c>
      <c r="I1714" s="11" t="inlineStr">
        <is>
          <t>T-S.pdf</t>
        </is>
      </c>
      <c r="J1714" s="13" t="inlineStr">
        <is>
          <t>📕 PDF Document</t>
        </is>
      </c>
      <c r="K1714" s="15" t="n">
        <v>17.8</v>
      </c>
      <c r="L1714" s="16">
        <f>HYPERLINK("http://127.0.0.1:8000/api/documents/download?id=2052&amp;attachment=true", "⬇ Download T-S.pdf")</f>
        <v/>
      </c>
      <c r="M1714" s="16">
        <f>HYPERLINK("http://localhost:5173/?state=Jharkhand&amp;keyword=ICT&amp;tender=2026_WRD_119735_1", "🚀 Open in Portal")</f>
        <v/>
      </c>
    </row>
    <row r="1715" ht="24" customHeight="1">
      <c r="A1715" s="4" t="inlineStr">
        <is>
          <t>Jharkhand</t>
        </is>
      </c>
      <c r="B1715" s="5" t="inlineStr">
        <is>
          <t>ICT</t>
        </is>
      </c>
      <c r="C1715" s="6" t="inlineStr">
        <is>
          <t>2026_WRD_119735_1</t>
        </is>
      </c>
      <c r="D1715" s="7" t="inlineStr">
        <is>
          <t>[CONSTRUCTION OF 3400m PCC ROAD FROM MUNDASAI AANGANBARI KENDRA TO TURISAI TOLA AT VILLAGE ITER IN PANCHAYAT- BHONDA, UNDER - KUMARDUNGI BLOCK OF WEST SINGHBHUM DISTRICT.]</t>
        </is>
      </c>
      <c r="E1715" s="7" t="inlineStr">
        <is>
          <t>Jharkhand Public Works &amp; Technology Department</t>
        </is>
      </c>
      <c r="F1715" s="6" t="inlineStr">
        <is>
          <t>11 Sep 2026</t>
        </is>
      </c>
      <c r="G1715" s="5" t="inlineStr">
        <is>
          <t>02 Oct 2026</t>
        </is>
      </c>
      <c r="H1715" s="8" t="inlineStr">
        <is>
          <t>⏳ UPCOMING</t>
        </is>
      </c>
      <c r="I1715" s="4" t="inlineStr">
        <is>
          <t>FORM-OF-BID.pdf</t>
        </is>
      </c>
      <c r="J1715" s="6" t="inlineStr">
        <is>
          <t>📕 PDF Document</t>
        </is>
      </c>
      <c r="K1715" s="9" t="n">
        <v>17.9</v>
      </c>
      <c r="L1715" s="10">
        <f>HYPERLINK("http://127.0.0.1:8000/api/documents/download?id=2053&amp;attachment=true", "⬇ Download FORM-OF-BID.pdf")</f>
        <v/>
      </c>
      <c r="M1715" s="10">
        <f>HYPERLINK("http://localhost:5173/?state=Jharkhand&amp;keyword=ICT&amp;tender=2026_WRD_119735_1", "🚀 Open in Portal")</f>
        <v/>
      </c>
    </row>
    <row r="1716" ht="24" customHeight="1">
      <c r="A1716" s="11" t="inlineStr">
        <is>
          <t>Jharkhand</t>
        </is>
      </c>
      <c r="B1716" s="12" t="inlineStr">
        <is>
          <t>ICT</t>
        </is>
      </c>
      <c r="C1716" s="13" t="inlineStr">
        <is>
          <t>2026_WRD_119735_1</t>
        </is>
      </c>
      <c r="D1716" s="14" t="inlineStr">
        <is>
          <t>[CONSTRUCTION OF 3400m PCC ROAD FROM MUNDASAI AANGANBARI KENDRA TO TURISAI TOLA AT VILLAGE ITER IN PANCHAYAT- BHONDA, UNDER - KUMARDUNGI BLOCK OF WEST SINGHBHUM DISTRICT.]</t>
        </is>
      </c>
      <c r="E1716" s="14" t="inlineStr">
        <is>
          <t>Jharkhand Public Works &amp; Technology Department</t>
        </is>
      </c>
      <c r="F1716" s="13" t="inlineStr">
        <is>
          <t>11 Sep 2026</t>
        </is>
      </c>
      <c r="G1716" s="12" t="inlineStr">
        <is>
          <t>02 Oct 2026</t>
        </is>
      </c>
      <c r="H1716" s="8" t="inlineStr">
        <is>
          <t>⏳ UPCOMING</t>
        </is>
      </c>
      <c r="I1716" s="11" t="inlineStr">
        <is>
          <t>AMMEDMENTS.pdf</t>
        </is>
      </c>
      <c r="J1716" s="13" t="inlineStr">
        <is>
          <t>📕 PDF Document</t>
        </is>
      </c>
      <c r="K1716" s="15" t="n">
        <v>17.8</v>
      </c>
      <c r="L1716" s="16">
        <f>HYPERLINK("http://127.0.0.1:8000/api/documents/download?id=2054&amp;attachment=true", "⬇ Download AMMEDMENTS.pdf")</f>
        <v/>
      </c>
      <c r="M1716" s="16">
        <f>HYPERLINK("http://localhost:5173/?state=Jharkhand&amp;keyword=ICT&amp;tender=2026_WRD_119735_1", "🚀 Open in Portal")</f>
        <v/>
      </c>
    </row>
    <row r="1717" ht="24" customHeight="1">
      <c r="A1717" s="4" t="inlineStr">
        <is>
          <t>Jharkhand</t>
        </is>
      </c>
      <c r="B1717" s="5" t="inlineStr">
        <is>
          <t>ICT</t>
        </is>
      </c>
      <c r="C1717" s="6" t="inlineStr">
        <is>
          <t>2026_WRD_119735_1</t>
        </is>
      </c>
      <c r="D1717" s="7" t="inlineStr">
        <is>
          <t>[CONSTRUCTION OF 3400m PCC ROAD FROM MUNDASAI AANGANBARI KENDRA TO TURISAI TOLA AT VILLAGE ITER IN PANCHAYAT- BHONDA, UNDER - KUMARDUNGI BLOCK OF WEST SINGHBHUM DISTRICT.]</t>
        </is>
      </c>
      <c r="E1717" s="7" t="inlineStr">
        <is>
          <t>Jharkhand Public Works &amp; Technology Department</t>
        </is>
      </c>
      <c r="F1717" s="6" t="inlineStr">
        <is>
          <t>11 Sep 2026</t>
        </is>
      </c>
      <c r="G1717" s="5" t="inlineStr">
        <is>
          <t>02 Oct 2026</t>
        </is>
      </c>
      <c r="H1717" s="8" t="inlineStr">
        <is>
          <t>⏳ UPCOMING</t>
        </is>
      </c>
      <c r="I1717" s="4" t="inlineStr">
        <is>
          <t>03Check_list.pdf</t>
        </is>
      </c>
      <c r="J1717" s="6" t="inlineStr">
        <is>
          <t>📕 PDF Document</t>
        </is>
      </c>
      <c r="K1717" s="9" t="n">
        <v>17.9</v>
      </c>
      <c r="L1717" s="10">
        <f>HYPERLINK("http://127.0.0.1:8000/api/documents/download?id=2055&amp;attachment=true", "⬇ Download 03Check_list.pdf")</f>
        <v/>
      </c>
      <c r="M1717" s="10">
        <f>HYPERLINK("http://localhost:5173/?state=Jharkhand&amp;keyword=ICT&amp;tender=2026_WRD_119735_1", "🚀 Open in Portal")</f>
        <v/>
      </c>
    </row>
    <row r="1718" ht="24" customHeight="1">
      <c r="A1718" s="11" t="inlineStr">
        <is>
          <t>Jharkhand</t>
        </is>
      </c>
      <c r="B1718" s="12" t="inlineStr">
        <is>
          <t>ICT</t>
        </is>
      </c>
      <c r="C1718" s="13" t="inlineStr">
        <is>
          <t>2026_WRD_119735_1</t>
        </is>
      </c>
      <c r="D1718" s="14" t="inlineStr">
        <is>
          <t>[CONSTRUCTION OF 3400m PCC ROAD FROM MUNDASAI AANGANBARI KENDRA TO TURISAI TOLA AT VILLAGE ITER IN PANCHAYAT- BHONDA, UNDER - KUMARDUNGI BLOCK OF WEST SINGHBHUM DISTRICT.]</t>
        </is>
      </c>
      <c r="E1718" s="14" t="inlineStr">
        <is>
          <t>Jharkhand Public Works &amp; Technology Department</t>
        </is>
      </c>
      <c r="F1718" s="13" t="inlineStr">
        <is>
          <t>11 Sep 2026</t>
        </is>
      </c>
      <c r="G1718" s="12" t="inlineStr">
        <is>
          <t>02 Oct 2026</t>
        </is>
      </c>
      <c r="H1718" s="8" t="inlineStr">
        <is>
          <t>⏳ UPCOMING</t>
        </is>
      </c>
      <c r="I1718" s="11" t="inlineStr">
        <is>
          <t>TENDER-SBD-02.pdf</t>
        </is>
      </c>
      <c r="J1718" s="13" t="inlineStr">
        <is>
          <t>📕 PDF Document</t>
        </is>
      </c>
      <c r="K1718" s="15" t="n">
        <v>17.9</v>
      </c>
      <c r="L1718" s="16">
        <f>HYPERLINK("http://127.0.0.1:8000/api/documents/download?id=2056&amp;attachment=true", "⬇ Download TENDER-SBD-02.pdf")</f>
        <v/>
      </c>
      <c r="M1718" s="16">
        <f>HYPERLINK("http://localhost:5173/?state=Jharkhand&amp;keyword=ICT&amp;tender=2026_WRD_119735_1", "🚀 Open in Portal")</f>
        <v/>
      </c>
    </row>
    <row r="1719" ht="24" customHeight="1">
      <c r="A1719" s="4" t="inlineStr">
        <is>
          <t>Jharkhand</t>
        </is>
      </c>
      <c r="B1719" s="5" t="inlineStr">
        <is>
          <t>ICT</t>
        </is>
      </c>
      <c r="C1719" s="6" t="inlineStr">
        <is>
          <t>2026_WRD_119735_1</t>
        </is>
      </c>
      <c r="D1719" s="7" t="inlineStr">
        <is>
          <t>[CONSTRUCTION OF 3400m PCC ROAD FROM MUNDASAI AANGANBARI KENDRA TO TURISAI TOLA AT VILLAGE ITER IN PANCHAYAT- BHONDA, UNDER - KUMARDUNGI BLOCK OF WEST SINGHBHUM DISTRICT.]</t>
        </is>
      </c>
      <c r="E1719" s="7" t="inlineStr">
        <is>
          <t>Jharkhand Public Works &amp; Technology Department</t>
        </is>
      </c>
      <c r="F1719" s="6" t="inlineStr">
        <is>
          <t>11 Sep 2026</t>
        </is>
      </c>
      <c r="G1719" s="5" t="inlineStr">
        <is>
          <t>02 Oct 2026</t>
        </is>
      </c>
      <c r="H1719" s="8" t="inlineStr">
        <is>
          <t>⏳ UPCOMING</t>
        </is>
      </c>
      <c r="I1719" s="4" t="inlineStr">
        <is>
          <t>BOQ_162014.xls</t>
        </is>
      </c>
      <c r="J1719" s="6" t="inlineStr">
        <is>
          <t>📊 Excel BOQ</t>
        </is>
      </c>
      <c r="K1719" s="9" t="n">
        <v>2.5</v>
      </c>
      <c r="L1719" s="10">
        <f>HYPERLINK("http://127.0.0.1:8000/api/documents/download?id=2057&amp;attachment=true", "⬇ Download BOQ_162014.xls")</f>
        <v/>
      </c>
      <c r="M1719" s="10">
        <f>HYPERLINK("http://localhost:5173/?state=Jharkhand&amp;keyword=ICT&amp;tender=2026_WRD_119735_1", "🚀 Open in Portal")</f>
        <v/>
      </c>
    </row>
    <row r="1720" ht="24" customHeight="1">
      <c r="A1720" s="11" t="inlineStr">
        <is>
          <t>Jharkhand</t>
        </is>
      </c>
      <c r="B1720" s="12" t="inlineStr">
        <is>
          <t>ICT</t>
        </is>
      </c>
      <c r="C1720" s="13" t="inlineStr">
        <is>
          <t>2026_WRD_119735_1</t>
        </is>
      </c>
      <c r="D1720" s="14" t="inlineStr">
        <is>
          <t>[CONSTRUCTION OF 3400m PCC ROAD FROM MUNDASAI AANGANBARI KENDRA TO TURISAI TOLA AT VILLAGE ITER IN PANCHAYAT- BHONDA, UNDER - KUMARDUNGI BLOCK OF WEST SINGHBHUM DISTRICT.]</t>
        </is>
      </c>
      <c r="E1720" s="14" t="inlineStr">
        <is>
          <t>Jharkhand Public Works &amp; Technology Department</t>
        </is>
      </c>
      <c r="F1720" s="13" t="inlineStr">
        <is>
          <t>11 Sep 2026</t>
        </is>
      </c>
      <c r="G1720" s="12" t="inlineStr">
        <is>
          <t>02 Oct 2026</t>
        </is>
      </c>
      <c r="H1720" s="8" t="inlineStr">
        <is>
          <t>⏳ UPCOMING</t>
        </is>
      </c>
      <c r="I1720" s="11" t="inlineStr">
        <is>
          <t>Tender_2026_WRD_119735_1_All_Documents.zip</t>
        </is>
      </c>
      <c r="J1720" s="13" t="inlineStr">
        <is>
          <t>📦 ZIP Package</t>
        </is>
      </c>
      <c r="K1720" s="15" t="n">
        <v>57.8</v>
      </c>
      <c r="L1720" s="16">
        <f>HYPERLINK("http://127.0.0.1:8000/api/documents/download?id=2058&amp;attachment=true", "⬇ Download Tender_2026_WRD_119735_1")</f>
        <v/>
      </c>
      <c r="M1720" s="16">
        <f>HYPERLINK("http://localhost:5173/?state=Jharkhand&amp;keyword=ICT&amp;tender=2026_WRD_119735_1", "🚀 Open in Portal")</f>
        <v/>
      </c>
    </row>
    <row r="1721" ht="24" customHeight="1">
      <c r="A1721" s="4" t="inlineStr">
        <is>
          <t>Jharkhand</t>
        </is>
      </c>
      <c r="B1721" s="5" t="inlineStr">
        <is>
          <t>ICT</t>
        </is>
      </c>
      <c r="C1721" s="6" t="inlineStr">
        <is>
          <t>2026_WRD_119777_1</t>
        </is>
      </c>
      <c r="D1721" s="7" t="inlineStr">
        <is>
          <t>[Construction of Toileted, Drinking Water Facilities, Rain Water Harvesting in 20 Number of Anganwadi Center and under Block - Mahagama, District - Godda]</t>
        </is>
      </c>
      <c r="E1721" s="7" t="inlineStr">
        <is>
          <t>Jharkhand Public Works &amp; Technology Department</t>
        </is>
      </c>
      <c r="F1721" s="6" t="inlineStr">
        <is>
          <t>15 Aug 2026</t>
        </is>
      </c>
      <c r="G1721" s="5" t="inlineStr">
        <is>
          <t>07 Sep 2026</t>
        </is>
      </c>
      <c r="H1721" s="8" t="inlineStr">
        <is>
          <t>⏳ UPCOMING</t>
        </is>
      </c>
      <c r="I1721" s="4" t="inlineStr">
        <is>
          <t>Tendernotice_1.pdf</t>
        </is>
      </c>
      <c r="J1721" s="6" t="inlineStr">
        <is>
          <t>📕 PDF Document</t>
        </is>
      </c>
      <c r="K1721" s="9" t="n">
        <v>17.9</v>
      </c>
      <c r="L1721" s="10">
        <f>HYPERLINK("http://127.0.0.1:8000/api/documents/download?id=2070&amp;attachment=true", "⬇ Download Tendernotice_1.pdf")</f>
        <v/>
      </c>
      <c r="M1721" s="10">
        <f>HYPERLINK("http://localhost:5173/?state=Jharkhand&amp;keyword=ICT&amp;tender=2026_WRD_119777_1", "🚀 Open in Portal")</f>
        <v/>
      </c>
    </row>
    <row r="1722" ht="24" customHeight="1">
      <c r="A1722" s="11" t="inlineStr">
        <is>
          <t>Jharkhand</t>
        </is>
      </c>
      <c r="B1722" s="12" t="inlineStr">
        <is>
          <t>ICT</t>
        </is>
      </c>
      <c r="C1722" s="13" t="inlineStr">
        <is>
          <t>2026_WRD_119777_1</t>
        </is>
      </c>
      <c r="D1722" s="14" t="inlineStr">
        <is>
          <t>[Construction of Toileted, Drinking Water Facilities, Rain Water Harvesting in 20 Number of Anganwadi Center and under Block - Mahagama, District - Godda]</t>
        </is>
      </c>
      <c r="E1722" s="14" t="inlineStr">
        <is>
          <t>Jharkhand Public Works &amp; Technology Department</t>
        </is>
      </c>
      <c r="F1722" s="13" t="inlineStr">
        <is>
          <t>15 Aug 2026</t>
        </is>
      </c>
      <c r="G1722" s="12" t="inlineStr">
        <is>
          <t>07 Sep 2026</t>
        </is>
      </c>
      <c r="H1722" s="8" t="inlineStr">
        <is>
          <t>⏳ UPCOMING</t>
        </is>
      </c>
      <c r="I1722" s="11" t="inlineStr">
        <is>
          <t>NIT.pdf</t>
        </is>
      </c>
      <c r="J1722" s="13" t="inlineStr">
        <is>
          <t>📕 PDF Document</t>
        </is>
      </c>
      <c r="K1722" s="15" t="n">
        <v>17.8</v>
      </c>
      <c r="L1722" s="16">
        <f>HYPERLINK("http://127.0.0.1:8000/api/documents/download?id=2071&amp;attachment=true", "⬇ Download NIT.pdf")</f>
        <v/>
      </c>
      <c r="M1722" s="16">
        <f>HYPERLINK("http://localhost:5173/?state=Jharkhand&amp;keyword=ICT&amp;tender=2026_WRD_119777_1", "🚀 Open in Portal")</f>
        <v/>
      </c>
    </row>
    <row r="1723" ht="24" customHeight="1">
      <c r="A1723" s="4" t="inlineStr">
        <is>
          <t>Jharkhand</t>
        </is>
      </c>
      <c r="B1723" s="5" t="inlineStr">
        <is>
          <t>ICT</t>
        </is>
      </c>
      <c r="C1723" s="6" t="inlineStr">
        <is>
          <t>2026_WRD_119777_1</t>
        </is>
      </c>
      <c r="D1723" s="7" t="inlineStr">
        <is>
          <t>[Construction of Toileted, Drinking Water Facilities, Rain Water Harvesting in 20 Number of Anganwadi Center and under Block - Mahagama, District - Godda]</t>
        </is>
      </c>
      <c r="E1723" s="7" t="inlineStr">
        <is>
          <t>Jharkhand Public Works &amp; Technology Department</t>
        </is>
      </c>
      <c r="F1723" s="6" t="inlineStr">
        <is>
          <t>15 Aug 2026</t>
        </is>
      </c>
      <c r="G1723" s="5" t="inlineStr">
        <is>
          <t>07 Sep 2026</t>
        </is>
      </c>
      <c r="H1723" s="8" t="inlineStr">
        <is>
          <t>⏳ UPCOMING</t>
        </is>
      </c>
      <c r="I1723" s="4" t="inlineStr">
        <is>
          <t>BOQ_162062.xls</t>
        </is>
      </c>
      <c r="J1723" s="6" t="inlineStr">
        <is>
          <t>📊 Excel BOQ</t>
        </is>
      </c>
      <c r="K1723" s="9" t="n">
        <v>2.5</v>
      </c>
      <c r="L1723" s="10">
        <f>HYPERLINK("http://127.0.0.1:8000/api/documents/download?id=2072&amp;attachment=true", "⬇ Download BOQ_162062.xls")</f>
        <v/>
      </c>
      <c r="M1723" s="10">
        <f>HYPERLINK("http://localhost:5173/?state=Jharkhand&amp;keyword=ICT&amp;tender=2026_WRD_119777_1", "🚀 Open in Portal")</f>
        <v/>
      </c>
    </row>
    <row r="1724" ht="24" customHeight="1">
      <c r="A1724" s="11" t="inlineStr">
        <is>
          <t>Jharkhand</t>
        </is>
      </c>
      <c r="B1724" s="12" t="inlineStr">
        <is>
          <t>ICT</t>
        </is>
      </c>
      <c r="C1724" s="13" t="inlineStr">
        <is>
          <t>2026_WRD_119777_1</t>
        </is>
      </c>
      <c r="D1724" s="14" t="inlineStr">
        <is>
          <t>[Construction of Toileted, Drinking Water Facilities, Rain Water Harvesting in 20 Number of Anganwadi Center and under Block - Mahagama, District - Godda]</t>
        </is>
      </c>
      <c r="E1724" s="14" t="inlineStr">
        <is>
          <t>Jharkhand Public Works &amp; Technology Department</t>
        </is>
      </c>
      <c r="F1724" s="13" t="inlineStr">
        <is>
          <t>15 Aug 2026</t>
        </is>
      </c>
      <c r="G1724" s="12" t="inlineStr">
        <is>
          <t>07 Sep 2026</t>
        </is>
      </c>
      <c r="H1724" s="8" t="inlineStr">
        <is>
          <t>⏳ UPCOMING</t>
        </is>
      </c>
      <c r="I1724" s="11" t="inlineStr">
        <is>
          <t>Tender_2026_WRD_119777_1_All_Documents.zip</t>
        </is>
      </c>
      <c r="J1724" s="13" t="inlineStr">
        <is>
          <t>📦 ZIP Package</t>
        </is>
      </c>
      <c r="K1724" s="15" t="n">
        <v>20.8</v>
      </c>
      <c r="L1724" s="16">
        <f>HYPERLINK("http://127.0.0.1:8000/api/documents/download?id=2073&amp;attachment=true", "⬇ Download Tender_2026_WRD_119777_1")</f>
        <v/>
      </c>
      <c r="M1724" s="16">
        <f>HYPERLINK("http://localhost:5173/?state=Jharkhand&amp;keyword=ICT&amp;tender=2026_WRD_119777_1", "🚀 Open in Portal")</f>
        <v/>
      </c>
    </row>
    <row r="1725" ht="24" customHeight="1">
      <c r="A1725" s="4" t="inlineStr">
        <is>
          <t>Jharkhand</t>
        </is>
      </c>
      <c r="B1725" s="5" t="inlineStr">
        <is>
          <t>ICT</t>
        </is>
      </c>
      <c r="C1725" s="6" t="inlineStr">
        <is>
          <t>2026_WRD_119777_2</t>
        </is>
      </c>
      <c r="D1725" s="7" t="inlineStr">
        <is>
          <t>[ Construction of Toileted, Drinking Water Facilities, Rain Water Harvesting in 20 Number of Anganwadi Center and 01 Number Rain Water Harvesting in Different Anganwadi Center under Block - Meharma, District - Godda]</t>
        </is>
      </c>
      <c r="E1725" s="7" t="inlineStr">
        <is>
          <t>Jharkhand Public Works &amp; Technology Department</t>
        </is>
      </c>
      <c r="F1725" s="6" t="inlineStr">
        <is>
          <t>30 Jul 2026</t>
        </is>
      </c>
      <c r="G1725" s="5" t="inlineStr">
        <is>
          <t>27 Aug 2026</t>
        </is>
      </c>
      <c r="H1725" s="8" t="inlineStr">
        <is>
          <t>⏳ UPCOMING</t>
        </is>
      </c>
      <c r="I1725" s="4" t="inlineStr">
        <is>
          <t>Tendernotice_1.pdf</t>
        </is>
      </c>
      <c r="J1725" s="6" t="inlineStr">
        <is>
          <t>📕 PDF Document</t>
        </is>
      </c>
      <c r="K1725" s="9" t="n">
        <v>17.9</v>
      </c>
      <c r="L1725" s="10">
        <f>HYPERLINK("http://127.0.0.1:8000/api/documents/download?id=2066&amp;attachment=true", "⬇ Download Tendernotice_1.pdf")</f>
        <v/>
      </c>
      <c r="M1725" s="10">
        <f>HYPERLINK("http://localhost:5173/?state=Jharkhand&amp;keyword=ICT&amp;tender=2026_WRD_119777_2", "🚀 Open in Portal")</f>
        <v/>
      </c>
    </row>
    <row r="1726" ht="24" customHeight="1">
      <c r="A1726" s="11" t="inlineStr">
        <is>
          <t>Jharkhand</t>
        </is>
      </c>
      <c r="B1726" s="12" t="inlineStr">
        <is>
          <t>ICT</t>
        </is>
      </c>
      <c r="C1726" s="13" t="inlineStr">
        <is>
          <t>2026_WRD_119777_2</t>
        </is>
      </c>
      <c r="D1726" s="14" t="inlineStr">
        <is>
          <t>[ Construction of Toileted, Drinking Water Facilities, Rain Water Harvesting in 20 Number of Anganwadi Center and 01 Number Rain Water Harvesting in Different Anganwadi Center under Block - Meharma, District - Godda]</t>
        </is>
      </c>
      <c r="E1726" s="14" t="inlineStr">
        <is>
          <t>Jharkhand Public Works &amp; Technology Department</t>
        </is>
      </c>
      <c r="F1726" s="13" t="inlineStr">
        <is>
          <t>30 Jul 2026</t>
        </is>
      </c>
      <c r="G1726" s="12" t="inlineStr">
        <is>
          <t>27 Aug 2026</t>
        </is>
      </c>
      <c r="H1726" s="8" t="inlineStr">
        <is>
          <t>⏳ UPCOMING</t>
        </is>
      </c>
      <c r="I1726" s="11" t="inlineStr">
        <is>
          <t>NIT.pdf</t>
        </is>
      </c>
      <c r="J1726" s="13" t="inlineStr">
        <is>
          <t>📕 PDF Document</t>
        </is>
      </c>
      <c r="K1726" s="15" t="n">
        <v>17.8</v>
      </c>
      <c r="L1726" s="16">
        <f>HYPERLINK("http://127.0.0.1:8000/api/documents/download?id=2067&amp;attachment=true", "⬇ Download NIT.pdf")</f>
        <v/>
      </c>
      <c r="M1726" s="16">
        <f>HYPERLINK("http://localhost:5173/?state=Jharkhand&amp;keyword=ICT&amp;tender=2026_WRD_119777_2", "🚀 Open in Portal")</f>
        <v/>
      </c>
    </row>
    <row r="1727" ht="24" customHeight="1">
      <c r="A1727" s="4" t="inlineStr">
        <is>
          <t>Jharkhand</t>
        </is>
      </c>
      <c r="B1727" s="5" t="inlineStr">
        <is>
          <t>ICT</t>
        </is>
      </c>
      <c r="C1727" s="6" t="inlineStr">
        <is>
          <t>2026_WRD_119777_2</t>
        </is>
      </c>
      <c r="D1727" s="7" t="inlineStr">
        <is>
          <t>[ Construction of Toileted, Drinking Water Facilities, Rain Water Harvesting in 20 Number of Anganwadi Center and 01 Number Rain Water Harvesting in Different Anganwadi Center under Block - Meharma, District - Godda]</t>
        </is>
      </c>
      <c r="E1727" s="7" t="inlineStr">
        <is>
          <t>Jharkhand Public Works &amp; Technology Department</t>
        </is>
      </c>
      <c r="F1727" s="6" t="inlineStr">
        <is>
          <t>30 Jul 2026</t>
        </is>
      </c>
      <c r="G1727" s="5" t="inlineStr">
        <is>
          <t>27 Aug 2026</t>
        </is>
      </c>
      <c r="H1727" s="8" t="inlineStr">
        <is>
          <t>⏳ UPCOMING</t>
        </is>
      </c>
      <c r="I1727" s="4" t="inlineStr">
        <is>
          <t>BOQ_162066.xls</t>
        </is>
      </c>
      <c r="J1727" s="6" t="inlineStr">
        <is>
          <t>📊 Excel BOQ</t>
        </is>
      </c>
      <c r="K1727" s="9" t="n">
        <v>2.5</v>
      </c>
      <c r="L1727" s="10">
        <f>HYPERLINK("http://127.0.0.1:8000/api/documents/download?id=2068&amp;attachment=true", "⬇ Download BOQ_162066.xls")</f>
        <v/>
      </c>
      <c r="M1727" s="10">
        <f>HYPERLINK("http://localhost:5173/?state=Jharkhand&amp;keyword=ICT&amp;tender=2026_WRD_119777_2", "🚀 Open in Portal")</f>
        <v/>
      </c>
    </row>
    <row r="1728" ht="24" customHeight="1">
      <c r="A1728" s="11" t="inlineStr">
        <is>
          <t>Jharkhand</t>
        </is>
      </c>
      <c r="B1728" s="12" t="inlineStr">
        <is>
          <t>ICT</t>
        </is>
      </c>
      <c r="C1728" s="13" t="inlineStr">
        <is>
          <t>2026_WRD_119777_2</t>
        </is>
      </c>
      <c r="D1728" s="14" t="inlineStr">
        <is>
          <t>[ Construction of Toileted, Drinking Water Facilities, Rain Water Harvesting in 20 Number of Anganwadi Center and 01 Number Rain Water Harvesting in Different Anganwadi Center under Block - Meharma, District - Godda]</t>
        </is>
      </c>
      <c r="E1728" s="14" t="inlineStr">
        <is>
          <t>Jharkhand Public Works &amp; Technology Department</t>
        </is>
      </c>
      <c r="F1728" s="13" t="inlineStr">
        <is>
          <t>30 Jul 2026</t>
        </is>
      </c>
      <c r="G1728" s="12" t="inlineStr">
        <is>
          <t>27 Aug 2026</t>
        </is>
      </c>
      <c r="H1728" s="8" t="inlineStr">
        <is>
          <t>⏳ UPCOMING</t>
        </is>
      </c>
      <c r="I1728" s="11" t="inlineStr">
        <is>
          <t>Tender_2026_WRD_119777_2_All_Documents.zip</t>
        </is>
      </c>
      <c r="J1728" s="13" t="inlineStr">
        <is>
          <t>📦 ZIP Package</t>
        </is>
      </c>
      <c r="K1728" s="15" t="n">
        <v>20.8</v>
      </c>
      <c r="L1728" s="16">
        <f>HYPERLINK("http://127.0.0.1:8000/api/documents/download?id=2069&amp;attachment=true", "⬇ Download Tender_2026_WRD_119777_2")</f>
        <v/>
      </c>
      <c r="M1728" s="16">
        <f>HYPERLINK("http://localhost:5173/?state=Jharkhand&amp;keyword=ICT&amp;tender=2026_WRD_119777_2", "🚀 Open in Portal")</f>
        <v/>
      </c>
    </row>
    <row r="1729" ht="24" customHeight="1">
      <c r="A1729" s="4" t="inlineStr">
        <is>
          <t>Jharkhand</t>
        </is>
      </c>
      <c r="B1729" s="5" t="inlineStr">
        <is>
          <t>ICT</t>
        </is>
      </c>
      <c r="C1729" s="6" t="inlineStr">
        <is>
          <t>2026_WRD_119777_3</t>
        </is>
      </c>
      <c r="D1729" s="7" t="inlineStr">
        <is>
          <t>[Construction of Toileted, Drinking Water Facilities, Rain Water Harvesting in 18 Number of Anganwadi Center and 32 Number Rain Water Harvesting in Different Anganwadi Center under Block - Meharma, District - Godda]</t>
        </is>
      </c>
      <c r="E1729" s="7" t="inlineStr">
        <is>
          <t>Jharkhand Public Works &amp; Technology Department</t>
        </is>
      </c>
      <c r="F1729" s="6" t="inlineStr">
        <is>
          <t>13 Oct 2026</t>
        </is>
      </c>
      <c r="G1729" s="5" t="inlineStr">
        <is>
          <t>13 Nov 2026</t>
        </is>
      </c>
      <c r="H1729" s="17" t="inlineStr">
        <is>
          <t>🟢 LIVE ACTIVE</t>
        </is>
      </c>
      <c r="I1729" s="4" t="inlineStr">
        <is>
          <t>Tendernotice_1.pdf</t>
        </is>
      </c>
      <c r="J1729" s="6" t="inlineStr">
        <is>
          <t>📕 PDF Document</t>
        </is>
      </c>
      <c r="K1729" s="9" t="n">
        <v>17.9</v>
      </c>
      <c r="L1729" s="10">
        <f>HYPERLINK("http://127.0.0.1:8000/api/documents/download?id=2062&amp;attachment=true", "⬇ Download Tendernotice_1.pdf")</f>
        <v/>
      </c>
      <c r="M1729" s="10">
        <f>HYPERLINK("http://localhost:5173/?state=Jharkhand&amp;keyword=ICT&amp;tender=2026_WRD_119777_3", "🚀 Open in Portal")</f>
        <v/>
      </c>
    </row>
    <row r="1730" ht="24" customHeight="1">
      <c r="A1730" s="11" t="inlineStr">
        <is>
          <t>Jharkhand</t>
        </is>
      </c>
      <c r="B1730" s="12" t="inlineStr">
        <is>
          <t>ICT</t>
        </is>
      </c>
      <c r="C1730" s="13" t="inlineStr">
        <is>
          <t>2026_WRD_119777_3</t>
        </is>
      </c>
      <c r="D1730" s="14" t="inlineStr">
        <is>
          <t>[Construction of Toileted, Drinking Water Facilities, Rain Water Harvesting in 18 Number of Anganwadi Center and 32 Number Rain Water Harvesting in Different Anganwadi Center under Block - Meharma, District - Godda]</t>
        </is>
      </c>
      <c r="E1730" s="14" t="inlineStr">
        <is>
          <t>Jharkhand Public Works &amp; Technology Department</t>
        </is>
      </c>
      <c r="F1730" s="13" t="inlineStr">
        <is>
          <t>13 Oct 2026</t>
        </is>
      </c>
      <c r="G1730" s="12" t="inlineStr">
        <is>
          <t>13 Nov 2026</t>
        </is>
      </c>
      <c r="H1730" s="17" t="inlineStr">
        <is>
          <t>🟢 LIVE ACTIVE</t>
        </is>
      </c>
      <c r="I1730" s="11" t="inlineStr">
        <is>
          <t>NIT.pdf</t>
        </is>
      </c>
      <c r="J1730" s="13" t="inlineStr">
        <is>
          <t>📕 PDF Document</t>
        </is>
      </c>
      <c r="K1730" s="15" t="n">
        <v>17.8</v>
      </c>
      <c r="L1730" s="16">
        <f>HYPERLINK("http://127.0.0.1:8000/api/documents/download?id=2063&amp;attachment=true", "⬇ Download NIT.pdf")</f>
        <v/>
      </c>
      <c r="M1730" s="16">
        <f>HYPERLINK("http://localhost:5173/?state=Jharkhand&amp;keyword=ICT&amp;tender=2026_WRD_119777_3", "🚀 Open in Portal")</f>
        <v/>
      </c>
    </row>
    <row r="1731" ht="24" customHeight="1">
      <c r="A1731" s="4" t="inlineStr">
        <is>
          <t>Jharkhand</t>
        </is>
      </c>
      <c r="B1731" s="5" t="inlineStr">
        <is>
          <t>ICT</t>
        </is>
      </c>
      <c r="C1731" s="6" t="inlineStr">
        <is>
          <t>2026_WRD_119777_3</t>
        </is>
      </c>
      <c r="D1731" s="7" t="inlineStr">
        <is>
          <t>[Construction of Toileted, Drinking Water Facilities, Rain Water Harvesting in 18 Number of Anganwadi Center and 32 Number Rain Water Harvesting in Different Anganwadi Center under Block - Meharma, District - Godda]</t>
        </is>
      </c>
      <c r="E1731" s="7" t="inlineStr">
        <is>
          <t>Jharkhand Public Works &amp; Technology Department</t>
        </is>
      </c>
      <c r="F1731" s="6" t="inlineStr">
        <is>
          <t>13 Oct 2026</t>
        </is>
      </c>
      <c r="G1731" s="5" t="inlineStr">
        <is>
          <t>13 Nov 2026</t>
        </is>
      </c>
      <c r="H1731" s="17" t="inlineStr">
        <is>
          <t>🟢 LIVE ACTIVE</t>
        </is>
      </c>
      <c r="I1731" s="4" t="inlineStr">
        <is>
          <t>BOQ_162067.xls</t>
        </is>
      </c>
      <c r="J1731" s="6" t="inlineStr">
        <is>
          <t>📊 Excel BOQ</t>
        </is>
      </c>
      <c r="K1731" s="9" t="n">
        <v>2.5</v>
      </c>
      <c r="L1731" s="10">
        <f>HYPERLINK("http://127.0.0.1:8000/api/documents/download?id=2064&amp;attachment=true", "⬇ Download BOQ_162067.xls")</f>
        <v/>
      </c>
      <c r="M1731" s="10">
        <f>HYPERLINK("http://localhost:5173/?state=Jharkhand&amp;keyword=ICT&amp;tender=2026_WRD_119777_3", "🚀 Open in Portal")</f>
        <v/>
      </c>
    </row>
    <row r="1732" ht="24" customHeight="1">
      <c r="A1732" s="11" t="inlineStr">
        <is>
          <t>Jharkhand</t>
        </is>
      </c>
      <c r="B1732" s="12" t="inlineStr">
        <is>
          <t>ICT</t>
        </is>
      </c>
      <c r="C1732" s="13" t="inlineStr">
        <is>
          <t>2026_WRD_119777_3</t>
        </is>
      </c>
      <c r="D1732" s="14" t="inlineStr">
        <is>
          <t>[Construction of Toileted, Drinking Water Facilities, Rain Water Harvesting in 18 Number of Anganwadi Center and 32 Number Rain Water Harvesting in Different Anganwadi Center under Block - Meharma, District - Godda]</t>
        </is>
      </c>
      <c r="E1732" s="14" t="inlineStr">
        <is>
          <t>Jharkhand Public Works &amp; Technology Department</t>
        </is>
      </c>
      <c r="F1732" s="13" t="inlineStr">
        <is>
          <t>13 Oct 2026</t>
        </is>
      </c>
      <c r="G1732" s="12" t="inlineStr">
        <is>
          <t>13 Nov 2026</t>
        </is>
      </c>
      <c r="H1732" s="17" t="inlineStr">
        <is>
          <t>🟢 LIVE ACTIVE</t>
        </is>
      </c>
      <c r="I1732" s="11" t="inlineStr">
        <is>
          <t>Tender_2026_WRD_119777_3_All_Documents.zip</t>
        </is>
      </c>
      <c r="J1732" s="13" t="inlineStr">
        <is>
          <t>📦 ZIP Package</t>
        </is>
      </c>
      <c r="K1732" s="15" t="n">
        <v>20.8</v>
      </c>
      <c r="L1732" s="16">
        <f>HYPERLINK("http://127.0.0.1:8000/api/documents/download?id=2065&amp;attachment=true", "⬇ Download Tender_2026_WRD_119777_3")</f>
        <v/>
      </c>
      <c r="M1732" s="16">
        <f>HYPERLINK("http://localhost:5173/?state=Jharkhand&amp;keyword=ICT&amp;tender=2026_WRD_119777_3", "🚀 Open in Portal")</f>
        <v/>
      </c>
    </row>
    <row r="1733" ht="24" customHeight="1">
      <c r="A1733" s="4" t="inlineStr">
        <is>
          <t>Jharkhand</t>
        </is>
      </c>
      <c r="B1733" s="5" t="inlineStr">
        <is>
          <t>ICT</t>
        </is>
      </c>
      <c r="C1733" s="6" t="inlineStr">
        <is>
          <t>2026_WRD_119777_4</t>
        </is>
      </c>
      <c r="D1733" s="7" t="inlineStr">
        <is>
          <t>[Construction of Toileted, Drinking Water Facilities, Rain Water Harvesting in 15 Number of Anganwadi Center and 12 Number Rain Water Harvesting in Different Anganwadi Center under Block - Boarijore, District - Godda]</t>
        </is>
      </c>
      <c r="E1733" s="7" t="inlineStr">
        <is>
          <t>Jharkhand Public Works &amp; Technology Department</t>
        </is>
      </c>
      <c r="F1733" s="6" t="inlineStr">
        <is>
          <t>30 Aug 2026</t>
        </is>
      </c>
      <c r="G1733" s="5" t="inlineStr">
        <is>
          <t>26 Sep 2026</t>
        </is>
      </c>
      <c r="H1733" s="8" t="inlineStr">
        <is>
          <t>⏳ UPCOMING</t>
        </is>
      </c>
      <c r="I1733" s="4" t="inlineStr">
        <is>
          <t>Tendernotice_1.pdf</t>
        </is>
      </c>
      <c r="J1733" s="6" t="inlineStr">
        <is>
          <t>📕 PDF Document</t>
        </is>
      </c>
      <c r="K1733" s="9" t="n">
        <v>17.9</v>
      </c>
      <c r="L1733" s="10">
        <f>HYPERLINK("http://127.0.0.1:8000/api/documents/download?id=2074&amp;attachment=true", "⬇ Download Tendernotice_1.pdf")</f>
        <v/>
      </c>
      <c r="M1733" s="10">
        <f>HYPERLINK("http://localhost:5173/?state=Jharkhand&amp;keyword=ICT&amp;tender=2026_WRD_119777_4", "🚀 Open in Portal")</f>
        <v/>
      </c>
    </row>
    <row r="1734" ht="24" customHeight="1">
      <c r="A1734" s="11" t="inlineStr">
        <is>
          <t>Jharkhand</t>
        </is>
      </c>
      <c r="B1734" s="12" t="inlineStr">
        <is>
          <t>ICT</t>
        </is>
      </c>
      <c r="C1734" s="13" t="inlineStr">
        <is>
          <t>2026_WRD_119777_4</t>
        </is>
      </c>
      <c r="D1734" s="14" t="inlineStr">
        <is>
          <t>[Construction of Toileted, Drinking Water Facilities, Rain Water Harvesting in 15 Number of Anganwadi Center and 12 Number Rain Water Harvesting in Different Anganwadi Center under Block - Boarijore, District - Godda]</t>
        </is>
      </c>
      <c r="E1734" s="14" t="inlineStr">
        <is>
          <t>Jharkhand Public Works &amp; Technology Department</t>
        </is>
      </c>
      <c r="F1734" s="13" t="inlineStr">
        <is>
          <t>30 Aug 2026</t>
        </is>
      </c>
      <c r="G1734" s="12" t="inlineStr">
        <is>
          <t>26 Sep 2026</t>
        </is>
      </c>
      <c r="H1734" s="8" t="inlineStr">
        <is>
          <t>⏳ UPCOMING</t>
        </is>
      </c>
      <c r="I1734" s="11" t="inlineStr">
        <is>
          <t>BOQ_162069.xls</t>
        </is>
      </c>
      <c r="J1734" s="13" t="inlineStr">
        <is>
          <t>📊 Excel BOQ</t>
        </is>
      </c>
      <c r="K1734" s="15" t="n">
        <v>2.5</v>
      </c>
      <c r="L1734" s="16">
        <f>HYPERLINK("http://127.0.0.1:8000/api/documents/download?id=2075&amp;attachment=true", "⬇ Download BOQ_162069.xls")</f>
        <v/>
      </c>
      <c r="M1734" s="16">
        <f>HYPERLINK("http://localhost:5173/?state=Jharkhand&amp;keyword=ICT&amp;tender=2026_WRD_119777_4", "🚀 Open in Portal")</f>
        <v/>
      </c>
    </row>
    <row r="1735" ht="24" customHeight="1">
      <c r="A1735" s="4" t="inlineStr">
        <is>
          <t>Jharkhand</t>
        </is>
      </c>
      <c r="B1735" s="5" t="inlineStr">
        <is>
          <t>ICT</t>
        </is>
      </c>
      <c r="C1735" s="6" t="inlineStr">
        <is>
          <t>2026_WRD_119777_4</t>
        </is>
      </c>
      <c r="D1735" s="7" t="inlineStr">
        <is>
          <t>[Construction of Toileted, Drinking Water Facilities, Rain Water Harvesting in 15 Number of Anganwadi Center and 12 Number Rain Water Harvesting in Different Anganwadi Center under Block - Boarijore, District - Godda]</t>
        </is>
      </c>
      <c r="E1735" s="7" t="inlineStr">
        <is>
          <t>Jharkhand Public Works &amp; Technology Department</t>
        </is>
      </c>
      <c r="F1735" s="6" t="inlineStr">
        <is>
          <t>30 Aug 2026</t>
        </is>
      </c>
      <c r="G1735" s="5" t="inlineStr">
        <is>
          <t>26 Sep 2026</t>
        </is>
      </c>
      <c r="H1735" s="8" t="inlineStr">
        <is>
          <t>⏳ UPCOMING</t>
        </is>
      </c>
      <c r="I1735" s="4" t="inlineStr">
        <is>
          <t>NIT.pdf</t>
        </is>
      </c>
      <c r="J1735" s="6" t="inlineStr">
        <is>
          <t>📕 PDF Document</t>
        </is>
      </c>
      <c r="K1735" s="9" t="n">
        <v>17.8</v>
      </c>
      <c r="L1735" s="10">
        <f>HYPERLINK("http://127.0.0.1:8000/api/documents/download?id=2076&amp;attachment=true", "⬇ Download NIT.pdf")</f>
        <v/>
      </c>
      <c r="M1735" s="10">
        <f>HYPERLINK("http://localhost:5173/?state=Jharkhand&amp;keyword=ICT&amp;tender=2026_WRD_119777_4", "🚀 Open in Portal")</f>
        <v/>
      </c>
    </row>
    <row r="1736" ht="24" customHeight="1">
      <c r="A1736" s="11" t="inlineStr">
        <is>
          <t>Jharkhand</t>
        </is>
      </c>
      <c r="B1736" s="12" t="inlineStr">
        <is>
          <t>ICT</t>
        </is>
      </c>
      <c r="C1736" s="13" t="inlineStr">
        <is>
          <t>2026_WRD_119777_4</t>
        </is>
      </c>
      <c r="D1736" s="14" t="inlineStr">
        <is>
          <t>[Construction of Toileted, Drinking Water Facilities, Rain Water Harvesting in 15 Number of Anganwadi Center and 12 Number Rain Water Harvesting in Different Anganwadi Center under Block - Boarijore, District - Godda]</t>
        </is>
      </c>
      <c r="E1736" s="14" t="inlineStr">
        <is>
          <t>Jharkhand Public Works &amp; Technology Department</t>
        </is>
      </c>
      <c r="F1736" s="13" t="inlineStr">
        <is>
          <t>30 Aug 2026</t>
        </is>
      </c>
      <c r="G1736" s="12" t="inlineStr">
        <is>
          <t>26 Sep 2026</t>
        </is>
      </c>
      <c r="H1736" s="8" t="inlineStr">
        <is>
          <t>⏳ UPCOMING</t>
        </is>
      </c>
      <c r="I1736" s="11" t="inlineStr">
        <is>
          <t>Tender_2026_WRD_119777_4_All_Documents.zip</t>
        </is>
      </c>
      <c r="J1736" s="13" t="inlineStr">
        <is>
          <t>📦 ZIP Package</t>
        </is>
      </c>
      <c r="K1736" s="15" t="n">
        <v>20.8</v>
      </c>
      <c r="L1736" s="16">
        <f>HYPERLINK("http://127.0.0.1:8000/api/documents/download?id=2077&amp;attachment=true", "⬇ Download Tender_2026_WRD_119777_4")</f>
        <v/>
      </c>
      <c r="M1736" s="16">
        <f>HYPERLINK("http://localhost:5173/?state=Jharkhand&amp;keyword=ICT&amp;tender=2026_WRD_119777_4", "🚀 Open in Portal")</f>
        <v/>
      </c>
    </row>
    <row r="1737" ht="24" customHeight="1">
      <c r="A1737" s="4" t="inlineStr">
        <is>
          <t>Jharkhand</t>
        </is>
      </c>
      <c r="B1737" s="5" t="inlineStr">
        <is>
          <t>ICT</t>
        </is>
      </c>
      <c r="C1737" s="6" t="inlineStr">
        <is>
          <t>2026_WRD_119836_1</t>
        </is>
      </c>
      <c r="D1737" s="7" t="inlineStr">
        <is>
          <t>[Construction of P.C.C road from Basariya P.W.D road of Panchayat- Basariya via Gudiya Pond to Amjhar kalikaran road, Village- Basariya, Panchayat- Basariya, Block- Chouparan, District- Hazaribag]</t>
        </is>
      </c>
      <c r="E1737" s="7" t="inlineStr">
        <is>
          <t>Jharkhand Public Works &amp; Technology Department</t>
        </is>
      </c>
      <c r="F1737" s="6" t="inlineStr">
        <is>
          <t>22 Jul 2026</t>
        </is>
      </c>
      <c r="G1737" s="5" t="inlineStr">
        <is>
          <t>18 Aug 2026</t>
        </is>
      </c>
      <c r="H1737" s="8" t="inlineStr">
        <is>
          <t>⏳ UPCOMING</t>
        </is>
      </c>
      <c r="I1737" s="4" t="inlineStr">
        <is>
          <t>Tendernotice_1.pdf</t>
        </is>
      </c>
      <c r="J1737" s="6" t="inlineStr">
        <is>
          <t>📕 PDF Document</t>
        </is>
      </c>
      <c r="K1737" s="9" t="n">
        <v>17.8</v>
      </c>
      <c r="L1737" s="10">
        <f>HYPERLINK("http://127.0.0.1:8000/api/documents/download?id=2024&amp;attachment=true", "⬇ Download Tendernotice_1.pdf")</f>
        <v/>
      </c>
      <c r="M1737" s="10">
        <f>HYPERLINK("http://localhost:5173/?state=Jharkhand&amp;keyword=ICT&amp;tender=2026_WRD_119836_1", "🚀 Open in Portal")</f>
        <v/>
      </c>
    </row>
    <row r="1738" ht="24" customHeight="1">
      <c r="A1738" s="11" t="inlineStr">
        <is>
          <t>Jharkhand</t>
        </is>
      </c>
      <c r="B1738" s="12" t="inlineStr">
        <is>
          <t>ICT</t>
        </is>
      </c>
      <c r="C1738" s="13" t="inlineStr">
        <is>
          <t>2026_WRD_119836_1</t>
        </is>
      </c>
      <c r="D1738" s="14" t="inlineStr">
        <is>
          <t>[Construction of P.C.C road from Basariya P.W.D road of Panchayat- Basariya via Gudiya Pond to Amjhar kalikaran road, Village- Basariya, Panchayat- Basariya, Block- Chouparan, District- Hazaribag]</t>
        </is>
      </c>
      <c r="E1738" s="14" t="inlineStr">
        <is>
          <t>Jharkhand Public Works &amp; Technology Department</t>
        </is>
      </c>
      <c r="F1738" s="13" t="inlineStr">
        <is>
          <t>22 Jul 2026</t>
        </is>
      </c>
      <c r="G1738" s="12" t="inlineStr">
        <is>
          <t>18 Aug 2026</t>
        </is>
      </c>
      <c r="H1738" s="8" t="inlineStr">
        <is>
          <t>⏳ UPCOMING</t>
        </is>
      </c>
      <c r="I1738" s="11" t="inlineStr">
        <is>
          <t>TENDER_DOCUMENTS_40_2nd.pdf</t>
        </is>
      </c>
      <c r="J1738" s="13" t="inlineStr">
        <is>
          <t>📕 PDF Document</t>
        </is>
      </c>
      <c r="K1738" s="15" t="n">
        <v>17.9</v>
      </c>
      <c r="L1738" s="16">
        <f>HYPERLINK("http://127.0.0.1:8000/api/documents/download?id=2025&amp;attachment=true", "⬇ Download TENDER_DOCUMENTS_40_2nd.")</f>
        <v/>
      </c>
      <c r="M1738" s="16">
        <f>HYPERLINK("http://localhost:5173/?state=Jharkhand&amp;keyword=ICT&amp;tender=2026_WRD_119836_1", "🚀 Open in Portal")</f>
        <v/>
      </c>
    </row>
    <row r="1739" ht="24" customHeight="1">
      <c r="A1739" s="4" t="inlineStr">
        <is>
          <t>Jharkhand</t>
        </is>
      </c>
      <c r="B1739" s="5" t="inlineStr">
        <is>
          <t>ICT</t>
        </is>
      </c>
      <c r="C1739" s="6" t="inlineStr">
        <is>
          <t>2026_WRD_119836_1</t>
        </is>
      </c>
      <c r="D1739" s="7" t="inlineStr">
        <is>
          <t>[Construction of P.C.C road from Basariya P.W.D road of Panchayat- Basariya via Gudiya Pond to Amjhar kalikaran road, Village- Basariya, Panchayat- Basariya, Block- Chouparan, District- Hazaribag]</t>
        </is>
      </c>
      <c r="E1739" s="7" t="inlineStr">
        <is>
          <t>Jharkhand Public Works &amp; Technology Department</t>
        </is>
      </c>
      <c r="F1739" s="6" t="inlineStr">
        <is>
          <t>22 Jul 2026</t>
        </is>
      </c>
      <c r="G1739" s="5" t="inlineStr">
        <is>
          <t>18 Aug 2026</t>
        </is>
      </c>
      <c r="H1739" s="8" t="inlineStr">
        <is>
          <t>⏳ UPCOMING</t>
        </is>
      </c>
      <c r="I1739" s="4" t="inlineStr">
        <is>
          <t>BOQ_162142.xls</t>
        </is>
      </c>
      <c r="J1739" s="6" t="inlineStr">
        <is>
          <t>📊 Excel BOQ</t>
        </is>
      </c>
      <c r="K1739" s="9" t="n">
        <v>2.5</v>
      </c>
      <c r="L1739" s="10">
        <f>HYPERLINK("http://127.0.0.1:8000/api/documents/download?id=2026&amp;attachment=true", "⬇ Download BOQ_162142.xls")</f>
        <v/>
      </c>
      <c r="M1739" s="10">
        <f>HYPERLINK("http://localhost:5173/?state=Jharkhand&amp;keyword=ICT&amp;tender=2026_WRD_119836_1", "🚀 Open in Portal")</f>
        <v/>
      </c>
    </row>
    <row r="1740" ht="24" customHeight="1">
      <c r="A1740" s="11" t="inlineStr">
        <is>
          <t>Jharkhand</t>
        </is>
      </c>
      <c r="B1740" s="12" t="inlineStr">
        <is>
          <t>ICT</t>
        </is>
      </c>
      <c r="C1740" s="13" t="inlineStr">
        <is>
          <t>2026_WRD_119836_1</t>
        </is>
      </c>
      <c r="D1740" s="14" t="inlineStr">
        <is>
          <t>[Construction of P.C.C road from Basariya P.W.D road of Panchayat- Basariya via Gudiya Pond to Amjhar kalikaran road, Village- Basariya, Panchayat- Basariya, Block- Chouparan, District- Hazaribag]</t>
        </is>
      </c>
      <c r="E1740" s="14" t="inlineStr">
        <is>
          <t>Jharkhand Public Works &amp; Technology Department</t>
        </is>
      </c>
      <c r="F1740" s="13" t="inlineStr">
        <is>
          <t>22 Jul 2026</t>
        </is>
      </c>
      <c r="G1740" s="12" t="inlineStr">
        <is>
          <t>18 Aug 2026</t>
        </is>
      </c>
      <c r="H1740" s="8" t="inlineStr">
        <is>
          <t>⏳ UPCOMING</t>
        </is>
      </c>
      <c r="I1740" s="11" t="inlineStr">
        <is>
          <t>Tender_2026_WRD_119836_1_All_Documents.zip</t>
        </is>
      </c>
      <c r="J1740" s="13" t="inlineStr">
        <is>
          <t>📦 ZIP Package</t>
        </is>
      </c>
      <c r="K1740" s="15" t="n">
        <v>20.9</v>
      </c>
      <c r="L1740" s="16">
        <f>HYPERLINK("http://127.0.0.1:8000/api/documents/download?id=2027&amp;attachment=true", "⬇ Download Tender_2026_WRD_119836_1")</f>
        <v/>
      </c>
      <c r="M1740" s="16">
        <f>HYPERLINK("http://localhost:5173/?state=Jharkhand&amp;keyword=ICT&amp;tender=2026_WRD_119836_1", "🚀 Open in Portal")</f>
        <v/>
      </c>
    </row>
    <row r="1741" ht="24" customHeight="1">
      <c r="A1741" s="4" t="inlineStr">
        <is>
          <t>Jharkhand</t>
        </is>
      </c>
      <c r="B1741" s="5" t="inlineStr">
        <is>
          <t>ICT</t>
        </is>
      </c>
      <c r="C1741" s="6" t="inlineStr">
        <is>
          <t>2026_ZPLAT_119800_1</t>
        </is>
      </c>
      <c r="D1741" s="7" t="inlineStr">
        <is>
          <t>[CONSTRUCTION OF PCC ROAD FROM HOUSE OF PAARO GANJHU TO ANGANBADI AT VILLAGE-NAWADIH,G.P.- GONIYA , BLOCK- BARIYATU , DISTRICT-LATEHAR]</t>
        </is>
      </c>
      <c r="E1741" s="7" t="inlineStr">
        <is>
          <t>Jharkhand Public Works &amp; Technology Department</t>
        </is>
      </c>
      <c r="F1741" s="6" t="inlineStr">
        <is>
          <t>26 Aug 2026</t>
        </is>
      </c>
      <c r="G1741" s="5" t="inlineStr">
        <is>
          <t>22 Sep 2026</t>
        </is>
      </c>
      <c r="H1741" s="8" t="inlineStr">
        <is>
          <t>⏳ UPCOMING</t>
        </is>
      </c>
      <c r="I1741" s="4" t="inlineStr">
        <is>
          <t>Tendernotice_1.pdf</t>
        </is>
      </c>
      <c r="J1741" s="6" t="inlineStr">
        <is>
          <t>📕 PDF Document</t>
        </is>
      </c>
      <c r="K1741" s="9" t="n">
        <v>17.9</v>
      </c>
      <c r="L1741" s="10">
        <f>HYPERLINK("http://127.0.0.1:8000/api/documents/download?id=2047&amp;attachment=true", "⬇ Download Tendernotice_1.pdf")</f>
        <v/>
      </c>
      <c r="M1741" s="10">
        <f>HYPERLINK("http://localhost:5173/?state=Jharkhand&amp;keyword=ICT&amp;tender=2026_ZPLAT_119800_1", "🚀 Open in Portal")</f>
        <v/>
      </c>
    </row>
    <row r="1742" ht="24" customHeight="1">
      <c r="A1742" s="11" t="inlineStr">
        <is>
          <t>Jharkhand</t>
        </is>
      </c>
      <c r="B1742" s="12" t="inlineStr">
        <is>
          <t>ICT</t>
        </is>
      </c>
      <c r="C1742" s="13" t="inlineStr">
        <is>
          <t>2026_ZPLAT_119800_1</t>
        </is>
      </c>
      <c r="D1742" s="14" t="inlineStr">
        <is>
          <t>[CONSTRUCTION OF PCC ROAD FROM HOUSE OF PAARO GANJHU TO ANGANBADI AT VILLAGE-NAWADIH,G.P.- GONIYA , BLOCK- BARIYATU , DISTRICT-LATEHAR]</t>
        </is>
      </c>
      <c r="E1742" s="14" t="inlineStr">
        <is>
          <t>Jharkhand Public Works &amp; Technology Department</t>
        </is>
      </c>
      <c r="F1742" s="13" t="inlineStr">
        <is>
          <t>26 Aug 2026</t>
        </is>
      </c>
      <c r="G1742" s="12" t="inlineStr">
        <is>
          <t>22 Sep 2026</t>
        </is>
      </c>
      <c r="H1742" s="8" t="inlineStr">
        <is>
          <t>⏳ UPCOMING</t>
        </is>
      </c>
      <c r="I1742" s="11" t="inlineStr">
        <is>
          <t>Group_03.pdf</t>
        </is>
      </c>
      <c r="J1742" s="13" t="inlineStr">
        <is>
          <t>📕 PDF Document</t>
        </is>
      </c>
      <c r="K1742" s="15" t="n">
        <v>17.8</v>
      </c>
      <c r="L1742" s="16">
        <f>HYPERLINK("http://127.0.0.1:8000/api/documents/download?id=2048&amp;attachment=true", "⬇ Download Group_03.pdf")</f>
        <v/>
      </c>
      <c r="M1742" s="16">
        <f>HYPERLINK("http://localhost:5173/?state=Jharkhand&amp;keyword=ICT&amp;tender=2026_ZPLAT_119800_1", "🚀 Open in Portal")</f>
        <v/>
      </c>
    </row>
    <row r="1743" ht="24" customHeight="1">
      <c r="A1743" s="4" t="inlineStr">
        <is>
          <t>Jharkhand</t>
        </is>
      </c>
      <c r="B1743" s="5" t="inlineStr">
        <is>
          <t>ICT</t>
        </is>
      </c>
      <c r="C1743" s="6" t="inlineStr">
        <is>
          <t>2026_ZPLAT_119800_1</t>
        </is>
      </c>
      <c r="D1743" s="7" t="inlineStr">
        <is>
          <t>[CONSTRUCTION OF PCC ROAD FROM HOUSE OF PAARO GANJHU TO ANGANBADI AT VILLAGE-NAWADIH,G.P.- GONIYA , BLOCK- BARIYATU , DISTRICT-LATEHAR]</t>
        </is>
      </c>
      <c r="E1743" s="7" t="inlineStr">
        <is>
          <t>Jharkhand Public Works &amp; Technology Department</t>
        </is>
      </c>
      <c r="F1743" s="6" t="inlineStr">
        <is>
          <t>26 Aug 2026</t>
        </is>
      </c>
      <c r="G1743" s="5" t="inlineStr">
        <is>
          <t>22 Sep 2026</t>
        </is>
      </c>
      <c r="H1743" s="8" t="inlineStr">
        <is>
          <t>⏳ UPCOMING</t>
        </is>
      </c>
      <c r="I1743" s="4" t="inlineStr">
        <is>
          <t>BOQ_162093.xls</t>
        </is>
      </c>
      <c r="J1743" s="6" t="inlineStr">
        <is>
          <t>📊 Excel BOQ</t>
        </is>
      </c>
      <c r="K1743" s="9" t="n">
        <v>2.5</v>
      </c>
      <c r="L1743" s="10">
        <f>HYPERLINK("http://127.0.0.1:8000/api/documents/download?id=2049&amp;attachment=true", "⬇ Download BOQ_162093.xls")</f>
        <v/>
      </c>
      <c r="M1743" s="10">
        <f>HYPERLINK("http://localhost:5173/?state=Jharkhand&amp;keyword=ICT&amp;tender=2026_ZPLAT_119800_1", "🚀 Open in Portal")</f>
        <v/>
      </c>
    </row>
    <row r="1744" ht="24" customHeight="1">
      <c r="A1744" s="11" t="inlineStr">
        <is>
          <t>Jharkhand</t>
        </is>
      </c>
      <c r="B1744" s="12" t="inlineStr">
        <is>
          <t>ICT</t>
        </is>
      </c>
      <c r="C1744" s="13" t="inlineStr">
        <is>
          <t>2026_ZPLAT_119800_1</t>
        </is>
      </c>
      <c r="D1744" s="14" t="inlineStr">
        <is>
          <t>[CONSTRUCTION OF PCC ROAD FROM HOUSE OF PAARO GANJHU TO ANGANBADI AT VILLAGE-NAWADIH,G.P.- GONIYA , BLOCK- BARIYATU , DISTRICT-LATEHAR]</t>
        </is>
      </c>
      <c r="E1744" s="14" t="inlineStr">
        <is>
          <t>Jharkhand Public Works &amp; Technology Department</t>
        </is>
      </c>
      <c r="F1744" s="13" t="inlineStr">
        <is>
          <t>26 Aug 2026</t>
        </is>
      </c>
      <c r="G1744" s="12" t="inlineStr">
        <is>
          <t>22 Sep 2026</t>
        </is>
      </c>
      <c r="H1744" s="8" t="inlineStr">
        <is>
          <t>⏳ UPCOMING</t>
        </is>
      </c>
      <c r="I1744" s="11" t="inlineStr">
        <is>
          <t>Tender_2026_ZPLAT_119800_1_All_Documents.zip</t>
        </is>
      </c>
      <c r="J1744" s="13" t="inlineStr">
        <is>
          <t>📦 ZIP Package</t>
        </is>
      </c>
      <c r="K1744" s="15" t="n">
        <v>20.8</v>
      </c>
      <c r="L1744" s="16">
        <f>HYPERLINK("http://127.0.0.1:8000/api/documents/download?id=2050&amp;attachment=true", "⬇ Download Tender_2026_ZPLAT_119800")</f>
        <v/>
      </c>
      <c r="M1744" s="16">
        <f>HYPERLINK("http://localhost:5173/?state=Jharkhand&amp;keyword=ICT&amp;tender=2026_ZPLAT_119800_1", "🚀 Open in Portal")</f>
        <v/>
      </c>
    </row>
    <row r="1745" ht="24" customHeight="1">
      <c r="A1745" s="4" t="inlineStr">
        <is>
          <t>Jharkhand</t>
        </is>
      </c>
      <c r="B1745" s="5" t="inlineStr">
        <is>
          <t>ICT</t>
        </is>
      </c>
      <c r="C1745" s="6" t="inlineStr">
        <is>
          <t>2026_ZPLAT_119824_1</t>
        </is>
      </c>
      <c r="D1745" s="7" t="inlineStr">
        <is>
          <t>[Construction of PCC road from House of Indradev Tana Bhat (Near Pond) house to Dhumkudiya Bhawan at Village Kaima GP Newadi Block Latehar District- Latehar]</t>
        </is>
      </c>
      <c r="E1745" s="7" t="inlineStr">
        <is>
          <t>Jharkhand Public Works &amp; Technology Department</t>
        </is>
      </c>
      <c r="F1745" s="6" t="inlineStr">
        <is>
          <t>24 Sep 2026</t>
        </is>
      </c>
      <c r="G1745" s="5" t="inlineStr">
        <is>
          <t>25 Oct 2026</t>
        </is>
      </c>
      <c r="H1745" s="17" t="inlineStr">
        <is>
          <t>🟢 LIVE ACTIVE</t>
        </is>
      </c>
      <c r="I1745" s="4" t="inlineStr">
        <is>
          <t>Tendernotice_1.pdf</t>
        </is>
      </c>
      <c r="J1745" s="6" t="inlineStr">
        <is>
          <t>📕 PDF Document</t>
        </is>
      </c>
      <c r="K1745" s="9" t="n">
        <v>17.9</v>
      </c>
      <c r="L1745" s="10">
        <f>HYPERLINK("http://127.0.0.1:8000/api/documents/download?id=2020&amp;attachment=true", "⬇ Download Tendernotice_1.pdf")</f>
        <v/>
      </c>
      <c r="M1745" s="10">
        <f>HYPERLINK("http://localhost:5173/?state=Jharkhand&amp;keyword=ICT&amp;tender=2026_ZPLAT_119824_1", "🚀 Open in Portal")</f>
        <v/>
      </c>
    </row>
    <row r="1746" ht="24" customHeight="1">
      <c r="A1746" s="11" t="inlineStr">
        <is>
          <t>Jharkhand</t>
        </is>
      </c>
      <c r="B1746" s="12" t="inlineStr">
        <is>
          <t>ICT</t>
        </is>
      </c>
      <c r="C1746" s="13" t="inlineStr">
        <is>
          <t>2026_ZPLAT_119824_1</t>
        </is>
      </c>
      <c r="D1746" s="14" t="inlineStr">
        <is>
          <t>[Construction of PCC road from House of Indradev Tana Bhat (Near Pond) house to Dhumkudiya Bhawan at Village Kaima GP Newadi Block Latehar District- Latehar]</t>
        </is>
      </c>
      <c r="E1746" s="14" t="inlineStr">
        <is>
          <t>Jharkhand Public Works &amp; Technology Department</t>
        </is>
      </c>
      <c r="F1746" s="13" t="inlineStr">
        <is>
          <t>24 Sep 2026</t>
        </is>
      </c>
      <c r="G1746" s="12" t="inlineStr">
        <is>
          <t>25 Oct 2026</t>
        </is>
      </c>
      <c r="H1746" s="17" t="inlineStr">
        <is>
          <t>🟢 LIVE ACTIVE</t>
        </is>
      </c>
      <c r="I1746" s="11" t="inlineStr">
        <is>
          <t>Group_67.pdf</t>
        </is>
      </c>
      <c r="J1746" s="13" t="inlineStr">
        <is>
          <t>📕 PDF Document</t>
        </is>
      </c>
      <c r="K1746" s="15" t="n">
        <v>17.9</v>
      </c>
      <c r="L1746" s="16">
        <f>HYPERLINK("http://127.0.0.1:8000/api/documents/download?id=2021&amp;attachment=true", "⬇ Download Group_67.pdf")</f>
        <v/>
      </c>
      <c r="M1746" s="16">
        <f>HYPERLINK("http://localhost:5173/?state=Jharkhand&amp;keyword=ICT&amp;tender=2026_ZPLAT_119824_1", "🚀 Open in Portal")</f>
        <v/>
      </c>
    </row>
    <row r="1747" ht="24" customHeight="1">
      <c r="A1747" s="4" t="inlineStr">
        <is>
          <t>Jharkhand</t>
        </is>
      </c>
      <c r="B1747" s="5" t="inlineStr">
        <is>
          <t>ICT</t>
        </is>
      </c>
      <c r="C1747" s="6" t="inlineStr">
        <is>
          <t>2026_ZPLAT_119824_1</t>
        </is>
      </c>
      <c r="D1747" s="7" t="inlineStr">
        <is>
          <t>[Construction of PCC road from House of Indradev Tana Bhat (Near Pond) house to Dhumkudiya Bhawan at Village Kaima GP Newadi Block Latehar District- Latehar]</t>
        </is>
      </c>
      <c r="E1747" s="7" t="inlineStr">
        <is>
          <t>Jharkhand Public Works &amp; Technology Department</t>
        </is>
      </c>
      <c r="F1747" s="6" t="inlineStr">
        <is>
          <t>24 Sep 2026</t>
        </is>
      </c>
      <c r="G1747" s="5" t="inlineStr">
        <is>
          <t>25 Oct 2026</t>
        </is>
      </c>
      <c r="H1747" s="17" t="inlineStr">
        <is>
          <t>🟢 LIVE ACTIVE</t>
        </is>
      </c>
      <c r="I1747" s="4" t="inlineStr">
        <is>
          <t>BOQ_162130.xls</t>
        </is>
      </c>
      <c r="J1747" s="6" t="inlineStr">
        <is>
          <t>📊 Excel BOQ</t>
        </is>
      </c>
      <c r="K1747" s="9" t="n">
        <v>2.5</v>
      </c>
      <c r="L1747" s="10">
        <f>HYPERLINK("http://127.0.0.1:8000/api/documents/download?id=2022&amp;attachment=true", "⬇ Download BOQ_162130.xls")</f>
        <v/>
      </c>
      <c r="M1747" s="10">
        <f>HYPERLINK("http://localhost:5173/?state=Jharkhand&amp;keyword=ICT&amp;tender=2026_ZPLAT_119824_1", "🚀 Open in Portal")</f>
        <v/>
      </c>
    </row>
    <row r="1748" ht="24" customHeight="1">
      <c r="A1748" s="11" t="inlineStr">
        <is>
          <t>Jharkhand</t>
        </is>
      </c>
      <c r="B1748" s="12" t="inlineStr">
        <is>
          <t>ICT</t>
        </is>
      </c>
      <c r="C1748" s="13" t="inlineStr">
        <is>
          <t>2026_ZPLAT_119824_1</t>
        </is>
      </c>
      <c r="D1748" s="14" t="inlineStr">
        <is>
          <t>[Construction of PCC road from House of Indradev Tana Bhat (Near Pond) house to Dhumkudiya Bhawan at Village Kaima GP Newadi Block Latehar District- Latehar]</t>
        </is>
      </c>
      <c r="E1748" s="14" t="inlineStr">
        <is>
          <t>Jharkhand Public Works &amp; Technology Department</t>
        </is>
      </c>
      <c r="F1748" s="13" t="inlineStr">
        <is>
          <t>24 Sep 2026</t>
        </is>
      </c>
      <c r="G1748" s="12" t="inlineStr">
        <is>
          <t>25 Oct 2026</t>
        </is>
      </c>
      <c r="H1748" s="17" t="inlineStr">
        <is>
          <t>🟢 LIVE ACTIVE</t>
        </is>
      </c>
      <c r="I1748" s="11" t="inlineStr">
        <is>
          <t>Tender_2026_ZPLAT_119824_1_All_Documents.zip</t>
        </is>
      </c>
      <c r="J1748" s="13" t="inlineStr">
        <is>
          <t>📦 ZIP Package</t>
        </is>
      </c>
      <c r="K1748" s="15" t="n">
        <v>20.9</v>
      </c>
      <c r="L1748" s="16">
        <f>HYPERLINK("http://127.0.0.1:8000/api/documents/download?id=2023&amp;attachment=true", "⬇ Download Tender_2026_ZPLAT_119824")</f>
        <v/>
      </c>
      <c r="M1748" s="16">
        <f>HYPERLINK("http://localhost:5173/?state=Jharkhand&amp;keyword=ICT&amp;tender=2026_ZPLAT_119824_1", "🚀 Open in Portal")</f>
        <v/>
      </c>
    </row>
    <row r="1749" ht="24" customHeight="1">
      <c r="A1749" s="4" t="inlineStr">
        <is>
          <t>Jharkhand</t>
        </is>
      </c>
      <c r="B1749" s="5" t="inlineStr">
        <is>
          <t>Water Resources</t>
        </is>
      </c>
      <c r="C1749" s="6" t="inlineStr">
        <is>
          <t>2026_JHA_3435617_94</t>
        </is>
      </c>
      <c r="D1749" s="7" t="inlineStr">
        <is>
          <t>Water Resources-Based River Basin Hydro-Meteorological Sensor Network &amp; GIS Flood Simulation</t>
        </is>
      </c>
      <c r="E1749" s="7" t="inlineStr">
        <is>
          <t>WATER RESOURCES &amp; IRRIGATION DEPARTMENT</t>
        </is>
      </c>
      <c r="F1749" s="6" t="inlineStr">
        <is>
          <t>13 Sep 2026</t>
        </is>
      </c>
      <c r="G1749" s="5" t="inlineStr">
        <is>
          <t>13 Oct 2026</t>
        </is>
      </c>
      <c r="H1749" s="8" t="inlineStr">
        <is>
          <t>⏳ UPCOMING</t>
        </is>
      </c>
      <c r="I1749" s="4" t="inlineStr">
        <is>
          <t>Tendernotice_2026_JHA_3435617_94.pdf</t>
        </is>
      </c>
      <c r="J1749" s="6" t="inlineStr">
        <is>
          <t>📕 PDF Document</t>
        </is>
      </c>
      <c r="K1749" s="9" t="n">
        <v>17.9</v>
      </c>
      <c r="L1749" s="10">
        <f>HYPERLINK("http://127.0.0.1:8000/api/documents/download?id=3045&amp;attachment=true", "⬇ Download Tendernotice_2026_JHA_34")</f>
        <v/>
      </c>
      <c r="M1749" s="10">
        <f>HYPERLINK("http://localhost:5173/?state=Jharkhand&amp;keyword=Water%20Resources&amp;tender=2026_JHA_3435617_94", "🚀 Open in Portal")</f>
        <v/>
      </c>
    </row>
    <row r="1750" ht="24" customHeight="1">
      <c r="A1750" s="11" t="inlineStr">
        <is>
          <t>Jharkhand</t>
        </is>
      </c>
      <c r="B1750" s="12" t="inlineStr">
        <is>
          <t>Water Resources</t>
        </is>
      </c>
      <c r="C1750" s="13" t="inlineStr">
        <is>
          <t>2026_JHA_3435617_94</t>
        </is>
      </c>
      <c r="D1750" s="14" t="inlineStr">
        <is>
          <t>Water Resources-Based River Basin Hydro-Meteorological Sensor Network &amp; GIS Flood Simulation</t>
        </is>
      </c>
      <c r="E1750" s="14" t="inlineStr">
        <is>
          <t>WATER RESOURCES &amp; IRRIGATION DEPARTMENT</t>
        </is>
      </c>
      <c r="F1750" s="13" t="inlineStr">
        <is>
          <t>13 Sep 2026</t>
        </is>
      </c>
      <c r="G1750" s="12" t="inlineStr">
        <is>
          <t>13 Oct 2026</t>
        </is>
      </c>
      <c r="H1750" s="8" t="inlineStr">
        <is>
          <t>⏳ UPCOMING</t>
        </is>
      </c>
      <c r="I1750" s="11" t="inlineStr">
        <is>
          <t>Technical_RFP_Specification_Water Resources.pdf</t>
        </is>
      </c>
      <c r="J1750" s="13" t="inlineStr">
        <is>
          <t>📕 PDF Document</t>
        </is>
      </c>
      <c r="K1750" s="15" t="n">
        <v>18</v>
      </c>
      <c r="L1750" s="16">
        <f>HYPERLINK("http://127.0.0.1:8000/api/documents/download?id=3046&amp;attachment=true", "⬇ Download Technical_RFP_Specificat")</f>
        <v/>
      </c>
      <c r="M1750" s="16">
        <f>HYPERLINK("http://localhost:5173/?state=Jharkhand&amp;keyword=Water%20Resources&amp;tender=2026_JHA_3435617_94", "🚀 Open in Portal")</f>
        <v/>
      </c>
    </row>
    <row r="1751" ht="24" customHeight="1">
      <c r="A1751" s="4" t="inlineStr">
        <is>
          <t>Jharkhand</t>
        </is>
      </c>
      <c r="B1751" s="5" t="inlineStr">
        <is>
          <t>Water Resources</t>
        </is>
      </c>
      <c r="C1751" s="6" t="inlineStr">
        <is>
          <t>2026_JHA_3435617_94</t>
        </is>
      </c>
      <c r="D1751" s="7" t="inlineStr">
        <is>
          <t>Water Resources-Based River Basin Hydro-Meteorological Sensor Network &amp; GIS Flood Simulation</t>
        </is>
      </c>
      <c r="E1751" s="7" t="inlineStr">
        <is>
          <t>WATER RESOURCES &amp; IRRIGATION DEPARTMENT</t>
        </is>
      </c>
      <c r="F1751" s="6" t="inlineStr">
        <is>
          <t>13 Sep 2026</t>
        </is>
      </c>
      <c r="G1751" s="5" t="inlineStr">
        <is>
          <t>13 Oct 2026</t>
        </is>
      </c>
      <c r="H1751" s="8" t="inlineStr">
        <is>
          <t>⏳ UPCOMING</t>
        </is>
      </c>
      <c r="I1751" s="4" t="inlineStr">
        <is>
          <t>BOQ_Financial_Schedule_2026_JHA_3435617_94.xlsx</t>
        </is>
      </c>
      <c r="J1751" s="6" t="inlineStr">
        <is>
          <t>📊 Excel BOQ</t>
        </is>
      </c>
      <c r="K1751" s="9" t="n">
        <v>2.5</v>
      </c>
      <c r="L1751" s="10">
        <f>HYPERLINK("http://127.0.0.1:8000/api/documents/download?id=3047&amp;attachment=true", "⬇ Download BOQ_Financial_Schedule_2")</f>
        <v/>
      </c>
      <c r="M1751" s="10">
        <f>HYPERLINK("http://localhost:5173/?state=Jharkhand&amp;keyword=Water%20Resources&amp;tender=2026_JHA_3435617_94", "🚀 Open in Portal")</f>
        <v/>
      </c>
    </row>
    <row r="1752" ht="24" customHeight="1">
      <c r="A1752" s="11" t="inlineStr">
        <is>
          <t>Jharkhand</t>
        </is>
      </c>
      <c r="B1752" s="12" t="inlineStr">
        <is>
          <t>Water Resources</t>
        </is>
      </c>
      <c r="C1752" s="13" t="inlineStr">
        <is>
          <t>2026_JHA_3435617_94</t>
        </is>
      </c>
      <c r="D1752" s="14" t="inlineStr">
        <is>
          <t>Water Resources-Based River Basin Hydro-Meteorological Sensor Network &amp; GIS Flood Simulation</t>
        </is>
      </c>
      <c r="E1752" s="14" t="inlineStr">
        <is>
          <t>WATER RESOURCES &amp; IRRIGATION DEPARTMENT</t>
        </is>
      </c>
      <c r="F1752" s="13" t="inlineStr">
        <is>
          <t>13 Sep 2026</t>
        </is>
      </c>
      <c r="G1752" s="12" t="inlineStr">
        <is>
          <t>13 Oct 2026</t>
        </is>
      </c>
      <c r="H1752" s="8" t="inlineStr">
        <is>
          <t>⏳ UPCOMING</t>
        </is>
      </c>
      <c r="I1752" s="11" t="inlineStr">
        <is>
          <t>Tender_2026_JHA_3435617_94_All_Documents.zip</t>
        </is>
      </c>
      <c r="J1752" s="13" t="inlineStr">
        <is>
          <t>📦 ZIP Package</t>
        </is>
      </c>
      <c r="K1752" s="15" t="n">
        <v>45</v>
      </c>
      <c r="L1752" s="16">
        <f>HYPERLINK("https://jharkhandtenders.gov.in/tender/2026_JHA_3435617_94", "⬇ Download Tender_2026_JHA_3435617_")</f>
        <v/>
      </c>
      <c r="M1752" s="16">
        <f>HYPERLINK("http://localhost:5173/?state=Jharkhand&amp;keyword=Water%20Resources&amp;tender=2026_JHA_3435617_94", "🚀 Open in Portal")</f>
        <v/>
      </c>
    </row>
    <row r="1753" ht="24" customHeight="1">
      <c r="A1753" s="4" t="inlineStr">
        <is>
          <t>Jharkhand</t>
        </is>
      </c>
      <c r="B1753" s="5" t="inlineStr">
        <is>
          <t>Spatial</t>
        </is>
      </c>
      <c r="C1753" s="6" t="inlineStr">
        <is>
          <t>2026_JHA_9142721_97</t>
        </is>
      </c>
      <c r="D1753" s="7" t="inlineStr">
        <is>
          <t>Spatial-Based Geospatial Road Asset Inventory &amp; Pavement Condition Digital Survey</t>
        </is>
      </c>
      <c r="E1753" s="7" t="inlineStr">
        <is>
          <t>PUBLIC WORKS &amp; HIGHWAYS DEPARTMENT</t>
        </is>
      </c>
      <c r="F1753" s="6" t="inlineStr">
        <is>
          <t>25 Jul 2026</t>
        </is>
      </c>
      <c r="G1753" s="5" t="inlineStr">
        <is>
          <t>20 Aug 2026</t>
        </is>
      </c>
      <c r="H1753" s="8" t="inlineStr">
        <is>
          <t>⏳ UPCOMING</t>
        </is>
      </c>
      <c r="I1753" s="4" t="inlineStr">
        <is>
          <t>Tendernotice_2026_JHA_9142721_97.pdf</t>
        </is>
      </c>
      <c r="J1753" s="6" t="inlineStr">
        <is>
          <t>📕 PDF Document</t>
        </is>
      </c>
      <c r="K1753" s="9" t="n">
        <v>7.7</v>
      </c>
      <c r="L1753" s="10">
        <f>HYPERLINK("http://127.0.0.1:8000/api/documents/download?id=3409&amp;attachment=true", "⬇ Download Tendernotice_2026_JHA_91")</f>
        <v/>
      </c>
      <c r="M1753" s="10">
        <f>HYPERLINK("http://localhost:5173/?state=Jharkhand&amp;keyword=Spatial&amp;tender=2026_JHA_9142721_97", "🚀 Open in Portal")</f>
        <v/>
      </c>
    </row>
    <row r="1754" ht="24" customHeight="1">
      <c r="A1754" s="11" t="inlineStr">
        <is>
          <t>Jharkhand</t>
        </is>
      </c>
      <c r="B1754" s="12" t="inlineStr">
        <is>
          <t>Spatial</t>
        </is>
      </c>
      <c r="C1754" s="13" t="inlineStr">
        <is>
          <t>2026_JHA_9142721_97</t>
        </is>
      </c>
      <c r="D1754" s="14" t="inlineStr">
        <is>
          <t>Spatial-Based Geospatial Road Asset Inventory &amp; Pavement Condition Digital Survey</t>
        </is>
      </c>
      <c r="E1754" s="14" t="inlineStr">
        <is>
          <t>PUBLIC WORKS &amp; HIGHWAYS DEPARTMENT</t>
        </is>
      </c>
      <c r="F1754" s="13" t="inlineStr">
        <is>
          <t>25 Jul 2026</t>
        </is>
      </c>
      <c r="G1754" s="12" t="inlineStr">
        <is>
          <t>20 Aug 2026</t>
        </is>
      </c>
      <c r="H1754" s="8" t="inlineStr">
        <is>
          <t>⏳ UPCOMING</t>
        </is>
      </c>
      <c r="I1754" s="11" t="inlineStr">
        <is>
          <t>Technical_RFP_Specification_Spatial.pdf</t>
        </is>
      </c>
      <c r="J1754" s="13" t="inlineStr">
        <is>
          <t>📕 PDF Document</t>
        </is>
      </c>
      <c r="K1754" s="15" t="n">
        <v>7.6</v>
      </c>
      <c r="L1754" s="16">
        <f>HYPERLINK("http://127.0.0.1:8000/api/documents/download?id=3410&amp;attachment=true", "⬇ Download Technical_RFP_Specificat")</f>
        <v/>
      </c>
      <c r="M1754" s="16">
        <f>HYPERLINK("http://localhost:5173/?state=Jharkhand&amp;keyword=Spatial&amp;tender=2026_JHA_9142721_97", "🚀 Open in Portal")</f>
        <v/>
      </c>
    </row>
    <row r="1755" ht="24" customHeight="1">
      <c r="A1755" s="4" t="inlineStr">
        <is>
          <t>Jharkhand</t>
        </is>
      </c>
      <c r="B1755" s="5" t="inlineStr">
        <is>
          <t>Spatial</t>
        </is>
      </c>
      <c r="C1755" s="6" t="inlineStr">
        <is>
          <t>2026_JHA_9142721_97</t>
        </is>
      </c>
      <c r="D1755" s="7" t="inlineStr">
        <is>
          <t>Spatial-Based Geospatial Road Asset Inventory &amp; Pavement Condition Digital Survey</t>
        </is>
      </c>
      <c r="E1755" s="7" t="inlineStr">
        <is>
          <t>PUBLIC WORKS &amp; HIGHWAYS DEPARTMENT</t>
        </is>
      </c>
      <c r="F1755" s="6" t="inlineStr">
        <is>
          <t>25 Jul 2026</t>
        </is>
      </c>
      <c r="G1755" s="5" t="inlineStr">
        <is>
          <t>20 Aug 2026</t>
        </is>
      </c>
      <c r="H1755" s="8" t="inlineStr">
        <is>
          <t>⏳ UPCOMING</t>
        </is>
      </c>
      <c r="I1755" s="4" t="inlineStr">
        <is>
          <t>BOQ_Financial_Schedule_2026_JHA_9142721_97.xlsx</t>
        </is>
      </c>
      <c r="J1755" s="6" t="inlineStr">
        <is>
          <t>📊 Excel BOQ</t>
        </is>
      </c>
      <c r="K1755" s="9" t="n">
        <v>5.9</v>
      </c>
      <c r="L1755" s="10">
        <f>HYPERLINK("http://127.0.0.1:8000/api/documents/download?id=3411&amp;attachment=true", "⬇ Download BOQ_Financial_Schedule_2")</f>
        <v/>
      </c>
      <c r="M1755" s="10">
        <f>HYPERLINK("http://localhost:5173/?state=Jharkhand&amp;keyword=Spatial&amp;tender=2026_JHA_9142721_97", "🚀 Open in Portal")</f>
        <v/>
      </c>
    </row>
    <row r="1756" ht="24" customHeight="1">
      <c r="A1756" s="11" t="inlineStr">
        <is>
          <t>Jharkhand</t>
        </is>
      </c>
      <c r="B1756" s="12" t="inlineStr">
        <is>
          <t>Spatial</t>
        </is>
      </c>
      <c r="C1756" s="13" t="inlineStr">
        <is>
          <t>2026_JHA_9142721_97</t>
        </is>
      </c>
      <c r="D1756" s="14" t="inlineStr">
        <is>
          <t>Spatial-Based Geospatial Road Asset Inventory &amp; Pavement Condition Digital Survey</t>
        </is>
      </c>
      <c r="E1756" s="14" t="inlineStr">
        <is>
          <t>PUBLIC WORKS &amp; HIGHWAYS DEPARTMENT</t>
        </is>
      </c>
      <c r="F1756" s="13" t="inlineStr">
        <is>
          <t>25 Jul 2026</t>
        </is>
      </c>
      <c r="G1756" s="12" t="inlineStr">
        <is>
          <t>20 Aug 2026</t>
        </is>
      </c>
      <c r="H1756" s="8" t="inlineStr">
        <is>
          <t>⏳ UPCOMING</t>
        </is>
      </c>
      <c r="I1756" s="11" t="inlineStr">
        <is>
          <t>Tender_2026_JHA_9142721_97_All_Documents.zip</t>
        </is>
      </c>
      <c r="J1756" s="13" t="inlineStr">
        <is>
          <t>📦 ZIP Package</t>
        </is>
      </c>
      <c r="K1756" s="15" t="n">
        <v>45</v>
      </c>
      <c r="L1756" s="16">
        <f>HYPERLINK("https://jharkhandtenders.gov.in/tender/2026_JHA_9142721_97", "⬇ Download Tender_2026_JHA_9142721_")</f>
        <v/>
      </c>
      <c r="M1756" s="16">
        <f>HYPERLINK("http://localhost:5173/?state=Jharkhand&amp;keyword=Spatial&amp;tender=2026_JHA_9142721_97", "🚀 Open in Portal")</f>
        <v/>
      </c>
    </row>
    <row r="1757" ht="24" customHeight="1">
      <c r="A1757" s="4" t="inlineStr">
        <is>
          <t>Jharkhand</t>
        </is>
      </c>
      <c r="B1757" s="5" t="inlineStr">
        <is>
          <t>Mapping</t>
        </is>
      </c>
      <c r="C1757" s="6" t="inlineStr">
        <is>
          <t>2026_JHA_4522846_14</t>
        </is>
      </c>
      <c r="D1757" s="7" t="inlineStr">
        <is>
          <t>Mapping-Based High Resolution Satellite Imagery Land Use &amp; Land Cover Spatial Mapping</t>
        </is>
      </c>
      <c r="E1757" s="7" t="inlineStr">
        <is>
          <t>DEPARTMENT OF SCIENCE, TECHNOLOGY &amp; REMOTE SENSING</t>
        </is>
      </c>
      <c r="F1757" s="6" t="inlineStr">
        <is>
          <t>27 Sep 2026</t>
        </is>
      </c>
      <c r="G1757" s="5" t="inlineStr">
        <is>
          <t>30 Oct 2026</t>
        </is>
      </c>
      <c r="H1757" s="17" t="inlineStr">
        <is>
          <t>🟢 LIVE ACTIVE</t>
        </is>
      </c>
      <c r="I1757" s="4" t="inlineStr">
        <is>
          <t>Tendernotice_2026_JHA_4522846_14.pdf</t>
        </is>
      </c>
      <c r="J1757" s="6" t="inlineStr">
        <is>
          <t>📕 PDF Document</t>
        </is>
      </c>
      <c r="K1757" s="9" t="n">
        <v>17.9</v>
      </c>
      <c r="L1757" s="10">
        <f>HYPERLINK("http://127.0.0.1:8000/api/documents/download?id=3113&amp;attachment=true", "⬇ Download Tendernotice_2026_JHA_45")</f>
        <v/>
      </c>
      <c r="M1757" s="10">
        <f>HYPERLINK("http://localhost:5173/?state=Jharkhand&amp;keyword=Mapping&amp;tender=2026_JHA_4522846_14", "🚀 Open in Portal")</f>
        <v/>
      </c>
    </row>
    <row r="1758" ht="24" customHeight="1">
      <c r="A1758" s="11" t="inlineStr">
        <is>
          <t>Jharkhand</t>
        </is>
      </c>
      <c r="B1758" s="12" t="inlineStr">
        <is>
          <t>Mapping</t>
        </is>
      </c>
      <c r="C1758" s="13" t="inlineStr">
        <is>
          <t>2026_JHA_4522846_14</t>
        </is>
      </c>
      <c r="D1758" s="14" t="inlineStr">
        <is>
          <t>Mapping-Based High Resolution Satellite Imagery Land Use &amp; Land Cover Spatial Mapping</t>
        </is>
      </c>
      <c r="E1758" s="14" t="inlineStr">
        <is>
          <t>DEPARTMENT OF SCIENCE, TECHNOLOGY &amp; REMOTE SENSING</t>
        </is>
      </c>
      <c r="F1758" s="13" t="inlineStr">
        <is>
          <t>27 Sep 2026</t>
        </is>
      </c>
      <c r="G1758" s="12" t="inlineStr">
        <is>
          <t>30 Oct 2026</t>
        </is>
      </c>
      <c r="H1758" s="17" t="inlineStr">
        <is>
          <t>🟢 LIVE ACTIVE</t>
        </is>
      </c>
      <c r="I1758" s="11" t="inlineStr">
        <is>
          <t>Technical_RFP_Specification_Mapping.pdf</t>
        </is>
      </c>
      <c r="J1758" s="13" t="inlineStr">
        <is>
          <t>📕 PDF Document</t>
        </is>
      </c>
      <c r="K1758" s="15" t="n">
        <v>18</v>
      </c>
      <c r="L1758" s="16">
        <f>HYPERLINK("http://127.0.0.1:8000/api/documents/download?id=3114&amp;attachment=true", "⬇ Download Technical_RFP_Specificat")</f>
        <v/>
      </c>
      <c r="M1758" s="16">
        <f>HYPERLINK("http://localhost:5173/?state=Jharkhand&amp;keyword=Mapping&amp;tender=2026_JHA_4522846_14", "🚀 Open in Portal")</f>
        <v/>
      </c>
    </row>
    <row r="1759" ht="24" customHeight="1">
      <c r="A1759" s="4" t="inlineStr">
        <is>
          <t>Jharkhand</t>
        </is>
      </c>
      <c r="B1759" s="5" t="inlineStr">
        <is>
          <t>Mapping</t>
        </is>
      </c>
      <c r="C1759" s="6" t="inlineStr">
        <is>
          <t>2026_JHA_4522846_14</t>
        </is>
      </c>
      <c r="D1759" s="7" t="inlineStr">
        <is>
          <t>Mapping-Based High Resolution Satellite Imagery Land Use &amp; Land Cover Spatial Mapping</t>
        </is>
      </c>
      <c r="E1759" s="7" t="inlineStr">
        <is>
          <t>DEPARTMENT OF SCIENCE, TECHNOLOGY &amp; REMOTE SENSING</t>
        </is>
      </c>
      <c r="F1759" s="6" t="inlineStr">
        <is>
          <t>27 Sep 2026</t>
        </is>
      </c>
      <c r="G1759" s="5" t="inlineStr">
        <is>
          <t>30 Oct 2026</t>
        </is>
      </c>
      <c r="H1759" s="17" t="inlineStr">
        <is>
          <t>🟢 LIVE ACTIVE</t>
        </is>
      </c>
      <c r="I1759" s="4" t="inlineStr">
        <is>
          <t>BOQ_Financial_Schedule_2026_JHA_4522846_14.xlsx</t>
        </is>
      </c>
      <c r="J1759" s="6" t="inlineStr">
        <is>
          <t>📊 Excel BOQ</t>
        </is>
      </c>
      <c r="K1759" s="9" t="n">
        <v>2.5</v>
      </c>
      <c r="L1759" s="10">
        <f>HYPERLINK("http://127.0.0.1:8000/api/documents/download?id=3115&amp;attachment=true", "⬇ Download BOQ_Financial_Schedule_2")</f>
        <v/>
      </c>
      <c r="M1759" s="10">
        <f>HYPERLINK("http://localhost:5173/?state=Jharkhand&amp;keyword=Mapping&amp;tender=2026_JHA_4522846_14", "🚀 Open in Portal")</f>
        <v/>
      </c>
    </row>
    <row r="1760" ht="24" customHeight="1">
      <c r="A1760" s="11" t="inlineStr">
        <is>
          <t>Jharkhand</t>
        </is>
      </c>
      <c r="B1760" s="12" t="inlineStr">
        <is>
          <t>Mapping</t>
        </is>
      </c>
      <c r="C1760" s="13" t="inlineStr">
        <is>
          <t>2026_JHA_4522846_14</t>
        </is>
      </c>
      <c r="D1760" s="14" t="inlineStr">
        <is>
          <t>Mapping-Based High Resolution Satellite Imagery Land Use &amp; Land Cover Spatial Mapping</t>
        </is>
      </c>
      <c r="E1760" s="14" t="inlineStr">
        <is>
          <t>DEPARTMENT OF SCIENCE, TECHNOLOGY &amp; REMOTE SENSING</t>
        </is>
      </c>
      <c r="F1760" s="13" t="inlineStr">
        <is>
          <t>27 Sep 2026</t>
        </is>
      </c>
      <c r="G1760" s="12" t="inlineStr">
        <is>
          <t>30 Oct 2026</t>
        </is>
      </c>
      <c r="H1760" s="17" t="inlineStr">
        <is>
          <t>🟢 LIVE ACTIVE</t>
        </is>
      </c>
      <c r="I1760" s="11" t="inlineStr">
        <is>
          <t>Tender_2026_JHA_4522846_14_All_Documents.zip</t>
        </is>
      </c>
      <c r="J1760" s="13" t="inlineStr">
        <is>
          <t>📦 ZIP Package</t>
        </is>
      </c>
      <c r="K1760" s="15" t="n">
        <v>45</v>
      </c>
      <c r="L1760" s="16">
        <f>HYPERLINK("https://jharkhandtenders.gov.in/tender/2026_JHA_4522846_14", "⬇ Download Tender_2026_JHA_4522846_")</f>
        <v/>
      </c>
      <c r="M1760" s="16">
        <f>HYPERLINK("http://localhost:5173/?state=Jharkhand&amp;keyword=Mapping&amp;tender=2026_JHA_4522846_14", "🚀 Open in Portal")</f>
        <v/>
      </c>
    </row>
    <row r="1761" ht="24" customHeight="1">
      <c r="A1761" s="4" t="inlineStr">
        <is>
          <t>Karnataka</t>
        </is>
      </c>
      <c r="B1761" s="5" t="inlineStr">
        <is>
          <t>GIS</t>
        </is>
      </c>
      <c r="C1761" s="6" t="inlineStr">
        <is>
          <t>2026_KAR_4975769_62</t>
        </is>
      </c>
      <c r="D1761" s="7" t="inlineStr">
        <is>
          <t>GIS-Based Drone LiDAR Survey &amp; Web GIS Geodatabase Integration for Smart Infrastructure</t>
        </is>
      </c>
      <c r="E1761" s="7" t="inlineStr">
        <is>
          <t>DIRECTORATE OF MUNICIPAL URBAN INFRASTRUCTURE</t>
        </is>
      </c>
      <c r="F1761" s="6" t="inlineStr">
        <is>
          <t>25 Sep 2026</t>
        </is>
      </c>
      <c r="G1761" s="5" t="inlineStr">
        <is>
          <t>25 Oct 2026</t>
        </is>
      </c>
      <c r="H1761" s="17" t="inlineStr">
        <is>
          <t>🟢 LIVE ACTIVE</t>
        </is>
      </c>
      <c r="I1761" s="4" t="inlineStr">
        <is>
          <t>Tendernotice_2026_KAR_4975769_62.pdf</t>
        </is>
      </c>
      <c r="J1761" s="6" t="inlineStr">
        <is>
          <t>📕 PDF Document</t>
        </is>
      </c>
      <c r="K1761" s="9" t="n">
        <v>17.9</v>
      </c>
      <c r="L1761" s="10">
        <f>HYPERLINK("http://127.0.0.1:8000/api/documents/download?id=3325&amp;attachment=true", "⬇ Download Tendernotice_2026_KAR_49")</f>
        <v/>
      </c>
      <c r="M1761" s="10">
        <f>HYPERLINK("http://localhost:5173/?state=Karnataka&amp;keyword=GIS&amp;tender=2026_KAR_4975769_62", "🚀 Open in Portal")</f>
        <v/>
      </c>
    </row>
    <row r="1762" ht="24" customHeight="1">
      <c r="A1762" s="11" t="inlineStr">
        <is>
          <t>Karnataka</t>
        </is>
      </c>
      <c r="B1762" s="12" t="inlineStr">
        <is>
          <t>GIS</t>
        </is>
      </c>
      <c r="C1762" s="13" t="inlineStr">
        <is>
          <t>2026_KAR_4975769_62</t>
        </is>
      </c>
      <c r="D1762" s="14" t="inlineStr">
        <is>
          <t>GIS-Based Drone LiDAR Survey &amp; Web GIS Geodatabase Integration for Smart Infrastructure</t>
        </is>
      </c>
      <c r="E1762" s="14" t="inlineStr">
        <is>
          <t>DIRECTORATE OF MUNICIPAL URBAN INFRASTRUCTURE</t>
        </is>
      </c>
      <c r="F1762" s="13" t="inlineStr">
        <is>
          <t>25 Sep 2026</t>
        </is>
      </c>
      <c r="G1762" s="12" t="inlineStr">
        <is>
          <t>25 Oct 2026</t>
        </is>
      </c>
      <c r="H1762" s="17" t="inlineStr">
        <is>
          <t>🟢 LIVE ACTIVE</t>
        </is>
      </c>
      <c r="I1762" s="11" t="inlineStr">
        <is>
          <t>Technical_RFP_Specification_GIS.pdf</t>
        </is>
      </c>
      <c r="J1762" s="13" t="inlineStr">
        <is>
          <t>📕 PDF Document</t>
        </is>
      </c>
      <c r="K1762" s="15" t="n">
        <v>17.9</v>
      </c>
      <c r="L1762" s="16">
        <f>HYPERLINK("http://127.0.0.1:8000/api/documents/download?id=3326&amp;attachment=true", "⬇ Download Technical_RFP_Specificat")</f>
        <v/>
      </c>
      <c r="M1762" s="16">
        <f>HYPERLINK("http://localhost:5173/?state=Karnataka&amp;keyword=GIS&amp;tender=2026_KAR_4975769_62", "🚀 Open in Portal")</f>
        <v/>
      </c>
    </row>
    <row r="1763" ht="24" customHeight="1">
      <c r="A1763" s="4" t="inlineStr">
        <is>
          <t>Karnataka</t>
        </is>
      </c>
      <c r="B1763" s="5" t="inlineStr">
        <is>
          <t>GIS</t>
        </is>
      </c>
      <c r="C1763" s="6" t="inlineStr">
        <is>
          <t>2026_KAR_4975769_62</t>
        </is>
      </c>
      <c r="D1763" s="7" t="inlineStr">
        <is>
          <t>GIS-Based Drone LiDAR Survey &amp; Web GIS Geodatabase Integration for Smart Infrastructure</t>
        </is>
      </c>
      <c r="E1763" s="7" t="inlineStr">
        <is>
          <t>DIRECTORATE OF MUNICIPAL URBAN INFRASTRUCTURE</t>
        </is>
      </c>
      <c r="F1763" s="6" t="inlineStr">
        <is>
          <t>25 Sep 2026</t>
        </is>
      </c>
      <c r="G1763" s="5" t="inlineStr">
        <is>
          <t>25 Oct 2026</t>
        </is>
      </c>
      <c r="H1763" s="17" t="inlineStr">
        <is>
          <t>🟢 LIVE ACTIVE</t>
        </is>
      </c>
      <c r="I1763" s="4" t="inlineStr">
        <is>
          <t>BOQ_Financial_Schedule_2026_KAR_4975769_62.xlsx</t>
        </is>
      </c>
      <c r="J1763" s="6" t="inlineStr">
        <is>
          <t>📊 Excel BOQ</t>
        </is>
      </c>
      <c r="K1763" s="9" t="n">
        <v>2.5</v>
      </c>
      <c r="L1763" s="10">
        <f>HYPERLINK("http://127.0.0.1:8000/api/documents/download?id=3327&amp;attachment=true", "⬇ Download BOQ_Financial_Schedule_2")</f>
        <v/>
      </c>
      <c r="M1763" s="10">
        <f>HYPERLINK("http://localhost:5173/?state=Karnataka&amp;keyword=GIS&amp;tender=2026_KAR_4975769_62", "🚀 Open in Portal")</f>
        <v/>
      </c>
    </row>
    <row r="1764" ht="24" customHeight="1">
      <c r="A1764" s="11" t="inlineStr">
        <is>
          <t>Karnataka</t>
        </is>
      </c>
      <c r="B1764" s="12" t="inlineStr">
        <is>
          <t>GIS</t>
        </is>
      </c>
      <c r="C1764" s="13" t="inlineStr">
        <is>
          <t>2026_KAR_4975769_62</t>
        </is>
      </c>
      <c r="D1764" s="14" t="inlineStr">
        <is>
          <t>GIS-Based Drone LiDAR Survey &amp; Web GIS Geodatabase Integration for Smart Infrastructure</t>
        </is>
      </c>
      <c r="E1764" s="14" t="inlineStr">
        <is>
          <t>DIRECTORATE OF MUNICIPAL URBAN INFRASTRUCTURE</t>
        </is>
      </c>
      <c r="F1764" s="13" t="inlineStr">
        <is>
          <t>25 Sep 2026</t>
        </is>
      </c>
      <c r="G1764" s="12" t="inlineStr">
        <is>
          <t>25 Oct 2026</t>
        </is>
      </c>
      <c r="H1764" s="17" t="inlineStr">
        <is>
          <t>🟢 LIVE ACTIVE</t>
        </is>
      </c>
      <c r="I1764" s="11" t="inlineStr">
        <is>
          <t>Tender_2026_KAR_4975769_62_All_Documents.zip</t>
        </is>
      </c>
      <c r="J1764" s="13" t="inlineStr">
        <is>
          <t>📦 ZIP Package</t>
        </is>
      </c>
      <c r="K1764" s="15" t="n">
        <v>45</v>
      </c>
      <c r="L1764" s="16">
        <f>HYPERLINK("https://kppp.karnataka.gov.in/tender/2026_KAR_4975769_62", "⬇ Download Tender_2026_KAR_4975769_")</f>
        <v/>
      </c>
      <c r="M1764" s="16">
        <f>HYPERLINK("http://localhost:5173/?state=Karnataka&amp;keyword=GIS&amp;tender=2026_KAR_4975769_62", "🚀 Open in Portal")</f>
        <v/>
      </c>
    </row>
    <row r="1765" ht="24" customHeight="1">
      <c r="A1765" s="4" t="inlineStr">
        <is>
          <t>Karnataka</t>
        </is>
      </c>
      <c r="B1765" s="5" t="inlineStr">
        <is>
          <t>GIS</t>
        </is>
      </c>
      <c r="C1765" s="6" t="inlineStr">
        <is>
          <t>2026_KAR_9059107_24</t>
        </is>
      </c>
      <c r="D1765" s="7" t="inlineStr">
        <is>
          <t>GIS-Based Drone LiDAR Survey &amp; Web GIS Geodatabase Integration for Smart Infrastructure</t>
        </is>
      </c>
      <c r="E1765" s="7" t="inlineStr">
        <is>
          <t>DIRECTORATE OF MUNICIPAL URBAN INFRASTRUCTURE</t>
        </is>
      </c>
      <c r="F1765" s="6" t="inlineStr">
        <is>
          <t>07 Aug 2026</t>
        </is>
      </c>
      <c r="G1765" s="5" t="inlineStr">
        <is>
          <t>01 Sep 2026</t>
        </is>
      </c>
      <c r="H1765" s="8" t="inlineStr">
        <is>
          <t>⏳ UPCOMING</t>
        </is>
      </c>
      <c r="I1765" s="4" t="inlineStr">
        <is>
          <t>Tendernotice_2026_KAR_9059107_24.pdf</t>
        </is>
      </c>
      <c r="J1765" s="6" t="inlineStr">
        <is>
          <t>📕 PDF Document</t>
        </is>
      </c>
      <c r="K1765" s="9" t="n">
        <v>17.9</v>
      </c>
      <c r="L1765" s="10">
        <f>HYPERLINK("http://127.0.0.1:8000/api/documents/download?id=3073&amp;attachment=true", "⬇ Download Tendernotice_2026_KAR_90")</f>
        <v/>
      </c>
      <c r="M1765" s="10">
        <f>HYPERLINK("http://localhost:5173/?state=Karnataka&amp;keyword=GIS&amp;tender=2026_KAR_9059107_24", "🚀 Open in Portal")</f>
        <v/>
      </c>
    </row>
    <row r="1766" ht="24" customHeight="1">
      <c r="A1766" s="11" t="inlineStr">
        <is>
          <t>Karnataka</t>
        </is>
      </c>
      <c r="B1766" s="12" t="inlineStr">
        <is>
          <t>GIS</t>
        </is>
      </c>
      <c r="C1766" s="13" t="inlineStr">
        <is>
          <t>2026_KAR_9059107_24</t>
        </is>
      </c>
      <c r="D1766" s="14" t="inlineStr">
        <is>
          <t>GIS-Based Drone LiDAR Survey &amp; Web GIS Geodatabase Integration for Smart Infrastructure</t>
        </is>
      </c>
      <c r="E1766" s="14" t="inlineStr">
        <is>
          <t>DIRECTORATE OF MUNICIPAL URBAN INFRASTRUCTURE</t>
        </is>
      </c>
      <c r="F1766" s="13" t="inlineStr">
        <is>
          <t>07 Aug 2026</t>
        </is>
      </c>
      <c r="G1766" s="12" t="inlineStr">
        <is>
          <t>01 Sep 2026</t>
        </is>
      </c>
      <c r="H1766" s="8" t="inlineStr">
        <is>
          <t>⏳ UPCOMING</t>
        </is>
      </c>
      <c r="I1766" s="11" t="inlineStr">
        <is>
          <t>Technical_RFP_Specification_GIS.pdf</t>
        </is>
      </c>
      <c r="J1766" s="13" t="inlineStr">
        <is>
          <t>📕 PDF Document</t>
        </is>
      </c>
      <c r="K1766" s="15" t="n">
        <v>17.9</v>
      </c>
      <c r="L1766" s="16">
        <f>HYPERLINK("http://127.0.0.1:8000/api/documents/download?id=3074&amp;attachment=true", "⬇ Download Technical_RFP_Specificat")</f>
        <v/>
      </c>
      <c r="M1766" s="16">
        <f>HYPERLINK("http://localhost:5173/?state=Karnataka&amp;keyword=GIS&amp;tender=2026_KAR_9059107_24", "🚀 Open in Portal")</f>
        <v/>
      </c>
    </row>
    <row r="1767" ht="24" customHeight="1">
      <c r="A1767" s="4" t="inlineStr">
        <is>
          <t>Karnataka</t>
        </is>
      </c>
      <c r="B1767" s="5" t="inlineStr">
        <is>
          <t>GIS</t>
        </is>
      </c>
      <c r="C1767" s="6" t="inlineStr">
        <is>
          <t>2026_KAR_9059107_24</t>
        </is>
      </c>
      <c r="D1767" s="7" t="inlineStr">
        <is>
          <t>GIS-Based Drone LiDAR Survey &amp; Web GIS Geodatabase Integration for Smart Infrastructure</t>
        </is>
      </c>
      <c r="E1767" s="7" t="inlineStr">
        <is>
          <t>DIRECTORATE OF MUNICIPAL URBAN INFRASTRUCTURE</t>
        </is>
      </c>
      <c r="F1767" s="6" t="inlineStr">
        <is>
          <t>07 Aug 2026</t>
        </is>
      </c>
      <c r="G1767" s="5" t="inlineStr">
        <is>
          <t>01 Sep 2026</t>
        </is>
      </c>
      <c r="H1767" s="8" t="inlineStr">
        <is>
          <t>⏳ UPCOMING</t>
        </is>
      </c>
      <c r="I1767" s="4" t="inlineStr">
        <is>
          <t>BOQ_Financial_Schedule_2026_KAR_9059107_24.xlsx</t>
        </is>
      </c>
      <c r="J1767" s="6" t="inlineStr">
        <is>
          <t>📊 Excel BOQ</t>
        </is>
      </c>
      <c r="K1767" s="9" t="n">
        <v>2.5</v>
      </c>
      <c r="L1767" s="10">
        <f>HYPERLINK("http://127.0.0.1:8000/api/documents/download?id=3075&amp;attachment=true", "⬇ Download BOQ_Financial_Schedule_2")</f>
        <v/>
      </c>
      <c r="M1767" s="10">
        <f>HYPERLINK("http://localhost:5173/?state=Karnataka&amp;keyword=GIS&amp;tender=2026_KAR_9059107_24", "🚀 Open in Portal")</f>
        <v/>
      </c>
    </row>
    <row r="1768" ht="24" customHeight="1">
      <c r="A1768" s="11" t="inlineStr">
        <is>
          <t>Karnataka</t>
        </is>
      </c>
      <c r="B1768" s="12" t="inlineStr">
        <is>
          <t>GIS</t>
        </is>
      </c>
      <c r="C1768" s="13" t="inlineStr">
        <is>
          <t>2026_KAR_9059107_24</t>
        </is>
      </c>
      <c r="D1768" s="14" t="inlineStr">
        <is>
          <t>GIS-Based Drone LiDAR Survey &amp; Web GIS Geodatabase Integration for Smart Infrastructure</t>
        </is>
      </c>
      <c r="E1768" s="14" t="inlineStr">
        <is>
          <t>DIRECTORATE OF MUNICIPAL URBAN INFRASTRUCTURE</t>
        </is>
      </c>
      <c r="F1768" s="13" t="inlineStr">
        <is>
          <t>07 Aug 2026</t>
        </is>
      </c>
      <c r="G1768" s="12" t="inlineStr">
        <is>
          <t>01 Sep 2026</t>
        </is>
      </c>
      <c r="H1768" s="8" t="inlineStr">
        <is>
          <t>⏳ UPCOMING</t>
        </is>
      </c>
      <c r="I1768" s="11" t="inlineStr">
        <is>
          <t>Tender_2026_KAR_9059107_24_All_Documents.zip</t>
        </is>
      </c>
      <c r="J1768" s="13" t="inlineStr">
        <is>
          <t>📦 ZIP Package</t>
        </is>
      </c>
      <c r="K1768" s="15" t="n">
        <v>45</v>
      </c>
      <c r="L1768" s="16">
        <f>HYPERLINK("https://kppp.karnataka.gov.in/tender/2026_KAR_9059107_24", "⬇ Download Tender_2026_KAR_9059107_")</f>
        <v/>
      </c>
      <c r="M1768" s="16">
        <f>HYPERLINK("http://localhost:5173/?state=Karnataka&amp;keyword=GIS&amp;tender=2026_KAR_9059107_24", "🚀 Open in Portal")</f>
        <v/>
      </c>
    </row>
    <row r="1769" ht="24" customHeight="1">
      <c r="A1769" s="4" t="inlineStr">
        <is>
          <t>Karnataka</t>
        </is>
      </c>
      <c r="B1769" s="5" t="inlineStr">
        <is>
          <t>GIS</t>
        </is>
      </c>
      <c r="C1769" s="6" t="inlineStr">
        <is>
          <t>KPPP-RDPR-2026-4412</t>
        </is>
      </c>
      <c r="D1769" s="7" t="inlineStr">
        <is>
          <t>Establishment of GIS-based Village Asset Information &amp; Spatial Planning System</t>
        </is>
      </c>
      <c r="E1769" s="7" t="inlineStr">
        <is>
          <t>RURAL DEVELOPMENT &amp; PANCHAYAT RAJ-Karnataka KPPP</t>
        </is>
      </c>
      <c r="F1769" s="6" t="inlineStr">
        <is>
          <t>22 Jul 2026</t>
        </is>
      </c>
      <c r="G1769" s="5" t="inlineStr">
        <is>
          <t>14 Aug 2026</t>
        </is>
      </c>
      <c r="H1769" s="8" t="inlineStr">
        <is>
          <t>⏳ UPCOMING</t>
        </is>
      </c>
      <c r="I1769" s="4" t="inlineStr">
        <is>
          <t>KPPP_Village_Asset_GIS_RFP.pdf</t>
        </is>
      </c>
      <c r="J1769" s="6" t="inlineStr">
        <is>
          <t>📕 PDF Document</t>
        </is>
      </c>
      <c r="K1769" s="9" t="n">
        <v>17.9</v>
      </c>
      <c r="L1769" s="10">
        <f>HYPERLINK("http://127.0.0.1:8000/api/documents/download?id=2786&amp;attachment=true", "⬇ Download KPPP_Village_Asset_GIS_R")</f>
        <v/>
      </c>
      <c r="M1769" s="10">
        <f>HYPERLINK("http://localhost:5173/?state=Karnataka&amp;keyword=GIS&amp;tender=KPPP-RDPR-2026-4412", "🚀 Open in Portal")</f>
        <v/>
      </c>
    </row>
    <row r="1770" ht="24" customHeight="1">
      <c r="A1770" s="11" t="inlineStr">
        <is>
          <t>Karnataka</t>
        </is>
      </c>
      <c r="B1770" s="12" t="inlineStr">
        <is>
          <t>GIS</t>
        </is>
      </c>
      <c r="C1770" s="13" t="inlineStr">
        <is>
          <t>KPPP-RDPR-2026-4412</t>
        </is>
      </c>
      <c r="D1770" s="14" t="inlineStr">
        <is>
          <t>Establishment of GIS-based Village Asset Information &amp; Spatial Planning System</t>
        </is>
      </c>
      <c r="E1770" s="14" t="inlineStr">
        <is>
          <t>RURAL DEVELOPMENT &amp; PANCHAYAT RAJ-Karnataka KPPP</t>
        </is>
      </c>
      <c r="F1770" s="13" t="inlineStr">
        <is>
          <t>22 Jul 2026</t>
        </is>
      </c>
      <c r="G1770" s="12" t="inlineStr">
        <is>
          <t>14 Aug 2026</t>
        </is>
      </c>
      <c r="H1770" s="8" t="inlineStr">
        <is>
          <t>⏳ UPCOMING</t>
        </is>
      </c>
      <c r="I1770" s="11" t="inlineStr">
        <is>
          <t>Standard_Tender_Document_KW4.pdf</t>
        </is>
      </c>
      <c r="J1770" s="13" t="inlineStr">
        <is>
          <t>📕 PDF Document</t>
        </is>
      </c>
      <c r="K1770" s="15" t="n">
        <v>17.9</v>
      </c>
      <c r="L1770" s="16">
        <f>HYPERLINK("http://127.0.0.1:8000/api/documents/download?id=2787&amp;attachment=true", "⬇ Download Standard_Tender_Document")</f>
        <v/>
      </c>
      <c r="M1770" s="16">
        <f>HYPERLINK("http://localhost:5173/?state=Karnataka&amp;keyword=GIS&amp;tender=KPPP-RDPR-2026-4412", "🚀 Open in Portal")</f>
        <v/>
      </c>
    </row>
    <row r="1771" ht="24" customHeight="1">
      <c r="A1771" s="4" t="inlineStr">
        <is>
          <t>Karnataka</t>
        </is>
      </c>
      <c r="B1771" s="5" t="inlineStr">
        <is>
          <t>GIS</t>
        </is>
      </c>
      <c r="C1771" s="6" t="inlineStr">
        <is>
          <t>KPPP-RDPR-2026-4412</t>
        </is>
      </c>
      <c r="D1771" s="7" t="inlineStr">
        <is>
          <t>Establishment of GIS-based Village Asset Information &amp; Spatial Planning System</t>
        </is>
      </c>
      <c r="E1771" s="7" t="inlineStr">
        <is>
          <t>RURAL DEVELOPMENT &amp; PANCHAYAT RAJ-Karnataka KPPP</t>
        </is>
      </c>
      <c r="F1771" s="6" t="inlineStr">
        <is>
          <t>22 Jul 2026</t>
        </is>
      </c>
      <c r="G1771" s="5" t="inlineStr">
        <is>
          <t>14 Aug 2026</t>
        </is>
      </c>
      <c r="H1771" s="8" t="inlineStr">
        <is>
          <t>⏳ UPCOMING</t>
        </is>
      </c>
      <c r="I1771" s="4" t="inlineStr">
        <is>
          <t>Spatial_Data_Model_V1.pdf</t>
        </is>
      </c>
      <c r="J1771" s="6" t="inlineStr">
        <is>
          <t>📕 PDF Document</t>
        </is>
      </c>
      <c r="K1771" s="9" t="n">
        <v>17.9</v>
      </c>
      <c r="L1771" s="10">
        <f>HYPERLINK("http://127.0.0.1:8000/api/documents/download?id=2788&amp;attachment=true", "⬇ Download Spatial_Data_Model_V1.pd")</f>
        <v/>
      </c>
      <c r="M1771" s="10">
        <f>HYPERLINK("http://localhost:5173/?state=Karnataka&amp;keyword=GIS&amp;tender=KPPP-RDPR-2026-4412", "🚀 Open in Portal")</f>
        <v/>
      </c>
    </row>
    <row r="1772" ht="24" customHeight="1">
      <c r="A1772" s="11" t="inlineStr">
        <is>
          <t>Karnataka</t>
        </is>
      </c>
      <c r="B1772" s="12" t="inlineStr">
        <is>
          <t>GIS</t>
        </is>
      </c>
      <c r="C1772" s="13" t="inlineStr">
        <is>
          <t>KPPP-RDPR-2026-4412</t>
        </is>
      </c>
      <c r="D1772" s="14" t="inlineStr">
        <is>
          <t>Establishment of GIS-based Village Asset Information &amp; Spatial Planning System</t>
        </is>
      </c>
      <c r="E1772" s="14" t="inlineStr">
        <is>
          <t>RURAL DEVELOPMENT &amp; PANCHAYAT RAJ-Karnataka KPPP</t>
        </is>
      </c>
      <c r="F1772" s="13" t="inlineStr">
        <is>
          <t>22 Jul 2026</t>
        </is>
      </c>
      <c r="G1772" s="12" t="inlineStr">
        <is>
          <t>14 Aug 2026</t>
        </is>
      </c>
      <c r="H1772" s="8" t="inlineStr">
        <is>
          <t>⏳ UPCOMING</t>
        </is>
      </c>
      <c r="I1772" s="11" t="inlineStr">
        <is>
          <t>Tender_KPPP-RDPR-2026-4412_All_Documents.zip</t>
        </is>
      </c>
      <c r="J1772" s="13" t="inlineStr">
        <is>
          <t>📦 ZIP Package</t>
        </is>
      </c>
      <c r="K1772" s="15" t="n">
        <v>27.8</v>
      </c>
      <c r="L1772" s="16">
        <f>HYPERLINK("http://127.0.0.1:8000/api/documents/download?id=3002&amp;attachment=true", "⬇ Download Tender_KPPP-RDPR-2026-44")</f>
        <v/>
      </c>
      <c r="M1772" s="16">
        <f>HYPERLINK("http://localhost:5173/?state=Karnataka&amp;keyword=GIS&amp;tender=KPPP-RDPR-2026-4412", "🚀 Open in Portal")</f>
        <v/>
      </c>
    </row>
    <row r="1773" ht="24" customHeight="1">
      <c r="A1773" s="4" t="inlineStr">
        <is>
          <t>Karnataka</t>
        </is>
      </c>
      <c r="B1773" s="5" t="inlineStr">
        <is>
          <t>ICT</t>
        </is>
      </c>
      <c r="C1773" s="6" t="inlineStr">
        <is>
          <t>2026_BBMP_884210_1</t>
        </is>
      </c>
      <c r="D1773" s="7" t="inlineStr">
        <is>
          <t>Establishment of AI-Powered Integrated Traffic &amp; Urban Infrastructure GIS Command and Control Center</t>
        </is>
      </c>
      <c r="E1773" s="7" t="inlineStr">
        <is>
          <t>BRUHAT BENGALURU MAHANAGARA PALIKE-Smart Cities Division</t>
        </is>
      </c>
      <c r="F1773" s="6" t="inlineStr">
        <is>
          <t>13 Sep 2026</t>
        </is>
      </c>
      <c r="G1773" s="5" t="inlineStr">
        <is>
          <t>08 Oct 2026</t>
        </is>
      </c>
      <c r="H1773" s="8" t="inlineStr">
        <is>
          <t>⏳ UPCOMING</t>
        </is>
      </c>
      <c r="I1773" s="4" t="inlineStr">
        <is>
          <t>BBMP_Smart_Command_Notice.pdf</t>
        </is>
      </c>
      <c r="J1773" s="6" t="inlineStr">
        <is>
          <t>📕 PDF Document</t>
        </is>
      </c>
      <c r="K1773" s="9" t="n">
        <v>17.9</v>
      </c>
      <c r="L1773" s="10">
        <f>HYPERLINK("http://127.0.0.1:8000/api/documents/download?id=2913&amp;attachment=true", "⬇ Download BBMP_Smart_Command_Notic")</f>
        <v/>
      </c>
      <c r="M1773" s="10">
        <f>HYPERLINK("http://localhost:5173/?state=Karnataka&amp;keyword=ICT&amp;tender=2026_BBMP_884210_1", "🚀 Open in Portal")</f>
        <v/>
      </c>
    </row>
    <row r="1774" ht="24" customHeight="1">
      <c r="A1774" s="11" t="inlineStr">
        <is>
          <t>Karnataka</t>
        </is>
      </c>
      <c r="B1774" s="12" t="inlineStr">
        <is>
          <t>ICT</t>
        </is>
      </c>
      <c r="C1774" s="13" t="inlineStr">
        <is>
          <t>2026_BBMP_884210_1</t>
        </is>
      </c>
      <c r="D1774" s="14" t="inlineStr">
        <is>
          <t>Establishment of AI-Powered Integrated Traffic &amp; Urban Infrastructure GIS Command and Control Center</t>
        </is>
      </c>
      <c r="E1774" s="14" t="inlineStr">
        <is>
          <t>BRUHAT BENGALURU MAHANAGARA PALIKE-Smart Cities Division</t>
        </is>
      </c>
      <c r="F1774" s="13" t="inlineStr">
        <is>
          <t>13 Sep 2026</t>
        </is>
      </c>
      <c r="G1774" s="12" t="inlineStr">
        <is>
          <t>08 Oct 2026</t>
        </is>
      </c>
      <c r="H1774" s="8" t="inlineStr">
        <is>
          <t>⏳ UPCOMING</t>
        </is>
      </c>
      <c r="I1774" s="11" t="inlineStr">
        <is>
          <t>Technical_Architecture_RFP.pdf</t>
        </is>
      </c>
      <c r="J1774" s="13" t="inlineStr">
        <is>
          <t>📕 PDF Document</t>
        </is>
      </c>
      <c r="K1774" s="15" t="n">
        <v>17.9</v>
      </c>
      <c r="L1774" s="16">
        <f>HYPERLINK("http://127.0.0.1:8000/api/documents/download?id=2914&amp;attachment=true", "⬇ Download Technical_Architecture_R")</f>
        <v/>
      </c>
      <c r="M1774" s="16">
        <f>HYPERLINK("http://localhost:5173/?state=Karnataka&amp;keyword=ICT&amp;tender=2026_BBMP_884210_1", "🚀 Open in Portal")</f>
        <v/>
      </c>
    </row>
    <row r="1775" ht="24" customHeight="1">
      <c r="A1775" s="4" t="inlineStr">
        <is>
          <t>Karnataka</t>
        </is>
      </c>
      <c r="B1775" s="5" t="inlineStr">
        <is>
          <t>ICT</t>
        </is>
      </c>
      <c r="C1775" s="6" t="inlineStr">
        <is>
          <t>2026_BBMP_884210_1</t>
        </is>
      </c>
      <c r="D1775" s="7" t="inlineStr">
        <is>
          <t>Establishment of AI-Powered Integrated Traffic &amp; Urban Infrastructure GIS Command and Control Center</t>
        </is>
      </c>
      <c r="E1775" s="7" t="inlineStr">
        <is>
          <t>BRUHAT BENGALURU MAHANAGARA PALIKE-Smart Cities Division</t>
        </is>
      </c>
      <c r="F1775" s="6" t="inlineStr">
        <is>
          <t>13 Sep 2026</t>
        </is>
      </c>
      <c r="G1775" s="5" t="inlineStr">
        <is>
          <t>08 Oct 2026</t>
        </is>
      </c>
      <c r="H1775" s="8" t="inlineStr">
        <is>
          <t>⏳ UPCOMING</t>
        </is>
      </c>
      <c r="I1775" s="4" t="inlineStr">
        <is>
          <t>Schedule_B_BOQ.xlsx</t>
        </is>
      </c>
      <c r="J1775" s="6" t="inlineStr">
        <is>
          <t>📊 Excel BOQ</t>
        </is>
      </c>
      <c r="K1775" s="9" t="n">
        <v>2.5</v>
      </c>
      <c r="L1775" s="10">
        <f>HYPERLINK("http://127.0.0.1:8000/api/documents/download?id=2915&amp;attachment=true", "⬇ Download Schedule_B_BOQ.xlsx")</f>
        <v/>
      </c>
      <c r="M1775" s="10">
        <f>HYPERLINK("http://localhost:5173/?state=Karnataka&amp;keyword=ICT&amp;tender=2026_BBMP_884210_1", "🚀 Open in Portal")</f>
        <v/>
      </c>
    </row>
    <row r="1776" ht="24" customHeight="1">
      <c r="A1776" s="11" t="inlineStr">
        <is>
          <t>Karnataka</t>
        </is>
      </c>
      <c r="B1776" s="12" t="inlineStr">
        <is>
          <t>ICT</t>
        </is>
      </c>
      <c r="C1776" s="13" t="inlineStr">
        <is>
          <t>2026_BBMP_884210_1</t>
        </is>
      </c>
      <c r="D1776" s="14" t="inlineStr">
        <is>
          <t>Establishment of AI-Powered Integrated Traffic &amp; Urban Infrastructure GIS Command and Control Center</t>
        </is>
      </c>
      <c r="E1776" s="14" t="inlineStr">
        <is>
          <t>BRUHAT BENGALURU MAHANAGARA PALIKE-Smart Cities Division</t>
        </is>
      </c>
      <c r="F1776" s="13" t="inlineStr">
        <is>
          <t>13 Sep 2026</t>
        </is>
      </c>
      <c r="G1776" s="12" t="inlineStr">
        <is>
          <t>08 Oct 2026</t>
        </is>
      </c>
      <c r="H1776" s="8" t="inlineStr">
        <is>
          <t>⏳ UPCOMING</t>
        </is>
      </c>
      <c r="I1776" s="11" t="inlineStr">
        <is>
          <t>Tender_2026_BBMP_884210_1_All_Documents.zip</t>
        </is>
      </c>
      <c r="J1776" s="13" t="inlineStr">
        <is>
          <t>📦 ZIP Package</t>
        </is>
      </c>
      <c r="K1776" s="15" t="n">
        <v>21</v>
      </c>
      <c r="L1776" s="16">
        <f>HYPERLINK("http://127.0.0.1:8000/api/documents/download?id=3036&amp;attachment=true", "⬇ Download Tender_2026_BBMP_884210_")</f>
        <v/>
      </c>
      <c r="M1776" s="16">
        <f>HYPERLINK("http://localhost:5173/?state=Karnataka&amp;keyword=ICT&amp;tender=2026_BBMP_884210_1", "🚀 Open in Portal")</f>
        <v/>
      </c>
    </row>
    <row r="1777" ht="24" customHeight="1">
      <c r="A1777" s="4" t="inlineStr">
        <is>
          <t>Karnataka</t>
        </is>
      </c>
      <c r="B1777" s="5" t="inlineStr">
        <is>
          <t>ICT</t>
        </is>
      </c>
      <c r="C1777" s="6" t="inlineStr">
        <is>
          <t>KPPP-ITBT-2026-8821</t>
        </is>
      </c>
      <c r="D1777" s="7" t="inlineStr">
        <is>
          <t>Development of Next-Gen e-Governance Mobile Application and Cloud Citizen Portal</t>
        </is>
      </c>
      <c r="E1777" s="7" t="inlineStr">
        <is>
          <t>DEPARTMENT OF ELECTRONICS, IT, BT &amp; S&amp;T-Bengaluru</t>
        </is>
      </c>
      <c r="F1777" s="6" t="inlineStr">
        <is>
          <t>18 Sep 2026</t>
        </is>
      </c>
      <c r="G1777" s="5" t="inlineStr">
        <is>
          <t>10 Oct 2026</t>
        </is>
      </c>
      <c r="H1777" s="8" t="inlineStr">
        <is>
          <t>⏳ UPCOMING</t>
        </is>
      </c>
      <c r="I1777" s="4" t="inlineStr">
        <is>
          <t>ITBT_Citizen_Portal_RFP.pdf</t>
        </is>
      </c>
      <c r="J1777" s="6" t="inlineStr">
        <is>
          <t>📕 PDF Document</t>
        </is>
      </c>
      <c r="K1777" s="9" t="n">
        <v>17.9</v>
      </c>
      <c r="L1777" s="10">
        <f>HYPERLINK("http://127.0.0.1:8000/api/documents/download?id=2792&amp;attachment=true", "⬇ Download ITBT_Citizen_Portal_RFP.")</f>
        <v/>
      </c>
      <c r="M1777" s="10">
        <f>HYPERLINK("http://localhost:5173/?state=Karnataka&amp;keyword=ICT&amp;tender=KPPP-ITBT-2026-8821", "🚀 Open in Portal")</f>
        <v/>
      </c>
    </row>
    <row r="1778" ht="24" customHeight="1">
      <c r="A1778" s="11" t="inlineStr">
        <is>
          <t>Karnataka</t>
        </is>
      </c>
      <c r="B1778" s="12" t="inlineStr">
        <is>
          <t>ICT</t>
        </is>
      </c>
      <c r="C1778" s="13" t="inlineStr">
        <is>
          <t>KPPP-ITBT-2026-8821</t>
        </is>
      </c>
      <c r="D1778" s="14" t="inlineStr">
        <is>
          <t>Development of Next-Gen e-Governance Mobile Application and Cloud Citizen Portal</t>
        </is>
      </c>
      <c r="E1778" s="14" t="inlineStr">
        <is>
          <t>DEPARTMENT OF ELECTRONICS, IT, BT &amp; S&amp;T-Bengaluru</t>
        </is>
      </c>
      <c r="F1778" s="13" t="inlineStr">
        <is>
          <t>18 Sep 2026</t>
        </is>
      </c>
      <c r="G1778" s="12" t="inlineStr">
        <is>
          <t>10 Oct 2026</t>
        </is>
      </c>
      <c r="H1778" s="8" t="inlineStr">
        <is>
          <t>⏳ UPCOMING</t>
        </is>
      </c>
      <c r="I1778" s="11" t="inlineStr">
        <is>
          <t>Functional_Requirements_Document.pdf</t>
        </is>
      </c>
      <c r="J1778" s="13" t="inlineStr">
        <is>
          <t>📕 PDF Document</t>
        </is>
      </c>
      <c r="K1778" s="15" t="n">
        <v>17.9</v>
      </c>
      <c r="L1778" s="16">
        <f>HYPERLINK("http://127.0.0.1:8000/api/documents/download?id=2793&amp;attachment=true", "⬇ Download Functional_Requirements_")</f>
        <v/>
      </c>
      <c r="M1778" s="16">
        <f>HYPERLINK("http://localhost:5173/?state=Karnataka&amp;keyword=ICT&amp;tender=KPPP-ITBT-2026-8821", "🚀 Open in Portal")</f>
        <v/>
      </c>
    </row>
    <row r="1779" ht="24" customHeight="1">
      <c r="A1779" s="4" t="inlineStr">
        <is>
          <t>Karnataka</t>
        </is>
      </c>
      <c r="B1779" s="5" t="inlineStr">
        <is>
          <t>ICT</t>
        </is>
      </c>
      <c r="C1779" s="6" t="inlineStr">
        <is>
          <t>KPPP-ITBT-2026-8821</t>
        </is>
      </c>
      <c r="D1779" s="7" t="inlineStr">
        <is>
          <t>Development of Next-Gen e-Governance Mobile Application and Cloud Citizen Portal</t>
        </is>
      </c>
      <c r="E1779" s="7" t="inlineStr">
        <is>
          <t>DEPARTMENT OF ELECTRONICS, IT, BT &amp; S&amp;T-Bengaluru</t>
        </is>
      </c>
      <c r="F1779" s="6" t="inlineStr">
        <is>
          <t>18 Sep 2026</t>
        </is>
      </c>
      <c r="G1779" s="5" t="inlineStr">
        <is>
          <t>10 Oct 2026</t>
        </is>
      </c>
      <c r="H1779" s="8" t="inlineStr">
        <is>
          <t>⏳ UPCOMING</t>
        </is>
      </c>
      <c r="I1779" s="4" t="inlineStr">
        <is>
          <t>SLA_Agreement_Template.pdf</t>
        </is>
      </c>
      <c r="J1779" s="6" t="inlineStr">
        <is>
          <t>📕 PDF Document</t>
        </is>
      </c>
      <c r="K1779" s="9" t="n">
        <v>17.9</v>
      </c>
      <c r="L1779" s="10">
        <f>HYPERLINK("http://127.0.0.1:8000/api/documents/download?id=2794&amp;attachment=true", "⬇ Download SLA_Agreement_Template.p")</f>
        <v/>
      </c>
      <c r="M1779" s="10">
        <f>HYPERLINK("http://localhost:5173/?state=Karnataka&amp;keyword=ICT&amp;tender=KPPP-ITBT-2026-8821", "🚀 Open in Portal")</f>
        <v/>
      </c>
    </row>
    <row r="1780" ht="24" customHeight="1">
      <c r="A1780" s="11" t="inlineStr">
        <is>
          <t>Karnataka</t>
        </is>
      </c>
      <c r="B1780" s="12" t="inlineStr">
        <is>
          <t>ICT</t>
        </is>
      </c>
      <c r="C1780" s="13" t="inlineStr">
        <is>
          <t>KPPP-ITBT-2026-8821</t>
        </is>
      </c>
      <c r="D1780" s="14" t="inlineStr">
        <is>
          <t>Development of Next-Gen e-Governance Mobile Application and Cloud Citizen Portal</t>
        </is>
      </c>
      <c r="E1780" s="14" t="inlineStr">
        <is>
          <t>DEPARTMENT OF ELECTRONICS, IT, BT &amp; S&amp;T-Bengaluru</t>
        </is>
      </c>
      <c r="F1780" s="13" t="inlineStr">
        <is>
          <t>18 Sep 2026</t>
        </is>
      </c>
      <c r="G1780" s="12" t="inlineStr">
        <is>
          <t>10 Oct 2026</t>
        </is>
      </c>
      <c r="H1780" s="8" t="inlineStr">
        <is>
          <t>⏳ UPCOMING</t>
        </is>
      </c>
      <c r="I1780" s="11" t="inlineStr">
        <is>
          <t>Tender_KPPP-ITBT-2026-8821_All_Documents.zip</t>
        </is>
      </c>
      <c r="J1780" s="13" t="inlineStr">
        <is>
          <t>📦 ZIP Package</t>
        </is>
      </c>
      <c r="K1780" s="15" t="n">
        <v>27.8</v>
      </c>
      <c r="L1780" s="16">
        <f>HYPERLINK("http://127.0.0.1:8000/api/documents/download?id=3004&amp;attachment=true", "⬇ Download Tender_KPPP-ITBT-2026-88")</f>
        <v/>
      </c>
      <c r="M1780" s="16">
        <f>HYPERLINK("http://localhost:5173/?state=Karnataka&amp;keyword=ICT&amp;tender=KPPP-ITBT-2026-8821", "🚀 Open in Portal")</f>
        <v/>
      </c>
    </row>
    <row r="1781" ht="24" customHeight="1">
      <c r="A1781" s="4" t="inlineStr">
        <is>
          <t>Karnataka</t>
        </is>
      </c>
      <c r="B1781" s="5" t="inlineStr">
        <is>
          <t>Agriculture</t>
        </is>
      </c>
      <c r="C1781" s="6" t="inlineStr">
        <is>
          <t>KPPP-AGRI-2026-1189</t>
        </is>
      </c>
      <c r="D1781" s="7" t="inlineStr">
        <is>
          <t>Supply of Smart Agriculture Drone Surveillance &amp; Crop Health Diagnostic Solutions</t>
        </is>
      </c>
      <c r="E1781" s="7" t="inlineStr">
        <is>
          <t>DEPARTMENT OF AGRICULTURE-Government of Karnataka</t>
        </is>
      </c>
      <c r="F1781" s="6" t="inlineStr">
        <is>
          <t>20 Aug 2026</t>
        </is>
      </c>
      <c r="G1781" s="5" t="inlineStr">
        <is>
          <t>19 Sep 2026</t>
        </is>
      </c>
      <c r="H1781" s="8" t="inlineStr">
        <is>
          <t>⏳ UPCOMING</t>
        </is>
      </c>
      <c r="I1781" s="4" t="inlineStr">
        <is>
          <t>Smart_Agri_Drone_Tender_Doc.pdf</t>
        </is>
      </c>
      <c r="J1781" s="6" t="inlineStr">
        <is>
          <t>📕 PDF Document</t>
        </is>
      </c>
      <c r="K1781" s="9" t="n">
        <v>17.9</v>
      </c>
      <c r="L1781" s="10">
        <f>HYPERLINK("http://127.0.0.1:8000/api/documents/download?id=2789&amp;attachment=true", "⬇ Download Smart_Agri_Drone_Tender_")</f>
        <v/>
      </c>
      <c r="M1781" s="10">
        <f>HYPERLINK("http://localhost:5173/?state=Karnataka&amp;keyword=Agriculture&amp;tender=KPPP-AGRI-2026-1189", "🚀 Open in Portal")</f>
        <v/>
      </c>
    </row>
    <row r="1782" ht="24" customHeight="1">
      <c r="A1782" s="11" t="inlineStr">
        <is>
          <t>Karnataka</t>
        </is>
      </c>
      <c r="B1782" s="12" t="inlineStr">
        <is>
          <t>Agriculture</t>
        </is>
      </c>
      <c r="C1782" s="13" t="inlineStr">
        <is>
          <t>KPPP-AGRI-2026-1189</t>
        </is>
      </c>
      <c r="D1782" s="14" t="inlineStr">
        <is>
          <t>Supply of Smart Agriculture Drone Surveillance &amp; Crop Health Diagnostic Solutions</t>
        </is>
      </c>
      <c r="E1782" s="14" t="inlineStr">
        <is>
          <t>DEPARTMENT OF AGRICULTURE-Government of Karnataka</t>
        </is>
      </c>
      <c r="F1782" s="13" t="inlineStr">
        <is>
          <t>20 Aug 2026</t>
        </is>
      </c>
      <c r="G1782" s="12" t="inlineStr">
        <is>
          <t>19 Sep 2026</t>
        </is>
      </c>
      <c r="H1782" s="8" t="inlineStr">
        <is>
          <t>⏳ UPCOMING</t>
        </is>
      </c>
      <c r="I1782" s="11" t="inlineStr">
        <is>
          <t>Technical_Specs_Agri_Sensors.pdf</t>
        </is>
      </c>
      <c r="J1782" s="13" t="inlineStr">
        <is>
          <t>📕 PDF Document</t>
        </is>
      </c>
      <c r="K1782" s="15" t="n">
        <v>17.9</v>
      </c>
      <c r="L1782" s="16">
        <f>HYPERLINK("http://127.0.0.1:8000/api/documents/download?id=2790&amp;attachment=true", "⬇ Download Technical_Specs_Agri_Sen")</f>
        <v/>
      </c>
      <c r="M1782" s="16">
        <f>HYPERLINK("http://localhost:5173/?state=Karnataka&amp;keyword=Agriculture&amp;tender=KPPP-AGRI-2026-1189", "🚀 Open in Portal")</f>
        <v/>
      </c>
    </row>
    <row r="1783" ht="24" customHeight="1">
      <c r="A1783" s="4" t="inlineStr">
        <is>
          <t>Karnataka</t>
        </is>
      </c>
      <c r="B1783" s="5" t="inlineStr">
        <is>
          <t>Agriculture</t>
        </is>
      </c>
      <c r="C1783" s="6" t="inlineStr">
        <is>
          <t>KPPP-AGRI-2026-1189</t>
        </is>
      </c>
      <c r="D1783" s="7" t="inlineStr">
        <is>
          <t>Supply of Smart Agriculture Drone Surveillance &amp; Crop Health Diagnostic Solutions</t>
        </is>
      </c>
      <c r="E1783" s="7" t="inlineStr">
        <is>
          <t>DEPARTMENT OF AGRICULTURE-Government of Karnataka</t>
        </is>
      </c>
      <c r="F1783" s="6" t="inlineStr">
        <is>
          <t>20 Aug 2026</t>
        </is>
      </c>
      <c r="G1783" s="5" t="inlineStr">
        <is>
          <t>19 Sep 2026</t>
        </is>
      </c>
      <c r="H1783" s="8" t="inlineStr">
        <is>
          <t>⏳ UPCOMING</t>
        </is>
      </c>
      <c r="I1783" s="4" t="inlineStr">
        <is>
          <t>Commercial_Bid_Format.xlsx</t>
        </is>
      </c>
      <c r="J1783" s="6" t="inlineStr">
        <is>
          <t>📊 Excel BOQ</t>
        </is>
      </c>
      <c r="K1783" s="9" t="n">
        <v>2.4</v>
      </c>
      <c r="L1783" s="10">
        <f>HYPERLINK("http://127.0.0.1:8000/api/documents/download?id=2791&amp;attachment=true", "⬇ Download Commercial_Bid_Format.xl")</f>
        <v/>
      </c>
      <c r="M1783" s="10">
        <f>HYPERLINK("http://localhost:5173/?state=Karnataka&amp;keyword=Agriculture&amp;tender=KPPP-AGRI-2026-1189", "🚀 Open in Portal")</f>
        <v/>
      </c>
    </row>
    <row r="1784" ht="24" customHeight="1">
      <c r="A1784" s="11" t="inlineStr">
        <is>
          <t>Karnataka</t>
        </is>
      </c>
      <c r="B1784" s="12" t="inlineStr">
        <is>
          <t>Agriculture</t>
        </is>
      </c>
      <c r="C1784" s="13" t="inlineStr">
        <is>
          <t>KPPP-AGRI-2026-1189</t>
        </is>
      </c>
      <c r="D1784" s="14" t="inlineStr">
        <is>
          <t>Supply of Smart Agriculture Drone Surveillance &amp; Crop Health Diagnostic Solutions</t>
        </is>
      </c>
      <c r="E1784" s="14" t="inlineStr">
        <is>
          <t>DEPARTMENT OF AGRICULTURE-Government of Karnataka</t>
        </is>
      </c>
      <c r="F1784" s="13" t="inlineStr">
        <is>
          <t>20 Aug 2026</t>
        </is>
      </c>
      <c r="G1784" s="12" t="inlineStr">
        <is>
          <t>19 Sep 2026</t>
        </is>
      </c>
      <c r="H1784" s="8" t="inlineStr">
        <is>
          <t>⏳ UPCOMING</t>
        </is>
      </c>
      <c r="I1784" s="11" t="inlineStr">
        <is>
          <t>Tender_KPPP-AGRI-2026-1189_All_Documents.zip</t>
        </is>
      </c>
      <c r="J1784" s="13" t="inlineStr">
        <is>
          <t>📦 ZIP Package</t>
        </is>
      </c>
      <c r="K1784" s="15" t="n">
        <v>20.8</v>
      </c>
      <c r="L1784" s="16">
        <f>HYPERLINK("http://127.0.0.1:8000/api/documents/download?id=3003&amp;attachment=true", "⬇ Download Tender_KPPP-AGRI-2026-11")</f>
        <v/>
      </c>
      <c r="M1784" s="16">
        <f>HYPERLINK("http://localhost:5173/?state=Karnataka&amp;keyword=Agriculture&amp;tender=KPPP-AGRI-2026-1189", "🚀 Open in Portal")</f>
        <v/>
      </c>
    </row>
    <row r="1785" ht="24" customHeight="1">
      <c r="A1785" s="4" t="inlineStr">
        <is>
          <t>Karnataka</t>
        </is>
      </c>
      <c r="B1785" s="5" t="inlineStr">
        <is>
          <t>Forest</t>
        </is>
      </c>
      <c r="C1785" s="6" t="inlineStr">
        <is>
          <t>2026_KAR_1350485_79</t>
        </is>
      </c>
      <c r="D1785" s="7" t="inlineStr">
        <is>
          <t>Forest-Based Satellite-Based Forest Canopy Density &amp; Wildlife Corridor Spatial Monitoring</t>
        </is>
      </c>
      <c r="E1785" s="7" t="inlineStr">
        <is>
          <t>STATE FOREST &amp; ENVIRONMENT DEPARTMENT</t>
        </is>
      </c>
      <c r="F1785" s="6" t="inlineStr">
        <is>
          <t>02 Sep 2026</t>
        </is>
      </c>
      <c r="G1785" s="5" t="inlineStr">
        <is>
          <t>24 Sep 2026</t>
        </is>
      </c>
      <c r="H1785" s="8" t="inlineStr">
        <is>
          <t>⏳ UPCOMING</t>
        </is>
      </c>
      <c r="I1785" s="4" t="inlineStr">
        <is>
          <t>Tendernotice_2026_KAR_1350485_79.pdf</t>
        </is>
      </c>
      <c r="J1785" s="6" t="inlineStr">
        <is>
          <t>📕 PDF Document</t>
        </is>
      </c>
      <c r="K1785" s="9" t="n">
        <v>17.9</v>
      </c>
      <c r="L1785" s="10">
        <f>HYPERLINK("http://127.0.0.1:8000/api/documents/download?id=3249&amp;attachment=true", "⬇ Download Tendernotice_2026_KAR_13")</f>
        <v/>
      </c>
      <c r="M1785" s="10">
        <f>HYPERLINK("http://localhost:5173/?state=Karnataka&amp;keyword=Forest&amp;tender=2026_KAR_1350485_79", "🚀 Open in Portal")</f>
        <v/>
      </c>
    </row>
    <row r="1786" ht="24" customHeight="1">
      <c r="A1786" s="11" t="inlineStr">
        <is>
          <t>Karnataka</t>
        </is>
      </c>
      <c r="B1786" s="12" t="inlineStr">
        <is>
          <t>Forest</t>
        </is>
      </c>
      <c r="C1786" s="13" t="inlineStr">
        <is>
          <t>2026_KAR_1350485_79</t>
        </is>
      </c>
      <c r="D1786" s="14" t="inlineStr">
        <is>
          <t>Forest-Based Satellite-Based Forest Canopy Density &amp; Wildlife Corridor Spatial Monitoring</t>
        </is>
      </c>
      <c r="E1786" s="14" t="inlineStr">
        <is>
          <t>STATE FOREST &amp; ENVIRONMENT DEPARTMENT</t>
        </is>
      </c>
      <c r="F1786" s="13" t="inlineStr">
        <is>
          <t>02 Sep 2026</t>
        </is>
      </c>
      <c r="G1786" s="12" t="inlineStr">
        <is>
          <t>24 Sep 2026</t>
        </is>
      </c>
      <c r="H1786" s="8" t="inlineStr">
        <is>
          <t>⏳ UPCOMING</t>
        </is>
      </c>
      <c r="I1786" s="11" t="inlineStr">
        <is>
          <t>Technical_RFP_Specification_Forest.pdf</t>
        </is>
      </c>
      <c r="J1786" s="13" t="inlineStr">
        <is>
          <t>📕 PDF Document</t>
        </is>
      </c>
      <c r="K1786" s="15" t="n">
        <v>17.9</v>
      </c>
      <c r="L1786" s="16">
        <f>HYPERLINK("http://127.0.0.1:8000/api/documents/download?id=3250&amp;attachment=true", "⬇ Download Technical_RFP_Specificat")</f>
        <v/>
      </c>
      <c r="M1786" s="16">
        <f>HYPERLINK("http://localhost:5173/?state=Karnataka&amp;keyword=Forest&amp;tender=2026_KAR_1350485_79", "🚀 Open in Portal")</f>
        <v/>
      </c>
    </row>
    <row r="1787" ht="24" customHeight="1">
      <c r="A1787" s="4" t="inlineStr">
        <is>
          <t>Karnataka</t>
        </is>
      </c>
      <c r="B1787" s="5" t="inlineStr">
        <is>
          <t>Forest</t>
        </is>
      </c>
      <c r="C1787" s="6" t="inlineStr">
        <is>
          <t>2026_KAR_1350485_79</t>
        </is>
      </c>
      <c r="D1787" s="7" t="inlineStr">
        <is>
          <t>Forest-Based Satellite-Based Forest Canopy Density &amp; Wildlife Corridor Spatial Monitoring</t>
        </is>
      </c>
      <c r="E1787" s="7" t="inlineStr">
        <is>
          <t>STATE FOREST &amp; ENVIRONMENT DEPARTMENT</t>
        </is>
      </c>
      <c r="F1787" s="6" t="inlineStr">
        <is>
          <t>02 Sep 2026</t>
        </is>
      </c>
      <c r="G1787" s="5" t="inlineStr">
        <is>
          <t>24 Sep 2026</t>
        </is>
      </c>
      <c r="H1787" s="8" t="inlineStr">
        <is>
          <t>⏳ UPCOMING</t>
        </is>
      </c>
      <c r="I1787" s="4" t="inlineStr">
        <is>
          <t>BOQ_Financial_Schedule_2026_KAR_1350485_79.xlsx</t>
        </is>
      </c>
      <c r="J1787" s="6" t="inlineStr">
        <is>
          <t>📊 Excel BOQ</t>
        </is>
      </c>
      <c r="K1787" s="9" t="n">
        <v>2.5</v>
      </c>
      <c r="L1787" s="10">
        <f>HYPERLINK("http://127.0.0.1:8000/api/documents/download?id=3251&amp;attachment=true", "⬇ Download BOQ_Financial_Schedule_2")</f>
        <v/>
      </c>
      <c r="M1787" s="10">
        <f>HYPERLINK("http://localhost:5173/?state=Karnataka&amp;keyword=Forest&amp;tender=2026_KAR_1350485_79", "🚀 Open in Portal")</f>
        <v/>
      </c>
    </row>
    <row r="1788" ht="24" customHeight="1">
      <c r="A1788" s="11" t="inlineStr">
        <is>
          <t>Karnataka</t>
        </is>
      </c>
      <c r="B1788" s="12" t="inlineStr">
        <is>
          <t>Forest</t>
        </is>
      </c>
      <c r="C1788" s="13" t="inlineStr">
        <is>
          <t>2026_KAR_1350485_79</t>
        </is>
      </c>
      <c r="D1788" s="14" t="inlineStr">
        <is>
          <t>Forest-Based Satellite-Based Forest Canopy Density &amp; Wildlife Corridor Spatial Monitoring</t>
        </is>
      </c>
      <c r="E1788" s="14" t="inlineStr">
        <is>
          <t>STATE FOREST &amp; ENVIRONMENT DEPARTMENT</t>
        </is>
      </c>
      <c r="F1788" s="13" t="inlineStr">
        <is>
          <t>02 Sep 2026</t>
        </is>
      </c>
      <c r="G1788" s="12" t="inlineStr">
        <is>
          <t>24 Sep 2026</t>
        </is>
      </c>
      <c r="H1788" s="8" t="inlineStr">
        <is>
          <t>⏳ UPCOMING</t>
        </is>
      </c>
      <c r="I1788" s="11" t="inlineStr">
        <is>
          <t>Tender_2026_KAR_1350485_79_All_Documents.zip</t>
        </is>
      </c>
      <c r="J1788" s="13" t="inlineStr">
        <is>
          <t>📦 ZIP Package</t>
        </is>
      </c>
      <c r="K1788" s="15" t="n">
        <v>45</v>
      </c>
      <c r="L1788" s="16">
        <f>HYPERLINK("https://kppp.karnataka.gov.in/tender/2026_KAR_1350485_79", "⬇ Download Tender_2026_KAR_1350485_")</f>
        <v/>
      </c>
      <c r="M1788" s="16">
        <f>HYPERLINK("http://localhost:5173/?state=Karnataka&amp;keyword=Forest&amp;tender=2026_KAR_1350485_79", "🚀 Open in Portal")</f>
        <v/>
      </c>
    </row>
    <row r="1789" ht="24" customHeight="1">
      <c r="A1789" s="4" t="inlineStr">
        <is>
          <t>Karnataka</t>
        </is>
      </c>
      <c r="B1789" s="5" t="inlineStr">
        <is>
          <t>Forest</t>
        </is>
      </c>
      <c r="C1789" s="6" t="inlineStr">
        <is>
          <t>2026_KAR_490871_22</t>
        </is>
      </c>
      <c r="D1789" s="7" t="inlineStr">
        <is>
          <t>Forest-Based Satellite-Based Forest Canopy Density &amp; Wildlife Corridor Spatial Monitoring</t>
        </is>
      </c>
      <c r="E1789" s="7" t="inlineStr">
        <is>
          <t>STATE FOREST &amp; ENVIRONMENT DEPARTMENT</t>
        </is>
      </c>
      <c r="F1789" s="6" t="inlineStr">
        <is>
          <t>11 Oct 2026</t>
        </is>
      </c>
      <c r="G1789" s="5" t="inlineStr">
        <is>
          <t>23 Oct 2026</t>
        </is>
      </c>
      <c r="H1789" s="17" t="inlineStr">
        <is>
          <t>🟢 LIVE ACTIVE</t>
        </is>
      </c>
      <c r="I1789" s="4" t="inlineStr">
        <is>
          <t>Tendernotice_2026_KAR_490871_22.pdf</t>
        </is>
      </c>
      <c r="J1789" s="6" t="inlineStr">
        <is>
          <t>📕 PDF Document</t>
        </is>
      </c>
      <c r="K1789" s="9" t="n">
        <v>17.9</v>
      </c>
      <c r="L1789" s="10">
        <f>HYPERLINK("http://127.0.0.1:8000/api/documents/download?id=2973&amp;attachment=true", "⬇ Download Tendernotice_2026_KAR_49")</f>
        <v/>
      </c>
      <c r="M1789" s="10">
        <f>HYPERLINK("http://localhost:5173/?state=Karnataka&amp;keyword=Forest&amp;tender=2026_KAR_490871_22", "🚀 Open in Portal")</f>
        <v/>
      </c>
    </row>
    <row r="1790" ht="24" customHeight="1">
      <c r="A1790" s="11" t="inlineStr">
        <is>
          <t>Karnataka</t>
        </is>
      </c>
      <c r="B1790" s="12" t="inlineStr">
        <is>
          <t>Forest</t>
        </is>
      </c>
      <c r="C1790" s="13" t="inlineStr">
        <is>
          <t>2026_KAR_490871_22</t>
        </is>
      </c>
      <c r="D1790" s="14" t="inlineStr">
        <is>
          <t>Forest-Based Satellite-Based Forest Canopy Density &amp; Wildlife Corridor Spatial Monitoring</t>
        </is>
      </c>
      <c r="E1790" s="14" t="inlineStr">
        <is>
          <t>STATE FOREST &amp; ENVIRONMENT DEPARTMENT</t>
        </is>
      </c>
      <c r="F1790" s="13" t="inlineStr">
        <is>
          <t>11 Oct 2026</t>
        </is>
      </c>
      <c r="G1790" s="12" t="inlineStr">
        <is>
          <t>23 Oct 2026</t>
        </is>
      </c>
      <c r="H1790" s="17" t="inlineStr">
        <is>
          <t>🟢 LIVE ACTIVE</t>
        </is>
      </c>
      <c r="I1790" s="11" t="inlineStr">
        <is>
          <t>Technical_RFP_Specification_Forest.pdf</t>
        </is>
      </c>
      <c r="J1790" s="13" t="inlineStr">
        <is>
          <t>📕 PDF Document</t>
        </is>
      </c>
      <c r="K1790" s="15" t="n">
        <v>17.9</v>
      </c>
      <c r="L1790" s="16">
        <f>HYPERLINK("http://127.0.0.1:8000/api/documents/download?id=2974&amp;attachment=true", "⬇ Download Technical_RFP_Specificat")</f>
        <v/>
      </c>
      <c r="M1790" s="16">
        <f>HYPERLINK("http://localhost:5173/?state=Karnataka&amp;keyword=Forest&amp;tender=2026_KAR_490871_22", "🚀 Open in Portal")</f>
        <v/>
      </c>
    </row>
    <row r="1791" ht="24" customHeight="1">
      <c r="A1791" s="4" t="inlineStr">
        <is>
          <t>Karnataka</t>
        </is>
      </c>
      <c r="B1791" s="5" t="inlineStr">
        <is>
          <t>Forest</t>
        </is>
      </c>
      <c r="C1791" s="6" t="inlineStr">
        <is>
          <t>2026_KAR_490871_22</t>
        </is>
      </c>
      <c r="D1791" s="7" t="inlineStr">
        <is>
          <t>Forest-Based Satellite-Based Forest Canopy Density &amp; Wildlife Corridor Spatial Monitoring</t>
        </is>
      </c>
      <c r="E1791" s="7" t="inlineStr">
        <is>
          <t>STATE FOREST &amp; ENVIRONMENT DEPARTMENT</t>
        </is>
      </c>
      <c r="F1791" s="6" t="inlineStr">
        <is>
          <t>11 Oct 2026</t>
        </is>
      </c>
      <c r="G1791" s="5" t="inlineStr">
        <is>
          <t>23 Oct 2026</t>
        </is>
      </c>
      <c r="H1791" s="17" t="inlineStr">
        <is>
          <t>🟢 LIVE ACTIVE</t>
        </is>
      </c>
      <c r="I1791" s="4" t="inlineStr">
        <is>
          <t>BOQ_Financial_Schedule_2026_KAR_490871_22.xlsx</t>
        </is>
      </c>
      <c r="J1791" s="6" t="inlineStr">
        <is>
          <t>📊 Excel BOQ</t>
        </is>
      </c>
      <c r="K1791" s="9" t="n">
        <v>2.5</v>
      </c>
      <c r="L1791" s="10">
        <f>HYPERLINK("http://127.0.0.1:8000/api/documents/download?id=2975&amp;attachment=true", "⬇ Download BOQ_Financial_Schedule_2")</f>
        <v/>
      </c>
      <c r="M1791" s="10">
        <f>HYPERLINK("http://localhost:5173/?state=Karnataka&amp;keyword=Forest&amp;tender=2026_KAR_490871_22", "🚀 Open in Portal")</f>
        <v/>
      </c>
    </row>
    <row r="1792" ht="24" customHeight="1">
      <c r="A1792" s="11" t="inlineStr">
        <is>
          <t>Karnataka</t>
        </is>
      </c>
      <c r="B1792" s="12" t="inlineStr">
        <is>
          <t>Forest</t>
        </is>
      </c>
      <c r="C1792" s="13" t="inlineStr">
        <is>
          <t>2026_KAR_490871_22</t>
        </is>
      </c>
      <c r="D1792" s="14" t="inlineStr">
        <is>
          <t>Forest-Based Satellite-Based Forest Canopy Density &amp; Wildlife Corridor Spatial Monitoring</t>
        </is>
      </c>
      <c r="E1792" s="14" t="inlineStr">
        <is>
          <t>STATE FOREST &amp; ENVIRONMENT DEPARTMENT</t>
        </is>
      </c>
      <c r="F1792" s="13" t="inlineStr">
        <is>
          <t>11 Oct 2026</t>
        </is>
      </c>
      <c r="G1792" s="12" t="inlineStr">
        <is>
          <t>23 Oct 2026</t>
        </is>
      </c>
      <c r="H1792" s="17" t="inlineStr">
        <is>
          <t>🟢 LIVE ACTIVE</t>
        </is>
      </c>
      <c r="I1792" s="11" t="inlineStr">
        <is>
          <t>Tender_2026_KAR_490871_22_All_Documents.zip</t>
        </is>
      </c>
      <c r="J1792" s="13" t="inlineStr">
        <is>
          <t>📦 ZIP Package</t>
        </is>
      </c>
      <c r="K1792" s="15" t="n">
        <v>21</v>
      </c>
      <c r="L1792" s="16">
        <f>HYPERLINK("http://127.0.0.1:8000/api/documents/download?id=2976&amp;attachment=true", "⬇ Download Tender_2026_KAR_490871_2")</f>
        <v/>
      </c>
      <c r="M1792" s="16">
        <f>HYPERLINK("http://localhost:5173/?state=Karnataka&amp;keyword=Forest&amp;tender=2026_KAR_490871_22", "🚀 Open in Portal")</f>
        <v/>
      </c>
    </row>
    <row r="1793" ht="24" customHeight="1">
      <c r="A1793" s="4" t="inlineStr">
        <is>
          <t>Karnataka</t>
        </is>
      </c>
      <c r="B1793" s="5" t="inlineStr">
        <is>
          <t>Forest</t>
        </is>
      </c>
      <c r="C1793" s="6" t="inlineStr">
        <is>
          <t>2026_KAR_6293199_68</t>
        </is>
      </c>
      <c r="D1793" s="7" t="inlineStr">
        <is>
          <t>Forest-Based Satellite-Based Forest Canopy Density &amp; Wildlife Corridor Spatial Monitoring</t>
        </is>
      </c>
      <c r="E1793" s="7" t="inlineStr">
        <is>
          <t>STATE FOREST &amp; ENVIRONMENT DEPARTMENT</t>
        </is>
      </c>
      <c r="F1793" s="6" t="inlineStr">
        <is>
          <t>17 Oct 2026</t>
        </is>
      </c>
      <c r="G1793" s="5" t="inlineStr">
        <is>
          <t>15 Nov 2026</t>
        </is>
      </c>
      <c r="H1793" s="17" t="inlineStr">
        <is>
          <t>🟢 LIVE ACTIVE</t>
        </is>
      </c>
      <c r="I1793" s="4" t="inlineStr">
        <is>
          <t>Tendernotice_2026_KAR_6293199_68.pdf</t>
        </is>
      </c>
      <c r="J1793" s="6" t="inlineStr">
        <is>
          <t>📕 PDF Document</t>
        </is>
      </c>
      <c r="K1793" s="9" t="n">
        <v>17.9</v>
      </c>
      <c r="L1793" s="10">
        <f>HYPERLINK("http://127.0.0.1:8000/api/documents/download?id=3345&amp;attachment=true", "⬇ Download Tendernotice_2026_KAR_62")</f>
        <v/>
      </c>
      <c r="M1793" s="10">
        <f>HYPERLINK("http://localhost:5173/?state=Karnataka&amp;keyword=Forest&amp;tender=2026_KAR_6293199_68", "🚀 Open in Portal")</f>
        <v/>
      </c>
    </row>
    <row r="1794" ht="24" customHeight="1">
      <c r="A1794" s="11" t="inlineStr">
        <is>
          <t>Karnataka</t>
        </is>
      </c>
      <c r="B1794" s="12" t="inlineStr">
        <is>
          <t>Forest</t>
        </is>
      </c>
      <c r="C1794" s="13" t="inlineStr">
        <is>
          <t>2026_KAR_6293199_68</t>
        </is>
      </c>
      <c r="D1794" s="14" t="inlineStr">
        <is>
          <t>Forest-Based Satellite-Based Forest Canopy Density &amp; Wildlife Corridor Spatial Monitoring</t>
        </is>
      </c>
      <c r="E1794" s="14" t="inlineStr">
        <is>
          <t>STATE FOREST &amp; ENVIRONMENT DEPARTMENT</t>
        </is>
      </c>
      <c r="F1794" s="13" t="inlineStr">
        <is>
          <t>17 Oct 2026</t>
        </is>
      </c>
      <c r="G1794" s="12" t="inlineStr">
        <is>
          <t>15 Nov 2026</t>
        </is>
      </c>
      <c r="H1794" s="17" t="inlineStr">
        <is>
          <t>🟢 LIVE ACTIVE</t>
        </is>
      </c>
      <c r="I1794" s="11" t="inlineStr">
        <is>
          <t>Technical_RFP_Specification_Forest.pdf</t>
        </is>
      </c>
      <c r="J1794" s="13" t="inlineStr">
        <is>
          <t>📕 PDF Document</t>
        </is>
      </c>
      <c r="K1794" s="15" t="n">
        <v>17.9</v>
      </c>
      <c r="L1794" s="16">
        <f>HYPERLINK("http://127.0.0.1:8000/api/documents/download?id=3346&amp;attachment=true", "⬇ Download Technical_RFP_Specificat")</f>
        <v/>
      </c>
      <c r="M1794" s="16">
        <f>HYPERLINK("http://localhost:5173/?state=Karnataka&amp;keyword=Forest&amp;tender=2026_KAR_6293199_68", "🚀 Open in Portal")</f>
        <v/>
      </c>
    </row>
    <row r="1795" ht="24" customHeight="1">
      <c r="A1795" s="4" t="inlineStr">
        <is>
          <t>Karnataka</t>
        </is>
      </c>
      <c r="B1795" s="5" t="inlineStr">
        <is>
          <t>Forest</t>
        </is>
      </c>
      <c r="C1795" s="6" t="inlineStr">
        <is>
          <t>2026_KAR_6293199_68</t>
        </is>
      </c>
      <c r="D1795" s="7" t="inlineStr">
        <is>
          <t>Forest-Based Satellite-Based Forest Canopy Density &amp; Wildlife Corridor Spatial Monitoring</t>
        </is>
      </c>
      <c r="E1795" s="7" t="inlineStr">
        <is>
          <t>STATE FOREST &amp; ENVIRONMENT DEPARTMENT</t>
        </is>
      </c>
      <c r="F1795" s="6" t="inlineStr">
        <is>
          <t>17 Oct 2026</t>
        </is>
      </c>
      <c r="G1795" s="5" t="inlineStr">
        <is>
          <t>15 Nov 2026</t>
        </is>
      </c>
      <c r="H1795" s="17" t="inlineStr">
        <is>
          <t>🟢 LIVE ACTIVE</t>
        </is>
      </c>
      <c r="I1795" s="4" t="inlineStr">
        <is>
          <t>BOQ_Financial_Schedule_2026_KAR_6293199_68.xlsx</t>
        </is>
      </c>
      <c r="J1795" s="6" t="inlineStr">
        <is>
          <t>📊 Excel BOQ</t>
        </is>
      </c>
      <c r="K1795" s="9" t="n">
        <v>2.5</v>
      </c>
      <c r="L1795" s="10">
        <f>HYPERLINK("http://127.0.0.1:8000/api/documents/download?id=3347&amp;attachment=true", "⬇ Download BOQ_Financial_Schedule_2")</f>
        <v/>
      </c>
      <c r="M1795" s="10">
        <f>HYPERLINK("http://localhost:5173/?state=Karnataka&amp;keyword=Forest&amp;tender=2026_KAR_6293199_68", "🚀 Open in Portal")</f>
        <v/>
      </c>
    </row>
    <row r="1796" ht="24" customHeight="1">
      <c r="A1796" s="11" t="inlineStr">
        <is>
          <t>Karnataka</t>
        </is>
      </c>
      <c r="B1796" s="12" t="inlineStr">
        <is>
          <t>Forest</t>
        </is>
      </c>
      <c r="C1796" s="13" t="inlineStr">
        <is>
          <t>2026_KAR_6293199_68</t>
        </is>
      </c>
      <c r="D1796" s="14" t="inlineStr">
        <is>
          <t>Forest-Based Satellite-Based Forest Canopy Density &amp; Wildlife Corridor Spatial Monitoring</t>
        </is>
      </c>
      <c r="E1796" s="14" t="inlineStr">
        <is>
          <t>STATE FOREST &amp; ENVIRONMENT DEPARTMENT</t>
        </is>
      </c>
      <c r="F1796" s="13" t="inlineStr">
        <is>
          <t>17 Oct 2026</t>
        </is>
      </c>
      <c r="G1796" s="12" t="inlineStr">
        <is>
          <t>15 Nov 2026</t>
        </is>
      </c>
      <c r="H1796" s="17" t="inlineStr">
        <is>
          <t>🟢 LIVE ACTIVE</t>
        </is>
      </c>
      <c r="I1796" s="11" t="inlineStr">
        <is>
          <t>Tender_2026_KAR_6293199_68_All_Documents.zip</t>
        </is>
      </c>
      <c r="J1796" s="13" t="inlineStr">
        <is>
          <t>📦 ZIP Package</t>
        </is>
      </c>
      <c r="K1796" s="15" t="n">
        <v>45</v>
      </c>
      <c r="L1796" s="16">
        <f>HYPERLINK("https://kppp.karnataka.gov.in/tender/2026_KAR_6293199_68", "⬇ Download Tender_2026_KAR_6293199_")</f>
        <v/>
      </c>
      <c r="M1796" s="16">
        <f>HYPERLINK("http://localhost:5173/?state=Karnataka&amp;keyword=Forest&amp;tender=2026_KAR_6293199_68", "🚀 Open in Portal")</f>
        <v/>
      </c>
    </row>
    <row r="1797" ht="24" customHeight="1">
      <c r="A1797" s="4" t="inlineStr">
        <is>
          <t>Karnataka</t>
        </is>
      </c>
      <c r="B1797" s="5" t="inlineStr">
        <is>
          <t>Climate Change</t>
        </is>
      </c>
      <c r="C1797" s="6" t="inlineStr">
        <is>
          <t>KPPP-AGRI-2026-1189</t>
        </is>
      </c>
      <c r="D1797" s="7" t="inlineStr">
        <is>
          <t>Supply of Smart Agriculture Drone Surveillance &amp; Crop Health Diagnostic Solutions</t>
        </is>
      </c>
      <c r="E1797" s="7" t="inlineStr">
        <is>
          <t>DEPARTMENT OF AGRICULTURE-Government of Karnataka</t>
        </is>
      </c>
      <c r="F1797" s="6" t="inlineStr">
        <is>
          <t>20 Aug 2026</t>
        </is>
      </c>
      <c r="G1797" s="5" t="inlineStr">
        <is>
          <t>19 Sep 2026</t>
        </is>
      </c>
      <c r="H1797" s="8" t="inlineStr">
        <is>
          <t>⏳ UPCOMING</t>
        </is>
      </c>
      <c r="I1797" s="4" t="inlineStr">
        <is>
          <t>Smart_Agri_Drone_Tender_Doc.pdf</t>
        </is>
      </c>
      <c r="J1797" s="6" t="inlineStr">
        <is>
          <t>📕 PDF Document</t>
        </is>
      </c>
      <c r="K1797" s="9" t="n">
        <v>17.9</v>
      </c>
      <c r="L1797" s="10">
        <f>HYPERLINK("http://127.0.0.1:8000/api/documents/download?id=2789&amp;attachment=true", "⬇ Download Smart_Agri_Drone_Tender_")</f>
        <v/>
      </c>
      <c r="M1797" s="10">
        <f>HYPERLINK("http://localhost:5173/?state=Karnataka&amp;keyword=Climate%20Change&amp;tender=KPPP-AGRI-2026-1189", "🚀 Open in Portal")</f>
        <v/>
      </c>
    </row>
    <row r="1798" ht="24" customHeight="1">
      <c r="A1798" s="11" t="inlineStr">
        <is>
          <t>Karnataka</t>
        </is>
      </c>
      <c r="B1798" s="12" t="inlineStr">
        <is>
          <t>Climate Change</t>
        </is>
      </c>
      <c r="C1798" s="13" t="inlineStr">
        <is>
          <t>KPPP-AGRI-2026-1189</t>
        </is>
      </c>
      <c r="D1798" s="14" t="inlineStr">
        <is>
          <t>Supply of Smart Agriculture Drone Surveillance &amp; Crop Health Diagnostic Solutions</t>
        </is>
      </c>
      <c r="E1798" s="14" t="inlineStr">
        <is>
          <t>DEPARTMENT OF AGRICULTURE-Government of Karnataka</t>
        </is>
      </c>
      <c r="F1798" s="13" t="inlineStr">
        <is>
          <t>20 Aug 2026</t>
        </is>
      </c>
      <c r="G1798" s="12" t="inlineStr">
        <is>
          <t>19 Sep 2026</t>
        </is>
      </c>
      <c r="H1798" s="8" t="inlineStr">
        <is>
          <t>⏳ UPCOMING</t>
        </is>
      </c>
      <c r="I1798" s="11" t="inlineStr">
        <is>
          <t>Technical_Specs_Agri_Sensors.pdf</t>
        </is>
      </c>
      <c r="J1798" s="13" t="inlineStr">
        <is>
          <t>📕 PDF Document</t>
        </is>
      </c>
      <c r="K1798" s="15" t="n">
        <v>17.9</v>
      </c>
      <c r="L1798" s="16">
        <f>HYPERLINK("http://127.0.0.1:8000/api/documents/download?id=2790&amp;attachment=true", "⬇ Download Technical_Specs_Agri_Sen")</f>
        <v/>
      </c>
      <c r="M1798" s="16">
        <f>HYPERLINK("http://localhost:5173/?state=Karnataka&amp;keyword=Climate%20Change&amp;tender=KPPP-AGRI-2026-1189", "🚀 Open in Portal")</f>
        <v/>
      </c>
    </row>
    <row r="1799" ht="24" customHeight="1">
      <c r="A1799" s="4" t="inlineStr">
        <is>
          <t>Karnataka</t>
        </is>
      </c>
      <c r="B1799" s="5" t="inlineStr">
        <is>
          <t>Climate Change</t>
        </is>
      </c>
      <c r="C1799" s="6" t="inlineStr">
        <is>
          <t>KPPP-AGRI-2026-1189</t>
        </is>
      </c>
      <c r="D1799" s="7" t="inlineStr">
        <is>
          <t>Supply of Smart Agriculture Drone Surveillance &amp; Crop Health Diagnostic Solutions</t>
        </is>
      </c>
      <c r="E1799" s="7" t="inlineStr">
        <is>
          <t>DEPARTMENT OF AGRICULTURE-Government of Karnataka</t>
        </is>
      </c>
      <c r="F1799" s="6" t="inlineStr">
        <is>
          <t>20 Aug 2026</t>
        </is>
      </c>
      <c r="G1799" s="5" t="inlineStr">
        <is>
          <t>19 Sep 2026</t>
        </is>
      </c>
      <c r="H1799" s="8" t="inlineStr">
        <is>
          <t>⏳ UPCOMING</t>
        </is>
      </c>
      <c r="I1799" s="4" t="inlineStr">
        <is>
          <t>Commercial_Bid_Format.xlsx</t>
        </is>
      </c>
      <c r="J1799" s="6" t="inlineStr">
        <is>
          <t>📊 Excel BOQ</t>
        </is>
      </c>
      <c r="K1799" s="9" t="n">
        <v>2.4</v>
      </c>
      <c r="L1799" s="10">
        <f>HYPERLINK("http://127.0.0.1:8000/api/documents/download?id=2791&amp;attachment=true", "⬇ Download Commercial_Bid_Format.xl")</f>
        <v/>
      </c>
      <c r="M1799" s="10">
        <f>HYPERLINK("http://localhost:5173/?state=Karnataka&amp;keyword=Climate%20Change&amp;tender=KPPP-AGRI-2026-1189", "🚀 Open in Portal")</f>
        <v/>
      </c>
    </row>
    <row r="1800" ht="24" customHeight="1">
      <c r="A1800" s="11" t="inlineStr">
        <is>
          <t>Karnataka</t>
        </is>
      </c>
      <c r="B1800" s="12" t="inlineStr">
        <is>
          <t>Climate Change</t>
        </is>
      </c>
      <c r="C1800" s="13" t="inlineStr">
        <is>
          <t>KPPP-AGRI-2026-1189</t>
        </is>
      </c>
      <c r="D1800" s="14" t="inlineStr">
        <is>
          <t>Supply of Smart Agriculture Drone Surveillance &amp; Crop Health Diagnostic Solutions</t>
        </is>
      </c>
      <c r="E1800" s="14" t="inlineStr">
        <is>
          <t>DEPARTMENT OF AGRICULTURE-Government of Karnataka</t>
        </is>
      </c>
      <c r="F1800" s="13" t="inlineStr">
        <is>
          <t>20 Aug 2026</t>
        </is>
      </c>
      <c r="G1800" s="12" t="inlineStr">
        <is>
          <t>19 Sep 2026</t>
        </is>
      </c>
      <c r="H1800" s="8" t="inlineStr">
        <is>
          <t>⏳ UPCOMING</t>
        </is>
      </c>
      <c r="I1800" s="11" t="inlineStr">
        <is>
          <t>Tender_KPPP-AGRI-2026-1189_All_Documents.zip</t>
        </is>
      </c>
      <c r="J1800" s="13" t="inlineStr">
        <is>
          <t>📦 ZIP Package</t>
        </is>
      </c>
      <c r="K1800" s="15" t="n">
        <v>20.8</v>
      </c>
      <c r="L1800" s="16">
        <f>HYPERLINK("http://127.0.0.1:8000/api/documents/download?id=3003&amp;attachment=true", "⬇ Download Tender_KPPP-AGRI-2026-11")</f>
        <v/>
      </c>
      <c r="M1800" s="16">
        <f>HYPERLINK("http://localhost:5173/?state=Karnataka&amp;keyword=Climate%20Change&amp;tender=KPPP-AGRI-2026-1189", "🚀 Open in Portal")</f>
        <v/>
      </c>
    </row>
    <row r="1801" ht="24" customHeight="1">
      <c r="A1801" s="4" t="inlineStr">
        <is>
          <t>Karnataka</t>
        </is>
      </c>
      <c r="B1801" s="5" t="inlineStr">
        <is>
          <t>Environment</t>
        </is>
      </c>
      <c r="C1801" s="6" t="inlineStr">
        <is>
          <t>KPPP-AGRI-2026-1189</t>
        </is>
      </c>
      <c r="D1801" s="7" t="inlineStr">
        <is>
          <t>Supply of Smart Agriculture Drone Surveillance &amp; Crop Health Diagnostic Solutions</t>
        </is>
      </c>
      <c r="E1801" s="7" t="inlineStr">
        <is>
          <t>DEPARTMENT OF AGRICULTURE-Government of Karnataka</t>
        </is>
      </c>
      <c r="F1801" s="6" t="inlineStr">
        <is>
          <t>20 Aug 2026</t>
        </is>
      </c>
      <c r="G1801" s="5" t="inlineStr">
        <is>
          <t>19 Sep 2026</t>
        </is>
      </c>
      <c r="H1801" s="8" t="inlineStr">
        <is>
          <t>⏳ UPCOMING</t>
        </is>
      </c>
      <c r="I1801" s="4" t="inlineStr">
        <is>
          <t>Smart_Agri_Drone_Tender_Doc.pdf</t>
        </is>
      </c>
      <c r="J1801" s="6" t="inlineStr">
        <is>
          <t>📕 PDF Document</t>
        </is>
      </c>
      <c r="K1801" s="9" t="n">
        <v>17.9</v>
      </c>
      <c r="L1801" s="10">
        <f>HYPERLINK("http://127.0.0.1:8000/api/documents/download?id=2789&amp;attachment=true", "⬇ Download Smart_Agri_Drone_Tender_")</f>
        <v/>
      </c>
      <c r="M1801" s="10">
        <f>HYPERLINK("http://localhost:5173/?state=Karnataka&amp;keyword=Environment&amp;tender=KPPP-AGRI-2026-1189", "🚀 Open in Portal")</f>
        <v/>
      </c>
    </row>
    <row r="1802" ht="24" customHeight="1">
      <c r="A1802" s="11" t="inlineStr">
        <is>
          <t>Karnataka</t>
        </is>
      </c>
      <c r="B1802" s="12" t="inlineStr">
        <is>
          <t>Environment</t>
        </is>
      </c>
      <c r="C1802" s="13" t="inlineStr">
        <is>
          <t>KPPP-AGRI-2026-1189</t>
        </is>
      </c>
      <c r="D1802" s="14" t="inlineStr">
        <is>
          <t>Supply of Smart Agriculture Drone Surveillance &amp; Crop Health Diagnostic Solutions</t>
        </is>
      </c>
      <c r="E1802" s="14" t="inlineStr">
        <is>
          <t>DEPARTMENT OF AGRICULTURE-Government of Karnataka</t>
        </is>
      </c>
      <c r="F1802" s="13" t="inlineStr">
        <is>
          <t>20 Aug 2026</t>
        </is>
      </c>
      <c r="G1802" s="12" t="inlineStr">
        <is>
          <t>19 Sep 2026</t>
        </is>
      </c>
      <c r="H1802" s="8" t="inlineStr">
        <is>
          <t>⏳ UPCOMING</t>
        </is>
      </c>
      <c r="I1802" s="11" t="inlineStr">
        <is>
          <t>Technical_Specs_Agri_Sensors.pdf</t>
        </is>
      </c>
      <c r="J1802" s="13" t="inlineStr">
        <is>
          <t>📕 PDF Document</t>
        </is>
      </c>
      <c r="K1802" s="15" t="n">
        <v>17.9</v>
      </c>
      <c r="L1802" s="16">
        <f>HYPERLINK("http://127.0.0.1:8000/api/documents/download?id=2790&amp;attachment=true", "⬇ Download Technical_Specs_Agri_Sen")</f>
        <v/>
      </c>
      <c r="M1802" s="16">
        <f>HYPERLINK("http://localhost:5173/?state=Karnataka&amp;keyword=Environment&amp;tender=KPPP-AGRI-2026-1189", "🚀 Open in Portal")</f>
        <v/>
      </c>
    </row>
    <row r="1803" ht="24" customHeight="1">
      <c r="A1803" s="4" t="inlineStr">
        <is>
          <t>Karnataka</t>
        </is>
      </c>
      <c r="B1803" s="5" t="inlineStr">
        <is>
          <t>Environment</t>
        </is>
      </c>
      <c r="C1803" s="6" t="inlineStr">
        <is>
          <t>KPPP-AGRI-2026-1189</t>
        </is>
      </c>
      <c r="D1803" s="7" t="inlineStr">
        <is>
          <t>Supply of Smart Agriculture Drone Surveillance &amp; Crop Health Diagnostic Solutions</t>
        </is>
      </c>
      <c r="E1803" s="7" t="inlineStr">
        <is>
          <t>DEPARTMENT OF AGRICULTURE-Government of Karnataka</t>
        </is>
      </c>
      <c r="F1803" s="6" t="inlineStr">
        <is>
          <t>20 Aug 2026</t>
        </is>
      </c>
      <c r="G1803" s="5" t="inlineStr">
        <is>
          <t>19 Sep 2026</t>
        </is>
      </c>
      <c r="H1803" s="8" t="inlineStr">
        <is>
          <t>⏳ UPCOMING</t>
        </is>
      </c>
      <c r="I1803" s="4" t="inlineStr">
        <is>
          <t>Commercial_Bid_Format.xlsx</t>
        </is>
      </c>
      <c r="J1803" s="6" t="inlineStr">
        <is>
          <t>📊 Excel BOQ</t>
        </is>
      </c>
      <c r="K1803" s="9" t="n">
        <v>2.4</v>
      </c>
      <c r="L1803" s="10">
        <f>HYPERLINK("http://127.0.0.1:8000/api/documents/download?id=2791&amp;attachment=true", "⬇ Download Commercial_Bid_Format.xl")</f>
        <v/>
      </c>
      <c r="M1803" s="10">
        <f>HYPERLINK("http://localhost:5173/?state=Karnataka&amp;keyword=Environment&amp;tender=KPPP-AGRI-2026-1189", "🚀 Open in Portal")</f>
        <v/>
      </c>
    </row>
    <row r="1804" ht="24" customHeight="1">
      <c r="A1804" s="11" t="inlineStr">
        <is>
          <t>Karnataka</t>
        </is>
      </c>
      <c r="B1804" s="12" t="inlineStr">
        <is>
          <t>Environment</t>
        </is>
      </c>
      <c r="C1804" s="13" t="inlineStr">
        <is>
          <t>KPPP-AGRI-2026-1189</t>
        </is>
      </c>
      <c r="D1804" s="14" t="inlineStr">
        <is>
          <t>Supply of Smart Agriculture Drone Surveillance &amp; Crop Health Diagnostic Solutions</t>
        </is>
      </c>
      <c r="E1804" s="14" t="inlineStr">
        <is>
          <t>DEPARTMENT OF AGRICULTURE-Government of Karnataka</t>
        </is>
      </c>
      <c r="F1804" s="13" t="inlineStr">
        <is>
          <t>20 Aug 2026</t>
        </is>
      </c>
      <c r="G1804" s="12" t="inlineStr">
        <is>
          <t>19 Sep 2026</t>
        </is>
      </c>
      <c r="H1804" s="8" t="inlineStr">
        <is>
          <t>⏳ UPCOMING</t>
        </is>
      </c>
      <c r="I1804" s="11" t="inlineStr">
        <is>
          <t>Tender_KPPP-AGRI-2026-1189_All_Documents.zip</t>
        </is>
      </c>
      <c r="J1804" s="13" t="inlineStr">
        <is>
          <t>📦 ZIP Package</t>
        </is>
      </c>
      <c r="K1804" s="15" t="n">
        <v>20.8</v>
      </c>
      <c r="L1804" s="16">
        <f>HYPERLINK("http://127.0.0.1:8000/api/documents/download?id=3003&amp;attachment=true", "⬇ Download Tender_KPPP-AGRI-2026-11")</f>
        <v/>
      </c>
      <c r="M1804" s="16">
        <f>HYPERLINK("http://localhost:5173/?state=Karnataka&amp;keyword=Environment&amp;tender=KPPP-AGRI-2026-1189", "🚀 Open in Portal")</f>
        <v/>
      </c>
    </row>
    <row r="1805" ht="24" customHeight="1">
      <c r="A1805" s="4" t="inlineStr">
        <is>
          <t>Karnataka</t>
        </is>
      </c>
      <c r="B1805" s="5" t="inlineStr">
        <is>
          <t>Environment</t>
        </is>
      </c>
      <c r="C1805" s="6" t="inlineStr">
        <is>
          <t>KPPP-WRD-2026-6634</t>
        </is>
      </c>
      <c r="D1805" s="7" t="inlineStr">
        <is>
          <t>Real-Time Water Resources Flow Monitoring and SCADA Telemetry System for River Basins</t>
        </is>
      </c>
      <c r="E1805" s="7" t="inlineStr">
        <is>
          <t>WATER RESOURCES DEPARTMENT-Krishna Bhagya Jala Nigam Ltd</t>
        </is>
      </c>
      <c r="F1805" s="6" t="inlineStr">
        <is>
          <t>17 Oct 2026</t>
        </is>
      </c>
      <c r="G1805" s="5" t="inlineStr">
        <is>
          <t>08 Nov 2026</t>
        </is>
      </c>
      <c r="H1805" s="17" t="inlineStr">
        <is>
          <t>🟢 LIVE ACTIVE</t>
        </is>
      </c>
      <c r="I1805" s="4" t="inlineStr">
        <is>
          <t>WRD_Telemetry_SCADA_Tender.pdf</t>
        </is>
      </c>
      <c r="J1805" s="6" t="inlineStr">
        <is>
          <t>📕 PDF Document</t>
        </is>
      </c>
      <c r="K1805" s="9" t="n">
        <v>17.9</v>
      </c>
      <c r="L1805" s="10">
        <f>HYPERLINK("http://127.0.0.1:8000/api/documents/download?id=2795&amp;attachment=true", "⬇ Download WRD_Telemetry_SCADA_Tend")</f>
        <v/>
      </c>
      <c r="M1805" s="10">
        <f>HYPERLINK("http://localhost:5173/?state=Karnataka&amp;keyword=Environment&amp;tender=KPPP-WRD-2026-6634", "🚀 Open in Portal")</f>
        <v/>
      </c>
    </row>
    <row r="1806" ht="24" customHeight="1">
      <c r="A1806" s="11" t="inlineStr">
        <is>
          <t>Karnataka</t>
        </is>
      </c>
      <c r="B1806" s="12" t="inlineStr">
        <is>
          <t>Environment</t>
        </is>
      </c>
      <c r="C1806" s="13" t="inlineStr">
        <is>
          <t>KPPP-WRD-2026-6634</t>
        </is>
      </c>
      <c r="D1806" s="14" t="inlineStr">
        <is>
          <t>Real-Time Water Resources Flow Monitoring and SCADA Telemetry System for River Basins</t>
        </is>
      </c>
      <c r="E1806" s="14" t="inlineStr">
        <is>
          <t>WATER RESOURCES DEPARTMENT-Krishna Bhagya Jala Nigam Ltd</t>
        </is>
      </c>
      <c r="F1806" s="13" t="inlineStr">
        <is>
          <t>17 Oct 2026</t>
        </is>
      </c>
      <c r="G1806" s="12" t="inlineStr">
        <is>
          <t>08 Nov 2026</t>
        </is>
      </c>
      <c r="H1806" s="17" t="inlineStr">
        <is>
          <t>🟢 LIVE ACTIVE</t>
        </is>
      </c>
      <c r="I1806" s="11" t="inlineStr">
        <is>
          <t>Sensor_Calibration_Standards.pdf</t>
        </is>
      </c>
      <c r="J1806" s="13" t="inlineStr">
        <is>
          <t>📕 PDF Document</t>
        </is>
      </c>
      <c r="K1806" s="15" t="n">
        <v>17.9</v>
      </c>
      <c r="L1806" s="16">
        <f>HYPERLINK("http://127.0.0.1:8000/api/documents/download?id=2796&amp;attachment=true", "⬇ Download Sensor_Calibration_Stand")</f>
        <v/>
      </c>
      <c r="M1806" s="16">
        <f>HYPERLINK("http://localhost:5173/?state=Karnataka&amp;keyword=Environment&amp;tender=KPPP-WRD-2026-6634", "🚀 Open in Portal")</f>
        <v/>
      </c>
    </row>
    <row r="1807" ht="24" customHeight="1">
      <c r="A1807" s="4" t="inlineStr">
        <is>
          <t>Karnataka</t>
        </is>
      </c>
      <c r="B1807" s="5" t="inlineStr">
        <is>
          <t>Environment</t>
        </is>
      </c>
      <c r="C1807" s="6" t="inlineStr">
        <is>
          <t>KPPP-WRD-2026-6634</t>
        </is>
      </c>
      <c r="D1807" s="7" t="inlineStr">
        <is>
          <t>Real-Time Water Resources Flow Monitoring and SCADA Telemetry System for River Basins</t>
        </is>
      </c>
      <c r="E1807" s="7" t="inlineStr">
        <is>
          <t>WATER RESOURCES DEPARTMENT-Krishna Bhagya Jala Nigam Ltd</t>
        </is>
      </c>
      <c r="F1807" s="6" t="inlineStr">
        <is>
          <t>17 Oct 2026</t>
        </is>
      </c>
      <c r="G1807" s="5" t="inlineStr">
        <is>
          <t>08 Nov 2026</t>
        </is>
      </c>
      <c r="H1807" s="17" t="inlineStr">
        <is>
          <t>🟢 LIVE ACTIVE</t>
        </is>
      </c>
      <c r="I1807" s="4" t="inlineStr">
        <is>
          <t>Tender_KPPP-WRD-2026-6634_All_Documents.zip</t>
        </is>
      </c>
      <c r="J1807" s="6" t="inlineStr">
        <is>
          <t>📦 ZIP Package</t>
        </is>
      </c>
      <c r="K1807" s="9" t="n">
        <v>18.6</v>
      </c>
      <c r="L1807" s="10">
        <f>HYPERLINK("http://127.0.0.1:8000/api/documents/download?id=3005&amp;attachment=true", "⬇ Download Tender_KPPP-WRD-2026-663")</f>
        <v/>
      </c>
      <c r="M1807" s="10">
        <f>HYPERLINK("http://localhost:5173/?state=Karnataka&amp;keyword=Environment&amp;tender=KPPP-WRD-2026-6634", "🚀 Open in Portal")</f>
        <v/>
      </c>
    </row>
    <row r="1808" ht="24" customHeight="1">
      <c r="A1808" s="11" t="inlineStr">
        <is>
          <t>Karnataka</t>
        </is>
      </c>
      <c r="B1808" s="12" t="inlineStr">
        <is>
          <t>Water Resources</t>
        </is>
      </c>
      <c r="C1808" s="13" t="inlineStr">
        <is>
          <t>KPPP-WRD-2026-6634</t>
        </is>
      </c>
      <c r="D1808" s="14" t="inlineStr">
        <is>
          <t>Real-Time Water Resources Flow Monitoring and SCADA Telemetry System for River Basins</t>
        </is>
      </c>
      <c r="E1808" s="14" t="inlineStr">
        <is>
          <t>WATER RESOURCES DEPARTMENT-Krishna Bhagya Jala Nigam Ltd</t>
        </is>
      </c>
      <c r="F1808" s="13" t="inlineStr">
        <is>
          <t>17 Oct 2026</t>
        </is>
      </c>
      <c r="G1808" s="12" t="inlineStr">
        <is>
          <t>08 Nov 2026</t>
        </is>
      </c>
      <c r="H1808" s="17" t="inlineStr">
        <is>
          <t>🟢 LIVE ACTIVE</t>
        </is>
      </c>
      <c r="I1808" s="11" t="inlineStr">
        <is>
          <t>WRD_Telemetry_SCADA_Tender.pdf</t>
        </is>
      </c>
      <c r="J1808" s="13" t="inlineStr">
        <is>
          <t>📕 PDF Document</t>
        </is>
      </c>
      <c r="K1808" s="15" t="n">
        <v>17.9</v>
      </c>
      <c r="L1808" s="16">
        <f>HYPERLINK("http://127.0.0.1:8000/api/documents/download?id=2795&amp;attachment=true", "⬇ Download WRD_Telemetry_SCADA_Tend")</f>
        <v/>
      </c>
      <c r="M1808" s="16">
        <f>HYPERLINK("http://localhost:5173/?state=Karnataka&amp;keyword=Water%20Resources&amp;tender=KPPP-WRD-2026-6634", "🚀 Open in Portal")</f>
        <v/>
      </c>
    </row>
    <row r="1809" ht="24" customHeight="1">
      <c r="A1809" s="4" t="inlineStr">
        <is>
          <t>Karnataka</t>
        </is>
      </c>
      <c r="B1809" s="5" t="inlineStr">
        <is>
          <t>Water Resources</t>
        </is>
      </c>
      <c r="C1809" s="6" t="inlineStr">
        <is>
          <t>KPPP-WRD-2026-6634</t>
        </is>
      </c>
      <c r="D1809" s="7" t="inlineStr">
        <is>
          <t>Real-Time Water Resources Flow Monitoring and SCADA Telemetry System for River Basins</t>
        </is>
      </c>
      <c r="E1809" s="7" t="inlineStr">
        <is>
          <t>WATER RESOURCES DEPARTMENT-Krishna Bhagya Jala Nigam Ltd</t>
        </is>
      </c>
      <c r="F1809" s="6" t="inlineStr">
        <is>
          <t>17 Oct 2026</t>
        </is>
      </c>
      <c r="G1809" s="5" t="inlineStr">
        <is>
          <t>08 Nov 2026</t>
        </is>
      </c>
      <c r="H1809" s="17" t="inlineStr">
        <is>
          <t>🟢 LIVE ACTIVE</t>
        </is>
      </c>
      <c r="I1809" s="4" t="inlineStr">
        <is>
          <t>Sensor_Calibration_Standards.pdf</t>
        </is>
      </c>
      <c r="J1809" s="6" t="inlineStr">
        <is>
          <t>📕 PDF Document</t>
        </is>
      </c>
      <c r="K1809" s="9" t="n">
        <v>17.9</v>
      </c>
      <c r="L1809" s="10">
        <f>HYPERLINK("http://127.0.0.1:8000/api/documents/download?id=2796&amp;attachment=true", "⬇ Download Sensor_Calibration_Stand")</f>
        <v/>
      </c>
      <c r="M1809" s="10">
        <f>HYPERLINK("http://localhost:5173/?state=Karnataka&amp;keyword=Water%20Resources&amp;tender=KPPP-WRD-2026-6634", "🚀 Open in Portal")</f>
        <v/>
      </c>
    </row>
    <row r="1810" ht="24" customHeight="1">
      <c r="A1810" s="11" t="inlineStr">
        <is>
          <t>Karnataka</t>
        </is>
      </c>
      <c r="B1810" s="12" t="inlineStr">
        <is>
          <t>Water Resources</t>
        </is>
      </c>
      <c r="C1810" s="13" t="inlineStr">
        <is>
          <t>KPPP-WRD-2026-6634</t>
        </is>
      </c>
      <c r="D1810" s="14" t="inlineStr">
        <is>
          <t>Real-Time Water Resources Flow Monitoring and SCADA Telemetry System for River Basins</t>
        </is>
      </c>
      <c r="E1810" s="14" t="inlineStr">
        <is>
          <t>WATER RESOURCES DEPARTMENT-Krishna Bhagya Jala Nigam Ltd</t>
        </is>
      </c>
      <c r="F1810" s="13" t="inlineStr">
        <is>
          <t>17 Oct 2026</t>
        </is>
      </c>
      <c r="G1810" s="12" t="inlineStr">
        <is>
          <t>08 Nov 2026</t>
        </is>
      </c>
      <c r="H1810" s="17" t="inlineStr">
        <is>
          <t>🟢 LIVE ACTIVE</t>
        </is>
      </c>
      <c r="I1810" s="11" t="inlineStr">
        <is>
          <t>Tender_KPPP-WRD-2026-6634_All_Documents.zip</t>
        </is>
      </c>
      <c r="J1810" s="13" t="inlineStr">
        <is>
          <t>📦 ZIP Package</t>
        </is>
      </c>
      <c r="K1810" s="15" t="n">
        <v>18.6</v>
      </c>
      <c r="L1810" s="16">
        <f>HYPERLINK("http://127.0.0.1:8000/api/documents/download?id=3005&amp;attachment=true", "⬇ Download Tender_KPPP-WRD-2026-663")</f>
        <v/>
      </c>
      <c r="M1810" s="16">
        <f>HYPERLINK("http://localhost:5173/?state=Karnataka&amp;keyword=Water%20Resources&amp;tender=KPPP-WRD-2026-6634", "🚀 Open in Portal")</f>
        <v/>
      </c>
    </row>
    <row r="1811" ht="24" customHeight="1">
      <c r="A1811" s="4" t="inlineStr">
        <is>
          <t>Karnataka</t>
        </is>
      </c>
      <c r="B1811" s="5" t="inlineStr">
        <is>
          <t>Health</t>
        </is>
      </c>
      <c r="C1811" s="6" t="inlineStr">
        <is>
          <t>KPPP-HEALTH-2026-3390</t>
        </is>
      </c>
      <c r="D1811" s="7" t="inlineStr">
        <is>
          <t>Comprehensive Hospital Management Information System (HMIS) &amp; Health EHR Platform</t>
        </is>
      </c>
      <c r="E1811" s="7" t="inlineStr">
        <is>
          <t>HEALTH &amp; FAMILY WELFARE SERVICES-Arogya Soudha, Bengaluru</t>
        </is>
      </c>
      <c r="F1811" s="6" t="inlineStr">
        <is>
          <t>16 Aug 2026</t>
        </is>
      </c>
      <c r="G1811" s="5" t="inlineStr">
        <is>
          <t>07 Sep 2026</t>
        </is>
      </c>
      <c r="H1811" s="8" t="inlineStr">
        <is>
          <t>⏳ UPCOMING</t>
        </is>
      </c>
      <c r="I1811" s="4" t="inlineStr">
        <is>
          <t>Karnataka_HMIS_RFP_Specification.pdf</t>
        </is>
      </c>
      <c r="J1811" s="6" t="inlineStr">
        <is>
          <t>📕 PDF Document</t>
        </is>
      </c>
      <c r="K1811" s="9" t="n">
        <v>17.9</v>
      </c>
      <c r="L1811" s="10">
        <f>HYPERLINK("http://127.0.0.1:8000/api/documents/download?id=2797&amp;attachment=true", "⬇ Download Karnataka_HMIS_RFP_Speci")</f>
        <v/>
      </c>
      <c r="M1811" s="10">
        <f>HYPERLINK("http://localhost:5173/?state=Karnataka&amp;keyword=Health&amp;tender=KPPP-HEALTH-2026-3390", "🚀 Open in Portal")</f>
        <v/>
      </c>
    </row>
    <row r="1812" ht="24" customHeight="1">
      <c r="A1812" s="11" t="inlineStr">
        <is>
          <t>Karnataka</t>
        </is>
      </c>
      <c r="B1812" s="12" t="inlineStr">
        <is>
          <t>Health</t>
        </is>
      </c>
      <c r="C1812" s="13" t="inlineStr">
        <is>
          <t>KPPP-HEALTH-2026-3390</t>
        </is>
      </c>
      <c r="D1812" s="14" t="inlineStr">
        <is>
          <t>Comprehensive Hospital Management Information System (HMIS) &amp; Health EHR Platform</t>
        </is>
      </c>
      <c r="E1812" s="14" t="inlineStr">
        <is>
          <t>HEALTH &amp; FAMILY WELFARE SERVICES-Arogya Soudha, Bengaluru</t>
        </is>
      </c>
      <c r="F1812" s="13" t="inlineStr">
        <is>
          <t>16 Aug 2026</t>
        </is>
      </c>
      <c r="G1812" s="12" t="inlineStr">
        <is>
          <t>07 Sep 2026</t>
        </is>
      </c>
      <c r="H1812" s="8" t="inlineStr">
        <is>
          <t>⏳ UPCOMING</t>
        </is>
      </c>
      <c r="I1812" s="11" t="inlineStr">
        <is>
          <t>EHR_Interoperability_Compliance.pdf</t>
        </is>
      </c>
      <c r="J1812" s="13" t="inlineStr">
        <is>
          <t>📕 PDF Document</t>
        </is>
      </c>
      <c r="K1812" s="15" t="n">
        <v>17.9</v>
      </c>
      <c r="L1812" s="16">
        <f>HYPERLINK("http://127.0.0.1:8000/api/documents/download?id=2798&amp;attachment=true", "⬇ Download EHR_Interoperability_Com")</f>
        <v/>
      </c>
      <c r="M1812" s="16">
        <f>HYPERLINK("http://localhost:5173/?state=Karnataka&amp;keyword=Health&amp;tender=KPPP-HEALTH-2026-3390", "🚀 Open in Portal")</f>
        <v/>
      </c>
    </row>
    <row r="1813" ht="24" customHeight="1">
      <c r="A1813" s="4" t="inlineStr">
        <is>
          <t>Karnataka</t>
        </is>
      </c>
      <c r="B1813" s="5" t="inlineStr">
        <is>
          <t>Health</t>
        </is>
      </c>
      <c r="C1813" s="6" t="inlineStr">
        <is>
          <t>KPPP-HEALTH-2026-3390</t>
        </is>
      </c>
      <c r="D1813" s="7" t="inlineStr">
        <is>
          <t>Comprehensive Hospital Management Information System (HMIS) &amp; Health EHR Platform</t>
        </is>
      </c>
      <c r="E1813" s="7" t="inlineStr">
        <is>
          <t>HEALTH &amp; FAMILY WELFARE SERVICES-Arogya Soudha, Bengaluru</t>
        </is>
      </c>
      <c r="F1813" s="6" t="inlineStr">
        <is>
          <t>16 Aug 2026</t>
        </is>
      </c>
      <c r="G1813" s="5" t="inlineStr">
        <is>
          <t>07 Sep 2026</t>
        </is>
      </c>
      <c r="H1813" s="8" t="inlineStr">
        <is>
          <t>⏳ UPCOMING</t>
        </is>
      </c>
      <c r="I1813" s="4" t="inlineStr">
        <is>
          <t>Bid_Schedule_and_Evaluation.pdf</t>
        </is>
      </c>
      <c r="J1813" s="6" t="inlineStr">
        <is>
          <t>📕 PDF Document</t>
        </is>
      </c>
      <c r="K1813" s="9" t="n">
        <v>17.9</v>
      </c>
      <c r="L1813" s="10">
        <f>HYPERLINK("http://127.0.0.1:8000/api/documents/download?id=2799&amp;attachment=true", "⬇ Download Bid_Schedule_and_Evaluat")</f>
        <v/>
      </c>
      <c r="M1813" s="10">
        <f>HYPERLINK("http://localhost:5173/?state=Karnataka&amp;keyword=Health&amp;tender=KPPP-HEALTH-2026-3390", "🚀 Open in Portal")</f>
        <v/>
      </c>
    </row>
    <row r="1814" ht="24" customHeight="1">
      <c r="A1814" s="11" t="inlineStr">
        <is>
          <t>Karnataka</t>
        </is>
      </c>
      <c r="B1814" s="12" t="inlineStr">
        <is>
          <t>Health</t>
        </is>
      </c>
      <c r="C1814" s="13" t="inlineStr">
        <is>
          <t>KPPP-HEALTH-2026-3390</t>
        </is>
      </c>
      <c r="D1814" s="14" t="inlineStr">
        <is>
          <t>Comprehensive Hospital Management Information System (HMIS) &amp; Health EHR Platform</t>
        </is>
      </c>
      <c r="E1814" s="14" t="inlineStr">
        <is>
          <t>HEALTH &amp; FAMILY WELFARE SERVICES-Arogya Soudha, Bengaluru</t>
        </is>
      </c>
      <c r="F1814" s="13" t="inlineStr">
        <is>
          <t>16 Aug 2026</t>
        </is>
      </c>
      <c r="G1814" s="12" t="inlineStr">
        <is>
          <t>07 Sep 2026</t>
        </is>
      </c>
      <c r="H1814" s="8" t="inlineStr">
        <is>
          <t>⏳ UPCOMING</t>
        </is>
      </c>
      <c r="I1814" s="11" t="inlineStr">
        <is>
          <t>Tender_KPPP-HEALTH-2026-3390_All_Documents.zip</t>
        </is>
      </c>
      <c r="J1814" s="13" t="inlineStr">
        <is>
          <t>📦 ZIP Package</t>
        </is>
      </c>
      <c r="K1814" s="15" t="n">
        <v>28</v>
      </c>
      <c r="L1814" s="16">
        <f>HYPERLINK("http://127.0.0.1:8000/api/documents/download?id=3006&amp;attachment=true", "⬇ Download Tender_KPPP-HEALTH-2026-")</f>
        <v/>
      </c>
      <c r="M1814" s="16">
        <f>HYPERLINK("http://localhost:5173/?state=Karnataka&amp;keyword=Health&amp;tender=KPPP-HEALTH-2026-3390", "🚀 Open in Portal")</f>
        <v/>
      </c>
    </row>
    <row r="1815" ht="24" customHeight="1">
      <c r="A1815" s="4" t="inlineStr">
        <is>
          <t>Karnataka</t>
        </is>
      </c>
      <c r="B1815" s="5" t="inlineStr">
        <is>
          <t>Spatial</t>
        </is>
      </c>
      <c r="C1815" s="6" t="inlineStr">
        <is>
          <t>KPPP-RDPR-2026-4412</t>
        </is>
      </c>
      <c r="D1815" s="7" t="inlineStr">
        <is>
          <t>Establishment of GIS-based Village Asset Information &amp; Spatial Planning System</t>
        </is>
      </c>
      <c r="E1815" s="7" t="inlineStr">
        <is>
          <t>RURAL DEVELOPMENT &amp; PANCHAYAT RAJ-Karnataka KPPP</t>
        </is>
      </c>
      <c r="F1815" s="6" t="inlineStr">
        <is>
          <t>22 Jul 2026</t>
        </is>
      </c>
      <c r="G1815" s="5" t="inlineStr">
        <is>
          <t>14 Aug 2026</t>
        </is>
      </c>
      <c r="H1815" s="8" t="inlineStr">
        <is>
          <t>⏳ UPCOMING</t>
        </is>
      </c>
      <c r="I1815" s="4" t="inlineStr">
        <is>
          <t>KPPP_Village_Asset_GIS_RFP.pdf</t>
        </is>
      </c>
      <c r="J1815" s="6" t="inlineStr">
        <is>
          <t>📕 PDF Document</t>
        </is>
      </c>
      <c r="K1815" s="9" t="n">
        <v>17.9</v>
      </c>
      <c r="L1815" s="10">
        <f>HYPERLINK("http://127.0.0.1:8000/api/documents/download?id=2786&amp;attachment=true", "⬇ Download KPPP_Village_Asset_GIS_R")</f>
        <v/>
      </c>
      <c r="M1815" s="10">
        <f>HYPERLINK("http://localhost:5173/?state=Karnataka&amp;keyword=Spatial&amp;tender=KPPP-RDPR-2026-4412", "🚀 Open in Portal")</f>
        <v/>
      </c>
    </row>
    <row r="1816" ht="24" customHeight="1">
      <c r="A1816" s="11" t="inlineStr">
        <is>
          <t>Karnataka</t>
        </is>
      </c>
      <c r="B1816" s="12" t="inlineStr">
        <is>
          <t>Spatial</t>
        </is>
      </c>
      <c r="C1816" s="13" t="inlineStr">
        <is>
          <t>KPPP-RDPR-2026-4412</t>
        </is>
      </c>
      <c r="D1816" s="14" t="inlineStr">
        <is>
          <t>Establishment of GIS-based Village Asset Information &amp; Spatial Planning System</t>
        </is>
      </c>
      <c r="E1816" s="14" t="inlineStr">
        <is>
          <t>RURAL DEVELOPMENT &amp; PANCHAYAT RAJ-Karnataka KPPP</t>
        </is>
      </c>
      <c r="F1816" s="13" t="inlineStr">
        <is>
          <t>22 Jul 2026</t>
        </is>
      </c>
      <c r="G1816" s="12" t="inlineStr">
        <is>
          <t>14 Aug 2026</t>
        </is>
      </c>
      <c r="H1816" s="8" t="inlineStr">
        <is>
          <t>⏳ UPCOMING</t>
        </is>
      </c>
      <c r="I1816" s="11" t="inlineStr">
        <is>
          <t>Standard_Tender_Document_KW4.pdf</t>
        </is>
      </c>
      <c r="J1816" s="13" t="inlineStr">
        <is>
          <t>📕 PDF Document</t>
        </is>
      </c>
      <c r="K1816" s="15" t="n">
        <v>17.9</v>
      </c>
      <c r="L1816" s="16">
        <f>HYPERLINK("http://127.0.0.1:8000/api/documents/download?id=2787&amp;attachment=true", "⬇ Download Standard_Tender_Document")</f>
        <v/>
      </c>
      <c r="M1816" s="16">
        <f>HYPERLINK("http://localhost:5173/?state=Karnataka&amp;keyword=Spatial&amp;tender=KPPP-RDPR-2026-4412", "🚀 Open in Portal")</f>
        <v/>
      </c>
    </row>
    <row r="1817" ht="24" customHeight="1">
      <c r="A1817" s="4" t="inlineStr">
        <is>
          <t>Karnataka</t>
        </is>
      </c>
      <c r="B1817" s="5" t="inlineStr">
        <is>
          <t>Spatial</t>
        </is>
      </c>
      <c r="C1817" s="6" t="inlineStr">
        <is>
          <t>KPPP-RDPR-2026-4412</t>
        </is>
      </c>
      <c r="D1817" s="7" t="inlineStr">
        <is>
          <t>Establishment of GIS-based Village Asset Information &amp; Spatial Planning System</t>
        </is>
      </c>
      <c r="E1817" s="7" t="inlineStr">
        <is>
          <t>RURAL DEVELOPMENT &amp; PANCHAYAT RAJ-Karnataka KPPP</t>
        </is>
      </c>
      <c r="F1817" s="6" t="inlineStr">
        <is>
          <t>22 Jul 2026</t>
        </is>
      </c>
      <c r="G1817" s="5" t="inlineStr">
        <is>
          <t>14 Aug 2026</t>
        </is>
      </c>
      <c r="H1817" s="8" t="inlineStr">
        <is>
          <t>⏳ UPCOMING</t>
        </is>
      </c>
      <c r="I1817" s="4" t="inlineStr">
        <is>
          <t>Spatial_Data_Model_V1.pdf</t>
        </is>
      </c>
      <c r="J1817" s="6" t="inlineStr">
        <is>
          <t>📕 PDF Document</t>
        </is>
      </c>
      <c r="K1817" s="9" t="n">
        <v>17.9</v>
      </c>
      <c r="L1817" s="10">
        <f>HYPERLINK("http://127.0.0.1:8000/api/documents/download?id=2788&amp;attachment=true", "⬇ Download Spatial_Data_Model_V1.pd")</f>
        <v/>
      </c>
      <c r="M1817" s="10">
        <f>HYPERLINK("http://localhost:5173/?state=Karnataka&amp;keyword=Spatial&amp;tender=KPPP-RDPR-2026-4412", "🚀 Open in Portal")</f>
        <v/>
      </c>
    </row>
    <row r="1818" ht="24" customHeight="1">
      <c r="A1818" s="11" t="inlineStr">
        <is>
          <t>Karnataka</t>
        </is>
      </c>
      <c r="B1818" s="12" t="inlineStr">
        <is>
          <t>Spatial</t>
        </is>
      </c>
      <c r="C1818" s="13" t="inlineStr">
        <is>
          <t>KPPP-RDPR-2026-4412</t>
        </is>
      </c>
      <c r="D1818" s="14" t="inlineStr">
        <is>
          <t>Establishment of GIS-based Village Asset Information &amp; Spatial Planning System</t>
        </is>
      </c>
      <c r="E1818" s="14" t="inlineStr">
        <is>
          <t>RURAL DEVELOPMENT &amp; PANCHAYAT RAJ-Karnataka KPPP</t>
        </is>
      </c>
      <c r="F1818" s="13" t="inlineStr">
        <is>
          <t>22 Jul 2026</t>
        </is>
      </c>
      <c r="G1818" s="12" t="inlineStr">
        <is>
          <t>14 Aug 2026</t>
        </is>
      </c>
      <c r="H1818" s="8" t="inlineStr">
        <is>
          <t>⏳ UPCOMING</t>
        </is>
      </c>
      <c r="I1818" s="11" t="inlineStr">
        <is>
          <t>Tender_KPPP-RDPR-2026-4412_All_Documents.zip</t>
        </is>
      </c>
      <c r="J1818" s="13" t="inlineStr">
        <is>
          <t>📦 ZIP Package</t>
        </is>
      </c>
      <c r="K1818" s="15" t="n">
        <v>27.8</v>
      </c>
      <c r="L1818" s="16">
        <f>HYPERLINK("http://127.0.0.1:8000/api/documents/download?id=3002&amp;attachment=true", "⬇ Download Tender_KPPP-RDPR-2026-44")</f>
        <v/>
      </c>
      <c r="M1818" s="16">
        <f>HYPERLINK("http://localhost:5173/?state=Karnataka&amp;keyword=Spatial&amp;tender=KPPP-RDPR-2026-4412", "🚀 Open in Portal")</f>
        <v/>
      </c>
    </row>
    <row r="1819" ht="24" customHeight="1">
      <c r="A1819" s="4" t="inlineStr">
        <is>
          <t>Karnataka</t>
        </is>
      </c>
      <c r="B1819" s="5" t="inlineStr">
        <is>
          <t>Software Development</t>
        </is>
      </c>
      <c r="C1819" s="6" t="inlineStr">
        <is>
          <t>KPPP-HEALTH-2026-3390</t>
        </is>
      </c>
      <c r="D1819" s="7" t="inlineStr">
        <is>
          <t>Comprehensive Hospital Management Information System (HMIS) &amp; Health EHR Platform</t>
        </is>
      </c>
      <c r="E1819" s="7" t="inlineStr">
        <is>
          <t>HEALTH &amp; FAMILY WELFARE SERVICES-Arogya Soudha, Bengaluru</t>
        </is>
      </c>
      <c r="F1819" s="6" t="inlineStr">
        <is>
          <t>16 Aug 2026</t>
        </is>
      </c>
      <c r="G1819" s="5" t="inlineStr">
        <is>
          <t>07 Sep 2026</t>
        </is>
      </c>
      <c r="H1819" s="8" t="inlineStr">
        <is>
          <t>⏳ UPCOMING</t>
        </is>
      </c>
      <c r="I1819" s="4" t="inlineStr">
        <is>
          <t>Karnataka_HMIS_RFP_Specification.pdf</t>
        </is>
      </c>
      <c r="J1819" s="6" t="inlineStr">
        <is>
          <t>📕 PDF Document</t>
        </is>
      </c>
      <c r="K1819" s="9" t="n">
        <v>17.9</v>
      </c>
      <c r="L1819" s="10">
        <f>HYPERLINK("http://127.0.0.1:8000/api/documents/download?id=2797&amp;attachment=true", "⬇ Download Karnataka_HMIS_RFP_Speci")</f>
        <v/>
      </c>
      <c r="M1819" s="10">
        <f>HYPERLINK("http://localhost:5173/?state=Karnataka&amp;keyword=Software%20Development&amp;tender=KPPP-HEALTH-2026-3390", "🚀 Open in Portal")</f>
        <v/>
      </c>
    </row>
    <row r="1820" ht="24" customHeight="1">
      <c r="A1820" s="11" t="inlineStr">
        <is>
          <t>Karnataka</t>
        </is>
      </c>
      <c r="B1820" s="12" t="inlineStr">
        <is>
          <t>Software Development</t>
        </is>
      </c>
      <c r="C1820" s="13" t="inlineStr">
        <is>
          <t>KPPP-HEALTH-2026-3390</t>
        </is>
      </c>
      <c r="D1820" s="14" t="inlineStr">
        <is>
          <t>Comprehensive Hospital Management Information System (HMIS) &amp; Health EHR Platform</t>
        </is>
      </c>
      <c r="E1820" s="14" t="inlineStr">
        <is>
          <t>HEALTH &amp; FAMILY WELFARE SERVICES-Arogya Soudha, Bengaluru</t>
        </is>
      </c>
      <c r="F1820" s="13" t="inlineStr">
        <is>
          <t>16 Aug 2026</t>
        </is>
      </c>
      <c r="G1820" s="12" t="inlineStr">
        <is>
          <t>07 Sep 2026</t>
        </is>
      </c>
      <c r="H1820" s="8" t="inlineStr">
        <is>
          <t>⏳ UPCOMING</t>
        </is>
      </c>
      <c r="I1820" s="11" t="inlineStr">
        <is>
          <t>EHR_Interoperability_Compliance.pdf</t>
        </is>
      </c>
      <c r="J1820" s="13" t="inlineStr">
        <is>
          <t>📕 PDF Document</t>
        </is>
      </c>
      <c r="K1820" s="15" t="n">
        <v>17.9</v>
      </c>
      <c r="L1820" s="16">
        <f>HYPERLINK("http://127.0.0.1:8000/api/documents/download?id=2798&amp;attachment=true", "⬇ Download EHR_Interoperability_Com")</f>
        <v/>
      </c>
      <c r="M1820" s="16">
        <f>HYPERLINK("http://localhost:5173/?state=Karnataka&amp;keyword=Software%20Development&amp;tender=KPPP-HEALTH-2026-3390", "🚀 Open in Portal")</f>
        <v/>
      </c>
    </row>
    <row r="1821" ht="24" customHeight="1">
      <c r="A1821" s="4" t="inlineStr">
        <is>
          <t>Karnataka</t>
        </is>
      </c>
      <c r="B1821" s="5" t="inlineStr">
        <is>
          <t>Software Development</t>
        </is>
      </c>
      <c r="C1821" s="6" t="inlineStr">
        <is>
          <t>KPPP-HEALTH-2026-3390</t>
        </is>
      </c>
      <c r="D1821" s="7" t="inlineStr">
        <is>
          <t>Comprehensive Hospital Management Information System (HMIS) &amp; Health EHR Platform</t>
        </is>
      </c>
      <c r="E1821" s="7" t="inlineStr">
        <is>
          <t>HEALTH &amp; FAMILY WELFARE SERVICES-Arogya Soudha, Bengaluru</t>
        </is>
      </c>
      <c r="F1821" s="6" t="inlineStr">
        <is>
          <t>16 Aug 2026</t>
        </is>
      </c>
      <c r="G1821" s="5" t="inlineStr">
        <is>
          <t>07 Sep 2026</t>
        </is>
      </c>
      <c r="H1821" s="8" t="inlineStr">
        <is>
          <t>⏳ UPCOMING</t>
        </is>
      </c>
      <c r="I1821" s="4" t="inlineStr">
        <is>
          <t>Bid_Schedule_and_Evaluation.pdf</t>
        </is>
      </c>
      <c r="J1821" s="6" t="inlineStr">
        <is>
          <t>📕 PDF Document</t>
        </is>
      </c>
      <c r="K1821" s="9" t="n">
        <v>17.9</v>
      </c>
      <c r="L1821" s="10">
        <f>HYPERLINK("http://127.0.0.1:8000/api/documents/download?id=2799&amp;attachment=true", "⬇ Download Bid_Schedule_and_Evaluat")</f>
        <v/>
      </c>
      <c r="M1821" s="10">
        <f>HYPERLINK("http://localhost:5173/?state=Karnataka&amp;keyword=Software%20Development&amp;tender=KPPP-HEALTH-2026-3390", "🚀 Open in Portal")</f>
        <v/>
      </c>
    </row>
    <row r="1822" ht="24" customHeight="1">
      <c r="A1822" s="11" t="inlineStr">
        <is>
          <t>Karnataka</t>
        </is>
      </c>
      <c r="B1822" s="12" t="inlineStr">
        <is>
          <t>Software Development</t>
        </is>
      </c>
      <c r="C1822" s="13" t="inlineStr">
        <is>
          <t>KPPP-HEALTH-2026-3390</t>
        </is>
      </c>
      <c r="D1822" s="14" t="inlineStr">
        <is>
          <t>Comprehensive Hospital Management Information System (HMIS) &amp; Health EHR Platform</t>
        </is>
      </c>
      <c r="E1822" s="14" t="inlineStr">
        <is>
          <t>HEALTH &amp; FAMILY WELFARE SERVICES-Arogya Soudha, Bengaluru</t>
        </is>
      </c>
      <c r="F1822" s="13" t="inlineStr">
        <is>
          <t>16 Aug 2026</t>
        </is>
      </c>
      <c r="G1822" s="12" t="inlineStr">
        <is>
          <t>07 Sep 2026</t>
        </is>
      </c>
      <c r="H1822" s="8" t="inlineStr">
        <is>
          <t>⏳ UPCOMING</t>
        </is>
      </c>
      <c r="I1822" s="11" t="inlineStr">
        <is>
          <t>Tender_KPPP-HEALTH-2026-3390_All_Documents.zip</t>
        </is>
      </c>
      <c r="J1822" s="13" t="inlineStr">
        <is>
          <t>📦 ZIP Package</t>
        </is>
      </c>
      <c r="K1822" s="15" t="n">
        <v>28</v>
      </c>
      <c r="L1822" s="16">
        <f>HYPERLINK("http://127.0.0.1:8000/api/documents/download?id=3006&amp;attachment=true", "⬇ Download Tender_KPPP-HEALTH-2026-")</f>
        <v/>
      </c>
      <c r="M1822" s="16">
        <f>HYPERLINK("http://localhost:5173/?state=Karnataka&amp;keyword=Software%20Development&amp;tender=KPPP-HEALTH-2026-3390", "🚀 Open in Portal")</f>
        <v/>
      </c>
    </row>
    <row r="1823" ht="24" customHeight="1">
      <c r="A1823" s="4" t="inlineStr">
        <is>
          <t>Karnataka</t>
        </is>
      </c>
      <c r="B1823" s="5" t="inlineStr">
        <is>
          <t>Software Development</t>
        </is>
      </c>
      <c r="C1823" s="6" t="inlineStr">
        <is>
          <t>KPPP-ITBT-2026-8821</t>
        </is>
      </c>
      <c r="D1823" s="7" t="inlineStr">
        <is>
          <t>Development of Next-Gen e-Governance Mobile Application and Cloud Citizen Portal</t>
        </is>
      </c>
      <c r="E1823" s="7" t="inlineStr">
        <is>
          <t>DEPARTMENT OF ELECTRONICS, IT, BT &amp; S&amp;T-Bengaluru</t>
        </is>
      </c>
      <c r="F1823" s="6" t="inlineStr">
        <is>
          <t>18 Sep 2026</t>
        </is>
      </c>
      <c r="G1823" s="5" t="inlineStr">
        <is>
          <t>10 Oct 2026</t>
        </is>
      </c>
      <c r="H1823" s="8" t="inlineStr">
        <is>
          <t>⏳ UPCOMING</t>
        </is>
      </c>
      <c r="I1823" s="4" t="inlineStr">
        <is>
          <t>ITBT_Citizen_Portal_RFP.pdf</t>
        </is>
      </c>
      <c r="J1823" s="6" t="inlineStr">
        <is>
          <t>📕 PDF Document</t>
        </is>
      </c>
      <c r="K1823" s="9" t="n">
        <v>17.9</v>
      </c>
      <c r="L1823" s="10">
        <f>HYPERLINK("http://127.0.0.1:8000/api/documents/download?id=2792&amp;attachment=true", "⬇ Download ITBT_Citizen_Portal_RFP.")</f>
        <v/>
      </c>
      <c r="M1823" s="10">
        <f>HYPERLINK("http://localhost:5173/?state=Karnataka&amp;keyword=Software%20Development&amp;tender=KPPP-ITBT-2026-8821", "🚀 Open in Portal")</f>
        <v/>
      </c>
    </row>
    <row r="1824" ht="24" customHeight="1">
      <c r="A1824" s="11" t="inlineStr">
        <is>
          <t>Karnataka</t>
        </is>
      </c>
      <c r="B1824" s="12" t="inlineStr">
        <is>
          <t>Software Development</t>
        </is>
      </c>
      <c r="C1824" s="13" t="inlineStr">
        <is>
          <t>KPPP-ITBT-2026-8821</t>
        </is>
      </c>
      <c r="D1824" s="14" t="inlineStr">
        <is>
          <t>Development of Next-Gen e-Governance Mobile Application and Cloud Citizen Portal</t>
        </is>
      </c>
      <c r="E1824" s="14" t="inlineStr">
        <is>
          <t>DEPARTMENT OF ELECTRONICS, IT, BT &amp; S&amp;T-Bengaluru</t>
        </is>
      </c>
      <c r="F1824" s="13" t="inlineStr">
        <is>
          <t>18 Sep 2026</t>
        </is>
      </c>
      <c r="G1824" s="12" t="inlineStr">
        <is>
          <t>10 Oct 2026</t>
        </is>
      </c>
      <c r="H1824" s="8" t="inlineStr">
        <is>
          <t>⏳ UPCOMING</t>
        </is>
      </c>
      <c r="I1824" s="11" t="inlineStr">
        <is>
          <t>Functional_Requirements_Document.pdf</t>
        </is>
      </c>
      <c r="J1824" s="13" t="inlineStr">
        <is>
          <t>📕 PDF Document</t>
        </is>
      </c>
      <c r="K1824" s="15" t="n">
        <v>17.9</v>
      </c>
      <c r="L1824" s="16">
        <f>HYPERLINK("http://127.0.0.1:8000/api/documents/download?id=2793&amp;attachment=true", "⬇ Download Functional_Requirements_")</f>
        <v/>
      </c>
      <c r="M1824" s="16">
        <f>HYPERLINK("http://localhost:5173/?state=Karnataka&amp;keyword=Software%20Development&amp;tender=KPPP-ITBT-2026-8821", "🚀 Open in Portal")</f>
        <v/>
      </c>
    </row>
    <row r="1825" ht="24" customHeight="1">
      <c r="A1825" s="4" t="inlineStr">
        <is>
          <t>Karnataka</t>
        </is>
      </c>
      <c r="B1825" s="5" t="inlineStr">
        <is>
          <t>Software Development</t>
        </is>
      </c>
      <c r="C1825" s="6" t="inlineStr">
        <is>
          <t>KPPP-ITBT-2026-8821</t>
        </is>
      </c>
      <c r="D1825" s="7" t="inlineStr">
        <is>
          <t>Development of Next-Gen e-Governance Mobile Application and Cloud Citizen Portal</t>
        </is>
      </c>
      <c r="E1825" s="7" t="inlineStr">
        <is>
          <t>DEPARTMENT OF ELECTRONICS, IT, BT &amp; S&amp;T-Bengaluru</t>
        </is>
      </c>
      <c r="F1825" s="6" t="inlineStr">
        <is>
          <t>18 Sep 2026</t>
        </is>
      </c>
      <c r="G1825" s="5" t="inlineStr">
        <is>
          <t>10 Oct 2026</t>
        </is>
      </c>
      <c r="H1825" s="8" t="inlineStr">
        <is>
          <t>⏳ UPCOMING</t>
        </is>
      </c>
      <c r="I1825" s="4" t="inlineStr">
        <is>
          <t>SLA_Agreement_Template.pdf</t>
        </is>
      </c>
      <c r="J1825" s="6" t="inlineStr">
        <is>
          <t>📕 PDF Document</t>
        </is>
      </c>
      <c r="K1825" s="9" t="n">
        <v>17.9</v>
      </c>
      <c r="L1825" s="10">
        <f>HYPERLINK("http://127.0.0.1:8000/api/documents/download?id=2794&amp;attachment=true", "⬇ Download SLA_Agreement_Template.p")</f>
        <v/>
      </c>
      <c r="M1825" s="10">
        <f>HYPERLINK("http://localhost:5173/?state=Karnataka&amp;keyword=Software%20Development&amp;tender=KPPP-ITBT-2026-8821", "🚀 Open in Portal")</f>
        <v/>
      </c>
    </row>
    <row r="1826" ht="24" customHeight="1">
      <c r="A1826" s="11" t="inlineStr">
        <is>
          <t>Karnataka</t>
        </is>
      </c>
      <c r="B1826" s="12" t="inlineStr">
        <is>
          <t>Software Development</t>
        </is>
      </c>
      <c r="C1826" s="13" t="inlineStr">
        <is>
          <t>KPPP-ITBT-2026-8821</t>
        </is>
      </c>
      <c r="D1826" s="14" t="inlineStr">
        <is>
          <t>Development of Next-Gen e-Governance Mobile Application and Cloud Citizen Portal</t>
        </is>
      </c>
      <c r="E1826" s="14" t="inlineStr">
        <is>
          <t>DEPARTMENT OF ELECTRONICS, IT, BT &amp; S&amp;T-Bengaluru</t>
        </is>
      </c>
      <c r="F1826" s="13" t="inlineStr">
        <is>
          <t>18 Sep 2026</t>
        </is>
      </c>
      <c r="G1826" s="12" t="inlineStr">
        <is>
          <t>10 Oct 2026</t>
        </is>
      </c>
      <c r="H1826" s="8" t="inlineStr">
        <is>
          <t>⏳ UPCOMING</t>
        </is>
      </c>
      <c r="I1826" s="11" t="inlineStr">
        <is>
          <t>Tender_KPPP-ITBT-2026-8821_All_Documents.zip</t>
        </is>
      </c>
      <c r="J1826" s="13" t="inlineStr">
        <is>
          <t>📦 ZIP Package</t>
        </is>
      </c>
      <c r="K1826" s="15" t="n">
        <v>27.8</v>
      </c>
      <c r="L1826" s="16">
        <f>HYPERLINK("http://127.0.0.1:8000/api/documents/download?id=3004&amp;attachment=true", "⬇ Download Tender_KPPP-ITBT-2026-88")</f>
        <v/>
      </c>
      <c r="M1826" s="16">
        <f>HYPERLINK("http://localhost:5173/?state=Karnataka&amp;keyword=Software%20Development&amp;tender=KPPP-ITBT-2026-8821", "🚀 Open in Portal")</f>
        <v/>
      </c>
    </row>
    <row r="1827" ht="24" customHeight="1">
      <c r="A1827" s="4" t="inlineStr">
        <is>
          <t>Karnataka</t>
        </is>
      </c>
      <c r="B1827" s="5" t="inlineStr">
        <is>
          <t>MIS</t>
        </is>
      </c>
      <c r="C1827" s="6" t="inlineStr">
        <is>
          <t>KPPP-HEALTH-2026-3390</t>
        </is>
      </c>
      <c r="D1827" s="7" t="inlineStr">
        <is>
          <t>Comprehensive Hospital Management Information System (HMIS) &amp; Health EHR Platform</t>
        </is>
      </c>
      <c r="E1827" s="7" t="inlineStr">
        <is>
          <t>HEALTH &amp; FAMILY WELFARE SERVICES-Arogya Soudha, Bengaluru</t>
        </is>
      </c>
      <c r="F1827" s="6" t="inlineStr">
        <is>
          <t>16 Aug 2026</t>
        </is>
      </c>
      <c r="G1827" s="5" t="inlineStr">
        <is>
          <t>07 Sep 2026</t>
        </is>
      </c>
      <c r="H1827" s="8" t="inlineStr">
        <is>
          <t>⏳ UPCOMING</t>
        </is>
      </c>
      <c r="I1827" s="4" t="inlineStr">
        <is>
          <t>Karnataka_HMIS_RFP_Specification.pdf</t>
        </is>
      </c>
      <c r="J1827" s="6" t="inlineStr">
        <is>
          <t>📕 PDF Document</t>
        </is>
      </c>
      <c r="K1827" s="9" t="n">
        <v>17.9</v>
      </c>
      <c r="L1827" s="10">
        <f>HYPERLINK("http://127.0.0.1:8000/api/documents/download?id=2797&amp;attachment=true", "⬇ Download Karnataka_HMIS_RFP_Speci")</f>
        <v/>
      </c>
      <c r="M1827" s="10">
        <f>HYPERLINK("http://localhost:5173/?state=Karnataka&amp;keyword=MIS&amp;tender=KPPP-HEALTH-2026-3390", "🚀 Open in Portal")</f>
        <v/>
      </c>
    </row>
    <row r="1828" ht="24" customHeight="1">
      <c r="A1828" s="11" t="inlineStr">
        <is>
          <t>Karnataka</t>
        </is>
      </c>
      <c r="B1828" s="12" t="inlineStr">
        <is>
          <t>MIS</t>
        </is>
      </c>
      <c r="C1828" s="13" t="inlineStr">
        <is>
          <t>KPPP-HEALTH-2026-3390</t>
        </is>
      </c>
      <c r="D1828" s="14" t="inlineStr">
        <is>
          <t>Comprehensive Hospital Management Information System (HMIS) &amp; Health EHR Platform</t>
        </is>
      </c>
      <c r="E1828" s="14" t="inlineStr">
        <is>
          <t>HEALTH &amp; FAMILY WELFARE SERVICES-Arogya Soudha, Bengaluru</t>
        </is>
      </c>
      <c r="F1828" s="13" t="inlineStr">
        <is>
          <t>16 Aug 2026</t>
        </is>
      </c>
      <c r="G1828" s="12" t="inlineStr">
        <is>
          <t>07 Sep 2026</t>
        </is>
      </c>
      <c r="H1828" s="8" t="inlineStr">
        <is>
          <t>⏳ UPCOMING</t>
        </is>
      </c>
      <c r="I1828" s="11" t="inlineStr">
        <is>
          <t>EHR_Interoperability_Compliance.pdf</t>
        </is>
      </c>
      <c r="J1828" s="13" t="inlineStr">
        <is>
          <t>📕 PDF Document</t>
        </is>
      </c>
      <c r="K1828" s="15" t="n">
        <v>17.9</v>
      </c>
      <c r="L1828" s="16">
        <f>HYPERLINK("http://127.0.0.1:8000/api/documents/download?id=2798&amp;attachment=true", "⬇ Download EHR_Interoperability_Com")</f>
        <v/>
      </c>
      <c r="M1828" s="16">
        <f>HYPERLINK("http://localhost:5173/?state=Karnataka&amp;keyword=MIS&amp;tender=KPPP-HEALTH-2026-3390", "🚀 Open in Portal")</f>
        <v/>
      </c>
    </row>
    <row r="1829" ht="24" customHeight="1">
      <c r="A1829" s="4" t="inlineStr">
        <is>
          <t>Karnataka</t>
        </is>
      </c>
      <c r="B1829" s="5" t="inlineStr">
        <is>
          <t>MIS</t>
        </is>
      </c>
      <c r="C1829" s="6" t="inlineStr">
        <is>
          <t>KPPP-HEALTH-2026-3390</t>
        </is>
      </c>
      <c r="D1829" s="7" t="inlineStr">
        <is>
          <t>Comprehensive Hospital Management Information System (HMIS) &amp; Health EHR Platform</t>
        </is>
      </c>
      <c r="E1829" s="7" t="inlineStr">
        <is>
          <t>HEALTH &amp; FAMILY WELFARE SERVICES-Arogya Soudha, Bengaluru</t>
        </is>
      </c>
      <c r="F1829" s="6" t="inlineStr">
        <is>
          <t>16 Aug 2026</t>
        </is>
      </c>
      <c r="G1829" s="5" t="inlineStr">
        <is>
          <t>07 Sep 2026</t>
        </is>
      </c>
      <c r="H1829" s="8" t="inlineStr">
        <is>
          <t>⏳ UPCOMING</t>
        </is>
      </c>
      <c r="I1829" s="4" t="inlineStr">
        <is>
          <t>Bid_Schedule_and_Evaluation.pdf</t>
        </is>
      </c>
      <c r="J1829" s="6" t="inlineStr">
        <is>
          <t>📕 PDF Document</t>
        </is>
      </c>
      <c r="K1829" s="9" t="n">
        <v>17.9</v>
      </c>
      <c r="L1829" s="10">
        <f>HYPERLINK("http://127.0.0.1:8000/api/documents/download?id=2799&amp;attachment=true", "⬇ Download Bid_Schedule_and_Evaluat")</f>
        <v/>
      </c>
      <c r="M1829" s="10">
        <f>HYPERLINK("http://localhost:5173/?state=Karnataka&amp;keyword=MIS&amp;tender=KPPP-HEALTH-2026-3390", "🚀 Open in Portal")</f>
        <v/>
      </c>
    </row>
    <row r="1830" ht="24" customHeight="1">
      <c r="A1830" s="11" t="inlineStr">
        <is>
          <t>Karnataka</t>
        </is>
      </c>
      <c r="B1830" s="12" t="inlineStr">
        <is>
          <t>MIS</t>
        </is>
      </c>
      <c r="C1830" s="13" t="inlineStr">
        <is>
          <t>KPPP-HEALTH-2026-3390</t>
        </is>
      </c>
      <c r="D1830" s="14" t="inlineStr">
        <is>
          <t>Comprehensive Hospital Management Information System (HMIS) &amp; Health EHR Platform</t>
        </is>
      </c>
      <c r="E1830" s="14" t="inlineStr">
        <is>
          <t>HEALTH &amp; FAMILY WELFARE SERVICES-Arogya Soudha, Bengaluru</t>
        </is>
      </c>
      <c r="F1830" s="13" t="inlineStr">
        <is>
          <t>16 Aug 2026</t>
        </is>
      </c>
      <c r="G1830" s="12" t="inlineStr">
        <is>
          <t>07 Sep 2026</t>
        </is>
      </c>
      <c r="H1830" s="8" t="inlineStr">
        <is>
          <t>⏳ UPCOMING</t>
        </is>
      </c>
      <c r="I1830" s="11" t="inlineStr">
        <is>
          <t>Tender_KPPP-HEALTH-2026-3390_All_Documents.zip</t>
        </is>
      </c>
      <c r="J1830" s="13" t="inlineStr">
        <is>
          <t>📦 ZIP Package</t>
        </is>
      </c>
      <c r="K1830" s="15" t="n">
        <v>28</v>
      </c>
      <c r="L1830" s="16">
        <f>HYPERLINK("http://127.0.0.1:8000/api/documents/download?id=3006&amp;attachment=true", "⬇ Download Tender_KPPP-HEALTH-2026-")</f>
        <v/>
      </c>
      <c r="M1830" s="16">
        <f>HYPERLINK("http://localhost:5173/?state=Karnataka&amp;keyword=MIS&amp;tender=KPPP-HEALTH-2026-3390", "🚀 Open in Portal")</f>
        <v/>
      </c>
    </row>
    <row r="1831" ht="24" customHeight="1">
      <c r="A1831" s="4" t="inlineStr">
        <is>
          <t>Karnataka</t>
        </is>
      </c>
      <c r="B1831" s="5" t="inlineStr">
        <is>
          <t>MIS</t>
        </is>
      </c>
      <c r="C1831" s="6" t="inlineStr">
        <is>
          <t>KPPP-RDPR-2026-4412</t>
        </is>
      </c>
      <c r="D1831" s="7" t="inlineStr">
        <is>
          <t>Establishment of GIS-based Village Asset Information &amp; Spatial Planning System</t>
        </is>
      </c>
      <c r="E1831" s="7" t="inlineStr">
        <is>
          <t>RURAL DEVELOPMENT &amp; PANCHAYAT RAJ-Karnataka KPPP</t>
        </is>
      </c>
      <c r="F1831" s="6" t="inlineStr">
        <is>
          <t>22 Jul 2026</t>
        </is>
      </c>
      <c r="G1831" s="5" t="inlineStr">
        <is>
          <t>14 Aug 2026</t>
        </is>
      </c>
      <c r="H1831" s="8" t="inlineStr">
        <is>
          <t>⏳ UPCOMING</t>
        </is>
      </c>
      <c r="I1831" s="4" t="inlineStr">
        <is>
          <t>KPPP_Village_Asset_GIS_RFP.pdf</t>
        </is>
      </c>
      <c r="J1831" s="6" t="inlineStr">
        <is>
          <t>📕 PDF Document</t>
        </is>
      </c>
      <c r="K1831" s="9" t="n">
        <v>17.9</v>
      </c>
      <c r="L1831" s="10">
        <f>HYPERLINK("http://127.0.0.1:8000/api/documents/download?id=2786&amp;attachment=true", "⬇ Download KPPP_Village_Asset_GIS_R")</f>
        <v/>
      </c>
      <c r="M1831" s="10">
        <f>HYPERLINK("http://localhost:5173/?state=Karnataka&amp;keyword=MIS&amp;tender=KPPP-RDPR-2026-4412", "🚀 Open in Portal")</f>
        <v/>
      </c>
    </row>
    <row r="1832" ht="24" customHeight="1">
      <c r="A1832" s="11" t="inlineStr">
        <is>
          <t>Karnataka</t>
        </is>
      </c>
      <c r="B1832" s="12" t="inlineStr">
        <is>
          <t>MIS</t>
        </is>
      </c>
      <c r="C1832" s="13" t="inlineStr">
        <is>
          <t>KPPP-RDPR-2026-4412</t>
        </is>
      </c>
      <c r="D1832" s="14" t="inlineStr">
        <is>
          <t>Establishment of GIS-based Village Asset Information &amp; Spatial Planning System</t>
        </is>
      </c>
      <c r="E1832" s="14" t="inlineStr">
        <is>
          <t>RURAL DEVELOPMENT &amp; PANCHAYAT RAJ-Karnataka KPPP</t>
        </is>
      </c>
      <c r="F1832" s="13" t="inlineStr">
        <is>
          <t>22 Jul 2026</t>
        </is>
      </c>
      <c r="G1832" s="12" t="inlineStr">
        <is>
          <t>14 Aug 2026</t>
        </is>
      </c>
      <c r="H1832" s="8" t="inlineStr">
        <is>
          <t>⏳ UPCOMING</t>
        </is>
      </c>
      <c r="I1832" s="11" t="inlineStr">
        <is>
          <t>Standard_Tender_Document_KW4.pdf</t>
        </is>
      </c>
      <c r="J1832" s="13" t="inlineStr">
        <is>
          <t>📕 PDF Document</t>
        </is>
      </c>
      <c r="K1832" s="15" t="n">
        <v>17.9</v>
      </c>
      <c r="L1832" s="16">
        <f>HYPERLINK("http://127.0.0.1:8000/api/documents/download?id=2787&amp;attachment=true", "⬇ Download Standard_Tender_Document")</f>
        <v/>
      </c>
      <c r="M1832" s="16">
        <f>HYPERLINK("http://localhost:5173/?state=Karnataka&amp;keyword=MIS&amp;tender=KPPP-RDPR-2026-4412", "🚀 Open in Portal")</f>
        <v/>
      </c>
    </row>
    <row r="1833" ht="24" customHeight="1">
      <c r="A1833" s="4" t="inlineStr">
        <is>
          <t>Karnataka</t>
        </is>
      </c>
      <c r="B1833" s="5" t="inlineStr">
        <is>
          <t>MIS</t>
        </is>
      </c>
      <c r="C1833" s="6" t="inlineStr">
        <is>
          <t>KPPP-RDPR-2026-4412</t>
        </is>
      </c>
      <c r="D1833" s="7" t="inlineStr">
        <is>
          <t>Establishment of GIS-based Village Asset Information &amp; Spatial Planning System</t>
        </is>
      </c>
      <c r="E1833" s="7" t="inlineStr">
        <is>
          <t>RURAL DEVELOPMENT &amp; PANCHAYAT RAJ-Karnataka KPPP</t>
        </is>
      </c>
      <c r="F1833" s="6" t="inlineStr">
        <is>
          <t>22 Jul 2026</t>
        </is>
      </c>
      <c r="G1833" s="5" t="inlineStr">
        <is>
          <t>14 Aug 2026</t>
        </is>
      </c>
      <c r="H1833" s="8" t="inlineStr">
        <is>
          <t>⏳ UPCOMING</t>
        </is>
      </c>
      <c r="I1833" s="4" t="inlineStr">
        <is>
          <t>Spatial_Data_Model_V1.pdf</t>
        </is>
      </c>
      <c r="J1833" s="6" t="inlineStr">
        <is>
          <t>📕 PDF Document</t>
        </is>
      </c>
      <c r="K1833" s="9" t="n">
        <v>17.9</v>
      </c>
      <c r="L1833" s="10">
        <f>HYPERLINK("http://127.0.0.1:8000/api/documents/download?id=2788&amp;attachment=true", "⬇ Download Spatial_Data_Model_V1.pd")</f>
        <v/>
      </c>
      <c r="M1833" s="10">
        <f>HYPERLINK("http://localhost:5173/?state=Karnataka&amp;keyword=MIS&amp;tender=KPPP-RDPR-2026-4412", "🚀 Open in Portal")</f>
        <v/>
      </c>
    </row>
    <row r="1834" ht="24" customHeight="1">
      <c r="A1834" s="11" t="inlineStr">
        <is>
          <t>Karnataka</t>
        </is>
      </c>
      <c r="B1834" s="12" t="inlineStr">
        <is>
          <t>MIS</t>
        </is>
      </c>
      <c r="C1834" s="13" t="inlineStr">
        <is>
          <t>KPPP-RDPR-2026-4412</t>
        </is>
      </c>
      <c r="D1834" s="14" t="inlineStr">
        <is>
          <t>Establishment of GIS-based Village Asset Information &amp; Spatial Planning System</t>
        </is>
      </c>
      <c r="E1834" s="14" t="inlineStr">
        <is>
          <t>RURAL DEVELOPMENT &amp; PANCHAYAT RAJ-Karnataka KPPP</t>
        </is>
      </c>
      <c r="F1834" s="13" t="inlineStr">
        <is>
          <t>22 Jul 2026</t>
        </is>
      </c>
      <c r="G1834" s="12" t="inlineStr">
        <is>
          <t>14 Aug 2026</t>
        </is>
      </c>
      <c r="H1834" s="8" t="inlineStr">
        <is>
          <t>⏳ UPCOMING</t>
        </is>
      </c>
      <c r="I1834" s="11" t="inlineStr">
        <is>
          <t>Tender_KPPP-RDPR-2026-4412_All_Documents.zip</t>
        </is>
      </c>
      <c r="J1834" s="13" t="inlineStr">
        <is>
          <t>📦 ZIP Package</t>
        </is>
      </c>
      <c r="K1834" s="15" t="n">
        <v>27.8</v>
      </c>
      <c r="L1834" s="16">
        <f>HYPERLINK("http://127.0.0.1:8000/api/documents/download?id=3002&amp;attachment=true", "⬇ Download Tender_KPPP-RDPR-2026-44")</f>
        <v/>
      </c>
      <c r="M1834" s="16">
        <f>HYPERLINK("http://localhost:5173/?state=Karnataka&amp;keyword=MIS&amp;tender=KPPP-RDPR-2026-4412", "🚀 Open in Portal")</f>
        <v/>
      </c>
    </row>
    <row r="1835" ht="24" customHeight="1">
      <c r="A1835" s="4" t="inlineStr">
        <is>
          <t>Karnataka</t>
        </is>
      </c>
      <c r="B1835" s="5" t="inlineStr">
        <is>
          <t>Mobile Application</t>
        </is>
      </c>
      <c r="C1835" s="6" t="inlineStr">
        <is>
          <t>KPPP-ITBT-2026-8821</t>
        </is>
      </c>
      <c r="D1835" s="7" t="inlineStr">
        <is>
          <t>Development of Next-Gen e-Governance Mobile Application and Cloud Citizen Portal</t>
        </is>
      </c>
      <c r="E1835" s="7" t="inlineStr">
        <is>
          <t>DEPARTMENT OF ELECTRONICS, IT, BT &amp; S&amp;T-Bengaluru</t>
        </is>
      </c>
      <c r="F1835" s="6" t="inlineStr">
        <is>
          <t>18 Sep 2026</t>
        </is>
      </c>
      <c r="G1835" s="5" t="inlineStr">
        <is>
          <t>10 Oct 2026</t>
        </is>
      </c>
      <c r="H1835" s="8" t="inlineStr">
        <is>
          <t>⏳ UPCOMING</t>
        </is>
      </c>
      <c r="I1835" s="4" t="inlineStr">
        <is>
          <t>ITBT_Citizen_Portal_RFP.pdf</t>
        </is>
      </c>
      <c r="J1835" s="6" t="inlineStr">
        <is>
          <t>📕 PDF Document</t>
        </is>
      </c>
      <c r="K1835" s="9" t="n">
        <v>17.9</v>
      </c>
      <c r="L1835" s="10">
        <f>HYPERLINK("http://127.0.0.1:8000/api/documents/download?id=2792&amp;attachment=true", "⬇ Download ITBT_Citizen_Portal_RFP.")</f>
        <v/>
      </c>
      <c r="M1835" s="10">
        <f>HYPERLINK("http://localhost:5173/?state=Karnataka&amp;keyword=Mobile%20Application&amp;tender=KPPP-ITBT-2026-8821", "🚀 Open in Portal")</f>
        <v/>
      </c>
    </row>
    <row r="1836" ht="24" customHeight="1">
      <c r="A1836" s="11" t="inlineStr">
        <is>
          <t>Karnataka</t>
        </is>
      </c>
      <c r="B1836" s="12" t="inlineStr">
        <is>
          <t>Mobile Application</t>
        </is>
      </c>
      <c r="C1836" s="13" t="inlineStr">
        <is>
          <t>KPPP-ITBT-2026-8821</t>
        </is>
      </c>
      <c r="D1836" s="14" t="inlineStr">
        <is>
          <t>Development of Next-Gen e-Governance Mobile Application and Cloud Citizen Portal</t>
        </is>
      </c>
      <c r="E1836" s="14" t="inlineStr">
        <is>
          <t>DEPARTMENT OF ELECTRONICS, IT, BT &amp; S&amp;T-Bengaluru</t>
        </is>
      </c>
      <c r="F1836" s="13" t="inlineStr">
        <is>
          <t>18 Sep 2026</t>
        </is>
      </c>
      <c r="G1836" s="12" t="inlineStr">
        <is>
          <t>10 Oct 2026</t>
        </is>
      </c>
      <c r="H1836" s="8" t="inlineStr">
        <is>
          <t>⏳ UPCOMING</t>
        </is>
      </c>
      <c r="I1836" s="11" t="inlineStr">
        <is>
          <t>Functional_Requirements_Document.pdf</t>
        </is>
      </c>
      <c r="J1836" s="13" t="inlineStr">
        <is>
          <t>📕 PDF Document</t>
        </is>
      </c>
      <c r="K1836" s="15" t="n">
        <v>17.9</v>
      </c>
      <c r="L1836" s="16">
        <f>HYPERLINK("http://127.0.0.1:8000/api/documents/download?id=2793&amp;attachment=true", "⬇ Download Functional_Requirements_")</f>
        <v/>
      </c>
      <c r="M1836" s="16">
        <f>HYPERLINK("http://localhost:5173/?state=Karnataka&amp;keyword=Mobile%20Application&amp;tender=KPPP-ITBT-2026-8821", "🚀 Open in Portal")</f>
        <v/>
      </c>
    </row>
    <row r="1837" ht="24" customHeight="1">
      <c r="A1837" s="4" t="inlineStr">
        <is>
          <t>Karnataka</t>
        </is>
      </c>
      <c r="B1837" s="5" t="inlineStr">
        <is>
          <t>Mobile Application</t>
        </is>
      </c>
      <c r="C1837" s="6" t="inlineStr">
        <is>
          <t>KPPP-ITBT-2026-8821</t>
        </is>
      </c>
      <c r="D1837" s="7" t="inlineStr">
        <is>
          <t>Development of Next-Gen e-Governance Mobile Application and Cloud Citizen Portal</t>
        </is>
      </c>
      <c r="E1837" s="7" t="inlineStr">
        <is>
          <t>DEPARTMENT OF ELECTRONICS, IT, BT &amp; S&amp;T-Bengaluru</t>
        </is>
      </c>
      <c r="F1837" s="6" t="inlineStr">
        <is>
          <t>18 Sep 2026</t>
        </is>
      </c>
      <c r="G1837" s="5" t="inlineStr">
        <is>
          <t>10 Oct 2026</t>
        </is>
      </c>
      <c r="H1837" s="8" t="inlineStr">
        <is>
          <t>⏳ UPCOMING</t>
        </is>
      </c>
      <c r="I1837" s="4" t="inlineStr">
        <is>
          <t>SLA_Agreement_Template.pdf</t>
        </is>
      </c>
      <c r="J1837" s="6" t="inlineStr">
        <is>
          <t>📕 PDF Document</t>
        </is>
      </c>
      <c r="K1837" s="9" t="n">
        <v>17.9</v>
      </c>
      <c r="L1837" s="10">
        <f>HYPERLINK("http://127.0.0.1:8000/api/documents/download?id=2794&amp;attachment=true", "⬇ Download SLA_Agreement_Template.p")</f>
        <v/>
      </c>
      <c r="M1837" s="10">
        <f>HYPERLINK("http://localhost:5173/?state=Karnataka&amp;keyword=Mobile%20Application&amp;tender=KPPP-ITBT-2026-8821", "🚀 Open in Portal")</f>
        <v/>
      </c>
    </row>
    <row r="1838" ht="24" customHeight="1">
      <c r="A1838" s="11" t="inlineStr">
        <is>
          <t>Karnataka</t>
        </is>
      </c>
      <c r="B1838" s="12" t="inlineStr">
        <is>
          <t>Mobile Application</t>
        </is>
      </c>
      <c r="C1838" s="13" t="inlineStr">
        <is>
          <t>KPPP-ITBT-2026-8821</t>
        </is>
      </c>
      <c r="D1838" s="14" t="inlineStr">
        <is>
          <t>Development of Next-Gen e-Governance Mobile Application and Cloud Citizen Portal</t>
        </is>
      </c>
      <c r="E1838" s="14" t="inlineStr">
        <is>
          <t>DEPARTMENT OF ELECTRONICS, IT, BT &amp; S&amp;T-Bengaluru</t>
        </is>
      </c>
      <c r="F1838" s="13" t="inlineStr">
        <is>
          <t>18 Sep 2026</t>
        </is>
      </c>
      <c r="G1838" s="12" t="inlineStr">
        <is>
          <t>10 Oct 2026</t>
        </is>
      </c>
      <c r="H1838" s="8" t="inlineStr">
        <is>
          <t>⏳ UPCOMING</t>
        </is>
      </c>
      <c r="I1838" s="11" t="inlineStr">
        <is>
          <t>Tender_KPPP-ITBT-2026-8821_All_Documents.zip</t>
        </is>
      </c>
      <c r="J1838" s="13" t="inlineStr">
        <is>
          <t>📦 ZIP Package</t>
        </is>
      </c>
      <c r="K1838" s="15" t="n">
        <v>27.8</v>
      </c>
      <c r="L1838" s="16">
        <f>HYPERLINK("http://127.0.0.1:8000/api/documents/download?id=3004&amp;attachment=true", "⬇ Download Tender_KPPP-ITBT-2026-88")</f>
        <v/>
      </c>
      <c r="M1838" s="16">
        <f>HYPERLINK("http://localhost:5173/?state=Karnataka&amp;keyword=Mobile%20Application&amp;tender=KPPP-ITBT-2026-8821", "🚀 Open in Portal")</f>
        <v/>
      </c>
    </row>
    <row r="1839" ht="24" customHeight="1">
      <c r="A1839" s="4" t="inlineStr">
        <is>
          <t>Karnataka</t>
        </is>
      </c>
      <c r="B1839" s="5" t="inlineStr">
        <is>
          <t>Mapping</t>
        </is>
      </c>
      <c r="C1839" s="6" t="inlineStr">
        <is>
          <t>KPPP-RDPR-2026-4412</t>
        </is>
      </c>
      <c r="D1839" s="7" t="inlineStr">
        <is>
          <t>Establishment of GIS-based Village Asset Information &amp; Spatial Planning System</t>
        </is>
      </c>
      <c r="E1839" s="7" t="inlineStr">
        <is>
          <t>RURAL DEVELOPMENT &amp; PANCHAYAT RAJ-Karnataka KPPP</t>
        </is>
      </c>
      <c r="F1839" s="6" t="inlineStr">
        <is>
          <t>22 Jul 2026</t>
        </is>
      </c>
      <c r="G1839" s="5" t="inlineStr">
        <is>
          <t>14 Aug 2026</t>
        </is>
      </c>
      <c r="H1839" s="8" t="inlineStr">
        <is>
          <t>⏳ UPCOMING</t>
        </is>
      </c>
      <c r="I1839" s="4" t="inlineStr">
        <is>
          <t>KPPP_Village_Asset_GIS_RFP.pdf</t>
        </is>
      </c>
      <c r="J1839" s="6" t="inlineStr">
        <is>
          <t>📕 PDF Document</t>
        </is>
      </c>
      <c r="K1839" s="9" t="n">
        <v>17.9</v>
      </c>
      <c r="L1839" s="10">
        <f>HYPERLINK("http://127.0.0.1:8000/api/documents/download?id=2786&amp;attachment=true", "⬇ Download KPPP_Village_Asset_GIS_R")</f>
        <v/>
      </c>
      <c r="M1839" s="10">
        <f>HYPERLINK("http://localhost:5173/?state=Karnataka&amp;keyword=Mapping&amp;tender=KPPP-RDPR-2026-4412", "🚀 Open in Portal")</f>
        <v/>
      </c>
    </row>
    <row r="1840" ht="24" customHeight="1">
      <c r="A1840" s="11" t="inlineStr">
        <is>
          <t>Karnataka</t>
        </is>
      </c>
      <c r="B1840" s="12" t="inlineStr">
        <is>
          <t>Mapping</t>
        </is>
      </c>
      <c r="C1840" s="13" t="inlineStr">
        <is>
          <t>KPPP-RDPR-2026-4412</t>
        </is>
      </c>
      <c r="D1840" s="14" t="inlineStr">
        <is>
          <t>Establishment of GIS-based Village Asset Information &amp; Spatial Planning System</t>
        </is>
      </c>
      <c r="E1840" s="14" t="inlineStr">
        <is>
          <t>RURAL DEVELOPMENT &amp; PANCHAYAT RAJ-Karnataka KPPP</t>
        </is>
      </c>
      <c r="F1840" s="13" t="inlineStr">
        <is>
          <t>22 Jul 2026</t>
        </is>
      </c>
      <c r="G1840" s="12" t="inlineStr">
        <is>
          <t>14 Aug 2026</t>
        </is>
      </c>
      <c r="H1840" s="8" t="inlineStr">
        <is>
          <t>⏳ UPCOMING</t>
        </is>
      </c>
      <c r="I1840" s="11" t="inlineStr">
        <is>
          <t>Standard_Tender_Document_KW4.pdf</t>
        </is>
      </c>
      <c r="J1840" s="13" t="inlineStr">
        <is>
          <t>📕 PDF Document</t>
        </is>
      </c>
      <c r="K1840" s="15" t="n">
        <v>17.9</v>
      </c>
      <c r="L1840" s="16">
        <f>HYPERLINK("http://127.0.0.1:8000/api/documents/download?id=2787&amp;attachment=true", "⬇ Download Standard_Tender_Document")</f>
        <v/>
      </c>
      <c r="M1840" s="16">
        <f>HYPERLINK("http://localhost:5173/?state=Karnataka&amp;keyword=Mapping&amp;tender=KPPP-RDPR-2026-4412", "🚀 Open in Portal")</f>
        <v/>
      </c>
    </row>
    <row r="1841" ht="24" customHeight="1">
      <c r="A1841" s="4" t="inlineStr">
        <is>
          <t>Karnataka</t>
        </is>
      </c>
      <c r="B1841" s="5" t="inlineStr">
        <is>
          <t>Mapping</t>
        </is>
      </c>
      <c r="C1841" s="6" t="inlineStr">
        <is>
          <t>KPPP-RDPR-2026-4412</t>
        </is>
      </c>
      <c r="D1841" s="7" t="inlineStr">
        <is>
          <t>Establishment of GIS-based Village Asset Information &amp; Spatial Planning System</t>
        </is>
      </c>
      <c r="E1841" s="7" t="inlineStr">
        <is>
          <t>RURAL DEVELOPMENT &amp; PANCHAYAT RAJ-Karnataka KPPP</t>
        </is>
      </c>
      <c r="F1841" s="6" t="inlineStr">
        <is>
          <t>22 Jul 2026</t>
        </is>
      </c>
      <c r="G1841" s="5" t="inlineStr">
        <is>
          <t>14 Aug 2026</t>
        </is>
      </c>
      <c r="H1841" s="8" t="inlineStr">
        <is>
          <t>⏳ UPCOMING</t>
        </is>
      </c>
      <c r="I1841" s="4" t="inlineStr">
        <is>
          <t>Spatial_Data_Model_V1.pdf</t>
        </is>
      </c>
      <c r="J1841" s="6" t="inlineStr">
        <is>
          <t>📕 PDF Document</t>
        </is>
      </c>
      <c r="K1841" s="9" t="n">
        <v>17.9</v>
      </c>
      <c r="L1841" s="10">
        <f>HYPERLINK("http://127.0.0.1:8000/api/documents/download?id=2788&amp;attachment=true", "⬇ Download Spatial_Data_Model_V1.pd")</f>
        <v/>
      </c>
      <c r="M1841" s="10">
        <f>HYPERLINK("http://localhost:5173/?state=Karnataka&amp;keyword=Mapping&amp;tender=KPPP-RDPR-2026-4412", "🚀 Open in Portal")</f>
        <v/>
      </c>
    </row>
    <row r="1842" ht="24" customHeight="1">
      <c r="A1842" s="11" t="inlineStr">
        <is>
          <t>Karnataka</t>
        </is>
      </c>
      <c r="B1842" s="12" t="inlineStr">
        <is>
          <t>Mapping</t>
        </is>
      </c>
      <c r="C1842" s="13" t="inlineStr">
        <is>
          <t>KPPP-RDPR-2026-4412</t>
        </is>
      </c>
      <c r="D1842" s="14" t="inlineStr">
        <is>
          <t>Establishment of GIS-based Village Asset Information &amp; Spatial Planning System</t>
        </is>
      </c>
      <c r="E1842" s="14" t="inlineStr">
        <is>
          <t>RURAL DEVELOPMENT &amp; PANCHAYAT RAJ-Karnataka KPPP</t>
        </is>
      </c>
      <c r="F1842" s="13" t="inlineStr">
        <is>
          <t>22 Jul 2026</t>
        </is>
      </c>
      <c r="G1842" s="12" t="inlineStr">
        <is>
          <t>14 Aug 2026</t>
        </is>
      </c>
      <c r="H1842" s="8" t="inlineStr">
        <is>
          <t>⏳ UPCOMING</t>
        </is>
      </c>
      <c r="I1842" s="11" t="inlineStr">
        <is>
          <t>Tender_KPPP-RDPR-2026-4412_All_Documents.zip</t>
        </is>
      </c>
      <c r="J1842" s="13" t="inlineStr">
        <is>
          <t>📦 ZIP Package</t>
        </is>
      </c>
      <c r="K1842" s="15" t="n">
        <v>27.8</v>
      </c>
      <c r="L1842" s="16">
        <f>HYPERLINK("http://127.0.0.1:8000/api/documents/download?id=3002&amp;attachment=true", "⬇ Download Tender_KPPP-RDPR-2026-44")</f>
        <v/>
      </c>
      <c r="M1842" s="16">
        <f>HYPERLINK("http://localhost:5173/?state=Karnataka&amp;keyword=Mapping&amp;tender=KPPP-RDPR-2026-4412", "🚀 Open in Portal")</f>
        <v/>
      </c>
    </row>
    <row r="1843" ht="24" customHeight="1">
      <c r="A1843" s="4" t="inlineStr">
        <is>
          <t>Karnataka</t>
        </is>
      </c>
      <c r="B1843" s="5" t="inlineStr">
        <is>
          <t>Website Development/Application</t>
        </is>
      </c>
      <c r="C1843" s="6" t="inlineStr">
        <is>
          <t>KPPP-ITBT-2026-8821</t>
        </is>
      </c>
      <c r="D1843" s="7" t="inlineStr">
        <is>
          <t>Development of Next-Gen e-Governance Mobile Application and Cloud Citizen Portal</t>
        </is>
      </c>
      <c r="E1843" s="7" t="inlineStr">
        <is>
          <t>DEPARTMENT OF ELECTRONICS, IT, BT &amp; S&amp;T-Bengaluru</t>
        </is>
      </c>
      <c r="F1843" s="6" t="inlineStr">
        <is>
          <t>18 Sep 2026</t>
        </is>
      </c>
      <c r="G1843" s="5" t="inlineStr">
        <is>
          <t>10 Oct 2026</t>
        </is>
      </c>
      <c r="H1843" s="8" t="inlineStr">
        <is>
          <t>⏳ UPCOMING</t>
        </is>
      </c>
      <c r="I1843" s="4" t="inlineStr">
        <is>
          <t>ITBT_Citizen_Portal_RFP.pdf</t>
        </is>
      </c>
      <c r="J1843" s="6" t="inlineStr">
        <is>
          <t>📕 PDF Document</t>
        </is>
      </c>
      <c r="K1843" s="9" t="n">
        <v>17.9</v>
      </c>
      <c r="L1843" s="10">
        <f>HYPERLINK("http://127.0.0.1:8000/api/documents/download?id=2792&amp;attachment=true", "⬇ Download ITBT_Citizen_Portal_RFP.")</f>
        <v/>
      </c>
      <c r="M1843" s="10">
        <f>HYPERLINK("http://localhost:5173/?state=Karnataka&amp;keyword=Website%20Development/Application&amp;tender=KPPP-ITBT-2026-8821", "🚀 Open in Portal")</f>
        <v/>
      </c>
    </row>
    <row r="1844" ht="24" customHeight="1">
      <c r="A1844" s="11" t="inlineStr">
        <is>
          <t>Karnataka</t>
        </is>
      </c>
      <c r="B1844" s="12" t="inlineStr">
        <is>
          <t>Website Development/Application</t>
        </is>
      </c>
      <c r="C1844" s="13" t="inlineStr">
        <is>
          <t>KPPP-ITBT-2026-8821</t>
        </is>
      </c>
      <c r="D1844" s="14" t="inlineStr">
        <is>
          <t>Development of Next-Gen e-Governance Mobile Application and Cloud Citizen Portal</t>
        </is>
      </c>
      <c r="E1844" s="14" t="inlineStr">
        <is>
          <t>DEPARTMENT OF ELECTRONICS, IT, BT &amp; S&amp;T-Bengaluru</t>
        </is>
      </c>
      <c r="F1844" s="13" t="inlineStr">
        <is>
          <t>18 Sep 2026</t>
        </is>
      </c>
      <c r="G1844" s="12" t="inlineStr">
        <is>
          <t>10 Oct 2026</t>
        </is>
      </c>
      <c r="H1844" s="8" t="inlineStr">
        <is>
          <t>⏳ UPCOMING</t>
        </is>
      </c>
      <c r="I1844" s="11" t="inlineStr">
        <is>
          <t>Functional_Requirements_Document.pdf</t>
        </is>
      </c>
      <c r="J1844" s="13" t="inlineStr">
        <is>
          <t>📕 PDF Document</t>
        </is>
      </c>
      <c r="K1844" s="15" t="n">
        <v>17.9</v>
      </c>
      <c r="L1844" s="16">
        <f>HYPERLINK("http://127.0.0.1:8000/api/documents/download?id=2793&amp;attachment=true", "⬇ Download Functional_Requirements_")</f>
        <v/>
      </c>
      <c r="M1844" s="16">
        <f>HYPERLINK("http://localhost:5173/?state=Karnataka&amp;keyword=Website%20Development/Application&amp;tender=KPPP-ITBT-2026-8821", "🚀 Open in Portal")</f>
        <v/>
      </c>
    </row>
    <row r="1845" ht="24" customHeight="1">
      <c r="A1845" s="4" t="inlineStr">
        <is>
          <t>Karnataka</t>
        </is>
      </c>
      <c r="B1845" s="5" t="inlineStr">
        <is>
          <t>Website Development/Application</t>
        </is>
      </c>
      <c r="C1845" s="6" t="inlineStr">
        <is>
          <t>KPPP-ITBT-2026-8821</t>
        </is>
      </c>
      <c r="D1845" s="7" t="inlineStr">
        <is>
          <t>Development of Next-Gen e-Governance Mobile Application and Cloud Citizen Portal</t>
        </is>
      </c>
      <c r="E1845" s="7" t="inlineStr">
        <is>
          <t>DEPARTMENT OF ELECTRONICS, IT, BT &amp; S&amp;T-Bengaluru</t>
        </is>
      </c>
      <c r="F1845" s="6" t="inlineStr">
        <is>
          <t>18 Sep 2026</t>
        </is>
      </c>
      <c r="G1845" s="5" t="inlineStr">
        <is>
          <t>10 Oct 2026</t>
        </is>
      </c>
      <c r="H1845" s="8" t="inlineStr">
        <is>
          <t>⏳ UPCOMING</t>
        </is>
      </c>
      <c r="I1845" s="4" t="inlineStr">
        <is>
          <t>SLA_Agreement_Template.pdf</t>
        </is>
      </c>
      <c r="J1845" s="6" t="inlineStr">
        <is>
          <t>📕 PDF Document</t>
        </is>
      </c>
      <c r="K1845" s="9" t="n">
        <v>17.9</v>
      </c>
      <c r="L1845" s="10">
        <f>HYPERLINK("http://127.0.0.1:8000/api/documents/download?id=2794&amp;attachment=true", "⬇ Download SLA_Agreement_Template.p")</f>
        <v/>
      </c>
      <c r="M1845" s="10">
        <f>HYPERLINK("http://localhost:5173/?state=Karnataka&amp;keyword=Website%20Development/Application&amp;tender=KPPP-ITBT-2026-8821", "🚀 Open in Portal")</f>
        <v/>
      </c>
    </row>
    <row r="1846" ht="24" customHeight="1">
      <c r="A1846" s="11" t="inlineStr">
        <is>
          <t>Karnataka</t>
        </is>
      </c>
      <c r="B1846" s="12" t="inlineStr">
        <is>
          <t>Website Development/Application</t>
        </is>
      </c>
      <c r="C1846" s="13" t="inlineStr">
        <is>
          <t>KPPP-ITBT-2026-8821</t>
        </is>
      </c>
      <c r="D1846" s="14" t="inlineStr">
        <is>
          <t>Development of Next-Gen e-Governance Mobile Application and Cloud Citizen Portal</t>
        </is>
      </c>
      <c r="E1846" s="14" t="inlineStr">
        <is>
          <t>DEPARTMENT OF ELECTRONICS, IT, BT &amp; S&amp;T-Bengaluru</t>
        </is>
      </c>
      <c r="F1846" s="13" t="inlineStr">
        <is>
          <t>18 Sep 2026</t>
        </is>
      </c>
      <c r="G1846" s="12" t="inlineStr">
        <is>
          <t>10 Oct 2026</t>
        </is>
      </c>
      <c r="H1846" s="8" t="inlineStr">
        <is>
          <t>⏳ UPCOMING</t>
        </is>
      </c>
      <c r="I1846" s="11" t="inlineStr">
        <is>
          <t>Tender_KPPP-ITBT-2026-8821_All_Documents.zip</t>
        </is>
      </c>
      <c r="J1846" s="13" t="inlineStr">
        <is>
          <t>📦 ZIP Package</t>
        </is>
      </c>
      <c r="K1846" s="15" t="n">
        <v>27.8</v>
      </c>
      <c r="L1846" s="16">
        <f>HYPERLINK("http://127.0.0.1:8000/api/documents/download?id=3004&amp;attachment=true", "⬇ Download Tender_KPPP-ITBT-2026-88")</f>
        <v/>
      </c>
      <c r="M1846" s="16">
        <f>HYPERLINK("http://localhost:5173/?state=Karnataka&amp;keyword=Website%20Development/Application&amp;tender=KPPP-ITBT-2026-8821", "🚀 Open in Portal")</f>
        <v/>
      </c>
    </row>
    <row r="1847" ht="24" customHeight="1">
      <c r="A1847" s="4" t="inlineStr">
        <is>
          <t>Karnataka</t>
        </is>
      </c>
      <c r="B1847" s="5" t="inlineStr">
        <is>
          <t>Development</t>
        </is>
      </c>
      <c r="C1847" s="6" t="inlineStr">
        <is>
          <t>KPPP-ITBT-2026-8821</t>
        </is>
      </c>
      <c r="D1847" s="7" t="inlineStr">
        <is>
          <t>Development of Next-Gen e-Governance Mobile Application and Cloud Citizen Portal</t>
        </is>
      </c>
      <c r="E1847" s="7" t="inlineStr">
        <is>
          <t>DEPARTMENT OF ELECTRONICS, IT, BT &amp; S&amp;T-Bengaluru</t>
        </is>
      </c>
      <c r="F1847" s="6" t="inlineStr">
        <is>
          <t>18 Sep 2026</t>
        </is>
      </c>
      <c r="G1847" s="5" t="inlineStr">
        <is>
          <t>10 Oct 2026</t>
        </is>
      </c>
      <c r="H1847" s="8" t="inlineStr">
        <is>
          <t>⏳ UPCOMING</t>
        </is>
      </c>
      <c r="I1847" s="4" t="inlineStr">
        <is>
          <t>ITBT_Citizen_Portal_RFP.pdf</t>
        </is>
      </c>
      <c r="J1847" s="6" t="inlineStr">
        <is>
          <t>📕 PDF Document</t>
        </is>
      </c>
      <c r="K1847" s="9" t="n">
        <v>17.9</v>
      </c>
      <c r="L1847" s="10">
        <f>HYPERLINK("http://127.0.0.1:8000/api/documents/download?id=2792&amp;attachment=true", "⬇ Download ITBT_Citizen_Portal_RFP.")</f>
        <v/>
      </c>
      <c r="M1847" s="10">
        <f>HYPERLINK("http://localhost:5173/?state=Karnataka&amp;keyword=Development&amp;tender=KPPP-ITBT-2026-8821", "🚀 Open in Portal")</f>
        <v/>
      </c>
    </row>
    <row r="1848" ht="24" customHeight="1">
      <c r="A1848" s="11" t="inlineStr">
        <is>
          <t>Karnataka</t>
        </is>
      </c>
      <c r="B1848" s="12" t="inlineStr">
        <is>
          <t>Development</t>
        </is>
      </c>
      <c r="C1848" s="13" t="inlineStr">
        <is>
          <t>KPPP-ITBT-2026-8821</t>
        </is>
      </c>
      <c r="D1848" s="14" t="inlineStr">
        <is>
          <t>Development of Next-Gen e-Governance Mobile Application and Cloud Citizen Portal</t>
        </is>
      </c>
      <c r="E1848" s="14" t="inlineStr">
        <is>
          <t>DEPARTMENT OF ELECTRONICS, IT, BT &amp; S&amp;T-Bengaluru</t>
        </is>
      </c>
      <c r="F1848" s="13" t="inlineStr">
        <is>
          <t>18 Sep 2026</t>
        </is>
      </c>
      <c r="G1848" s="12" t="inlineStr">
        <is>
          <t>10 Oct 2026</t>
        </is>
      </c>
      <c r="H1848" s="8" t="inlineStr">
        <is>
          <t>⏳ UPCOMING</t>
        </is>
      </c>
      <c r="I1848" s="11" t="inlineStr">
        <is>
          <t>Functional_Requirements_Document.pdf</t>
        </is>
      </c>
      <c r="J1848" s="13" t="inlineStr">
        <is>
          <t>📕 PDF Document</t>
        </is>
      </c>
      <c r="K1848" s="15" t="n">
        <v>17.9</v>
      </c>
      <c r="L1848" s="16">
        <f>HYPERLINK("http://127.0.0.1:8000/api/documents/download?id=2793&amp;attachment=true", "⬇ Download Functional_Requirements_")</f>
        <v/>
      </c>
      <c r="M1848" s="16">
        <f>HYPERLINK("http://localhost:5173/?state=Karnataka&amp;keyword=Development&amp;tender=KPPP-ITBT-2026-8821", "🚀 Open in Portal")</f>
        <v/>
      </c>
    </row>
    <row r="1849" ht="24" customHeight="1">
      <c r="A1849" s="4" t="inlineStr">
        <is>
          <t>Karnataka</t>
        </is>
      </c>
      <c r="B1849" s="5" t="inlineStr">
        <is>
          <t>Development</t>
        </is>
      </c>
      <c r="C1849" s="6" t="inlineStr">
        <is>
          <t>KPPP-ITBT-2026-8821</t>
        </is>
      </c>
      <c r="D1849" s="7" t="inlineStr">
        <is>
          <t>Development of Next-Gen e-Governance Mobile Application and Cloud Citizen Portal</t>
        </is>
      </c>
      <c r="E1849" s="7" t="inlineStr">
        <is>
          <t>DEPARTMENT OF ELECTRONICS, IT, BT &amp; S&amp;T-Bengaluru</t>
        </is>
      </c>
      <c r="F1849" s="6" t="inlineStr">
        <is>
          <t>18 Sep 2026</t>
        </is>
      </c>
      <c r="G1849" s="5" t="inlineStr">
        <is>
          <t>10 Oct 2026</t>
        </is>
      </c>
      <c r="H1849" s="8" t="inlineStr">
        <is>
          <t>⏳ UPCOMING</t>
        </is>
      </c>
      <c r="I1849" s="4" t="inlineStr">
        <is>
          <t>SLA_Agreement_Template.pdf</t>
        </is>
      </c>
      <c r="J1849" s="6" t="inlineStr">
        <is>
          <t>📕 PDF Document</t>
        </is>
      </c>
      <c r="K1849" s="9" t="n">
        <v>17.9</v>
      </c>
      <c r="L1849" s="10">
        <f>HYPERLINK("http://127.0.0.1:8000/api/documents/download?id=2794&amp;attachment=true", "⬇ Download SLA_Agreement_Template.p")</f>
        <v/>
      </c>
      <c r="M1849" s="10">
        <f>HYPERLINK("http://localhost:5173/?state=Karnataka&amp;keyword=Development&amp;tender=KPPP-ITBT-2026-8821", "🚀 Open in Portal")</f>
        <v/>
      </c>
    </row>
    <row r="1850" ht="24" customHeight="1">
      <c r="A1850" s="11" t="inlineStr">
        <is>
          <t>Karnataka</t>
        </is>
      </c>
      <c r="B1850" s="12" t="inlineStr">
        <is>
          <t>Development</t>
        </is>
      </c>
      <c r="C1850" s="13" t="inlineStr">
        <is>
          <t>KPPP-ITBT-2026-8821</t>
        </is>
      </c>
      <c r="D1850" s="14" t="inlineStr">
        <is>
          <t>Development of Next-Gen e-Governance Mobile Application and Cloud Citizen Portal</t>
        </is>
      </c>
      <c r="E1850" s="14" t="inlineStr">
        <is>
          <t>DEPARTMENT OF ELECTRONICS, IT, BT &amp; S&amp;T-Bengaluru</t>
        </is>
      </c>
      <c r="F1850" s="13" t="inlineStr">
        <is>
          <t>18 Sep 2026</t>
        </is>
      </c>
      <c r="G1850" s="12" t="inlineStr">
        <is>
          <t>10 Oct 2026</t>
        </is>
      </c>
      <c r="H1850" s="8" t="inlineStr">
        <is>
          <t>⏳ UPCOMING</t>
        </is>
      </c>
      <c r="I1850" s="11" t="inlineStr">
        <is>
          <t>Tender_KPPP-ITBT-2026-8821_All_Documents.zip</t>
        </is>
      </c>
      <c r="J1850" s="13" t="inlineStr">
        <is>
          <t>📦 ZIP Package</t>
        </is>
      </c>
      <c r="K1850" s="15" t="n">
        <v>27.8</v>
      </c>
      <c r="L1850" s="16">
        <f>HYPERLINK("http://127.0.0.1:8000/api/documents/download?id=3004&amp;attachment=true", "⬇ Download Tender_KPPP-ITBT-2026-88")</f>
        <v/>
      </c>
      <c r="M1850" s="16">
        <f>HYPERLINK("http://localhost:5173/?state=Karnataka&amp;keyword=Development&amp;tender=KPPP-ITBT-2026-8821", "🚀 Open in Portal")</f>
        <v/>
      </c>
    </row>
    <row r="1851" ht="24" customHeight="1">
      <c r="A1851" s="4" t="inlineStr">
        <is>
          <t>Kerala</t>
        </is>
      </c>
      <c r="B1851" s="5" t="inlineStr">
        <is>
          <t>GIS</t>
        </is>
      </c>
      <c r="C1851" s="6" t="inlineStr">
        <is>
          <t>2026_ANERT_863708_1</t>
        </is>
      </c>
      <c r="D1851" s="7" t="inlineStr">
        <is>
          <t>[Expression of Interest for Registration of Vendors for Installation of Solar Projects in the State of Kerala]</t>
        </is>
      </c>
      <c r="E1851" s="7" t="inlineStr">
        <is>
          <t>Kerala Public Works &amp; Technology Department</t>
        </is>
      </c>
      <c r="F1851" s="6" t="inlineStr">
        <is>
          <t>13 Sep 2026</t>
        </is>
      </c>
      <c r="G1851" s="5" t="inlineStr">
        <is>
          <t>05 Oct 2026</t>
        </is>
      </c>
      <c r="H1851" s="8" t="inlineStr">
        <is>
          <t>⏳ UPCOMING</t>
        </is>
      </c>
      <c r="I1851" s="4" t="inlineStr">
        <is>
          <t>Tendernotice_1.pdf</t>
        </is>
      </c>
      <c r="J1851" s="6" t="inlineStr">
        <is>
          <t>📕 PDF Document</t>
        </is>
      </c>
      <c r="K1851" s="9" t="n">
        <v>17.8</v>
      </c>
      <c r="L1851" s="10">
        <f>HYPERLINK("http://127.0.0.1:8000/api/documents/download?id=1775&amp;attachment=true", "⬇ Download Tendernotice_1.pdf")</f>
        <v/>
      </c>
      <c r="M1851" s="10">
        <f>HYPERLINK("http://localhost:5173/?state=Kerala&amp;keyword=GIS&amp;tender=2026_ANERT_863708_1", "🚀 Open in Portal")</f>
        <v/>
      </c>
    </row>
    <row r="1852" ht="24" customHeight="1">
      <c r="A1852" s="11" t="inlineStr">
        <is>
          <t>Kerala</t>
        </is>
      </c>
      <c r="B1852" s="12" t="inlineStr">
        <is>
          <t>GIS</t>
        </is>
      </c>
      <c r="C1852" s="13" t="inlineStr">
        <is>
          <t>2026_ANERT_863708_1</t>
        </is>
      </c>
      <c r="D1852" s="14" t="inlineStr">
        <is>
          <t>[Expression of Interest for Registration of Vendors for Installation of Solar Projects in the State of Kerala]</t>
        </is>
      </c>
      <c r="E1852" s="14" t="inlineStr">
        <is>
          <t>Kerala Public Works &amp; Technology Department</t>
        </is>
      </c>
      <c r="F1852" s="13" t="inlineStr">
        <is>
          <t>13 Sep 2026</t>
        </is>
      </c>
      <c r="G1852" s="12" t="inlineStr">
        <is>
          <t>05 Oct 2026</t>
        </is>
      </c>
      <c r="H1852" s="8" t="inlineStr">
        <is>
          <t>⏳ UPCOMING</t>
        </is>
      </c>
      <c r="I1852" s="11" t="inlineStr">
        <is>
          <t>TDEOIVendorSelection2.pdf</t>
        </is>
      </c>
      <c r="J1852" s="13" t="inlineStr">
        <is>
          <t>📕 PDF Document</t>
        </is>
      </c>
      <c r="K1852" s="15" t="n">
        <v>17.9</v>
      </c>
      <c r="L1852" s="16">
        <f>HYPERLINK("http://127.0.0.1:8000/api/documents/download?id=1776&amp;attachment=true", "⬇ Download TDEOIVendorSelection2.pd")</f>
        <v/>
      </c>
      <c r="M1852" s="16">
        <f>HYPERLINK("http://localhost:5173/?state=Kerala&amp;keyword=GIS&amp;tender=2026_ANERT_863708_1", "🚀 Open in Portal")</f>
        <v/>
      </c>
    </row>
    <row r="1853" ht="24" customHeight="1">
      <c r="A1853" s="4" t="inlineStr">
        <is>
          <t>Kerala</t>
        </is>
      </c>
      <c r="B1853" s="5" t="inlineStr">
        <is>
          <t>GIS</t>
        </is>
      </c>
      <c r="C1853" s="6" t="inlineStr">
        <is>
          <t>2026_ANERT_863708_1</t>
        </is>
      </c>
      <c r="D1853" s="7" t="inlineStr">
        <is>
          <t>[Expression of Interest for Registration of Vendors for Installation of Solar Projects in the State of Kerala]</t>
        </is>
      </c>
      <c r="E1853" s="7" t="inlineStr">
        <is>
          <t>Kerala Public Works &amp; Technology Department</t>
        </is>
      </c>
      <c r="F1853" s="6" t="inlineStr">
        <is>
          <t>13 Sep 2026</t>
        </is>
      </c>
      <c r="G1853" s="5" t="inlineStr">
        <is>
          <t>05 Oct 2026</t>
        </is>
      </c>
      <c r="H1853" s="8" t="inlineStr">
        <is>
          <t>⏳ UPCOMING</t>
        </is>
      </c>
      <c r="I1853" s="4" t="inlineStr">
        <is>
          <t>Tender_2026_ANERT_863708_1_All_Documents.zip</t>
        </is>
      </c>
      <c r="J1853" s="6" t="inlineStr">
        <is>
          <t>📦 ZIP Package</t>
        </is>
      </c>
      <c r="K1853" s="9" t="n">
        <v>18.4</v>
      </c>
      <c r="L1853" s="10">
        <f>HYPERLINK("http://127.0.0.1:8000/api/documents/download?id=1777&amp;attachment=true", "⬇ Download Tender_2026_ANERT_863708")</f>
        <v/>
      </c>
      <c r="M1853" s="10">
        <f>HYPERLINK("http://localhost:5173/?state=Kerala&amp;keyword=GIS&amp;tender=2026_ANERT_863708_1", "🚀 Open in Portal")</f>
        <v/>
      </c>
    </row>
    <row r="1854" ht="24" customHeight="1">
      <c r="A1854" s="11" t="inlineStr">
        <is>
          <t>Kerala</t>
        </is>
      </c>
      <c r="B1854" s="12" t="inlineStr">
        <is>
          <t>GIS</t>
        </is>
      </c>
      <c r="C1854" s="13" t="inlineStr">
        <is>
          <t>2026_KSEB_873445_1</t>
        </is>
      </c>
      <c r="D1854" s="14" t="inlineStr">
        <is>
          <t>[Constructing new 11kV feeder using ABC from GIS TPRA to Puthiyakavu]</t>
        </is>
      </c>
      <c r="E1854" s="14" t="inlineStr">
        <is>
          <t>Kerala Public Works &amp; Technology Department</t>
        </is>
      </c>
      <c r="F1854" s="13" t="inlineStr">
        <is>
          <t>23 Jul 2026</t>
        </is>
      </c>
      <c r="G1854" s="12" t="inlineStr">
        <is>
          <t>15 Aug 2026</t>
        </is>
      </c>
      <c r="H1854" s="8" t="inlineStr">
        <is>
          <t>⏳ UPCOMING</t>
        </is>
      </c>
      <c r="I1854" s="11" t="inlineStr">
        <is>
          <t>Tendernotice_1.pdf</t>
        </is>
      </c>
      <c r="J1854" s="13" t="inlineStr">
        <is>
          <t>📕 PDF Document</t>
        </is>
      </c>
      <c r="K1854" s="15" t="n">
        <v>17.8</v>
      </c>
      <c r="L1854" s="16">
        <f>HYPERLINK("http://127.0.0.1:8000/api/documents/download?id=1768&amp;attachment=true", "⬇ Download Tendernotice_1.pdf")</f>
        <v/>
      </c>
      <c r="M1854" s="16">
        <f>HYPERLINK("http://localhost:5173/?state=Kerala&amp;keyword=GIS&amp;tender=2026_KSEB_873445_1", "🚀 Open in Portal")</f>
        <v/>
      </c>
    </row>
    <row r="1855" ht="24" customHeight="1">
      <c r="A1855" s="4" t="inlineStr">
        <is>
          <t>Kerala</t>
        </is>
      </c>
      <c r="B1855" s="5" t="inlineStr">
        <is>
          <t>GIS</t>
        </is>
      </c>
      <c r="C1855" s="6" t="inlineStr">
        <is>
          <t>2026_KSEB_873445_1</t>
        </is>
      </c>
      <c r="D1855" s="7" t="inlineStr">
        <is>
          <t>[Constructing new 11kV feeder using ABC from GIS TPRA to Puthiyakavu]</t>
        </is>
      </c>
      <c r="E1855" s="7" t="inlineStr">
        <is>
          <t>Kerala Public Works &amp; Technology Department</t>
        </is>
      </c>
      <c r="F1855" s="6" t="inlineStr">
        <is>
          <t>23 Jul 2026</t>
        </is>
      </c>
      <c r="G1855" s="5" t="inlineStr">
        <is>
          <t>15 Aug 2026</t>
        </is>
      </c>
      <c r="H1855" s="8" t="inlineStr">
        <is>
          <t>⏳ UPCOMING</t>
        </is>
      </c>
      <c r="I1855" s="4" t="inlineStr">
        <is>
          <t>Tenderdoc.pdf</t>
        </is>
      </c>
      <c r="J1855" s="6" t="inlineStr">
        <is>
          <t>📕 PDF Document</t>
        </is>
      </c>
      <c r="K1855" s="9" t="n">
        <v>17.8</v>
      </c>
      <c r="L1855" s="10">
        <f>HYPERLINK("http://127.0.0.1:8000/api/documents/download?id=1769&amp;attachment=true", "⬇ Download Tenderdoc.pdf")</f>
        <v/>
      </c>
      <c r="M1855" s="10">
        <f>HYPERLINK("http://localhost:5173/?state=Kerala&amp;keyword=GIS&amp;tender=2026_KSEB_873445_1", "🚀 Open in Portal")</f>
        <v/>
      </c>
    </row>
    <row r="1856" ht="24" customHeight="1">
      <c r="A1856" s="11" t="inlineStr">
        <is>
          <t>Kerala</t>
        </is>
      </c>
      <c r="B1856" s="12" t="inlineStr">
        <is>
          <t>GIS</t>
        </is>
      </c>
      <c r="C1856" s="13" t="inlineStr">
        <is>
          <t>2026_KSEB_873445_1</t>
        </is>
      </c>
      <c r="D1856" s="14" t="inlineStr">
        <is>
          <t>[Constructing new 11kV feeder using ABC from GIS TPRA to Puthiyakavu]</t>
        </is>
      </c>
      <c r="E1856" s="14" t="inlineStr">
        <is>
          <t>Kerala Public Works &amp; Technology Department</t>
        </is>
      </c>
      <c r="F1856" s="13" t="inlineStr">
        <is>
          <t>23 Jul 2026</t>
        </is>
      </c>
      <c r="G1856" s="12" t="inlineStr">
        <is>
          <t>15 Aug 2026</t>
        </is>
      </c>
      <c r="H1856" s="8" t="inlineStr">
        <is>
          <t>⏳ UPCOMING</t>
        </is>
      </c>
      <c r="I1856" s="11" t="inlineStr">
        <is>
          <t>BOQ_1481766.xls</t>
        </is>
      </c>
      <c r="J1856" s="13" t="inlineStr">
        <is>
          <t>📊 Excel BOQ</t>
        </is>
      </c>
      <c r="K1856" s="15" t="n">
        <v>2.4</v>
      </c>
      <c r="L1856" s="16">
        <f>HYPERLINK("http://127.0.0.1:8000/api/documents/download?id=1770&amp;attachment=true", "⬇ Download BOQ_1481766.xls")</f>
        <v/>
      </c>
      <c r="M1856" s="16">
        <f>HYPERLINK("http://localhost:5173/?state=Kerala&amp;keyword=GIS&amp;tender=2026_KSEB_873445_1", "🚀 Open in Portal")</f>
        <v/>
      </c>
    </row>
    <row r="1857" ht="24" customHeight="1">
      <c r="A1857" s="4" t="inlineStr">
        <is>
          <t>Kerala</t>
        </is>
      </c>
      <c r="B1857" s="5" t="inlineStr">
        <is>
          <t>GIS</t>
        </is>
      </c>
      <c r="C1857" s="6" t="inlineStr">
        <is>
          <t>2026_KSEB_873445_1</t>
        </is>
      </c>
      <c r="D1857" s="7" t="inlineStr">
        <is>
          <t>[Constructing new 11kV feeder using ABC from GIS TPRA to Puthiyakavu]</t>
        </is>
      </c>
      <c r="E1857" s="7" t="inlineStr">
        <is>
          <t>Kerala Public Works &amp; Technology Department</t>
        </is>
      </c>
      <c r="F1857" s="6" t="inlineStr">
        <is>
          <t>23 Jul 2026</t>
        </is>
      </c>
      <c r="G1857" s="5" t="inlineStr">
        <is>
          <t>15 Aug 2026</t>
        </is>
      </c>
      <c r="H1857" s="8" t="inlineStr">
        <is>
          <t>⏳ UPCOMING</t>
        </is>
      </c>
      <c r="I1857" s="4" t="inlineStr">
        <is>
          <t>Tender_2026_KSEB_873445_1_All_Documents.zip</t>
        </is>
      </c>
      <c r="J1857" s="6" t="inlineStr">
        <is>
          <t>📦 ZIP Package</t>
        </is>
      </c>
      <c r="K1857" s="9" t="n">
        <v>20.7</v>
      </c>
      <c r="L1857" s="10">
        <f>HYPERLINK("http://127.0.0.1:8000/api/documents/download?id=1771&amp;attachment=true", "⬇ Download Tender_2026_KSEB_873445_")</f>
        <v/>
      </c>
      <c r="M1857" s="10">
        <f>HYPERLINK("http://localhost:5173/?state=Kerala&amp;keyword=GIS&amp;tender=2026_KSEB_873445_1", "🚀 Open in Portal")</f>
        <v/>
      </c>
    </row>
    <row r="1858" ht="24" customHeight="1">
      <c r="A1858" s="11" t="inlineStr">
        <is>
          <t>Kerala</t>
        </is>
      </c>
      <c r="B1858" s="12" t="inlineStr">
        <is>
          <t>GIS</t>
        </is>
      </c>
      <c r="C1858" s="13" t="inlineStr">
        <is>
          <t>2026_KSEB_874066_1</t>
        </is>
      </c>
      <c r="D1858" s="14" t="inlineStr">
        <is>
          <t>[Hiring diesel jeep 1500 cc and above registered with in 15 years with driver for a period of one year for the use of Electrical section Vilakkudy under Electrical Division Punalur]</t>
        </is>
      </c>
      <c r="E1858" s="14" t="inlineStr">
        <is>
          <t>Kerala Public Works &amp; Technology Department</t>
        </is>
      </c>
      <c r="F1858" s="13" t="inlineStr">
        <is>
          <t>25 Sep 2026</t>
        </is>
      </c>
      <c r="G1858" s="12" t="inlineStr">
        <is>
          <t>14 Nov 2026</t>
        </is>
      </c>
      <c r="H1858" s="17" t="inlineStr">
        <is>
          <t>🟢 LIVE ACTIVE</t>
        </is>
      </c>
      <c r="I1858" s="11" t="inlineStr">
        <is>
          <t>Tendernotice_1.pdf</t>
        </is>
      </c>
      <c r="J1858" s="13" t="inlineStr">
        <is>
          <t>📕 PDF Document</t>
        </is>
      </c>
      <c r="K1858" s="15" t="n">
        <v>17.8</v>
      </c>
      <c r="L1858" s="16">
        <f>HYPERLINK("http://127.0.0.1:8000/api/documents/download?id=1764&amp;attachment=true", "⬇ Download Tendernotice_1.pdf")</f>
        <v/>
      </c>
      <c r="M1858" s="16">
        <f>HYPERLINK("http://localhost:5173/?state=Kerala&amp;keyword=GIS&amp;tender=2026_KSEB_874066_1", "🚀 Open in Portal")</f>
        <v/>
      </c>
    </row>
    <row r="1859" ht="24" customHeight="1">
      <c r="A1859" s="4" t="inlineStr">
        <is>
          <t>Kerala</t>
        </is>
      </c>
      <c r="B1859" s="5" t="inlineStr">
        <is>
          <t>GIS</t>
        </is>
      </c>
      <c r="C1859" s="6" t="inlineStr">
        <is>
          <t>2026_KSEB_874066_1</t>
        </is>
      </c>
      <c r="D1859" s="7" t="inlineStr">
        <is>
          <t>[Hiring diesel jeep 1500 cc and above registered with in 15 years with driver for a period of one year for the use of Electrical section Vilakkudy under Electrical Division Punalur]</t>
        </is>
      </c>
      <c r="E1859" s="7" t="inlineStr">
        <is>
          <t>Kerala Public Works &amp; Technology Department</t>
        </is>
      </c>
      <c r="F1859" s="6" t="inlineStr">
        <is>
          <t>25 Sep 2026</t>
        </is>
      </c>
      <c r="G1859" s="5" t="inlineStr">
        <is>
          <t>14 Nov 2026</t>
        </is>
      </c>
      <c r="H1859" s="17" t="inlineStr">
        <is>
          <t>🟢 LIVE ACTIVE</t>
        </is>
      </c>
      <c r="I1859" s="4" t="inlineStr">
        <is>
          <t>BOQ_1483079.xls</t>
        </is>
      </c>
      <c r="J1859" s="6" t="inlineStr">
        <is>
          <t>📊 Excel BOQ</t>
        </is>
      </c>
      <c r="K1859" s="9" t="n">
        <v>2.5</v>
      </c>
      <c r="L1859" s="10">
        <f>HYPERLINK("http://127.0.0.1:8000/api/documents/download?id=1765&amp;attachment=true", "⬇ Download BOQ_1483079.xls")</f>
        <v/>
      </c>
      <c r="M1859" s="10">
        <f>HYPERLINK("http://localhost:5173/?state=Kerala&amp;keyword=GIS&amp;tender=2026_KSEB_874066_1", "🚀 Open in Portal")</f>
        <v/>
      </c>
    </row>
    <row r="1860" ht="24" customHeight="1">
      <c r="A1860" s="11" t="inlineStr">
        <is>
          <t>Kerala</t>
        </is>
      </c>
      <c r="B1860" s="12" t="inlineStr">
        <is>
          <t>GIS</t>
        </is>
      </c>
      <c r="C1860" s="13" t="inlineStr">
        <is>
          <t>2026_KSEB_874066_1</t>
        </is>
      </c>
      <c r="D1860" s="14" t="inlineStr">
        <is>
          <t>[Hiring diesel jeep 1500 cc and above registered with in 15 years with driver for a period of one year for the use of Electrical section Vilakkudy under Electrical Division Punalur]</t>
        </is>
      </c>
      <c r="E1860" s="14" t="inlineStr">
        <is>
          <t>Kerala Public Works &amp; Technology Department</t>
        </is>
      </c>
      <c r="F1860" s="13" t="inlineStr">
        <is>
          <t>25 Sep 2026</t>
        </is>
      </c>
      <c r="G1860" s="12" t="inlineStr">
        <is>
          <t>14 Nov 2026</t>
        </is>
      </c>
      <c r="H1860" s="17" t="inlineStr">
        <is>
          <t>🟢 LIVE ACTIVE</t>
        </is>
      </c>
      <c r="I1860" s="11" t="inlineStr">
        <is>
          <t>DoccumentsVKDY.pdf</t>
        </is>
      </c>
      <c r="J1860" s="13" t="inlineStr">
        <is>
          <t>📕 PDF Document</t>
        </is>
      </c>
      <c r="K1860" s="15" t="n">
        <v>17.8</v>
      </c>
      <c r="L1860" s="16">
        <f>HYPERLINK("http://127.0.0.1:8000/api/documents/download?id=1766&amp;attachment=true", "⬇ Download DoccumentsVKDY.pdf")</f>
        <v/>
      </c>
      <c r="M1860" s="16">
        <f>HYPERLINK("http://localhost:5173/?state=Kerala&amp;keyword=GIS&amp;tender=2026_KSEB_874066_1", "🚀 Open in Portal")</f>
        <v/>
      </c>
    </row>
    <row r="1861" ht="24" customHeight="1">
      <c r="A1861" s="4" t="inlineStr">
        <is>
          <t>Kerala</t>
        </is>
      </c>
      <c r="B1861" s="5" t="inlineStr">
        <is>
          <t>GIS</t>
        </is>
      </c>
      <c r="C1861" s="6" t="inlineStr">
        <is>
          <t>2026_KSEB_874066_1</t>
        </is>
      </c>
      <c r="D1861" s="7" t="inlineStr">
        <is>
          <t>[Hiring diesel jeep 1500 cc and above registered with in 15 years with driver for a period of one year for the use of Electrical section Vilakkudy under Electrical Division Punalur]</t>
        </is>
      </c>
      <c r="E1861" s="7" t="inlineStr">
        <is>
          <t>Kerala Public Works &amp; Technology Department</t>
        </is>
      </c>
      <c r="F1861" s="6" t="inlineStr">
        <is>
          <t>25 Sep 2026</t>
        </is>
      </c>
      <c r="G1861" s="5" t="inlineStr">
        <is>
          <t>14 Nov 2026</t>
        </is>
      </c>
      <c r="H1861" s="17" t="inlineStr">
        <is>
          <t>🟢 LIVE ACTIVE</t>
        </is>
      </c>
      <c r="I1861" s="4" t="inlineStr">
        <is>
          <t>Tender_2026_KSEB_874066_1_All_Documents.zip</t>
        </is>
      </c>
      <c r="J1861" s="6" t="inlineStr">
        <is>
          <t>📦 ZIP Package</t>
        </is>
      </c>
      <c r="K1861" s="9" t="n">
        <v>20.8</v>
      </c>
      <c r="L1861" s="10">
        <f>HYPERLINK("http://127.0.0.1:8000/api/documents/download?id=1767&amp;attachment=true", "⬇ Download Tender_2026_KSEB_874066_")</f>
        <v/>
      </c>
      <c r="M1861" s="10">
        <f>HYPERLINK("http://localhost:5173/?state=Kerala&amp;keyword=GIS&amp;tender=2026_KSEB_874066_1", "🚀 Open in Portal")</f>
        <v/>
      </c>
    </row>
    <row r="1862" ht="24" customHeight="1">
      <c r="A1862" s="11" t="inlineStr">
        <is>
          <t>Kerala</t>
        </is>
      </c>
      <c r="B1862" s="12" t="inlineStr">
        <is>
          <t>GIS</t>
        </is>
      </c>
      <c r="C1862" s="13" t="inlineStr">
        <is>
          <t>2026_KSEB_876059_1</t>
        </is>
      </c>
      <c r="D1862" s="14" t="inlineStr">
        <is>
          <t>[HIRING OF LORRY (REGISTERED WITHIN LAST 15 YEARS) WITH DRIVER ON CONTRACT BASIS FOR THE OFFICIAL USE OF VARIOUS OFFICES UNDER TRANSMISSION CIRCLE ALAPPUZHA]</t>
        </is>
      </c>
      <c r="E1862" s="14" t="inlineStr">
        <is>
          <t>Kerala Public Works &amp; Technology Department</t>
        </is>
      </c>
      <c r="F1862" s="13" t="inlineStr">
        <is>
          <t>02 Sep 2026</t>
        </is>
      </c>
      <c r="G1862" s="12" t="inlineStr">
        <is>
          <t>28 Sep 2026</t>
        </is>
      </c>
      <c r="H1862" s="8" t="inlineStr">
        <is>
          <t>⏳ UPCOMING</t>
        </is>
      </c>
      <c r="I1862" s="11" t="inlineStr">
        <is>
          <t>Tendernotice_1.pdf</t>
        </is>
      </c>
      <c r="J1862" s="13" t="inlineStr">
        <is>
          <t>📕 PDF Document</t>
        </is>
      </c>
      <c r="K1862" s="15" t="n">
        <v>17.8</v>
      </c>
      <c r="L1862" s="16">
        <f>HYPERLINK("http://127.0.0.1:8000/api/documents/download?id=1740&amp;attachment=true", "⬇ Download Tendernotice_1.pdf")</f>
        <v/>
      </c>
      <c r="M1862" s="16">
        <f>HYPERLINK("http://localhost:5173/?state=Kerala&amp;keyword=GIS&amp;tender=2026_KSEB_876059_1", "🚀 Open in Portal")</f>
        <v/>
      </c>
    </row>
    <row r="1863" ht="24" customHeight="1">
      <c r="A1863" s="4" t="inlineStr">
        <is>
          <t>Kerala</t>
        </is>
      </c>
      <c r="B1863" s="5" t="inlineStr">
        <is>
          <t>GIS</t>
        </is>
      </c>
      <c r="C1863" s="6" t="inlineStr">
        <is>
          <t>2026_KSEB_876059_1</t>
        </is>
      </c>
      <c r="D1863" s="7" t="inlineStr">
        <is>
          <t>[HIRING OF LORRY (REGISTERED WITHIN LAST 15 YEARS) WITH DRIVER ON CONTRACT BASIS FOR THE OFFICIAL USE OF VARIOUS OFFICES UNDER TRANSMISSION CIRCLE ALAPPUZHA]</t>
        </is>
      </c>
      <c r="E1863" s="7" t="inlineStr">
        <is>
          <t>Kerala Public Works &amp; Technology Department</t>
        </is>
      </c>
      <c r="F1863" s="6" t="inlineStr">
        <is>
          <t>02 Sep 2026</t>
        </is>
      </c>
      <c r="G1863" s="5" t="inlineStr">
        <is>
          <t>28 Sep 2026</t>
        </is>
      </c>
      <c r="H1863" s="8" t="inlineStr">
        <is>
          <t>⏳ UPCOMING</t>
        </is>
      </c>
      <c r="I1863" s="4" t="inlineStr">
        <is>
          <t>TENDERFORM.pdf</t>
        </is>
      </c>
      <c r="J1863" s="6" t="inlineStr">
        <is>
          <t>📕 PDF Document</t>
        </is>
      </c>
      <c r="K1863" s="9" t="n">
        <v>17.8</v>
      </c>
      <c r="L1863" s="10">
        <f>HYPERLINK("http://127.0.0.1:8000/api/documents/download?id=1741&amp;attachment=true", "⬇ Download TENDERFORM.pdf")</f>
        <v/>
      </c>
      <c r="M1863" s="10">
        <f>HYPERLINK("http://localhost:5173/?state=Kerala&amp;keyword=GIS&amp;tender=2026_KSEB_876059_1", "🚀 Open in Portal")</f>
        <v/>
      </c>
    </row>
    <row r="1864" ht="24" customHeight="1">
      <c r="A1864" s="11" t="inlineStr">
        <is>
          <t>Kerala</t>
        </is>
      </c>
      <c r="B1864" s="12" t="inlineStr">
        <is>
          <t>GIS</t>
        </is>
      </c>
      <c r="C1864" s="13" t="inlineStr">
        <is>
          <t>2026_KSEB_876059_1</t>
        </is>
      </c>
      <c r="D1864" s="14" t="inlineStr">
        <is>
          <t>[HIRING OF LORRY (REGISTERED WITHIN LAST 15 YEARS) WITH DRIVER ON CONTRACT BASIS FOR THE OFFICIAL USE OF VARIOUS OFFICES UNDER TRANSMISSION CIRCLE ALAPPUZHA]</t>
        </is>
      </c>
      <c r="E1864" s="14" t="inlineStr">
        <is>
          <t>Kerala Public Works &amp; Technology Department</t>
        </is>
      </c>
      <c r="F1864" s="13" t="inlineStr">
        <is>
          <t>02 Sep 2026</t>
        </is>
      </c>
      <c r="G1864" s="12" t="inlineStr">
        <is>
          <t>28 Sep 2026</t>
        </is>
      </c>
      <c r="H1864" s="8" t="inlineStr">
        <is>
          <t>⏳ UPCOMING</t>
        </is>
      </c>
      <c r="I1864" s="11" t="inlineStr">
        <is>
          <t>BOQ_1492379.xls</t>
        </is>
      </c>
      <c r="J1864" s="13" t="inlineStr">
        <is>
          <t>📊 Excel BOQ</t>
        </is>
      </c>
      <c r="K1864" s="15" t="n">
        <v>2.5</v>
      </c>
      <c r="L1864" s="16">
        <f>HYPERLINK("http://127.0.0.1:8000/api/documents/download?id=1742&amp;attachment=true", "⬇ Download BOQ_1492379.xls")</f>
        <v/>
      </c>
      <c r="M1864" s="16">
        <f>HYPERLINK("http://localhost:5173/?state=Kerala&amp;keyword=GIS&amp;tender=2026_KSEB_876059_1", "🚀 Open in Portal")</f>
        <v/>
      </c>
    </row>
    <row r="1865" ht="24" customHeight="1">
      <c r="A1865" s="4" t="inlineStr">
        <is>
          <t>Kerala</t>
        </is>
      </c>
      <c r="B1865" s="5" t="inlineStr">
        <is>
          <t>GIS</t>
        </is>
      </c>
      <c r="C1865" s="6" t="inlineStr">
        <is>
          <t>2026_KSEB_876059_1</t>
        </is>
      </c>
      <c r="D1865" s="7" t="inlineStr">
        <is>
          <t>[HIRING OF LORRY (REGISTERED WITHIN LAST 15 YEARS) WITH DRIVER ON CONTRACT BASIS FOR THE OFFICIAL USE OF VARIOUS OFFICES UNDER TRANSMISSION CIRCLE ALAPPUZHA]</t>
        </is>
      </c>
      <c r="E1865" s="7" t="inlineStr">
        <is>
          <t>Kerala Public Works &amp; Technology Department</t>
        </is>
      </c>
      <c r="F1865" s="6" t="inlineStr">
        <is>
          <t>02 Sep 2026</t>
        </is>
      </c>
      <c r="G1865" s="5" t="inlineStr">
        <is>
          <t>28 Sep 2026</t>
        </is>
      </c>
      <c r="H1865" s="8" t="inlineStr">
        <is>
          <t>⏳ UPCOMING</t>
        </is>
      </c>
      <c r="I1865" s="4" t="inlineStr">
        <is>
          <t>Tender_2026_KSEB_876059_1_All_Documents.zip</t>
        </is>
      </c>
      <c r="J1865" s="6" t="inlineStr">
        <is>
          <t>📦 ZIP Package</t>
        </is>
      </c>
      <c r="K1865" s="9" t="n">
        <v>20.7</v>
      </c>
      <c r="L1865" s="10">
        <f>HYPERLINK("http://127.0.0.1:8000/api/documents/download?id=1743&amp;attachment=true", "⬇ Download Tender_2026_KSEB_876059_")</f>
        <v/>
      </c>
      <c r="M1865" s="10">
        <f>HYPERLINK("http://localhost:5173/?state=Kerala&amp;keyword=GIS&amp;tender=2026_KSEB_876059_1", "🚀 Open in Portal")</f>
        <v/>
      </c>
    </row>
    <row r="1866" ht="24" customHeight="1">
      <c r="A1866" s="11" t="inlineStr">
        <is>
          <t>Kerala</t>
        </is>
      </c>
      <c r="B1866" s="12" t="inlineStr">
        <is>
          <t>GIS</t>
        </is>
      </c>
      <c r="C1866" s="13" t="inlineStr">
        <is>
          <t>2026_PWD_843668_2</t>
        </is>
      </c>
      <c r="D1866" s="14" t="inlineStr">
        <is>
          <t>[GENERAL-Chief Judicial Magistrate Court Thalassery- Replacement of Batteries-Urgent replacement of 2 no.s 150Ah batteries of 2kVA inverter-General Electrical Work]</t>
        </is>
      </c>
      <c r="E1866" s="14" t="inlineStr">
        <is>
          <t>Kerala Public Works &amp; Technology Department</t>
        </is>
      </c>
      <c r="F1866" s="13" t="inlineStr">
        <is>
          <t>28 Aug 2026</t>
        </is>
      </c>
      <c r="G1866" s="12" t="inlineStr">
        <is>
          <t>26 Sep 2026</t>
        </is>
      </c>
      <c r="H1866" s="8" t="inlineStr">
        <is>
          <t>⏳ UPCOMING</t>
        </is>
      </c>
      <c r="I1866" s="11" t="inlineStr">
        <is>
          <t>Tendernotice_1.pdf</t>
        </is>
      </c>
      <c r="J1866" s="13" t="inlineStr">
        <is>
          <t>📕 PDF Document</t>
        </is>
      </c>
      <c r="K1866" s="15" t="n">
        <v>17.8</v>
      </c>
      <c r="L1866" s="16">
        <f>HYPERLINK("http://127.0.0.1:8000/api/documents/download?id=1757&amp;attachment=true", "⬇ Download Tendernotice_1.pdf")</f>
        <v/>
      </c>
      <c r="M1866" s="16">
        <f>HYPERLINK("http://localhost:5173/?state=Kerala&amp;keyword=GIS&amp;tender=2026_PWD_843668_2", "🚀 Open in Portal")</f>
        <v/>
      </c>
    </row>
    <row r="1867" ht="24" customHeight="1">
      <c r="A1867" s="4" t="inlineStr">
        <is>
          <t>Kerala</t>
        </is>
      </c>
      <c r="B1867" s="5" t="inlineStr">
        <is>
          <t>GIS</t>
        </is>
      </c>
      <c r="C1867" s="6" t="inlineStr">
        <is>
          <t>2026_PWD_843668_2</t>
        </is>
      </c>
      <c r="D1867" s="7" t="inlineStr">
        <is>
          <t>[GENERAL-Chief Judicial Magistrate Court Thalassery- Replacement of Batteries-Urgent replacement of 2 no.s 150Ah batteries of 2kVA inverter-General Electrical Work]</t>
        </is>
      </c>
      <c r="E1867" s="7" t="inlineStr">
        <is>
          <t>Kerala Public Works &amp; Technology Department</t>
        </is>
      </c>
      <c r="F1867" s="6" t="inlineStr">
        <is>
          <t>28 Aug 2026</t>
        </is>
      </c>
      <c r="G1867" s="5" t="inlineStr">
        <is>
          <t>26 Sep 2026</t>
        </is>
      </c>
      <c r="H1867" s="8" t="inlineStr">
        <is>
          <t>⏳ UPCOMING</t>
        </is>
      </c>
      <c r="I1867" s="4" t="inlineStr">
        <is>
          <t>MOM.pdf</t>
        </is>
      </c>
      <c r="J1867" s="6" t="inlineStr">
        <is>
          <t>📕 PDF Document</t>
        </is>
      </c>
      <c r="K1867" s="9" t="n">
        <v>17.8</v>
      </c>
      <c r="L1867" s="10">
        <f>HYPERLINK("http://127.0.0.1:8000/api/documents/download?id=1758&amp;attachment=true", "⬇ Download MOM.pdf")</f>
        <v/>
      </c>
      <c r="M1867" s="10">
        <f>HYPERLINK("http://localhost:5173/?state=Kerala&amp;keyword=GIS&amp;tender=2026_PWD_843668_2", "🚀 Open in Portal")</f>
        <v/>
      </c>
    </row>
    <row r="1868" ht="24" customHeight="1">
      <c r="A1868" s="11" t="inlineStr">
        <is>
          <t>Kerala</t>
        </is>
      </c>
      <c r="B1868" s="12" t="inlineStr">
        <is>
          <t>GIS</t>
        </is>
      </c>
      <c r="C1868" s="13" t="inlineStr">
        <is>
          <t>2026_PWD_843668_2</t>
        </is>
      </c>
      <c r="D1868" s="14" t="inlineStr">
        <is>
          <t>[GENERAL-Chief Judicial Magistrate Court Thalassery- Replacement of Batteries-Urgent replacement of 2 no.s 150Ah batteries of 2kVA inverter-General Electrical Work]</t>
        </is>
      </c>
      <c r="E1868" s="14" t="inlineStr">
        <is>
          <t>Kerala Public Works &amp; Technology Department</t>
        </is>
      </c>
      <c r="F1868" s="13" t="inlineStr">
        <is>
          <t>28 Aug 2026</t>
        </is>
      </c>
      <c r="G1868" s="12" t="inlineStr">
        <is>
          <t>26 Sep 2026</t>
        </is>
      </c>
      <c r="H1868" s="8" t="inlineStr">
        <is>
          <t>⏳ UPCOMING</t>
        </is>
      </c>
      <c r="I1868" s="11" t="inlineStr">
        <is>
          <t>viewnit.pdf</t>
        </is>
      </c>
      <c r="J1868" s="13" t="inlineStr">
        <is>
          <t>📕 PDF Document</t>
        </is>
      </c>
      <c r="K1868" s="15" t="n">
        <v>17.8</v>
      </c>
      <c r="L1868" s="16">
        <f>HYPERLINK("http://127.0.0.1:8000/api/documents/download?id=1759&amp;attachment=true", "⬇ Download viewnit.pdf")</f>
        <v/>
      </c>
      <c r="M1868" s="16">
        <f>HYPERLINK("http://localhost:5173/?state=Kerala&amp;keyword=GIS&amp;tender=2026_PWD_843668_2", "🚀 Open in Portal")</f>
        <v/>
      </c>
    </row>
    <row r="1869" ht="24" customHeight="1">
      <c r="A1869" s="4" t="inlineStr">
        <is>
          <t>Kerala</t>
        </is>
      </c>
      <c r="B1869" s="5" t="inlineStr">
        <is>
          <t>GIS</t>
        </is>
      </c>
      <c r="C1869" s="6" t="inlineStr">
        <is>
          <t>2026_PWD_843668_2</t>
        </is>
      </c>
      <c r="D1869" s="7" t="inlineStr">
        <is>
          <t>[GENERAL-Chief Judicial Magistrate Court Thalassery- Replacement of Batteries-Urgent replacement of 2 no.s 150Ah batteries of 2kVA inverter-General Electrical Work]</t>
        </is>
      </c>
      <c r="E1869" s="7" t="inlineStr">
        <is>
          <t>Kerala Public Works &amp; Technology Department</t>
        </is>
      </c>
      <c r="F1869" s="6" t="inlineStr">
        <is>
          <t>28 Aug 2026</t>
        </is>
      </c>
      <c r="G1869" s="5" t="inlineStr">
        <is>
          <t>26 Sep 2026</t>
        </is>
      </c>
      <c r="H1869" s="8" t="inlineStr">
        <is>
          <t>⏳ UPCOMING</t>
        </is>
      </c>
      <c r="I1869" s="4" t="inlineStr">
        <is>
          <t>viewsbd.pdf</t>
        </is>
      </c>
      <c r="J1869" s="6" t="inlineStr">
        <is>
          <t>📕 PDF Document</t>
        </is>
      </c>
      <c r="K1869" s="9" t="n">
        <v>17.8</v>
      </c>
      <c r="L1869" s="10">
        <f>HYPERLINK("http://127.0.0.1:8000/api/documents/download?id=1760&amp;attachment=true", "⬇ Download viewsbd.pdf")</f>
        <v/>
      </c>
      <c r="M1869" s="10">
        <f>HYPERLINK("http://localhost:5173/?state=Kerala&amp;keyword=GIS&amp;tender=2026_PWD_843668_2", "🚀 Open in Portal")</f>
        <v/>
      </c>
    </row>
    <row r="1870" ht="24" customHeight="1">
      <c r="A1870" s="11" t="inlineStr">
        <is>
          <t>Kerala</t>
        </is>
      </c>
      <c r="B1870" s="12" t="inlineStr">
        <is>
          <t>GIS</t>
        </is>
      </c>
      <c r="C1870" s="13" t="inlineStr">
        <is>
          <t>2026_PWD_843668_2</t>
        </is>
      </c>
      <c r="D1870" s="14" t="inlineStr">
        <is>
          <t>[GENERAL-Chief Judicial Magistrate Court Thalassery- Replacement of Batteries-Urgent replacement of 2 no.s 150Ah batteries of 2kVA inverter-General Electrical Work]</t>
        </is>
      </c>
      <c r="E1870" s="14" t="inlineStr">
        <is>
          <t>Kerala Public Works &amp; Technology Department</t>
        </is>
      </c>
      <c r="F1870" s="13" t="inlineStr">
        <is>
          <t>28 Aug 2026</t>
        </is>
      </c>
      <c r="G1870" s="12" t="inlineStr">
        <is>
          <t>26 Sep 2026</t>
        </is>
      </c>
      <c r="H1870" s="8" t="inlineStr">
        <is>
          <t>⏳ UPCOMING</t>
        </is>
      </c>
      <c r="I1870" s="11" t="inlineStr">
        <is>
          <t>specificconditionNEW.pdf</t>
        </is>
      </c>
      <c r="J1870" s="13" t="inlineStr">
        <is>
          <t>📕 PDF Document</t>
        </is>
      </c>
      <c r="K1870" s="15" t="n">
        <v>17.9</v>
      </c>
      <c r="L1870" s="16">
        <f>HYPERLINK("http://127.0.0.1:8000/api/documents/download?id=1761&amp;attachment=true", "⬇ Download specificconditionNEW.pdf")</f>
        <v/>
      </c>
      <c r="M1870" s="16">
        <f>HYPERLINK("http://localhost:5173/?state=Kerala&amp;keyword=GIS&amp;tender=2026_PWD_843668_2", "🚀 Open in Portal")</f>
        <v/>
      </c>
    </row>
    <row r="1871" ht="24" customHeight="1">
      <c r="A1871" s="4" t="inlineStr">
        <is>
          <t>Kerala</t>
        </is>
      </c>
      <c r="B1871" s="5" t="inlineStr">
        <is>
          <t>GIS</t>
        </is>
      </c>
      <c r="C1871" s="6" t="inlineStr">
        <is>
          <t>2026_PWD_843668_2</t>
        </is>
      </c>
      <c r="D1871" s="7" t="inlineStr">
        <is>
          <t>[GENERAL-Chief Judicial Magistrate Court Thalassery- Replacement of Batteries-Urgent replacement of 2 no.s 150Ah batteries of 2kVA inverter-General Electrical Work]</t>
        </is>
      </c>
      <c r="E1871" s="7" t="inlineStr">
        <is>
          <t>Kerala Public Works &amp; Technology Department</t>
        </is>
      </c>
      <c r="F1871" s="6" t="inlineStr">
        <is>
          <t>28 Aug 2026</t>
        </is>
      </c>
      <c r="G1871" s="5" t="inlineStr">
        <is>
          <t>26 Sep 2026</t>
        </is>
      </c>
      <c r="H1871" s="8" t="inlineStr">
        <is>
          <t>⏳ UPCOMING</t>
        </is>
      </c>
      <c r="I1871" s="4" t="inlineStr">
        <is>
          <t>BOQ_1490611.xls</t>
        </is>
      </c>
      <c r="J1871" s="6" t="inlineStr">
        <is>
          <t>📊 Excel BOQ</t>
        </is>
      </c>
      <c r="K1871" s="9" t="n">
        <v>2.5</v>
      </c>
      <c r="L1871" s="10">
        <f>HYPERLINK("http://127.0.0.1:8000/api/documents/download?id=1762&amp;attachment=true", "⬇ Download BOQ_1490611.xls")</f>
        <v/>
      </c>
      <c r="M1871" s="10">
        <f>HYPERLINK("http://localhost:5173/?state=Kerala&amp;keyword=GIS&amp;tender=2026_PWD_843668_2", "🚀 Open in Portal")</f>
        <v/>
      </c>
    </row>
    <row r="1872" ht="24" customHeight="1">
      <c r="A1872" s="11" t="inlineStr">
        <is>
          <t>Kerala</t>
        </is>
      </c>
      <c r="B1872" s="12" t="inlineStr">
        <is>
          <t>GIS</t>
        </is>
      </c>
      <c r="C1872" s="13" t="inlineStr">
        <is>
          <t>2026_PWD_843668_2</t>
        </is>
      </c>
      <c r="D1872" s="14" t="inlineStr">
        <is>
          <t>[GENERAL-Chief Judicial Magistrate Court Thalassery- Replacement of Batteries-Urgent replacement of 2 no.s 150Ah batteries of 2kVA inverter-General Electrical Work]</t>
        </is>
      </c>
      <c r="E1872" s="14" t="inlineStr">
        <is>
          <t>Kerala Public Works &amp; Technology Department</t>
        </is>
      </c>
      <c r="F1872" s="13" t="inlineStr">
        <is>
          <t>28 Aug 2026</t>
        </is>
      </c>
      <c r="G1872" s="12" t="inlineStr">
        <is>
          <t>26 Sep 2026</t>
        </is>
      </c>
      <c r="H1872" s="8" t="inlineStr">
        <is>
          <t>⏳ UPCOMING</t>
        </is>
      </c>
      <c r="I1872" s="11" t="inlineStr">
        <is>
          <t>Tender_2026_PWD_843668_2_All_Documents.zip</t>
        </is>
      </c>
      <c r="J1872" s="13" t="inlineStr">
        <is>
          <t>📦 ZIP Package</t>
        </is>
      </c>
      <c r="K1872" s="15" t="n">
        <v>48.6</v>
      </c>
      <c r="L1872" s="16">
        <f>HYPERLINK("http://127.0.0.1:8000/api/documents/download?id=1763&amp;attachment=true", "⬇ Download Tender_2026_PWD_843668_2")</f>
        <v/>
      </c>
      <c r="M1872" s="16">
        <f>HYPERLINK("http://localhost:5173/?state=Kerala&amp;keyword=GIS&amp;tender=2026_PWD_843668_2", "🚀 Open in Portal")</f>
        <v/>
      </c>
    </row>
    <row r="1873" ht="24" customHeight="1">
      <c r="A1873" s="4" t="inlineStr">
        <is>
          <t>Kerala</t>
        </is>
      </c>
      <c r="B1873" s="5" t="inlineStr">
        <is>
          <t>GIS</t>
        </is>
      </c>
      <c r="C1873" s="6" t="inlineStr">
        <is>
          <t>2026_PWD_870618_2</t>
        </is>
      </c>
      <c r="D1873" s="7" t="inlineStr">
        <is>
          <t>[GENERAL Erection of new e seva kendram at Munsiff Magistrate Court Thamarassery Construction of new e seva kendram and yard paving at Munsiff Magistrate Court Thamarassery-General Electrical Work ]</t>
        </is>
      </c>
      <c r="E1873" s="7" t="inlineStr">
        <is>
          <t>Kerala Public Works &amp; Technology Department</t>
        </is>
      </c>
      <c r="F1873" s="6" t="inlineStr">
        <is>
          <t>01 Oct 2026</t>
        </is>
      </c>
      <c r="G1873" s="5" t="inlineStr">
        <is>
          <t>29 Oct 2026</t>
        </is>
      </c>
      <c r="H1873" s="17" t="inlineStr">
        <is>
          <t>🟢 LIVE ACTIVE</t>
        </is>
      </c>
      <c r="I1873" s="4" t="inlineStr">
        <is>
          <t>Tendernotice_1.pdf</t>
        </is>
      </c>
      <c r="J1873" s="6" t="inlineStr">
        <is>
          <t>📕 PDF Document</t>
        </is>
      </c>
      <c r="K1873" s="9" t="n">
        <v>17.8</v>
      </c>
      <c r="L1873" s="10">
        <f>HYPERLINK("http://127.0.0.1:8000/api/documents/download?id=1744&amp;attachment=true", "⬇ Download Tendernotice_1.pdf")</f>
        <v/>
      </c>
      <c r="M1873" s="10">
        <f>HYPERLINK("http://localhost:5173/?state=Kerala&amp;keyword=GIS&amp;tender=2026_PWD_870618_2", "🚀 Open in Portal")</f>
        <v/>
      </c>
    </row>
    <row r="1874" ht="24" customHeight="1">
      <c r="A1874" s="11" t="inlineStr">
        <is>
          <t>Kerala</t>
        </is>
      </c>
      <c r="B1874" s="12" t="inlineStr">
        <is>
          <t>GIS</t>
        </is>
      </c>
      <c r="C1874" s="13" t="inlineStr">
        <is>
          <t>2026_PWD_870618_2</t>
        </is>
      </c>
      <c r="D1874" s="14" t="inlineStr">
        <is>
          <t>[GENERAL Erection of new e seva kendram at Munsiff Magistrate Court Thamarassery Construction of new e seva kendram and yard paving at Munsiff Magistrate Court Thamarassery-General Electrical Work ]</t>
        </is>
      </c>
      <c r="E1874" s="14" t="inlineStr">
        <is>
          <t>Kerala Public Works &amp; Technology Department</t>
        </is>
      </c>
      <c r="F1874" s="13" t="inlineStr">
        <is>
          <t>01 Oct 2026</t>
        </is>
      </c>
      <c r="G1874" s="12" t="inlineStr">
        <is>
          <t>29 Oct 2026</t>
        </is>
      </c>
      <c r="H1874" s="17" t="inlineStr">
        <is>
          <t>🟢 LIVE ACTIVE</t>
        </is>
      </c>
      <c r="I1874" s="11" t="inlineStr">
        <is>
          <t>BOQ_1490391.xls</t>
        </is>
      </c>
      <c r="J1874" s="13" t="inlineStr">
        <is>
          <t>📊 Excel BOQ</t>
        </is>
      </c>
      <c r="K1874" s="15" t="n">
        <v>2.5</v>
      </c>
      <c r="L1874" s="16">
        <f>HYPERLINK("http://127.0.0.1:8000/api/documents/download?id=1745&amp;attachment=true", "⬇ Download BOQ_1490391.xls")</f>
        <v/>
      </c>
      <c r="M1874" s="16">
        <f>HYPERLINK("http://localhost:5173/?state=Kerala&amp;keyword=GIS&amp;tender=2026_PWD_870618_2", "🚀 Open in Portal")</f>
        <v/>
      </c>
    </row>
    <row r="1875" ht="24" customHeight="1">
      <c r="A1875" s="4" t="inlineStr">
        <is>
          <t>Kerala</t>
        </is>
      </c>
      <c r="B1875" s="5" t="inlineStr">
        <is>
          <t>GIS</t>
        </is>
      </c>
      <c r="C1875" s="6" t="inlineStr">
        <is>
          <t>2026_PWD_870618_2</t>
        </is>
      </c>
      <c r="D1875" s="7" t="inlineStr">
        <is>
          <t>[GENERAL Erection of new e seva kendram at Munsiff Magistrate Court Thamarassery Construction of new e seva kendram and yard paving at Munsiff Magistrate Court Thamarassery-General Electrical Work ]</t>
        </is>
      </c>
      <c r="E1875" s="7" t="inlineStr">
        <is>
          <t>Kerala Public Works &amp; Technology Department</t>
        </is>
      </c>
      <c r="F1875" s="6" t="inlineStr">
        <is>
          <t>01 Oct 2026</t>
        </is>
      </c>
      <c r="G1875" s="5" t="inlineStr">
        <is>
          <t>29 Oct 2026</t>
        </is>
      </c>
      <c r="H1875" s="17" t="inlineStr">
        <is>
          <t>🟢 LIVE ACTIVE</t>
        </is>
      </c>
      <c r="I1875" s="4" t="inlineStr">
        <is>
          <t>SBDtsy.pdf</t>
        </is>
      </c>
      <c r="J1875" s="6" t="inlineStr">
        <is>
          <t>📕 PDF Document</t>
        </is>
      </c>
      <c r="K1875" s="9" t="n">
        <v>17.8</v>
      </c>
      <c r="L1875" s="10">
        <f>HYPERLINK("http://127.0.0.1:8000/api/documents/download?id=1746&amp;attachment=true", "⬇ Download SBDtsy.pdf")</f>
        <v/>
      </c>
      <c r="M1875" s="10">
        <f>HYPERLINK("http://localhost:5173/?state=Kerala&amp;keyword=GIS&amp;tender=2026_PWD_870618_2", "🚀 Open in Portal")</f>
        <v/>
      </c>
    </row>
    <row r="1876" ht="24" customHeight="1">
      <c r="A1876" s="11" t="inlineStr">
        <is>
          <t>Kerala</t>
        </is>
      </c>
      <c r="B1876" s="12" t="inlineStr">
        <is>
          <t>GIS</t>
        </is>
      </c>
      <c r="C1876" s="13" t="inlineStr">
        <is>
          <t>2026_PWD_870618_2</t>
        </is>
      </c>
      <c r="D1876" s="14" t="inlineStr">
        <is>
          <t>[GENERAL Erection of new e seva kendram at Munsiff Magistrate Court Thamarassery Construction of new e seva kendram and yard paving at Munsiff Magistrate Court Thamarassery-General Electrical Work ]</t>
        </is>
      </c>
      <c r="E1876" s="14" t="inlineStr">
        <is>
          <t>Kerala Public Works &amp; Technology Department</t>
        </is>
      </c>
      <c r="F1876" s="13" t="inlineStr">
        <is>
          <t>01 Oct 2026</t>
        </is>
      </c>
      <c r="G1876" s="12" t="inlineStr">
        <is>
          <t>29 Oct 2026</t>
        </is>
      </c>
      <c r="H1876" s="17" t="inlineStr">
        <is>
          <t>🟢 LIVE ACTIVE</t>
        </is>
      </c>
      <c r="I1876" s="11" t="inlineStr">
        <is>
          <t>nittsy.pdf</t>
        </is>
      </c>
      <c r="J1876" s="13" t="inlineStr">
        <is>
          <t>📕 PDF Document</t>
        </is>
      </c>
      <c r="K1876" s="15" t="n">
        <v>17.8</v>
      </c>
      <c r="L1876" s="16">
        <f>HYPERLINK("http://127.0.0.1:8000/api/documents/download?id=1747&amp;attachment=true", "⬇ Download nittsy.pdf")</f>
        <v/>
      </c>
      <c r="M1876" s="16">
        <f>HYPERLINK("http://localhost:5173/?state=Kerala&amp;keyword=GIS&amp;tender=2026_PWD_870618_2", "🚀 Open in Portal")</f>
        <v/>
      </c>
    </row>
    <row r="1877" ht="24" customHeight="1">
      <c r="A1877" s="4" t="inlineStr">
        <is>
          <t>Kerala</t>
        </is>
      </c>
      <c r="B1877" s="5" t="inlineStr">
        <is>
          <t>GIS</t>
        </is>
      </c>
      <c r="C1877" s="6" t="inlineStr">
        <is>
          <t>2026_PWD_870618_2</t>
        </is>
      </c>
      <c r="D1877" s="7" t="inlineStr">
        <is>
          <t>[GENERAL Erection of new e seva kendram at Munsiff Magistrate Court Thamarassery Construction of new e seva kendram and yard paving at Munsiff Magistrate Court Thamarassery-General Electrical Work ]</t>
        </is>
      </c>
      <c r="E1877" s="7" t="inlineStr">
        <is>
          <t>Kerala Public Works &amp; Technology Department</t>
        </is>
      </c>
      <c r="F1877" s="6" t="inlineStr">
        <is>
          <t>01 Oct 2026</t>
        </is>
      </c>
      <c r="G1877" s="5" t="inlineStr">
        <is>
          <t>29 Oct 2026</t>
        </is>
      </c>
      <c r="H1877" s="17" t="inlineStr">
        <is>
          <t>🟢 LIVE ACTIVE</t>
        </is>
      </c>
      <c r="I1877" s="4" t="inlineStr">
        <is>
          <t>MLcourt.pdf</t>
        </is>
      </c>
      <c r="J1877" s="6" t="inlineStr">
        <is>
          <t>📕 PDF Document</t>
        </is>
      </c>
      <c r="K1877" s="9" t="n">
        <v>17.8</v>
      </c>
      <c r="L1877" s="10">
        <f>HYPERLINK("http://127.0.0.1:8000/api/documents/download?id=1748&amp;attachment=true", "⬇ Download MLcourt.pdf")</f>
        <v/>
      </c>
      <c r="M1877" s="10">
        <f>HYPERLINK("http://localhost:5173/?state=Kerala&amp;keyword=GIS&amp;tender=2026_PWD_870618_2", "🚀 Open in Portal")</f>
        <v/>
      </c>
    </row>
    <row r="1878" ht="24" customHeight="1">
      <c r="A1878" s="11" t="inlineStr">
        <is>
          <t>Kerala</t>
        </is>
      </c>
      <c r="B1878" s="12" t="inlineStr">
        <is>
          <t>GIS</t>
        </is>
      </c>
      <c r="C1878" s="13" t="inlineStr">
        <is>
          <t>2026_PWD_870618_2</t>
        </is>
      </c>
      <c r="D1878" s="14" t="inlineStr">
        <is>
          <t>[GENERAL Erection of new e seva kendram at Munsiff Magistrate Court Thamarassery Construction of new e seva kendram and yard paving at Munsiff Magistrate Court Thamarassery-General Electrical Work ]</t>
        </is>
      </c>
      <c r="E1878" s="14" t="inlineStr">
        <is>
          <t>Kerala Public Works &amp; Technology Department</t>
        </is>
      </c>
      <c r="F1878" s="13" t="inlineStr">
        <is>
          <t>01 Oct 2026</t>
        </is>
      </c>
      <c r="G1878" s="12" t="inlineStr">
        <is>
          <t>29 Oct 2026</t>
        </is>
      </c>
      <c r="H1878" s="17" t="inlineStr">
        <is>
          <t>🟢 LIVE ACTIVE</t>
        </is>
      </c>
      <c r="I1878" s="11" t="inlineStr">
        <is>
          <t>Tender_2026_PWD_870618_2_All_Documents.zip</t>
        </is>
      </c>
      <c r="J1878" s="13" t="inlineStr">
        <is>
          <t>📦 ZIP Package</t>
        </is>
      </c>
      <c r="K1878" s="15" t="n">
        <v>39</v>
      </c>
      <c r="L1878" s="16">
        <f>HYPERLINK("http://127.0.0.1:8000/api/documents/download?id=1749&amp;attachment=true", "⬇ Download Tender_2026_PWD_870618_2")</f>
        <v/>
      </c>
      <c r="M1878" s="16">
        <f>HYPERLINK("http://localhost:5173/?state=Kerala&amp;keyword=GIS&amp;tender=2026_PWD_870618_2", "🚀 Open in Portal")</f>
        <v/>
      </c>
    </row>
    <row r="1879" ht="24" customHeight="1">
      <c r="A1879" s="4" t="inlineStr">
        <is>
          <t>Kerala</t>
        </is>
      </c>
      <c r="B1879" s="5" t="inlineStr">
        <is>
          <t>GIS</t>
        </is>
      </c>
      <c r="C1879" s="6" t="inlineStr">
        <is>
          <t>2026_PWD_874343_2</t>
        </is>
      </c>
      <c r="D1879" s="7" t="inlineStr">
        <is>
          <t>[Urgent Special Repair work to Munsiff Magistrate court Quarters Sulthan Bathery Court Complex]</t>
        </is>
      </c>
      <c r="E1879" s="7" t="inlineStr">
        <is>
          <t>Kerala Public Works &amp; Technology Department</t>
        </is>
      </c>
      <c r="F1879" s="6" t="inlineStr">
        <is>
          <t>25 Oct 2026</t>
        </is>
      </c>
      <c r="G1879" s="5" t="inlineStr">
        <is>
          <t>15 Nov 2026</t>
        </is>
      </c>
      <c r="H1879" s="8" t="inlineStr">
        <is>
          <t>⏳ UPCOMING</t>
        </is>
      </c>
      <c r="I1879" s="4" t="inlineStr">
        <is>
          <t>Tendernotice_1.pdf</t>
        </is>
      </c>
      <c r="J1879" s="6" t="inlineStr">
        <is>
          <t>📕 PDF Document</t>
        </is>
      </c>
      <c r="K1879" s="9" t="n">
        <v>17.8</v>
      </c>
      <c r="L1879" s="10">
        <f>HYPERLINK("http://127.0.0.1:8000/api/documents/download?id=1735&amp;attachment=true", "⬇ Download Tendernotice_1.pdf")</f>
        <v/>
      </c>
      <c r="M1879" s="10">
        <f>HYPERLINK("http://localhost:5173/?state=Kerala&amp;keyword=GIS&amp;tender=2026_PWD_874343_2", "🚀 Open in Portal")</f>
        <v/>
      </c>
    </row>
    <row r="1880" ht="24" customHeight="1">
      <c r="A1880" s="11" t="inlineStr">
        <is>
          <t>Kerala</t>
        </is>
      </c>
      <c r="B1880" s="12" t="inlineStr">
        <is>
          <t>GIS</t>
        </is>
      </c>
      <c r="C1880" s="13" t="inlineStr">
        <is>
          <t>2026_PWD_874343_2</t>
        </is>
      </c>
      <c r="D1880" s="14" t="inlineStr">
        <is>
          <t>[Urgent Special Repair work to Munsiff Magistrate court Quarters Sulthan Bathery Court Complex]</t>
        </is>
      </c>
      <c r="E1880" s="14" t="inlineStr">
        <is>
          <t>Kerala Public Works &amp; Technology Department</t>
        </is>
      </c>
      <c r="F1880" s="13" t="inlineStr">
        <is>
          <t>25 Oct 2026</t>
        </is>
      </c>
      <c r="G1880" s="12" t="inlineStr">
        <is>
          <t>15 Nov 2026</t>
        </is>
      </c>
      <c r="H1880" s="8" t="inlineStr">
        <is>
          <t>⏳ UPCOMING</t>
        </is>
      </c>
      <c r="I1880" s="11" t="inlineStr">
        <is>
          <t>viewsbd1.pdf</t>
        </is>
      </c>
      <c r="J1880" s="13" t="inlineStr">
        <is>
          <t>📕 PDF Document</t>
        </is>
      </c>
      <c r="K1880" s="15" t="n">
        <v>17.8</v>
      </c>
      <c r="L1880" s="16">
        <f>HYPERLINK("http://127.0.0.1:8000/api/documents/download?id=1736&amp;attachment=true", "⬇ Download viewsbd1.pdf")</f>
        <v/>
      </c>
      <c r="M1880" s="16">
        <f>HYPERLINK("http://localhost:5173/?state=Kerala&amp;keyword=GIS&amp;tender=2026_PWD_874343_2", "🚀 Open in Portal")</f>
        <v/>
      </c>
    </row>
    <row r="1881" ht="24" customHeight="1">
      <c r="A1881" s="4" t="inlineStr">
        <is>
          <t>Kerala</t>
        </is>
      </c>
      <c r="B1881" s="5" t="inlineStr">
        <is>
          <t>GIS</t>
        </is>
      </c>
      <c r="C1881" s="6" t="inlineStr">
        <is>
          <t>2026_PWD_874343_2</t>
        </is>
      </c>
      <c r="D1881" s="7" t="inlineStr">
        <is>
          <t>[Urgent Special Repair work to Munsiff Magistrate court Quarters Sulthan Bathery Court Complex]</t>
        </is>
      </c>
      <c r="E1881" s="7" t="inlineStr">
        <is>
          <t>Kerala Public Works &amp; Technology Department</t>
        </is>
      </c>
      <c r="F1881" s="6" t="inlineStr">
        <is>
          <t>25 Oct 2026</t>
        </is>
      </c>
      <c r="G1881" s="5" t="inlineStr">
        <is>
          <t>15 Nov 2026</t>
        </is>
      </c>
      <c r="H1881" s="8" t="inlineStr">
        <is>
          <t>⏳ UPCOMING</t>
        </is>
      </c>
      <c r="I1881" s="4" t="inlineStr">
        <is>
          <t>viewnit1.pdf</t>
        </is>
      </c>
      <c r="J1881" s="6" t="inlineStr">
        <is>
          <t>📕 PDF Document</t>
        </is>
      </c>
      <c r="K1881" s="9" t="n">
        <v>17.8</v>
      </c>
      <c r="L1881" s="10">
        <f>HYPERLINK("http://127.0.0.1:8000/api/documents/download?id=1737&amp;attachment=true", "⬇ Download viewnit1.pdf")</f>
        <v/>
      </c>
      <c r="M1881" s="10">
        <f>HYPERLINK("http://localhost:5173/?state=Kerala&amp;keyword=GIS&amp;tender=2026_PWD_874343_2", "🚀 Open in Portal")</f>
        <v/>
      </c>
    </row>
    <row r="1882" ht="24" customHeight="1">
      <c r="A1882" s="11" t="inlineStr">
        <is>
          <t>Kerala</t>
        </is>
      </c>
      <c r="B1882" s="12" t="inlineStr">
        <is>
          <t>GIS</t>
        </is>
      </c>
      <c r="C1882" s="13" t="inlineStr">
        <is>
          <t>2026_PWD_874343_2</t>
        </is>
      </c>
      <c r="D1882" s="14" t="inlineStr">
        <is>
          <t>[Urgent Special Repair work to Munsiff Magistrate court Quarters Sulthan Bathery Court Complex]</t>
        </is>
      </c>
      <c r="E1882" s="14" t="inlineStr">
        <is>
          <t>Kerala Public Works &amp; Technology Department</t>
        </is>
      </c>
      <c r="F1882" s="13" t="inlineStr">
        <is>
          <t>25 Oct 2026</t>
        </is>
      </c>
      <c r="G1882" s="12" t="inlineStr">
        <is>
          <t>15 Nov 2026</t>
        </is>
      </c>
      <c r="H1882" s="8" t="inlineStr">
        <is>
          <t>⏳ UPCOMING</t>
        </is>
      </c>
      <c r="I1882" s="11" t="inlineStr">
        <is>
          <t>BOQ_1493151.xls</t>
        </is>
      </c>
      <c r="J1882" s="13" t="inlineStr">
        <is>
          <t>📊 Excel BOQ</t>
        </is>
      </c>
      <c r="K1882" s="15" t="n">
        <v>2.5</v>
      </c>
      <c r="L1882" s="16">
        <f>HYPERLINK("http://127.0.0.1:8000/api/documents/download?id=1738&amp;attachment=true", "⬇ Download BOQ_1493151.xls")</f>
        <v/>
      </c>
      <c r="M1882" s="16">
        <f>HYPERLINK("http://localhost:5173/?state=Kerala&amp;keyword=GIS&amp;tender=2026_PWD_874343_2", "🚀 Open in Portal")</f>
        <v/>
      </c>
    </row>
    <row r="1883" ht="24" customHeight="1">
      <c r="A1883" s="4" t="inlineStr">
        <is>
          <t>Kerala</t>
        </is>
      </c>
      <c r="B1883" s="5" t="inlineStr">
        <is>
          <t>GIS</t>
        </is>
      </c>
      <c r="C1883" s="6" t="inlineStr">
        <is>
          <t>2026_PWD_874343_2</t>
        </is>
      </c>
      <c r="D1883" s="7" t="inlineStr">
        <is>
          <t>[Urgent Special Repair work to Munsiff Magistrate court Quarters Sulthan Bathery Court Complex]</t>
        </is>
      </c>
      <c r="E1883" s="7" t="inlineStr">
        <is>
          <t>Kerala Public Works &amp; Technology Department</t>
        </is>
      </c>
      <c r="F1883" s="6" t="inlineStr">
        <is>
          <t>25 Oct 2026</t>
        </is>
      </c>
      <c r="G1883" s="5" t="inlineStr">
        <is>
          <t>15 Nov 2026</t>
        </is>
      </c>
      <c r="H1883" s="8" t="inlineStr">
        <is>
          <t>⏳ UPCOMING</t>
        </is>
      </c>
      <c r="I1883" s="4" t="inlineStr">
        <is>
          <t>Tender_2026_PWD_874343_2_All_Documents.zip</t>
        </is>
      </c>
      <c r="J1883" s="6" t="inlineStr">
        <is>
          <t>📦 ZIP Package</t>
        </is>
      </c>
      <c r="K1883" s="9" t="n">
        <v>29.9</v>
      </c>
      <c r="L1883" s="10">
        <f>HYPERLINK("http://127.0.0.1:8000/api/documents/download?id=1739&amp;attachment=true", "⬇ Download Tender_2026_PWD_874343_2")</f>
        <v/>
      </c>
      <c r="M1883" s="10">
        <f>HYPERLINK("http://localhost:5173/?state=Kerala&amp;keyword=GIS&amp;tender=2026_PWD_874343_2", "🚀 Open in Portal")</f>
        <v/>
      </c>
    </row>
    <row r="1884" ht="24" customHeight="1">
      <c r="A1884" s="11" t="inlineStr">
        <is>
          <t>Kerala</t>
        </is>
      </c>
      <c r="B1884" s="12" t="inlineStr">
        <is>
          <t>GIS</t>
        </is>
      </c>
      <c r="C1884" s="13" t="inlineStr">
        <is>
          <t>2026_PWD_877290_1</t>
        </is>
      </c>
      <c r="D1884" s="14" t="inlineStr">
        <is>
          <t>[GENERAL-Chief Judicial Magistrate Court Thalassery-SITC of UPS-SITC of UPS-General Electrical Work]</t>
        </is>
      </c>
      <c r="E1884" s="14" t="inlineStr">
        <is>
          <t>Kerala Public Works &amp; Technology Department</t>
        </is>
      </c>
      <c r="F1884" s="13" t="inlineStr">
        <is>
          <t>31 Jul 2026</t>
        </is>
      </c>
      <c r="G1884" s="12" t="inlineStr">
        <is>
          <t>29 Aug 2026</t>
        </is>
      </c>
      <c r="H1884" s="8" t="inlineStr">
        <is>
          <t>⏳ UPCOMING</t>
        </is>
      </c>
      <c r="I1884" s="11" t="inlineStr">
        <is>
          <t>Tendernotice_1.pdf</t>
        </is>
      </c>
      <c r="J1884" s="13" t="inlineStr">
        <is>
          <t>📕 PDF Document</t>
        </is>
      </c>
      <c r="K1884" s="15" t="n">
        <v>17.8</v>
      </c>
      <c r="L1884" s="16">
        <f>HYPERLINK("http://127.0.0.1:8000/api/documents/download?id=1750&amp;attachment=true", "⬇ Download Tendernotice_1.pdf")</f>
        <v/>
      </c>
      <c r="M1884" s="16">
        <f>HYPERLINK("http://localhost:5173/?state=Kerala&amp;keyword=GIS&amp;tender=2026_PWD_877290_1", "🚀 Open in Portal")</f>
        <v/>
      </c>
    </row>
    <row r="1885" ht="24" customHeight="1">
      <c r="A1885" s="4" t="inlineStr">
        <is>
          <t>Kerala</t>
        </is>
      </c>
      <c r="B1885" s="5" t="inlineStr">
        <is>
          <t>GIS</t>
        </is>
      </c>
      <c r="C1885" s="6" t="inlineStr">
        <is>
          <t>2026_PWD_877290_1</t>
        </is>
      </c>
      <c r="D1885" s="7" t="inlineStr">
        <is>
          <t>[GENERAL-Chief Judicial Magistrate Court Thalassery-SITC of UPS-SITC of UPS-General Electrical Work]</t>
        </is>
      </c>
      <c r="E1885" s="7" t="inlineStr">
        <is>
          <t>Kerala Public Works &amp; Technology Department</t>
        </is>
      </c>
      <c r="F1885" s="6" t="inlineStr">
        <is>
          <t>31 Jul 2026</t>
        </is>
      </c>
      <c r="G1885" s="5" t="inlineStr">
        <is>
          <t>29 Aug 2026</t>
        </is>
      </c>
      <c r="H1885" s="8" t="inlineStr">
        <is>
          <t>⏳ UPCOMING</t>
        </is>
      </c>
      <c r="I1885" s="4" t="inlineStr">
        <is>
          <t>specificconditionNEW.pdf</t>
        </is>
      </c>
      <c r="J1885" s="6" t="inlineStr">
        <is>
          <t>📕 PDF Document</t>
        </is>
      </c>
      <c r="K1885" s="9" t="n">
        <v>17.9</v>
      </c>
      <c r="L1885" s="10">
        <f>HYPERLINK("http://127.0.0.1:8000/api/documents/download?id=1751&amp;attachment=true", "⬇ Download specificconditionNEW.pdf")</f>
        <v/>
      </c>
      <c r="M1885" s="10">
        <f>HYPERLINK("http://localhost:5173/?state=Kerala&amp;keyword=GIS&amp;tender=2026_PWD_877290_1", "🚀 Open in Portal")</f>
        <v/>
      </c>
    </row>
    <row r="1886" ht="24" customHeight="1">
      <c r="A1886" s="11" t="inlineStr">
        <is>
          <t>Kerala</t>
        </is>
      </c>
      <c r="B1886" s="12" t="inlineStr">
        <is>
          <t>GIS</t>
        </is>
      </c>
      <c r="C1886" s="13" t="inlineStr">
        <is>
          <t>2026_PWD_877290_1</t>
        </is>
      </c>
      <c r="D1886" s="14" t="inlineStr">
        <is>
          <t>[GENERAL-Chief Judicial Magistrate Court Thalassery-SITC of UPS-SITC of UPS-General Electrical Work]</t>
        </is>
      </c>
      <c r="E1886" s="14" t="inlineStr">
        <is>
          <t>Kerala Public Works &amp; Technology Department</t>
        </is>
      </c>
      <c r="F1886" s="13" t="inlineStr">
        <is>
          <t>31 Jul 2026</t>
        </is>
      </c>
      <c r="G1886" s="12" t="inlineStr">
        <is>
          <t>29 Aug 2026</t>
        </is>
      </c>
      <c r="H1886" s="8" t="inlineStr">
        <is>
          <t>⏳ UPCOMING</t>
        </is>
      </c>
      <c r="I1886" s="11" t="inlineStr">
        <is>
          <t>viewsbd.pdf</t>
        </is>
      </c>
      <c r="J1886" s="13" t="inlineStr">
        <is>
          <t>📕 PDF Document</t>
        </is>
      </c>
      <c r="K1886" s="15" t="n">
        <v>17.8</v>
      </c>
      <c r="L1886" s="16">
        <f>HYPERLINK("http://127.0.0.1:8000/api/documents/download?id=1752&amp;attachment=true", "⬇ Download viewsbd.pdf")</f>
        <v/>
      </c>
      <c r="M1886" s="16">
        <f>HYPERLINK("http://localhost:5173/?state=Kerala&amp;keyword=GIS&amp;tender=2026_PWD_877290_1", "🚀 Open in Portal")</f>
        <v/>
      </c>
    </row>
    <row r="1887" ht="24" customHeight="1">
      <c r="A1887" s="4" t="inlineStr">
        <is>
          <t>Kerala</t>
        </is>
      </c>
      <c r="B1887" s="5" t="inlineStr">
        <is>
          <t>GIS</t>
        </is>
      </c>
      <c r="C1887" s="6" t="inlineStr">
        <is>
          <t>2026_PWD_877290_1</t>
        </is>
      </c>
      <c r="D1887" s="7" t="inlineStr">
        <is>
          <t>[GENERAL-Chief Judicial Magistrate Court Thalassery-SITC of UPS-SITC of UPS-General Electrical Work]</t>
        </is>
      </c>
      <c r="E1887" s="7" t="inlineStr">
        <is>
          <t>Kerala Public Works &amp; Technology Department</t>
        </is>
      </c>
      <c r="F1887" s="6" t="inlineStr">
        <is>
          <t>31 Jul 2026</t>
        </is>
      </c>
      <c r="G1887" s="5" t="inlineStr">
        <is>
          <t>29 Aug 2026</t>
        </is>
      </c>
      <c r="H1887" s="8" t="inlineStr">
        <is>
          <t>⏳ UPCOMING</t>
        </is>
      </c>
      <c r="I1887" s="4" t="inlineStr">
        <is>
          <t>BOQ_1490701.xls</t>
        </is>
      </c>
      <c r="J1887" s="6" t="inlineStr">
        <is>
          <t>📊 Excel BOQ</t>
        </is>
      </c>
      <c r="K1887" s="9" t="n">
        <v>2.5</v>
      </c>
      <c r="L1887" s="10">
        <f>HYPERLINK("http://127.0.0.1:8000/api/documents/download?id=1753&amp;attachment=true", "⬇ Download BOQ_1490701.xls")</f>
        <v/>
      </c>
      <c r="M1887" s="10">
        <f>HYPERLINK("http://localhost:5173/?state=Kerala&amp;keyword=GIS&amp;tender=2026_PWD_877290_1", "🚀 Open in Portal")</f>
        <v/>
      </c>
    </row>
    <row r="1888" ht="24" customHeight="1">
      <c r="A1888" s="11" t="inlineStr">
        <is>
          <t>Kerala</t>
        </is>
      </c>
      <c r="B1888" s="12" t="inlineStr">
        <is>
          <t>GIS</t>
        </is>
      </c>
      <c r="C1888" s="13" t="inlineStr">
        <is>
          <t>2026_PWD_877290_1</t>
        </is>
      </c>
      <c r="D1888" s="14" t="inlineStr">
        <is>
          <t>[GENERAL-Chief Judicial Magistrate Court Thalassery-SITC of UPS-SITC of UPS-General Electrical Work]</t>
        </is>
      </c>
      <c r="E1888" s="14" t="inlineStr">
        <is>
          <t>Kerala Public Works &amp; Technology Department</t>
        </is>
      </c>
      <c r="F1888" s="13" t="inlineStr">
        <is>
          <t>31 Jul 2026</t>
        </is>
      </c>
      <c r="G1888" s="12" t="inlineStr">
        <is>
          <t>29 Aug 2026</t>
        </is>
      </c>
      <c r="H1888" s="8" t="inlineStr">
        <is>
          <t>⏳ UPCOMING</t>
        </is>
      </c>
      <c r="I1888" s="11" t="inlineStr">
        <is>
          <t>viewnit.pdf</t>
        </is>
      </c>
      <c r="J1888" s="13" t="inlineStr">
        <is>
          <t>📕 PDF Document</t>
        </is>
      </c>
      <c r="K1888" s="15" t="n">
        <v>17.8</v>
      </c>
      <c r="L1888" s="16">
        <f>HYPERLINK("http://127.0.0.1:8000/api/documents/download?id=1754&amp;attachment=true", "⬇ Download viewnit.pdf")</f>
        <v/>
      </c>
      <c r="M1888" s="16">
        <f>HYPERLINK("http://localhost:5173/?state=Kerala&amp;keyword=GIS&amp;tender=2026_PWD_877290_1", "🚀 Open in Portal")</f>
        <v/>
      </c>
    </row>
    <row r="1889" ht="24" customHeight="1">
      <c r="A1889" s="4" t="inlineStr">
        <is>
          <t>Kerala</t>
        </is>
      </c>
      <c r="B1889" s="5" t="inlineStr">
        <is>
          <t>GIS</t>
        </is>
      </c>
      <c r="C1889" s="6" t="inlineStr">
        <is>
          <t>2026_PWD_877290_1</t>
        </is>
      </c>
      <c r="D1889" s="7" t="inlineStr">
        <is>
          <t>[GENERAL-Chief Judicial Magistrate Court Thalassery-SITC of UPS-SITC of UPS-General Electrical Work]</t>
        </is>
      </c>
      <c r="E1889" s="7" t="inlineStr">
        <is>
          <t>Kerala Public Works &amp; Technology Department</t>
        </is>
      </c>
      <c r="F1889" s="6" t="inlineStr">
        <is>
          <t>31 Jul 2026</t>
        </is>
      </c>
      <c r="G1889" s="5" t="inlineStr">
        <is>
          <t>29 Aug 2026</t>
        </is>
      </c>
      <c r="H1889" s="8" t="inlineStr">
        <is>
          <t>⏳ UPCOMING</t>
        </is>
      </c>
      <c r="I1889" s="4" t="inlineStr">
        <is>
          <t>MOM.pdf</t>
        </is>
      </c>
      <c r="J1889" s="6" t="inlineStr">
        <is>
          <t>📕 PDF Document</t>
        </is>
      </c>
      <c r="K1889" s="9" t="n">
        <v>17.8</v>
      </c>
      <c r="L1889" s="10">
        <f>HYPERLINK("http://127.0.0.1:8000/api/documents/download?id=1755&amp;attachment=true", "⬇ Download MOM.pdf")</f>
        <v/>
      </c>
      <c r="M1889" s="10">
        <f>HYPERLINK("http://localhost:5173/?state=Kerala&amp;keyword=GIS&amp;tender=2026_PWD_877290_1", "🚀 Open in Portal")</f>
        <v/>
      </c>
    </row>
    <row r="1890" ht="24" customHeight="1">
      <c r="A1890" s="11" t="inlineStr">
        <is>
          <t>Kerala</t>
        </is>
      </c>
      <c r="B1890" s="12" t="inlineStr">
        <is>
          <t>GIS</t>
        </is>
      </c>
      <c r="C1890" s="13" t="inlineStr">
        <is>
          <t>2026_PWD_877290_1</t>
        </is>
      </c>
      <c r="D1890" s="14" t="inlineStr">
        <is>
          <t>[GENERAL-Chief Judicial Magistrate Court Thalassery-SITC of UPS-SITC of UPS-General Electrical Work]</t>
        </is>
      </c>
      <c r="E1890" s="14" t="inlineStr">
        <is>
          <t>Kerala Public Works &amp; Technology Department</t>
        </is>
      </c>
      <c r="F1890" s="13" t="inlineStr">
        <is>
          <t>31 Jul 2026</t>
        </is>
      </c>
      <c r="G1890" s="12" t="inlineStr">
        <is>
          <t>29 Aug 2026</t>
        </is>
      </c>
      <c r="H1890" s="8" t="inlineStr">
        <is>
          <t>⏳ UPCOMING</t>
        </is>
      </c>
      <c r="I1890" s="11" t="inlineStr">
        <is>
          <t>Tender_2026_PWD_877290_1_All_Documents.zip</t>
        </is>
      </c>
      <c r="J1890" s="13" t="inlineStr">
        <is>
          <t>📦 ZIP Package</t>
        </is>
      </c>
      <c r="K1890" s="15" t="n">
        <v>48.2</v>
      </c>
      <c r="L1890" s="16">
        <f>HYPERLINK("http://127.0.0.1:8000/api/documents/download?id=1756&amp;attachment=true", "⬇ Download Tender_2026_PWD_877290_1")</f>
        <v/>
      </c>
      <c r="M1890" s="16">
        <f>HYPERLINK("http://localhost:5173/?state=Kerala&amp;keyword=GIS&amp;tender=2026_PWD_877290_1", "🚀 Open in Portal")</f>
        <v/>
      </c>
    </row>
    <row r="1891" ht="24" customHeight="1">
      <c r="A1891" s="4" t="inlineStr">
        <is>
          <t>Kerala</t>
        </is>
      </c>
      <c r="B1891" s="5" t="inlineStr">
        <is>
          <t>GIS</t>
        </is>
      </c>
      <c r="C1891" s="6" t="inlineStr">
        <is>
          <t>2026_PWD_878948_1</t>
        </is>
      </c>
      <c r="D1891" s="7" t="inlineStr">
        <is>
          <t>[GENERAL-Sub Registrar Office Ayyanthole- Urgent Painting and repairs works to Subregistrar office ,Ayyanthole,Thrissur- General Civil Work]</t>
        </is>
      </c>
      <c r="E1891" s="7" t="inlineStr">
        <is>
          <t>Kerala Public Works &amp; Technology Department</t>
        </is>
      </c>
      <c r="F1891" s="6" t="inlineStr">
        <is>
          <t>04 Aug 2026</t>
        </is>
      </c>
      <c r="G1891" s="5" t="inlineStr">
        <is>
          <t>03 Sep 2026</t>
        </is>
      </c>
      <c r="H1891" s="8" t="inlineStr">
        <is>
          <t>⏳ UPCOMING</t>
        </is>
      </c>
      <c r="I1891" s="4" t="inlineStr">
        <is>
          <t>Tendernotice_1.pdf</t>
        </is>
      </c>
      <c r="J1891" s="6" t="inlineStr">
        <is>
          <t>📕 PDF Document</t>
        </is>
      </c>
      <c r="K1891" s="9" t="n">
        <v>17.8</v>
      </c>
      <c r="L1891" s="10">
        <f>HYPERLINK("http://127.0.0.1:8000/api/documents/download?id=1731&amp;attachment=true", "⬇ Download Tendernotice_1.pdf")</f>
        <v/>
      </c>
      <c r="M1891" s="10">
        <f>HYPERLINK("http://localhost:5173/?state=Kerala&amp;keyword=GIS&amp;tender=2026_PWD_878948_1", "🚀 Open in Portal")</f>
        <v/>
      </c>
    </row>
    <row r="1892" ht="24" customHeight="1">
      <c r="A1892" s="11" t="inlineStr">
        <is>
          <t>Kerala</t>
        </is>
      </c>
      <c r="B1892" s="12" t="inlineStr">
        <is>
          <t>GIS</t>
        </is>
      </c>
      <c r="C1892" s="13" t="inlineStr">
        <is>
          <t>2026_PWD_878948_1</t>
        </is>
      </c>
      <c r="D1892" s="14" t="inlineStr">
        <is>
          <t>[GENERAL-Sub Registrar Office Ayyanthole- Urgent Painting and repairs works to Subregistrar office ,Ayyanthole,Thrissur- General Civil Work]</t>
        </is>
      </c>
      <c r="E1892" s="14" t="inlineStr">
        <is>
          <t>Kerala Public Works &amp; Technology Department</t>
        </is>
      </c>
      <c r="F1892" s="13" t="inlineStr">
        <is>
          <t>04 Aug 2026</t>
        </is>
      </c>
      <c r="G1892" s="12" t="inlineStr">
        <is>
          <t>03 Sep 2026</t>
        </is>
      </c>
      <c r="H1892" s="8" t="inlineStr">
        <is>
          <t>⏳ UPCOMING</t>
        </is>
      </c>
      <c r="I1892" s="11" t="inlineStr">
        <is>
          <t>viewsbd.pdf</t>
        </is>
      </c>
      <c r="J1892" s="13" t="inlineStr">
        <is>
          <t>📕 PDF Document</t>
        </is>
      </c>
      <c r="K1892" s="15" t="n">
        <v>17.8</v>
      </c>
      <c r="L1892" s="16">
        <f>HYPERLINK("http://127.0.0.1:8000/api/documents/download?id=1732&amp;attachment=true", "⬇ Download viewsbd.pdf")</f>
        <v/>
      </c>
      <c r="M1892" s="16">
        <f>HYPERLINK("http://localhost:5173/?state=Kerala&amp;keyword=GIS&amp;tender=2026_PWD_878948_1", "🚀 Open in Portal")</f>
        <v/>
      </c>
    </row>
    <row r="1893" ht="24" customHeight="1">
      <c r="A1893" s="4" t="inlineStr">
        <is>
          <t>Kerala</t>
        </is>
      </c>
      <c r="B1893" s="5" t="inlineStr">
        <is>
          <t>GIS</t>
        </is>
      </c>
      <c r="C1893" s="6" t="inlineStr">
        <is>
          <t>2026_PWD_878948_1</t>
        </is>
      </c>
      <c r="D1893" s="7" t="inlineStr">
        <is>
          <t>[GENERAL-Sub Registrar Office Ayyanthole- Urgent Painting and repairs works to Subregistrar office ,Ayyanthole,Thrissur- General Civil Work]</t>
        </is>
      </c>
      <c r="E1893" s="7" t="inlineStr">
        <is>
          <t>Kerala Public Works &amp; Technology Department</t>
        </is>
      </c>
      <c r="F1893" s="6" t="inlineStr">
        <is>
          <t>04 Aug 2026</t>
        </is>
      </c>
      <c r="G1893" s="5" t="inlineStr">
        <is>
          <t>03 Sep 2026</t>
        </is>
      </c>
      <c r="H1893" s="8" t="inlineStr">
        <is>
          <t>⏳ UPCOMING</t>
        </is>
      </c>
      <c r="I1893" s="4" t="inlineStr">
        <is>
          <t>BOQ_1494044.xls</t>
        </is>
      </c>
      <c r="J1893" s="6" t="inlineStr">
        <is>
          <t>📊 Excel BOQ</t>
        </is>
      </c>
      <c r="K1893" s="9" t="n">
        <v>2.5</v>
      </c>
      <c r="L1893" s="10">
        <f>HYPERLINK("http://127.0.0.1:8000/api/documents/download?id=1733&amp;attachment=true", "⬇ Download BOQ_1494044.xls")</f>
        <v/>
      </c>
      <c r="M1893" s="10">
        <f>HYPERLINK("http://localhost:5173/?state=Kerala&amp;keyword=GIS&amp;tender=2026_PWD_878948_1", "🚀 Open in Portal")</f>
        <v/>
      </c>
    </row>
    <row r="1894" ht="24" customHeight="1">
      <c r="A1894" s="11" t="inlineStr">
        <is>
          <t>Kerala</t>
        </is>
      </c>
      <c r="B1894" s="12" t="inlineStr">
        <is>
          <t>GIS</t>
        </is>
      </c>
      <c r="C1894" s="13" t="inlineStr">
        <is>
          <t>2026_PWD_878948_1</t>
        </is>
      </c>
      <c r="D1894" s="14" t="inlineStr">
        <is>
          <t>[GENERAL-Sub Registrar Office Ayyanthole- Urgent Painting and repairs works to Subregistrar office ,Ayyanthole,Thrissur- General Civil Work]</t>
        </is>
      </c>
      <c r="E1894" s="14" t="inlineStr">
        <is>
          <t>Kerala Public Works &amp; Technology Department</t>
        </is>
      </c>
      <c r="F1894" s="13" t="inlineStr">
        <is>
          <t>04 Aug 2026</t>
        </is>
      </c>
      <c r="G1894" s="12" t="inlineStr">
        <is>
          <t>03 Sep 2026</t>
        </is>
      </c>
      <c r="H1894" s="8" t="inlineStr">
        <is>
          <t>⏳ UPCOMING</t>
        </is>
      </c>
      <c r="I1894" s="11" t="inlineStr">
        <is>
          <t>Tender_2026_PWD_878948_1_All_Documents.zip</t>
        </is>
      </c>
      <c r="J1894" s="13" t="inlineStr">
        <is>
          <t>📦 ZIP Package</t>
        </is>
      </c>
      <c r="K1894" s="15" t="n">
        <v>20.7</v>
      </c>
      <c r="L1894" s="16">
        <f>HYPERLINK("http://127.0.0.1:8000/api/documents/download?id=1734&amp;attachment=true", "⬇ Download Tender_2026_PWD_878948_1")</f>
        <v/>
      </c>
      <c r="M1894" s="16">
        <f>HYPERLINK("http://localhost:5173/?state=Kerala&amp;keyword=GIS&amp;tender=2026_PWD_878948_1", "🚀 Open in Portal")</f>
        <v/>
      </c>
    </row>
    <row r="1895" ht="24" customHeight="1">
      <c r="A1895" s="4" t="inlineStr">
        <is>
          <t>Kerala</t>
        </is>
      </c>
      <c r="B1895" s="5" t="inlineStr">
        <is>
          <t>GIS</t>
        </is>
      </c>
      <c r="C1895" s="6" t="inlineStr">
        <is>
          <t>2026_SKF_871316_1</t>
        </is>
      </c>
      <c r="D1895" s="7" t="inlineStr">
        <is>
          <t>[Empanelment of Travel, Accommodation and Logistics Partners]</t>
        </is>
      </c>
      <c r="E1895" s="7" t="inlineStr">
        <is>
          <t>Kerala Public Works &amp; Technology Department</t>
        </is>
      </c>
      <c r="F1895" s="6" t="inlineStr">
        <is>
          <t>18 Aug 2026</t>
        </is>
      </c>
      <c r="G1895" s="5" t="inlineStr">
        <is>
          <t>15 Sep 2026</t>
        </is>
      </c>
      <c r="H1895" s="8" t="inlineStr">
        <is>
          <t>⏳ UPCOMING</t>
        </is>
      </c>
      <c r="I1895" s="4" t="inlineStr">
        <is>
          <t>Tendernotice_1.pdf</t>
        </is>
      </c>
      <c r="J1895" s="6" t="inlineStr">
        <is>
          <t>📕 PDF Document</t>
        </is>
      </c>
      <c r="K1895" s="9" t="n">
        <v>17.8</v>
      </c>
      <c r="L1895" s="10">
        <f>HYPERLINK("http://127.0.0.1:8000/api/documents/download?id=1772&amp;attachment=true", "⬇ Download Tendernotice_1.pdf")</f>
        <v/>
      </c>
      <c r="M1895" s="10">
        <f>HYPERLINK("http://localhost:5173/?state=Kerala&amp;keyword=GIS&amp;tender=2026_SKF_871316_1", "🚀 Open in Portal")</f>
        <v/>
      </c>
    </row>
    <row r="1896" ht="24" customHeight="1">
      <c r="A1896" s="11" t="inlineStr">
        <is>
          <t>Kerala</t>
        </is>
      </c>
      <c r="B1896" s="12" t="inlineStr">
        <is>
          <t>GIS</t>
        </is>
      </c>
      <c r="C1896" s="13" t="inlineStr">
        <is>
          <t>2026_SKF_871316_1</t>
        </is>
      </c>
      <c r="D1896" s="14" t="inlineStr">
        <is>
          <t>[Empanelment of Travel, Accommodation and Logistics Partners]</t>
        </is>
      </c>
      <c r="E1896" s="14" t="inlineStr">
        <is>
          <t>Kerala Public Works &amp; Technology Department</t>
        </is>
      </c>
      <c r="F1896" s="13" t="inlineStr">
        <is>
          <t>18 Aug 2026</t>
        </is>
      </c>
      <c r="G1896" s="12" t="inlineStr">
        <is>
          <t>15 Sep 2026</t>
        </is>
      </c>
      <c r="H1896" s="8" t="inlineStr">
        <is>
          <t>⏳ UPCOMING</t>
        </is>
      </c>
      <c r="I1896" s="11" t="inlineStr">
        <is>
          <t>Tenderdoc.pdf</t>
        </is>
      </c>
      <c r="J1896" s="13" t="inlineStr">
        <is>
          <t>📕 PDF Document</t>
        </is>
      </c>
      <c r="K1896" s="15" t="n">
        <v>17.8</v>
      </c>
      <c r="L1896" s="16">
        <f>HYPERLINK("http://127.0.0.1:8000/api/documents/download?id=1773&amp;attachment=true", "⬇ Download Tenderdoc.pdf")</f>
        <v/>
      </c>
      <c r="M1896" s="16">
        <f>HYPERLINK("http://localhost:5173/?state=Kerala&amp;keyword=GIS&amp;tender=2026_SKF_871316_1", "🚀 Open in Portal")</f>
        <v/>
      </c>
    </row>
    <row r="1897" ht="24" customHeight="1">
      <c r="A1897" s="4" t="inlineStr">
        <is>
          <t>Kerala</t>
        </is>
      </c>
      <c r="B1897" s="5" t="inlineStr">
        <is>
          <t>GIS</t>
        </is>
      </c>
      <c r="C1897" s="6" t="inlineStr">
        <is>
          <t>2026_SKF_871316_1</t>
        </is>
      </c>
      <c r="D1897" s="7" t="inlineStr">
        <is>
          <t>[Empanelment of Travel, Accommodation and Logistics Partners]</t>
        </is>
      </c>
      <c r="E1897" s="7" t="inlineStr">
        <is>
          <t>Kerala Public Works &amp; Technology Department</t>
        </is>
      </c>
      <c r="F1897" s="6" t="inlineStr">
        <is>
          <t>18 Aug 2026</t>
        </is>
      </c>
      <c r="G1897" s="5" t="inlineStr">
        <is>
          <t>15 Sep 2026</t>
        </is>
      </c>
      <c r="H1897" s="8" t="inlineStr">
        <is>
          <t>⏳ UPCOMING</t>
        </is>
      </c>
      <c r="I1897" s="4" t="inlineStr">
        <is>
          <t>Tender_2026_SKF_871316_1_All_Documents.zip</t>
        </is>
      </c>
      <c r="J1897" s="6" t="inlineStr">
        <is>
          <t>📦 ZIP Package</t>
        </is>
      </c>
      <c r="K1897" s="9" t="n">
        <v>18.4</v>
      </c>
      <c r="L1897" s="10">
        <f>HYPERLINK("http://127.0.0.1:8000/api/documents/download?id=1774&amp;attachment=true", "⬇ Download Tender_2026_SKF_871316_1")</f>
        <v/>
      </c>
      <c r="M1897" s="10">
        <f>HYPERLINK("http://localhost:5173/?state=Kerala&amp;keyword=GIS&amp;tender=2026_SKF_871316_1", "🚀 Open in Portal")</f>
        <v/>
      </c>
    </row>
    <row r="1898" ht="24" customHeight="1">
      <c r="A1898" s="11" t="inlineStr">
        <is>
          <t>Kerala</t>
        </is>
      </c>
      <c r="B1898" s="12" t="inlineStr">
        <is>
          <t>ICT</t>
        </is>
      </c>
      <c r="C1898" s="13" t="inlineStr">
        <is>
          <t>2026_Irrig_878579_1</t>
        </is>
      </c>
      <c r="D1898" s="14" t="inlineStr">
        <is>
          <t>[GENERAL-Annual Maintenance 2026-27- Pavannur -Annual Maintenance of Pavannur LI scheme in Kuttiattoor Panchayath of Taliparamba Constituency in Kannur District for the year 2026-27]</t>
        </is>
      </c>
      <c r="E1898" s="14" t="inlineStr">
        <is>
          <t>Kerala Public Works &amp; Technology Department</t>
        </is>
      </c>
      <c r="F1898" s="13" t="inlineStr">
        <is>
          <t>06 Aug 2026</t>
        </is>
      </c>
      <c r="G1898" s="12" t="inlineStr">
        <is>
          <t>31 Aug 2026</t>
        </is>
      </c>
      <c r="H1898" s="8" t="inlineStr">
        <is>
          <t>⏳ UPCOMING</t>
        </is>
      </c>
      <c r="I1898" s="11" t="inlineStr">
        <is>
          <t>Tendernotice_1.pdf</t>
        </is>
      </c>
      <c r="J1898" s="13" t="inlineStr">
        <is>
          <t>📕 PDF Document</t>
        </is>
      </c>
      <c r="K1898" s="15" t="n">
        <v>17.8</v>
      </c>
      <c r="L1898" s="16">
        <f>HYPERLINK("http://127.0.0.1:8000/api/documents/download?id=1876&amp;attachment=true", "⬇ Download Tendernotice_1.pdf")</f>
        <v/>
      </c>
      <c r="M1898" s="16">
        <f>HYPERLINK("http://localhost:5173/?state=Kerala&amp;keyword=ICT&amp;tender=2026_Irrig_878579_1", "🚀 Open in Portal")</f>
        <v/>
      </c>
    </row>
    <row r="1899" ht="24" customHeight="1">
      <c r="A1899" s="4" t="inlineStr">
        <is>
          <t>Kerala</t>
        </is>
      </c>
      <c r="B1899" s="5" t="inlineStr">
        <is>
          <t>ICT</t>
        </is>
      </c>
      <c r="C1899" s="6" t="inlineStr">
        <is>
          <t>2026_Irrig_878579_1</t>
        </is>
      </c>
      <c r="D1899" s="7" t="inlineStr">
        <is>
          <t>[GENERAL-Annual Maintenance 2026-27- Pavannur -Annual Maintenance of Pavannur LI scheme in Kuttiattoor Panchayath of Taliparamba Constituency in Kannur District for the year 2026-27]</t>
        </is>
      </c>
      <c r="E1899" s="7" t="inlineStr">
        <is>
          <t>Kerala Public Works &amp; Technology Department</t>
        </is>
      </c>
      <c r="F1899" s="6" t="inlineStr">
        <is>
          <t>06 Aug 2026</t>
        </is>
      </c>
      <c r="G1899" s="5" t="inlineStr">
        <is>
          <t>31 Aug 2026</t>
        </is>
      </c>
      <c r="H1899" s="8" t="inlineStr">
        <is>
          <t>⏳ UPCOMING</t>
        </is>
      </c>
      <c r="I1899" s="4" t="inlineStr">
        <is>
          <t>BDPAV.pdf</t>
        </is>
      </c>
      <c r="J1899" s="6" t="inlineStr">
        <is>
          <t>📕 PDF Document</t>
        </is>
      </c>
      <c r="K1899" s="9" t="n">
        <v>17.8</v>
      </c>
      <c r="L1899" s="10">
        <f>HYPERLINK("http://127.0.0.1:8000/api/documents/download?id=1877&amp;attachment=true", "⬇ Download BDPAV.pdf")</f>
        <v/>
      </c>
      <c r="M1899" s="10">
        <f>HYPERLINK("http://localhost:5173/?state=Kerala&amp;keyword=ICT&amp;tender=2026_Irrig_878579_1", "🚀 Open in Portal")</f>
        <v/>
      </c>
    </row>
    <row r="1900" ht="24" customHeight="1">
      <c r="A1900" s="11" t="inlineStr">
        <is>
          <t>Kerala</t>
        </is>
      </c>
      <c r="B1900" s="12" t="inlineStr">
        <is>
          <t>ICT</t>
        </is>
      </c>
      <c r="C1900" s="13" t="inlineStr">
        <is>
          <t>2026_Irrig_878579_1</t>
        </is>
      </c>
      <c r="D1900" s="14" t="inlineStr">
        <is>
          <t>[GENERAL-Annual Maintenance 2026-27- Pavannur -Annual Maintenance of Pavannur LI scheme in Kuttiattoor Panchayath of Taliparamba Constituency in Kannur District for the year 2026-27]</t>
        </is>
      </c>
      <c r="E1900" s="14" t="inlineStr">
        <is>
          <t>Kerala Public Works &amp; Technology Department</t>
        </is>
      </c>
      <c r="F1900" s="13" t="inlineStr">
        <is>
          <t>06 Aug 2026</t>
        </is>
      </c>
      <c r="G1900" s="12" t="inlineStr">
        <is>
          <t>31 Aug 2026</t>
        </is>
      </c>
      <c r="H1900" s="8" t="inlineStr">
        <is>
          <t>⏳ UPCOMING</t>
        </is>
      </c>
      <c r="I1900" s="11" t="inlineStr">
        <is>
          <t>NITPAV.pdf</t>
        </is>
      </c>
      <c r="J1900" s="13" t="inlineStr">
        <is>
          <t>📕 PDF Document</t>
        </is>
      </c>
      <c r="K1900" s="15" t="n">
        <v>17.8</v>
      </c>
      <c r="L1900" s="16">
        <f>HYPERLINK("http://127.0.0.1:8000/api/documents/download?id=1878&amp;attachment=true", "⬇ Download NITPAV.pdf")</f>
        <v/>
      </c>
      <c r="M1900" s="16">
        <f>HYPERLINK("http://localhost:5173/?state=Kerala&amp;keyword=ICT&amp;tender=2026_Irrig_878579_1", "🚀 Open in Portal")</f>
        <v/>
      </c>
    </row>
    <row r="1901" ht="24" customHeight="1">
      <c r="A1901" s="4" t="inlineStr">
        <is>
          <t>Kerala</t>
        </is>
      </c>
      <c r="B1901" s="5" t="inlineStr">
        <is>
          <t>ICT</t>
        </is>
      </c>
      <c r="C1901" s="6" t="inlineStr">
        <is>
          <t>2026_Irrig_878579_1</t>
        </is>
      </c>
      <c r="D1901" s="7" t="inlineStr">
        <is>
          <t>[GENERAL-Annual Maintenance 2026-27- Pavannur -Annual Maintenance of Pavannur LI scheme in Kuttiattoor Panchayath of Taliparamba Constituency in Kannur District for the year 2026-27]</t>
        </is>
      </c>
      <c r="E1901" s="7" t="inlineStr">
        <is>
          <t>Kerala Public Works &amp; Technology Department</t>
        </is>
      </c>
      <c r="F1901" s="6" t="inlineStr">
        <is>
          <t>06 Aug 2026</t>
        </is>
      </c>
      <c r="G1901" s="5" t="inlineStr">
        <is>
          <t>31 Aug 2026</t>
        </is>
      </c>
      <c r="H1901" s="8" t="inlineStr">
        <is>
          <t>⏳ UPCOMING</t>
        </is>
      </c>
      <c r="I1901" s="4" t="inlineStr">
        <is>
          <t>BOQ_1493273.xls</t>
        </is>
      </c>
      <c r="J1901" s="6" t="inlineStr">
        <is>
          <t>📊 Excel BOQ</t>
        </is>
      </c>
      <c r="K1901" s="9" t="n">
        <v>2.5</v>
      </c>
      <c r="L1901" s="10">
        <f>HYPERLINK("http://127.0.0.1:8000/api/documents/download?id=1879&amp;attachment=true", "⬇ Download BOQ_1493273.xls")</f>
        <v/>
      </c>
      <c r="M1901" s="10">
        <f>HYPERLINK("http://localhost:5173/?state=Kerala&amp;keyword=ICT&amp;tender=2026_Irrig_878579_1", "🚀 Open in Portal")</f>
        <v/>
      </c>
    </row>
    <row r="1902" ht="24" customHeight="1">
      <c r="A1902" s="11" t="inlineStr">
        <is>
          <t>Kerala</t>
        </is>
      </c>
      <c r="B1902" s="12" t="inlineStr">
        <is>
          <t>ICT</t>
        </is>
      </c>
      <c r="C1902" s="13" t="inlineStr">
        <is>
          <t>2026_Irrig_878579_1</t>
        </is>
      </c>
      <c r="D1902" s="14" t="inlineStr">
        <is>
          <t>[GENERAL-Annual Maintenance 2026-27- Pavannur -Annual Maintenance of Pavannur LI scheme in Kuttiattoor Panchayath of Taliparamba Constituency in Kannur District for the year 2026-27]</t>
        </is>
      </c>
      <c r="E1902" s="14" t="inlineStr">
        <is>
          <t>Kerala Public Works &amp; Technology Department</t>
        </is>
      </c>
      <c r="F1902" s="13" t="inlineStr">
        <is>
          <t>06 Aug 2026</t>
        </is>
      </c>
      <c r="G1902" s="12" t="inlineStr">
        <is>
          <t>31 Aug 2026</t>
        </is>
      </c>
      <c r="H1902" s="8" t="inlineStr">
        <is>
          <t>⏳ UPCOMING</t>
        </is>
      </c>
      <c r="I1902" s="11" t="inlineStr">
        <is>
          <t>Tender_2026_Irrig_878579_1_All_Documents.zip</t>
        </is>
      </c>
      <c r="J1902" s="13" t="inlineStr">
        <is>
          <t>📦 ZIP Package</t>
        </is>
      </c>
      <c r="K1902" s="15" t="n">
        <v>29.9</v>
      </c>
      <c r="L1902" s="16">
        <f>HYPERLINK("http://127.0.0.1:8000/api/documents/download?id=1880&amp;attachment=true", "⬇ Download Tender_2026_Irrig_878579")</f>
        <v/>
      </c>
      <c r="M1902" s="16">
        <f>HYPERLINK("http://localhost:5173/?state=Kerala&amp;keyword=ICT&amp;tender=2026_Irrig_878579_1", "🚀 Open in Portal")</f>
        <v/>
      </c>
    </row>
    <row r="1903" ht="24" customHeight="1">
      <c r="A1903" s="4" t="inlineStr">
        <is>
          <t>Kerala</t>
        </is>
      </c>
      <c r="B1903" s="5" t="inlineStr">
        <is>
          <t>ICT</t>
        </is>
      </c>
      <c r="C1903" s="6" t="inlineStr">
        <is>
          <t>2026_KER_4178583_95</t>
        </is>
      </c>
      <c r="D1903" s="7" t="inlineStr">
        <is>
          <t>ICT-Based Cloud Data Center Modernization &amp; Statewide Integrated Video Command Analytics</t>
        </is>
      </c>
      <c r="E1903" s="7" t="inlineStr">
        <is>
          <t>DEPARTMENT OF INFORMATION TECHNOLOGY &amp; e-GOVERNANCE</t>
        </is>
      </c>
      <c r="F1903" s="6" t="inlineStr">
        <is>
          <t>12 Sep 2026</t>
        </is>
      </c>
      <c r="G1903" s="5" t="inlineStr">
        <is>
          <t>05 Oct 2026</t>
        </is>
      </c>
      <c r="H1903" s="8" t="inlineStr">
        <is>
          <t>⏳ UPCOMING</t>
        </is>
      </c>
      <c r="I1903" s="4" t="inlineStr">
        <is>
          <t>Tendernotice_2026_KER_4178583_95.pdf</t>
        </is>
      </c>
      <c r="J1903" s="6" t="inlineStr">
        <is>
          <t>📕 PDF Document</t>
        </is>
      </c>
      <c r="K1903" s="9" t="n">
        <v>17.9</v>
      </c>
      <c r="L1903" s="10">
        <f>HYPERLINK("http://127.0.0.1:8000/api/documents/download?id=3201&amp;attachment=true", "⬇ Download Tendernotice_2026_KER_41")</f>
        <v/>
      </c>
      <c r="M1903" s="10">
        <f>HYPERLINK("http://localhost:5173/?state=Kerala&amp;keyword=ICT&amp;tender=2026_KER_4178583_95", "🚀 Open in Portal")</f>
        <v/>
      </c>
    </row>
    <row r="1904" ht="24" customHeight="1">
      <c r="A1904" s="11" t="inlineStr">
        <is>
          <t>Kerala</t>
        </is>
      </c>
      <c r="B1904" s="12" t="inlineStr">
        <is>
          <t>ICT</t>
        </is>
      </c>
      <c r="C1904" s="13" t="inlineStr">
        <is>
          <t>2026_KER_4178583_95</t>
        </is>
      </c>
      <c r="D1904" s="14" t="inlineStr">
        <is>
          <t>ICT-Based Cloud Data Center Modernization &amp; Statewide Integrated Video Command Analytics</t>
        </is>
      </c>
      <c r="E1904" s="14" t="inlineStr">
        <is>
          <t>DEPARTMENT OF INFORMATION TECHNOLOGY &amp; e-GOVERNANCE</t>
        </is>
      </c>
      <c r="F1904" s="13" t="inlineStr">
        <is>
          <t>12 Sep 2026</t>
        </is>
      </c>
      <c r="G1904" s="12" t="inlineStr">
        <is>
          <t>05 Oct 2026</t>
        </is>
      </c>
      <c r="H1904" s="8" t="inlineStr">
        <is>
          <t>⏳ UPCOMING</t>
        </is>
      </c>
      <c r="I1904" s="11" t="inlineStr">
        <is>
          <t>Technical_RFP_Specification_ICT.pdf</t>
        </is>
      </c>
      <c r="J1904" s="13" t="inlineStr">
        <is>
          <t>📕 PDF Document</t>
        </is>
      </c>
      <c r="K1904" s="15" t="n">
        <v>17.9</v>
      </c>
      <c r="L1904" s="16">
        <f>HYPERLINK("http://127.0.0.1:8000/api/documents/download?id=3202&amp;attachment=true", "⬇ Download Technical_RFP_Specificat")</f>
        <v/>
      </c>
      <c r="M1904" s="16">
        <f>HYPERLINK("http://localhost:5173/?state=Kerala&amp;keyword=ICT&amp;tender=2026_KER_4178583_95", "🚀 Open in Portal")</f>
        <v/>
      </c>
    </row>
    <row r="1905" ht="24" customHeight="1">
      <c r="A1905" s="4" t="inlineStr">
        <is>
          <t>Kerala</t>
        </is>
      </c>
      <c r="B1905" s="5" t="inlineStr">
        <is>
          <t>ICT</t>
        </is>
      </c>
      <c r="C1905" s="6" t="inlineStr">
        <is>
          <t>2026_KER_4178583_95</t>
        </is>
      </c>
      <c r="D1905" s="7" t="inlineStr">
        <is>
          <t>ICT-Based Cloud Data Center Modernization &amp; Statewide Integrated Video Command Analytics</t>
        </is>
      </c>
      <c r="E1905" s="7" t="inlineStr">
        <is>
          <t>DEPARTMENT OF INFORMATION TECHNOLOGY &amp; e-GOVERNANCE</t>
        </is>
      </c>
      <c r="F1905" s="6" t="inlineStr">
        <is>
          <t>12 Sep 2026</t>
        </is>
      </c>
      <c r="G1905" s="5" t="inlineStr">
        <is>
          <t>05 Oct 2026</t>
        </is>
      </c>
      <c r="H1905" s="8" t="inlineStr">
        <is>
          <t>⏳ UPCOMING</t>
        </is>
      </c>
      <c r="I1905" s="4" t="inlineStr">
        <is>
          <t>BOQ_Financial_Schedule_2026_KER_4178583_95.xlsx</t>
        </is>
      </c>
      <c r="J1905" s="6" t="inlineStr">
        <is>
          <t>📊 Excel BOQ</t>
        </is>
      </c>
      <c r="K1905" s="9" t="n">
        <v>2.5</v>
      </c>
      <c r="L1905" s="10">
        <f>HYPERLINK("http://127.0.0.1:8000/api/documents/download?id=3203&amp;attachment=true", "⬇ Download BOQ_Financial_Schedule_2")</f>
        <v/>
      </c>
      <c r="M1905" s="10">
        <f>HYPERLINK("http://localhost:5173/?state=Kerala&amp;keyword=ICT&amp;tender=2026_KER_4178583_95", "🚀 Open in Portal")</f>
        <v/>
      </c>
    </row>
    <row r="1906" ht="24" customHeight="1">
      <c r="A1906" s="11" t="inlineStr">
        <is>
          <t>Kerala</t>
        </is>
      </c>
      <c r="B1906" s="12" t="inlineStr">
        <is>
          <t>ICT</t>
        </is>
      </c>
      <c r="C1906" s="13" t="inlineStr">
        <is>
          <t>2026_KER_4178583_95</t>
        </is>
      </c>
      <c r="D1906" s="14" t="inlineStr">
        <is>
          <t>ICT-Based Cloud Data Center Modernization &amp; Statewide Integrated Video Command Analytics</t>
        </is>
      </c>
      <c r="E1906" s="14" t="inlineStr">
        <is>
          <t>DEPARTMENT OF INFORMATION TECHNOLOGY &amp; e-GOVERNANCE</t>
        </is>
      </c>
      <c r="F1906" s="13" t="inlineStr">
        <is>
          <t>12 Sep 2026</t>
        </is>
      </c>
      <c r="G1906" s="12" t="inlineStr">
        <is>
          <t>05 Oct 2026</t>
        </is>
      </c>
      <c r="H1906" s="8" t="inlineStr">
        <is>
          <t>⏳ UPCOMING</t>
        </is>
      </c>
      <c r="I1906" s="11" t="inlineStr">
        <is>
          <t>Tender_2026_KER_4178583_95_All_Documents.zip</t>
        </is>
      </c>
      <c r="J1906" s="13" t="inlineStr">
        <is>
          <t>📦 ZIP Package</t>
        </is>
      </c>
      <c r="K1906" s="15" t="n">
        <v>45</v>
      </c>
      <c r="L1906" s="16">
        <f>HYPERLINK("https://etenders.kerala.gov.in/tender/2026_KER_4178583_95", "⬇ Download Tender_2026_KER_4178583_")</f>
        <v/>
      </c>
      <c r="M1906" s="16">
        <f>HYPERLINK("http://localhost:5173/?state=Kerala&amp;keyword=ICT&amp;tender=2026_KER_4178583_95", "🚀 Open in Portal")</f>
        <v/>
      </c>
    </row>
    <row r="1907" ht="24" customHeight="1">
      <c r="A1907" s="4" t="inlineStr">
        <is>
          <t>Kerala</t>
        </is>
      </c>
      <c r="B1907" s="5" t="inlineStr">
        <is>
          <t>ICT</t>
        </is>
      </c>
      <c r="C1907" s="6" t="inlineStr">
        <is>
          <t>2026_KLDC_878595_1</t>
        </is>
      </c>
      <c r="D1907" s="7" t="inlineStr">
        <is>
          <t>[NABARD-RIDF XXX -Establishment of Smart Krishibhavan in Kerala. - Establishment of Smart Krishibhavan in Maruthonkara in Kozhikode District.]</t>
        </is>
      </c>
      <c r="E1907" s="7" t="inlineStr">
        <is>
          <t>Kerala Public Works &amp; Technology Department</t>
        </is>
      </c>
      <c r="F1907" s="6" t="inlineStr">
        <is>
          <t>24 Oct 2026</t>
        </is>
      </c>
      <c r="G1907" s="5" t="inlineStr">
        <is>
          <t>14 Nov 2026</t>
        </is>
      </c>
      <c r="H1907" s="8" t="inlineStr">
        <is>
          <t>⏳ UPCOMING</t>
        </is>
      </c>
      <c r="I1907" s="4" t="inlineStr">
        <is>
          <t>Tendernotice_1.pdf</t>
        </is>
      </c>
      <c r="J1907" s="6" t="inlineStr">
        <is>
          <t>📕 PDF Document</t>
        </is>
      </c>
      <c r="K1907" s="9" t="n">
        <v>17.8</v>
      </c>
      <c r="L1907" s="10">
        <f>HYPERLINK("http://127.0.0.1:8000/api/documents/download?id=1864&amp;attachment=true", "⬇ Download Tendernotice_1.pdf")</f>
        <v/>
      </c>
      <c r="M1907" s="10">
        <f>HYPERLINK("http://localhost:5173/?state=Kerala&amp;keyword=ICT&amp;tender=2026_KLDC_878595_1", "🚀 Open in Portal")</f>
        <v/>
      </c>
    </row>
    <row r="1908" ht="24" customHeight="1">
      <c r="A1908" s="11" t="inlineStr">
        <is>
          <t>Kerala</t>
        </is>
      </c>
      <c r="B1908" s="12" t="inlineStr">
        <is>
          <t>ICT</t>
        </is>
      </c>
      <c r="C1908" s="13" t="inlineStr">
        <is>
          <t>2026_KLDC_878595_1</t>
        </is>
      </c>
      <c r="D1908" s="14" t="inlineStr">
        <is>
          <t>[NABARD-RIDF XXX -Establishment of Smart Krishibhavan in Kerala. - Establishment of Smart Krishibhavan in Maruthonkara in Kozhikode District.]</t>
        </is>
      </c>
      <c r="E1908" s="14" t="inlineStr">
        <is>
          <t>Kerala Public Works &amp; Technology Department</t>
        </is>
      </c>
      <c r="F1908" s="13" t="inlineStr">
        <is>
          <t>24 Oct 2026</t>
        </is>
      </c>
      <c r="G1908" s="12" t="inlineStr">
        <is>
          <t>14 Nov 2026</t>
        </is>
      </c>
      <c r="H1908" s="8" t="inlineStr">
        <is>
          <t>⏳ UPCOMING</t>
        </is>
      </c>
      <c r="I1908" s="11" t="inlineStr">
        <is>
          <t>SBDMaruthankara.pdf</t>
        </is>
      </c>
      <c r="J1908" s="13" t="inlineStr">
        <is>
          <t>📕 PDF Document</t>
        </is>
      </c>
      <c r="K1908" s="15" t="n">
        <v>17.8</v>
      </c>
      <c r="L1908" s="16">
        <f>HYPERLINK("http://127.0.0.1:8000/api/documents/download?id=1865&amp;attachment=true", "⬇ Download SBDMaruthankara.pdf")</f>
        <v/>
      </c>
      <c r="M1908" s="16">
        <f>HYPERLINK("http://localhost:5173/?state=Kerala&amp;keyword=ICT&amp;tender=2026_KLDC_878595_1", "🚀 Open in Portal")</f>
        <v/>
      </c>
    </row>
    <row r="1909" ht="24" customHeight="1">
      <c r="A1909" s="4" t="inlineStr">
        <is>
          <t>Kerala</t>
        </is>
      </c>
      <c r="B1909" s="5" t="inlineStr">
        <is>
          <t>ICT</t>
        </is>
      </c>
      <c r="C1909" s="6" t="inlineStr">
        <is>
          <t>2026_KLDC_878595_1</t>
        </is>
      </c>
      <c r="D1909" s="7" t="inlineStr">
        <is>
          <t>[NABARD-RIDF XXX -Establishment of Smart Krishibhavan in Kerala. - Establishment of Smart Krishibhavan in Maruthonkara in Kozhikode District.]</t>
        </is>
      </c>
      <c r="E1909" s="7" t="inlineStr">
        <is>
          <t>Kerala Public Works &amp; Technology Department</t>
        </is>
      </c>
      <c r="F1909" s="6" t="inlineStr">
        <is>
          <t>24 Oct 2026</t>
        </is>
      </c>
      <c r="G1909" s="5" t="inlineStr">
        <is>
          <t>14 Nov 2026</t>
        </is>
      </c>
      <c r="H1909" s="8" t="inlineStr">
        <is>
          <t>⏳ UPCOMING</t>
        </is>
      </c>
      <c r="I1909" s="4" t="inlineStr">
        <is>
          <t>BOQ_1493290.xls</t>
        </is>
      </c>
      <c r="J1909" s="6" t="inlineStr">
        <is>
          <t>📊 Excel BOQ</t>
        </is>
      </c>
      <c r="K1909" s="9" t="n">
        <v>2.5</v>
      </c>
      <c r="L1909" s="10">
        <f>HYPERLINK("http://127.0.0.1:8000/api/documents/download?id=1866&amp;attachment=true", "⬇ Download BOQ_1493290.xls")</f>
        <v/>
      </c>
      <c r="M1909" s="10">
        <f>HYPERLINK("http://localhost:5173/?state=Kerala&amp;keyword=ICT&amp;tender=2026_KLDC_878595_1", "🚀 Open in Portal")</f>
        <v/>
      </c>
    </row>
    <row r="1910" ht="24" customHeight="1">
      <c r="A1910" s="11" t="inlineStr">
        <is>
          <t>Kerala</t>
        </is>
      </c>
      <c r="B1910" s="12" t="inlineStr">
        <is>
          <t>ICT</t>
        </is>
      </c>
      <c r="C1910" s="13" t="inlineStr">
        <is>
          <t>2026_KLDC_878595_1</t>
        </is>
      </c>
      <c r="D1910" s="14" t="inlineStr">
        <is>
          <t>[NABARD-RIDF XXX -Establishment of Smart Krishibhavan in Kerala. - Establishment of Smart Krishibhavan in Maruthonkara in Kozhikode District.]</t>
        </is>
      </c>
      <c r="E1910" s="14" t="inlineStr">
        <is>
          <t>Kerala Public Works &amp; Technology Department</t>
        </is>
      </c>
      <c r="F1910" s="13" t="inlineStr">
        <is>
          <t>24 Oct 2026</t>
        </is>
      </c>
      <c r="G1910" s="12" t="inlineStr">
        <is>
          <t>14 Nov 2026</t>
        </is>
      </c>
      <c r="H1910" s="8" t="inlineStr">
        <is>
          <t>⏳ UPCOMING</t>
        </is>
      </c>
      <c r="I1910" s="11" t="inlineStr">
        <is>
          <t>Tender_2026_KLDC_878595_1_All_Documents.zip</t>
        </is>
      </c>
      <c r="J1910" s="13" t="inlineStr">
        <is>
          <t>📦 ZIP Package</t>
        </is>
      </c>
      <c r="K1910" s="15" t="n">
        <v>20.8</v>
      </c>
      <c r="L1910" s="16">
        <f>HYPERLINK("http://127.0.0.1:8000/api/documents/download?id=1867&amp;attachment=true", "⬇ Download Tender_2026_KLDC_878595_")</f>
        <v/>
      </c>
      <c r="M1910" s="16">
        <f>HYPERLINK("http://localhost:5173/?state=Kerala&amp;keyword=ICT&amp;tender=2026_KLDC_878595_1", "🚀 Open in Portal")</f>
        <v/>
      </c>
    </row>
    <row r="1911" ht="24" customHeight="1">
      <c r="A1911" s="4" t="inlineStr">
        <is>
          <t>Kerala</t>
        </is>
      </c>
      <c r="B1911" s="5" t="inlineStr">
        <is>
          <t>ICT</t>
        </is>
      </c>
      <c r="C1911" s="6" t="inlineStr">
        <is>
          <t>2026_KPHCC_878718_1</t>
        </is>
      </c>
      <c r="D1911" s="7" t="inlineStr">
        <is>
          <t>[ASUMP 2026-27-Establishment of District Training Centre at Thrissur City (DSR 2021)]</t>
        </is>
      </c>
      <c r="E1911" s="7" t="inlineStr">
        <is>
          <t>Kerala Public Works &amp; Technology Department</t>
        </is>
      </c>
      <c r="F1911" s="6" t="inlineStr">
        <is>
          <t>14 Sep 2026</t>
        </is>
      </c>
      <c r="G1911" s="5" t="inlineStr">
        <is>
          <t>06 Oct 2026</t>
        </is>
      </c>
      <c r="H1911" s="8" t="inlineStr">
        <is>
          <t>⏳ UPCOMING</t>
        </is>
      </c>
      <c r="I1911" s="4" t="inlineStr">
        <is>
          <t>Tendernotice_1.pdf</t>
        </is>
      </c>
      <c r="J1911" s="6" t="inlineStr">
        <is>
          <t>📕 PDF Document</t>
        </is>
      </c>
      <c r="K1911" s="9" t="n">
        <v>17.8</v>
      </c>
      <c r="L1911" s="10">
        <f>HYPERLINK("http://127.0.0.1:8000/api/documents/download?id=1854&amp;attachment=true", "⬇ Download Tendernotice_1.pdf")</f>
        <v/>
      </c>
      <c r="M1911" s="10">
        <f>HYPERLINK("http://localhost:5173/?state=Kerala&amp;keyword=ICT&amp;tender=2026_KPHCC_878718_1", "🚀 Open in Portal")</f>
        <v/>
      </c>
    </row>
    <row r="1912" ht="24" customHeight="1">
      <c r="A1912" s="11" t="inlineStr">
        <is>
          <t>Kerala</t>
        </is>
      </c>
      <c r="B1912" s="12" t="inlineStr">
        <is>
          <t>ICT</t>
        </is>
      </c>
      <c r="C1912" s="13" t="inlineStr">
        <is>
          <t>2026_KPHCC_878718_1</t>
        </is>
      </c>
      <c r="D1912" s="14" t="inlineStr">
        <is>
          <t>[ASUMP 2026-27-Establishment of District Training Centre at Thrissur City (DSR 2021)]</t>
        </is>
      </c>
      <c r="E1912" s="14" t="inlineStr">
        <is>
          <t>Kerala Public Works &amp; Technology Department</t>
        </is>
      </c>
      <c r="F1912" s="13" t="inlineStr">
        <is>
          <t>14 Sep 2026</t>
        </is>
      </c>
      <c r="G1912" s="12" t="inlineStr">
        <is>
          <t>06 Oct 2026</t>
        </is>
      </c>
      <c r="H1912" s="8" t="inlineStr">
        <is>
          <t>⏳ UPCOMING</t>
        </is>
      </c>
      <c r="I1912" s="11" t="inlineStr">
        <is>
          <t>tenderdocumentnew.pdf</t>
        </is>
      </c>
      <c r="J1912" s="13" t="inlineStr">
        <is>
          <t>📕 PDF Document</t>
        </is>
      </c>
      <c r="K1912" s="15" t="n">
        <v>17.8</v>
      </c>
      <c r="L1912" s="16">
        <f>HYPERLINK("http://127.0.0.1:8000/api/documents/download?id=1855&amp;attachment=true", "⬇ Download tenderdocumentnew.pdf")</f>
        <v/>
      </c>
      <c r="M1912" s="16">
        <f>HYPERLINK("http://localhost:5173/?state=Kerala&amp;keyword=ICT&amp;tender=2026_KPHCC_878718_1", "🚀 Open in Portal")</f>
        <v/>
      </c>
    </row>
    <row r="1913" ht="24" customHeight="1">
      <c r="A1913" s="4" t="inlineStr">
        <is>
          <t>Kerala</t>
        </is>
      </c>
      <c r="B1913" s="5" t="inlineStr">
        <is>
          <t>ICT</t>
        </is>
      </c>
      <c r="C1913" s="6" t="inlineStr">
        <is>
          <t>2026_KPHCC_878718_1</t>
        </is>
      </c>
      <c r="D1913" s="7" t="inlineStr">
        <is>
          <t>[ASUMP 2026-27-Establishment of District Training Centre at Thrissur City (DSR 2021)]</t>
        </is>
      </c>
      <c r="E1913" s="7" t="inlineStr">
        <is>
          <t>Kerala Public Works &amp; Technology Department</t>
        </is>
      </c>
      <c r="F1913" s="6" t="inlineStr">
        <is>
          <t>14 Sep 2026</t>
        </is>
      </c>
      <c r="G1913" s="5" t="inlineStr">
        <is>
          <t>06 Oct 2026</t>
        </is>
      </c>
      <c r="H1913" s="8" t="inlineStr">
        <is>
          <t>⏳ UPCOMING</t>
        </is>
      </c>
      <c r="I1913" s="4" t="inlineStr">
        <is>
          <t>BOQ_1493534.xls</t>
        </is>
      </c>
      <c r="J1913" s="6" t="inlineStr">
        <is>
          <t>📊 Excel BOQ</t>
        </is>
      </c>
      <c r="K1913" s="9" t="n">
        <v>2.5</v>
      </c>
      <c r="L1913" s="10">
        <f>HYPERLINK("http://127.0.0.1:8000/api/documents/download?id=1856&amp;attachment=true", "⬇ Download BOQ_1493534.xls")</f>
        <v/>
      </c>
      <c r="M1913" s="10">
        <f>HYPERLINK("http://localhost:5173/?state=Kerala&amp;keyword=ICT&amp;tender=2026_KPHCC_878718_1", "🚀 Open in Portal")</f>
        <v/>
      </c>
    </row>
    <row r="1914" ht="24" customHeight="1">
      <c r="A1914" s="11" t="inlineStr">
        <is>
          <t>Kerala</t>
        </is>
      </c>
      <c r="B1914" s="12" t="inlineStr">
        <is>
          <t>ICT</t>
        </is>
      </c>
      <c r="C1914" s="13" t="inlineStr">
        <is>
          <t>2026_KPHCC_878718_1</t>
        </is>
      </c>
      <c r="D1914" s="14" t="inlineStr">
        <is>
          <t>[ASUMP 2026-27-Establishment of District Training Centre at Thrissur City (DSR 2021)]</t>
        </is>
      </c>
      <c r="E1914" s="14" t="inlineStr">
        <is>
          <t>Kerala Public Works &amp; Technology Department</t>
        </is>
      </c>
      <c r="F1914" s="13" t="inlineStr">
        <is>
          <t>14 Sep 2026</t>
        </is>
      </c>
      <c r="G1914" s="12" t="inlineStr">
        <is>
          <t>06 Oct 2026</t>
        </is>
      </c>
      <c r="H1914" s="8" t="inlineStr">
        <is>
          <t>⏳ UPCOMING</t>
        </is>
      </c>
      <c r="I1914" s="11" t="inlineStr">
        <is>
          <t>Tender_2026_KPHCC_878718_1_All_Documents.zip</t>
        </is>
      </c>
      <c r="J1914" s="13" t="inlineStr">
        <is>
          <t>📦 ZIP Package</t>
        </is>
      </c>
      <c r="K1914" s="15" t="n">
        <v>20.7</v>
      </c>
      <c r="L1914" s="16">
        <f>HYPERLINK("http://127.0.0.1:8000/api/documents/download?id=1857&amp;attachment=true", "⬇ Download Tender_2026_KPHCC_878718")</f>
        <v/>
      </c>
      <c r="M1914" s="16">
        <f>HYPERLINK("http://localhost:5173/?state=Kerala&amp;keyword=ICT&amp;tender=2026_KPHCC_878718_1", "🚀 Open in Portal")</f>
        <v/>
      </c>
    </row>
    <row r="1915" ht="24" customHeight="1">
      <c r="A1915" s="4" t="inlineStr">
        <is>
          <t>Kerala</t>
        </is>
      </c>
      <c r="B1915" s="5" t="inlineStr">
        <is>
          <t>ICT</t>
        </is>
      </c>
      <c r="C1915" s="6" t="inlineStr">
        <is>
          <t>2026_KPHCC_878722_1</t>
        </is>
      </c>
      <c r="D1915" s="7" t="inlineStr">
        <is>
          <t>[ASUMP 2026-27-Information Technology-Establishment of District Training Centre at Kannur Rural (DSR 2021)]</t>
        </is>
      </c>
      <c r="E1915" s="7" t="inlineStr">
        <is>
          <t>Kerala Public Works &amp; Technology Department</t>
        </is>
      </c>
      <c r="F1915" s="6" t="inlineStr">
        <is>
          <t>31 Aug 2026</t>
        </is>
      </c>
      <c r="G1915" s="5" t="inlineStr">
        <is>
          <t>28 Sep 2026</t>
        </is>
      </c>
      <c r="H1915" s="8" t="inlineStr">
        <is>
          <t>⏳ UPCOMING</t>
        </is>
      </c>
      <c r="I1915" s="4" t="inlineStr">
        <is>
          <t>Tendernotice_1.pdf</t>
        </is>
      </c>
      <c r="J1915" s="6" t="inlineStr">
        <is>
          <t>📕 PDF Document</t>
        </is>
      </c>
      <c r="K1915" s="9" t="n">
        <v>17.8</v>
      </c>
      <c r="L1915" s="10">
        <f>HYPERLINK("http://127.0.0.1:8000/api/documents/download?id=1850&amp;attachment=true", "⬇ Download Tendernotice_1.pdf")</f>
        <v/>
      </c>
      <c r="M1915" s="10">
        <f>HYPERLINK("http://localhost:5173/?state=Kerala&amp;keyword=ICT&amp;tender=2026_KPHCC_878722_1", "🚀 Open in Portal")</f>
        <v/>
      </c>
    </row>
    <row r="1916" ht="24" customHeight="1">
      <c r="A1916" s="11" t="inlineStr">
        <is>
          <t>Kerala</t>
        </is>
      </c>
      <c r="B1916" s="12" t="inlineStr">
        <is>
          <t>ICT</t>
        </is>
      </c>
      <c r="C1916" s="13" t="inlineStr">
        <is>
          <t>2026_KPHCC_878722_1</t>
        </is>
      </c>
      <c r="D1916" s="14" t="inlineStr">
        <is>
          <t>[ASUMP 2026-27-Information Technology-Establishment of District Training Centre at Kannur Rural (DSR 2021)]</t>
        </is>
      </c>
      <c r="E1916" s="14" t="inlineStr">
        <is>
          <t>Kerala Public Works &amp; Technology Department</t>
        </is>
      </c>
      <c r="F1916" s="13" t="inlineStr">
        <is>
          <t>31 Aug 2026</t>
        </is>
      </c>
      <c r="G1916" s="12" t="inlineStr">
        <is>
          <t>28 Sep 2026</t>
        </is>
      </c>
      <c r="H1916" s="8" t="inlineStr">
        <is>
          <t>⏳ UPCOMING</t>
        </is>
      </c>
      <c r="I1916" s="11" t="inlineStr">
        <is>
          <t>tenderdocumentnew.pdf</t>
        </is>
      </c>
      <c r="J1916" s="13" t="inlineStr">
        <is>
          <t>📕 PDF Document</t>
        </is>
      </c>
      <c r="K1916" s="15" t="n">
        <v>17.8</v>
      </c>
      <c r="L1916" s="16">
        <f>HYPERLINK("http://127.0.0.1:8000/api/documents/download?id=1851&amp;attachment=true", "⬇ Download tenderdocumentnew.pdf")</f>
        <v/>
      </c>
      <c r="M1916" s="16">
        <f>HYPERLINK("http://localhost:5173/?state=Kerala&amp;keyword=ICT&amp;tender=2026_KPHCC_878722_1", "🚀 Open in Portal")</f>
        <v/>
      </c>
    </row>
    <row r="1917" ht="24" customHeight="1">
      <c r="A1917" s="4" t="inlineStr">
        <is>
          <t>Kerala</t>
        </is>
      </c>
      <c r="B1917" s="5" t="inlineStr">
        <is>
          <t>ICT</t>
        </is>
      </c>
      <c r="C1917" s="6" t="inlineStr">
        <is>
          <t>2026_KPHCC_878722_1</t>
        </is>
      </c>
      <c r="D1917" s="7" t="inlineStr">
        <is>
          <t>[ASUMP 2026-27-Information Technology-Establishment of District Training Centre at Kannur Rural (DSR 2021)]</t>
        </is>
      </c>
      <c r="E1917" s="7" t="inlineStr">
        <is>
          <t>Kerala Public Works &amp; Technology Department</t>
        </is>
      </c>
      <c r="F1917" s="6" t="inlineStr">
        <is>
          <t>31 Aug 2026</t>
        </is>
      </c>
      <c r="G1917" s="5" t="inlineStr">
        <is>
          <t>28 Sep 2026</t>
        </is>
      </c>
      <c r="H1917" s="8" t="inlineStr">
        <is>
          <t>⏳ UPCOMING</t>
        </is>
      </c>
      <c r="I1917" s="4" t="inlineStr">
        <is>
          <t>BOQ_1493548.xls</t>
        </is>
      </c>
      <c r="J1917" s="6" t="inlineStr">
        <is>
          <t>📊 Excel BOQ</t>
        </is>
      </c>
      <c r="K1917" s="9" t="n">
        <v>2.5</v>
      </c>
      <c r="L1917" s="10">
        <f>HYPERLINK("http://127.0.0.1:8000/api/documents/download?id=1852&amp;attachment=true", "⬇ Download BOQ_1493548.xls")</f>
        <v/>
      </c>
      <c r="M1917" s="10">
        <f>HYPERLINK("http://localhost:5173/?state=Kerala&amp;keyword=ICT&amp;tender=2026_KPHCC_878722_1", "🚀 Open in Portal")</f>
        <v/>
      </c>
    </row>
    <row r="1918" ht="24" customHeight="1">
      <c r="A1918" s="11" t="inlineStr">
        <is>
          <t>Kerala</t>
        </is>
      </c>
      <c r="B1918" s="12" t="inlineStr">
        <is>
          <t>ICT</t>
        </is>
      </c>
      <c r="C1918" s="13" t="inlineStr">
        <is>
          <t>2026_KPHCC_878722_1</t>
        </is>
      </c>
      <c r="D1918" s="14" t="inlineStr">
        <is>
          <t>[ASUMP 2026-27-Information Technology-Establishment of District Training Centre at Kannur Rural (DSR 2021)]</t>
        </is>
      </c>
      <c r="E1918" s="14" t="inlineStr">
        <is>
          <t>Kerala Public Works &amp; Technology Department</t>
        </is>
      </c>
      <c r="F1918" s="13" t="inlineStr">
        <is>
          <t>31 Aug 2026</t>
        </is>
      </c>
      <c r="G1918" s="12" t="inlineStr">
        <is>
          <t>28 Sep 2026</t>
        </is>
      </c>
      <c r="H1918" s="8" t="inlineStr">
        <is>
          <t>⏳ UPCOMING</t>
        </is>
      </c>
      <c r="I1918" s="11" t="inlineStr">
        <is>
          <t>Tender_2026_KPHCC_878722_1_All_Documents.zip</t>
        </is>
      </c>
      <c r="J1918" s="13" t="inlineStr">
        <is>
          <t>📦 ZIP Package</t>
        </is>
      </c>
      <c r="K1918" s="15" t="n">
        <v>20.7</v>
      </c>
      <c r="L1918" s="16">
        <f>HYPERLINK("http://127.0.0.1:8000/api/documents/download?id=1853&amp;attachment=true", "⬇ Download Tender_2026_KPHCC_878722")</f>
        <v/>
      </c>
      <c r="M1918" s="16">
        <f>HYPERLINK("http://localhost:5173/?state=Kerala&amp;keyword=ICT&amp;tender=2026_KPHCC_878722_1", "🚀 Open in Portal")</f>
        <v/>
      </c>
    </row>
    <row r="1919" ht="24" customHeight="1">
      <c r="A1919" s="4" t="inlineStr">
        <is>
          <t>Kerala</t>
        </is>
      </c>
      <c r="B1919" s="5" t="inlineStr">
        <is>
          <t>ICT</t>
        </is>
      </c>
      <c r="C1919" s="6" t="inlineStr">
        <is>
          <t>2026_KSNK_878871_1</t>
        </is>
      </c>
      <c r="D1919" s="7" t="inlineStr">
        <is>
          <t>[Construction of Killannur Smart Village Office at Thrissur Taluk, Thrissur District]</t>
        </is>
      </c>
      <c r="E1919" s="7" t="inlineStr">
        <is>
          <t>Kerala Public Works &amp; Technology Department</t>
        </is>
      </c>
      <c r="F1919" s="6" t="inlineStr">
        <is>
          <t>27 Aug 2026</t>
        </is>
      </c>
      <c r="G1919" s="5" t="inlineStr">
        <is>
          <t>24 Sep 2026</t>
        </is>
      </c>
      <c r="H1919" s="8" t="inlineStr">
        <is>
          <t>⏳ UPCOMING</t>
        </is>
      </c>
      <c r="I1919" s="4" t="inlineStr">
        <is>
          <t>Tendernotice_1.pdf</t>
        </is>
      </c>
      <c r="J1919" s="6" t="inlineStr">
        <is>
          <t>📕 PDF Document</t>
        </is>
      </c>
      <c r="K1919" s="9" t="n">
        <v>17.8</v>
      </c>
      <c r="L1919" s="10">
        <f>HYPERLINK("http://127.0.0.1:8000/api/documents/download?id=1806&amp;attachment=true", "⬇ Download Tendernotice_1.pdf")</f>
        <v/>
      </c>
      <c r="M1919" s="10">
        <f>HYPERLINK("http://localhost:5173/?state=Kerala&amp;keyword=ICT&amp;tender=2026_KSNK_878871_1", "🚀 Open in Portal")</f>
        <v/>
      </c>
    </row>
    <row r="1920" ht="24" customHeight="1">
      <c r="A1920" s="11" t="inlineStr">
        <is>
          <t>Kerala</t>
        </is>
      </c>
      <c r="B1920" s="12" t="inlineStr">
        <is>
          <t>ICT</t>
        </is>
      </c>
      <c r="C1920" s="13" t="inlineStr">
        <is>
          <t>2026_KSNK_878871_1</t>
        </is>
      </c>
      <c r="D1920" s="14" t="inlineStr">
        <is>
          <t>[Construction of Killannur Smart Village Office at Thrissur Taluk, Thrissur District]</t>
        </is>
      </c>
      <c r="E1920" s="14" t="inlineStr">
        <is>
          <t>Kerala Public Works &amp; Technology Department</t>
        </is>
      </c>
      <c r="F1920" s="13" t="inlineStr">
        <is>
          <t>27 Aug 2026</t>
        </is>
      </c>
      <c r="G1920" s="12" t="inlineStr">
        <is>
          <t>24 Sep 2026</t>
        </is>
      </c>
      <c r="H1920" s="8" t="inlineStr">
        <is>
          <t>⏳ UPCOMING</t>
        </is>
      </c>
      <c r="I1920" s="11" t="inlineStr">
        <is>
          <t>Agreement.pdf</t>
        </is>
      </c>
      <c r="J1920" s="13" t="inlineStr">
        <is>
          <t>📕 PDF Document</t>
        </is>
      </c>
      <c r="K1920" s="15" t="n">
        <v>17.8</v>
      </c>
      <c r="L1920" s="16">
        <f>HYPERLINK("http://127.0.0.1:8000/api/documents/download?id=1807&amp;attachment=true", "⬇ Download Agreement.pdf")</f>
        <v/>
      </c>
      <c r="M1920" s="16">
        <f>HYPERLINK("http://localhost:5173/?state=Kerala&amp;keyword=ICT&amp;tender=2026_KSNK_878871_1", "🚀 Open in Portal")</f>
        <v/>
      </c>
    </row>
    <row r="1921" ht="24" customHeight="1">
      <c r="A1921" s="4" t="inlineStr">
        <is>
          <t>Kerala</t>
        </is>
      </c>
      <c r="B1921" s="5" t="inlineStr">
        <is>
          <t>ICT</t>
        </is>
      </c>
      <c r="C1921" s="6" t="inlineStr">
        <is>
          <t>2026_KSNK_878871_1</t>
        </is>
      </c>
      <c r="D1921" s="7" t="inlineStr">
        <is>
          <t>[Construction of Killannur Smart Village Office at Thrissur Taluk, Thrissur District]</t>
        </is>
      </c>
      <c r="E1921" s="7" t="inlineStr">
        <is>
          <t>Kerala Public Works &amp; Technology Department</t>
        </is>
      </c>
      <c r="F1921" s="6" t="inlineStr">
        <is>
          <t>27 Aug 2026</t>
        </is>
      </c>
      <c r="G1921" s="5" t="inlineStr">
        <is>
          <t>24 Sep 2026</t>
        </is>
      </c>
      <c r="H1921" s="8" t="inlineStr">
        <is>
          <t>⏳ UPCOMING</t>
        </is>
      </c>
      <c r="I1921" s="4" t="inlineStr">
        <is>
          <t>TenderConditions.pdf</t>
        </is>
      </c>
      <c r="J1921" s="6" t="inlineStr">
        <is>
          <t>📕 PDF Document</t>
        </is>
      </c>
      <c r="K1921" s="9" t="n">
        <v>17.8</v>
      </c>
      <c r="L1921" s="10">
        <f>HYPERLINK("http://127.0.0.1:8000/api/documents/download?id=1808&amp;attachment=true", "⬇ Download TenderConditions.pdf")</f>
        <v/>
      </c>
      <c r="M1921" s="10">
        <f>HYPERLINK("http://localhost:5173/?state=Kerala&amp;keyword=ICT&amp;tender=2026_KSNK_878871_1", "🚀 Open in Portal")</f>
        <v/>
      </c>
    </row>
    <row r="1922" ht="24" customHeight="1">
      <c r="A1922" s="11" t="inlineStr">
        <is>
          <t>Kerala</t>
        </is>
      </c>
      <c r="B1922" s="12" t="inlineStr">
        <is>
          <t>ICT</t>
        </is>
      </c>
      <c r="C1922" s="13" t="inlineStr">
        <is>
          <t>2026_KSNK_878871_1</t>
        </is>
      </c>
      <c r="D1922" s="14" t="inlineStr">
        <is>
          <t>[Construction of Killannur Smart Village Office at Thrissur Taluk, Thrissur District]</t>
        </is>
      </c>
      <c r="E1922" s="14" t="inlineStr">
        <is>
          <t>Kerala Public Works &amp; Technology Department</t>
        </is>
      </c>
      <c r="F1922" s="13" t="inlineStr">
        <is>
          <t>27 Aug 2026</t>
        </is>
      </c>
      <c r="G1922" s="12" t="inlineStr">
        <is>
          <t>24 Sep 2026</t>
        </is>
      </c>
      <c r="H1922" s="8" t="inlineStr">
        <is>
          <t>⏳ UPCOMING</t>
        </is>
      </c>
      <c r="I1922" s="11" t="inlineStr">
        <is>
          <t>ePaymentForm.pdf</t>
        </is>
      </c>
      <c r="J1922" s="13" t="inlineStr">
        <is>
          <t>📕 PDF Document</t>
        </is>
      </c>
      <c r="K1922" s="15" t="n">
        <v>17.8</v>
      </c>
      <c r="L1922" s="16">
        <f>HYPERLINK("http://127.0.0.1:8000/api/documents/download?id=1809&amp;attachment=true", "⬇ Download ePaymentForm.pdf")</f>
        <v/>
      </c>
      <c r="M1922" s="16">
        <f>HYPERLINK("http://localhost:5173/?state=Kerala&amp;keyword=ICT&amp;tender=2026_KSNK_878871_1", "🚀 Open in Portal")</f>
        <v/>
      </c>
    </row>
    <row r="1923" ht="24" customHeight="1">
      <c r="A1923" s="4" t="inlineStr">
        <is>
          <t>Kerala</t>
        </is>
      </c>
      <c r="B1923" s="5" t="inlineStr">
        <is>
          <t>ICT</t>
        </is>
      </c>
      <c r="C1923" s="6" t="inlineStr">
        <is>
          <t>2026_KSNK_878871_1</t>
        </is>
      </c>
      <c r="D1923" s="7" t="inlineStr">
        <is>
          <t>[Construction of Killannur Smart Village Office at Thrissur Taluk, Thrissur District]</t>
        </is>
      </c>
      <c r="E1923" s="7" t="inlineStr">
        <is>
          <t>Kerala Public Works &amp; Technology Department</t>
        </is>
      </c>
      <c r="F1923" s="6" t="inlineStr">
        <is>
          <t>27 Aug 2026</t>
        </is>
      </c>
      <c r="G1923" s="5" t="inlineStr">
        <is>
          <t>24 Sep 2026</t>
        </is>
      </c>
      <c r="H1923" s="8" t="inlineStr">
        <is>
          <t>⏳ UPCOMING</t>
        </is>
      </c>
      <c r="I1923" s="4" t="inlineStr">
        <is>
          <t>BOQ_1493851.xls</t>
        </is>
      </c>
      <c r="J1923" s="6" t="inlineStr">
        <is>
          <t>📊 Excel BOQ</t>
        </is>
      </c>
      <c r="K1923" s="9" t="n">
        <v>2.5</v>
      </c>
      <c r="L1923" s="10">
        <f>HYPERLINK("http://127.0.0.1:8000/api/documents/download?id=1810&amp;attachment=true", "⬇ Download BOQ_1493851.xls")</f>
        <v/>
      </c>
      <c r="M1923" s="10">
        <f>HYPERLINK("http://localhost:5173/?state=Kerala&amp;keyword=ICT&amp;tender=2026_KSNK_878871_1", "🚀 Open in Portal")</f>
        <v/>
      </c>
    </row>
    <row r="1924" ht="24" customHeight="1">
      <c r="A1924" s="11" t="inlineStr">
        <is>
          <t>Kerala</t>
        </is>
      </c>
      <c r="B1924" s="12" t="inlineStr">
        <is>
          <t>ICT</t>
        </is>
      </c>
      <c r="C1924" s="13" t="inlineStr">
        <is>
          <t>2026_KSNK_878871_1</t>
        </is>
      </c>
      <c r="D1924" s="14" t="inlineStr">
        <is>
          <t>[Construction of Killannur Smart Village Office at Thrissur Taluk, Thrissur District]</t>
        </is>
      </c>
      <c r="E1924" s="14" t="inlineStr">
        <is>
          <t>Kerala Public Works &amp; Technology Department</t>
        </is>
      </c>
      <c r="F1924" s="13" t="inlineStr">
        <is>
          <t>27 Aug 2026</t>
        </is>
      </c>
      <c r="G1924" s="12" t="inlineStr">
        <is>
          <t>24 Sep 2026</t>
        </is>
      </c>
      <c r="H1924" s="8" t="inlineStr">
        <is>
          <t>⏳ UPCOMING</t>
        </is>
      </c>
      <c r="I1924" s="11" t="inlineStr">
        <is>
          <t>Tender_2026_KSNK_878871_1_All_Documents.zip</t>
        </is>
      </c>
      <c r="J1924" s="13" t="inlineStr">
        <is>
          <t>📦 ZIP Package</t>
        </is>
      </c>
      <c r="K1924" s="15" t="n">
        <v>39</v>
      </c>
      <c r="L1924" s="16">
        <f>HYPERLINK("http://127.0.0.1:8000/api/documents/download?id=1811&amp;attachment=true", "⬇ Download Tender_2026_KSNK_878871_")</f>
        <v/>
      </c>
      <c r="M1924" s="16">
        <f>HYPERLINK("http://localhost:5173/?state=Kerala&amp;keyword=ICT&amp;tender=2026_KSNK_878871_1", "🚀 Open in Portal")</f>
        <v/>
      </c>
    </row>
    <row r="1925" ht="24" customHeight="1">
      <c r="A1925" s="4" t="inlineStr">
        <is>
          <t>Kerala</t>
        </is>
      </c>
      <c r="B1925" s="5" t="inlineStr">
        <is>
          <t>ICT</t>
        </is>
      </c>
      <c r="C1925" s="6" t="inlineStr">
        <is>
          <t>2026_PWD_870720_2</t>
        </is>
      </c>
      <c r="D1925" s="7" t="inlineStr">
        <is>
          <t>[GENERAL-Running contract work for Topographical survey of various building under Kollam,Alappuzha and Pathanamthitta District.-Running contract work for Topographical survey of various building under Kollam,Alappuzha and Pathanamthitta District]</t>
        </is>
      </c>
      <c r="E1925" s="7" t="inlineStr">
        <is>
          <t>Kerala Public Works &amp; Technology Department</t>
        </is>
      </c>
      <c r="F1925" s="6" t="inlineStr">
        <is>
          <t>31 Jul 2026</t>
        </is>
      </c>
      <c r="G1925" s="5" t="inlineStr">
        <is>
          <t>30 Aug 2026</t>
        </is>
      </c>
      <c r="H1925" s="8" t="inlineStr">
        <is>
          <t>⏳ UPCOMING</t>
        </is>
      </c>
      <c r="I1925" s="4" t="inlineStr">
        <is>
          <t>Tendernotice_1.pdf</t>
        </is>
      </c>
      <c r="J1925" s="6" t="inlineStr">
        <is>
          <t>📕 PDF Document</t>
        </is>
      </c>
      <c r="K1925" s="9" t="n">
        <v>17.8</v>
      </c>
      <c r="L1925" s="10">
        <f>HYPERLINK("http://127.0.0.1:8000/api/documents/download?id=1841&amp;attachment=true", "⬇ Download Tendernotice_1.pdf")</f>
        <v/>
      </c>
      <c r="M1925" s="10">
        <f>HYPERLINK("http://localhost:5173/?state=Kerala&amp;keyword=ICT&amp;tender=2026_PWD_870720_2", "🚀 Open in Portal")</f>
        <v/>
      </c>
    </row>
    <row r="1926" ht="24" customHeight="1">
      <c r="A1926" s="11" t="inlineStr">
        <is>
          <t>Kerala</t>
        </is>
      </c>
      <c r="B1926" s="12" t="inlineStr">
        <is>
          <t>ICT</t>
        </is>
      </c>
      <c r="C1926" s="13" t="inlineStr">
        <is>
          <t>2026_PWD_870720_2</t>
        </is>
      </c>
      <c r="D1926" s="14" t="inlineStr">
        <is>
          <t>[GENERAL-Running contract work for Topographical survey of various building under Kollam,Alappuzha and Pathanamthitta District.-Running contract work for Topographical survey of various building under Kollam,Alappuzha and Pathanamthitta District]</t>
        </is>
      </c>
      <c r="E1926" s="14" t="inlineStr">
        <is>
          <t>Kerala Public Works &amp; Technology Department</t>
        </is>
      </c>
      <c r="F1926" s="13" t="inlineStr">
        <is>
          <t>31 Jul 2026</t>
        </is>
      </c>
      <c r="G1926" s="12" t="inlineStr">
        <is>
          <t>30 Aug 2026</t>
        </is>
      </c>
      <c r="H1926" s="8" t="inlineStr">
        <is>
          <t>⏳ UPCOMING</t>
        </is>
      </c>
      <c r="I1926" s="11" t="inlineStr">
        <is>
          <t>BOQ_1493865.xls</t>
        </is>
      </c>
      <c r="J1926" s="13" t="inlineStr">
        <is>
          <t>📊 Excel BOQ</t>
        </is>
      </c>
      <c r="K1926" s="15" t="n">
        <v>2.5</v>
      </c>
      <c r="L1926" s="16">
        <f>HYPERLINK("http://127.0.0.1:8000/api/documents/download?id=1842&amp;attachment=true", "⬇ Download BOQ_1493865.xls")</f>
        <v/>
      </c>
      <c r="M1926" s="16">
        <f>HYPERLINK("http://localhost:5173/?state=Kerala&amp;keyword=ICT&amp;tender=2026_PWD_870720_2", "🚀 Open in Portal")</f>
        <v/>
      </c>
    </row>
    <row r="1927" ht="24" customHeight="1">
      <c r="A1927" s="4" t="inlineStr">
        <is>
          <t>Kerala</t>
        </is>
      </c>
      <c r="B1927" s="5" t="inlineStr">
        <is>
          <t>ICT</t>
        </is>
      </c>
      <c r="C1927" s="6" t="inlineStr">
        <is>
          <t>2026_PWD_870720_2</t>
        </is>
      </c>
      <c r="D1927" s="7" t="inlineStr">
        <is>
          <t>[GENERAL-Running contract work for Topographical survey of various building under Kollam,Alappuzha and Pathanamthitta District.-Running contract work for Topographical survey of various building under Kollam,Alappuzha and Pathanamthitta District]</t>
        </is>
      </c>
      <c r="E1927" s="7" t="inlineStr">
        <is>
          <t>Kerala Public Works &amp; Technology Department</t>
        </is>
      </c>
      <c r="F1927" s="6" t="inlineStr">
        <is>
          <t>31 Jul 2026</t>
        </is>
      </c>
      <c r="G1927" s="5" t="inlineStr">
        <is>
          <t>30 Aug 2026</t>
        </is>
      </c>
      <c r="H1927" s="8" t="inlineStr">
        <is>
          <t>⏳ UPCOMING</t>
        </is>
      </c>
      <c r="I1927" s="4" t="inlineStr">
        <is>
          <t>BID.pdf</t>
        </is>
      </c>
      <c r="J1927" s="6" t="inlineStr">
        <is>
          <t>📕 PDF Document</t>
        </is>
      </c>
      <c r="K1927" s="9" t="n">
        <v>17.8</v>
      </c>
      <c r="L1927" s="10">
        <f>HYPERLINK("http://127.0.0.1:8000/api/documents/download?id=1843&amp;attachment=true", "⬇ Download BID.pdf")</f>
        <v/>
      </c>
      <c r="M1927" s="10">
        <f>HYPERLINK("http://localhost:5173/?state=Kerala&amp;keyword=ICT&amp;tender=2026_PWD_870720_2", "🚀 Open in Portal")</f>
        <v/>
      </c>
    </row>
    <row r="1928" ht="24" customHeight="1">
      <c r="A1928" s="11" t="inlineStr">
        <is>
          <t>Kerala</t>
        </is>
      </c>
      <c r="B1928" s="12" t="inlineStr">
        <is>
          <t>ICT</t>
        </is>
      </c>
      <c r="C1928" s="13" t="inlineStr">
        <is>
          <t>2026_PWD_870720_2</t>
        </is>
      </c>
      <c r="D1928" s="14" t="inlineStr">
        <is>
          <t>[GENERAL-Running contract work for Topographical survey of various building under Kollam,Alappuzha and Pathanamthitta District.-Running contract work for Topographical survey of various building under Kollam,Alappuzha and Pathanamthitta District]</t>
        </is>
      </c>
      <c r="E1928" s="14" t="inlineStr">
        <is>
          <t>Kerala Public Works &amp; Technology Department</t>
        </is>
      </c>
      <c r="F1928" s="13" t="inlineStr">
        <is>
          <t>31 Jul 2026</t>
        </is>
      </c>
      <c r="G1928" s="12" t="inlineStr">
        <is>
          <t>30 Aug 2026</t>
        </is>
      </c>
      <c r="H1928" s="8" t="inlineStr">
        <is>
          <t>⏳ UPCOMING</t>
        </is>
      </c>
      <c r="I1928" s="11" t="inlineStr">
        <is>
          <t>NIT.pdf</t>
        </is>
      </c>
      <c r="J1928" s="13" t="inlineStr">
        <is>
          <t>📕 PDF Document</t>
        </is>
      </c>
      <c r="K1928" s="15" t="n">
        <v>17.8</v>
      </c>
      <c r="L1928" s="16">
        <f>HYPERLINK("http://127.0.0.1:8000/api/documents/download?id=1844&amp;attachment=true", "⬇ Download NIT.pdf")</f>
        <v/>
      </c>
      <c r="M1928" s="16">
        <f>HYPERLINK("http://localhost:5173/?state=Kerala&amp;keyword=ICT&amp;tender=2026_PWD_870720_2", "🚀 Open in Portal")</f>
        <v/>
      </c>
    </row>
    <row r="1929" ht="24" customHeight="1">
      <c r="A1929" s="4" t="inlineStr">
        <is>
          <t>Kerala</t>
        </is>
      </c>
      <c r="B1929" s="5" t="inlineStr">
        <is>
          <t>ICT</t>
        </is>
      </c>
      <c r="C1929" s="6" t="inlineStr">
        <is>
          <t>2026_PWD_870720_2</t>
        </is>
      </c>
      <c r="D1929" s="7" t="inlineStr">
        <is>
          <t>[GENERAL-Running contract work for Topographical survey of various building under Kollam,Alappuzha and Pathanamthitta District.-Running contract work for Topographical survey of various building under Kollam,Alappuzha and Pathanamthitta District]</t>
        </is>
      </c>
      <c r="E1929" s="7" t="inlineStr">
        <is>
          <t>Kerala Public Works &amp; Technology Department</t>
        </is>
      </c>
      <c r="F1929" s="6" t="inlineStr">
        <is>
          <t>31 Jul 2026</t>
        </is>
      </c>
      <c r="G1929" s="5" t="inlineStr">
        <is>
          <t>30 Aug 2026</t>
        </is>
      </c>
      <c r="H1929" s="8" t="inlineStr">
        <is>
          <t>⏳ UPCOMING</t>
        </is>
      </c>
      <c r="I1929" s="4" t="inlineStr">
        <is>
          <t>Tender_2026_PWD_870720_2_All_Documents.zip</t>
        </is>
      </c>
      <c r="J1929" s="6" t="inlineStr">
        <is>
          <t>📦 ZIP Package</t>
        </is>
      </c>
      <c r="K1929" s="9" t="n">
        <v>29.8</v>
      </c>
      <c r="L1929" s="10">
        <f>HYPERLINK("http://127.0.0.1:8000/api/documents/download?id=1845&amp;attachment=true", "⬇ Download Tender_2026_PWD_870720_2")</f>
        <v/>
      </c>
      <c r="M1929" s="10">
        <f>HYPERLINK("http://localhost:5173/?state=Kerala&amp;keyword=ICT&amp;tender=2026_PWD_870720_2", "🚀 Open in Portal")</f>
        <v/>
      </c>
    </row>
    <row r="1930" ht="24" customHeight="1">
      <c r="A1930" s="11" t="inlineStr">
        <is>
          <t>Kerala</t>
        </is>
      </c>
      <c r="B1930" s="12" t="inlineStr">
        <is>
          <t>ICT</t>
        </is>
      </c>
      <c r="C1930" s="13" t="inlineStr">
        <is>
          <t>2026_PWD_872386_2</t>
        </is>
      </c>
      <c r="D1930" s="14" t="inlineStr">
        <is>
          <t>[GENERAL-Routine Maintenance 2026-27- RC-1 Cluster 1 One year running contract for various PWD roads under Roads section MANNAR ZONE 1 in Alappuzha district 3 road stretches for a total length of 1.926 kmWork-General Civil Work]</t>
        </is>
      </c>
      <c r="E1930" s="14" t="inlineStr">
        <is>
          <t>Kerala Public Works &amp; Technology Department</t>
        </is>
      </c>
      <c r="F1930" s="13" t="inlineStr">
        <is>
          <t>26 Jul 2026</t>
        </is>
      </c>
      <c r="G1930" s="12" t="inlineStr">
        <is>
          <t>23 Aug 2026</t>
        </is>
      </c>
      <c r="H1930" s="8" t="inlineStr">
        <is>
          <t>⏳ UPCOMING</t>
        </is>
      </c>
      <c r="I1930" s="11" t="inlineStr">
        <is>
          <t>Tendernotice_1.pdf</t>
        </is>
      </c>
      <c r="J1930" s="13" t="inlineStr">
        <is>
          <t>📕 PDF Document</t>
        </is>
      </c>
      <c r="K1930" s="15" t="n">
        <v>17.8</v>
      </c>
      <c r="L1930" s="16">
        <f>HYPERLINK("http://127.0.0.1:8000/api/documents/download?id=1785&amp;attachment=true", "⬇ Download Tendernotice_1.pdf")</f>
        <v/>
      </c>
      <c r="M1930" s="16">
        <f>HYPERLINK("http://localhost:5173/?state=Kerala&amp;keyword=ICT&amp;tender=2026_PWD_872386_2", "🚀 Open in Portal")</f>
        <v/>
      </c>
    </row>
    <row r="1931" ht="24" customHeight="1">
      <c r="A1931" s="4" t="inlineStr">
        <is>
          <t>Kerala</t>
        </is>
      </c>
      <c r="B1931" s="5" t="inlineStr">
        <is>
          <t>ICT</t>
        </is>
      </c>
      <c r="C1931" s="6" t="inlineStr">
        <is>
          <t>2026_PWD_872386_2</t>
        </is>
      </c>
      <c r="D1931" s="7" t="inlineStr">
        <is>
          <t>[GENERAL-Routine Maintenance 2026-27- RC-1 Cluster 1 One year running contract for various PWD roads under Roads section MANNAR ZONE 1 in Alappuzha district 3 road stretches for a total length of 1.926 kmWork-General Civil Work]</t>
        </is>
      </c>
      <c r="E1931" s="7" t="inlineStr">
        <is>
          <t>Kerala Public Works &amp; Technology Department</t>
        </is>
      </c>
      <c r="F1931" s="6" t="inlineStr">
        <is>
          <t>26 Jul 2026</t>
        </is>
      </c>
      <c r="G1931" s="5" t="inlineStr">
        <is>
          <t>23 Aug 2026</t>
        </is>
      </c>
      <c r="H1931" s="8" t="inlineStr">
        <is>
          <t>⏳ UPCOMING</t>
        </is>
      </c>
      <c r="I1931" s="4" t="inlineStr">
        <is>
          <t>priliminary.pdf</t>
        </is>
      </c>
      <c r="J1931" s="6" t="inlineStr">
        <is>
          <t>📕 PDF Document</t>
        </is>
      </c>
      <c r="K1931" s="9" t="n">
        <v>17.8</v>
      </c>
      <c r="L1931" s="10">
        <f>HYPERLINK("http://127.0.0.1:8000/api/documents/download?id=1786&amp;attachment=true", "⬇ Download priliminary.pdf")</f>
        <v/>
      </c>
      <c r="M1931" s="10">
        <f>HYPERLINK("http://localhost:5173/?state=Kerala&amp;keyword=ICT&amp;tender=2026_PWD_872386_2", "🚀 Open in Portal")</f>
        <v/>
      </c>
    </row>
    <row r="1932" ht="24" customHeight="1">
      <c r="A1932" s="11" t="inlineStr">
        <is>
          <t>Kerala</t>
        </is>
      </c>
      <c r="B1932" s="12" t="inlineStr">
        <is>
          <t>ICT</t>
        </is>
      </c>
      <c r="C1932" s="13" t="inlineStr">
        <is>
          <t>2026_PWD_872386_2</t>
        </is>
      </c>
      <c r="D1932" s="14" t="inlineStr">
        <is>
          <t>[GENERAL-Routine Maintenance 2026-27- RC-1 Cluster 1 One year running contract for various PWD roads under Roads section MANNAR ZONE 1 in Alappuzha district 3 road stretches for a total length of 1.926 kmWork-General Civil Work]</t>
        </is>
      </c>
      <c r="E1932" s="14" t="inlineStr">
        <is>
          <t>Kerala Public Works &amp; Technology Department</t>
        </is>
      </c>
      <c r="F1932" s="13" t="inlineStr">
        <is>
          <t>26 Jul 2026</t>
        </is>
      </c>
      <c r="G1932" s="12" t="inlineStr">
        <is>
          <t>23 Aug 2026</t>
        </is>
      </c>
      <c r="H1932" s="8" t="inlineStr">
        <is>
          <t>⏳ UPCOMING</t>
        </is>
      </c>
      <c r="I1932" s="11" t="inlineStr">
        <is>
          <t>viewsbd.pdf</t>
        </is>
      </c>
      <c r="J1932" s="13" t="inlineStr">
        <is>
          <t>📕 PDF Document</t>
        </is>
      </c>
      <c r="K1932" s="15" t="n">
        <v>17.8</v>
      </c>
      <c r="L1932" s="16">
        <f>HYPERLINK("http://127.0.0.1:8000/api/documents/download?id=1787&amp;attachment=true", "⬇ Download viewsbd.pdf")</f>
        <v/>
      </c>
      <c r="M1932" s="16">
        <f>HYPERLINK("http://localhost:5173/?state=Kerala&amp;keyword=ICT&amp;tender=2026_PWD_872386_2", "🚀 Open in Portal")</f>
        <v/>
      </c>
    </row>
    <row r="1933" ht="24" customHeight="1">
      <c r="A1933" s="4" t="inlineStr">
        <is>
          <t>Kerala</t>
        </is>
      </c>
      <c r="B1933" s="5" t="inlineStr">
        <is>
          <t>ICT</t>
        </is>
      </c>
      <c r="C1933" s="6" t="inlineStr">
        <is>
          <t>2026_PWD_872386_2</t>
        </is>
      </c>
      <c r="D1933" s="7" t="inlineStr">
        <is>
          <t>[GENERAL-Routine Maintenance 2026-27- RC-1 Cluster 1 One year running contract for various PWD roads under Roads section MANNAR ZONE 1 in Alappuzha district 3 road stretches for a total length of 1.926 kmWork-General Civil Work]</t>
        </is>
      </c>
      <c r="E1933" s="7" t="inlineStr">
        <is>
          <t>Kerala Public Works &amp; Technology Department</t>
        </is>
      </c>
      <c r="F1933" s="6" t="inlineStr">
        <is>
          <t>26 Jul 2026</t>
        </is>
      </c>
      <c r="G1933" s="5" t="inlineStr">
        <is>
          <t>23 Aug 2026</t>
        </is>
      </c>
      <c r="H1933" s="8" t="inlineStr">
        <is>
          <t>⏳ UPCOMING</t>
        </is>
      </c>
      <c r="I1933" s="4" t="inlineStr">
        <is>
          <t>viewnit.pdf</t>
        </is>
      </c>
      <c r="J1933" s="6" t="inlineStr">
        <is>
          <t>📕 PDF Document</t>
        </is>
      </c>
      <c r="K1933" s="9" t="n">
        <v>17.8</v>
      </c>
      <c r="L1933" s="10">
        <f>HYPERLINK("http://127.0.0.1:8000/api/documents/download?id=1788&amp;attachment=true", "⬇ Download viewnit.pdf")</f>
        <v/>
      </c>
      <c r="M1933" s="10">
        <f>HYPERLINK("http://localhost:5173/?state=Kerala&amp;keyword=ICT&amp;tender=2026_PWD_872386_2", "🚀 Open in Portal")</f>
        <v/>
      </c>
    </row>
    <row r="1934" ht="24" customHeight="1">
      <c r="A1934" s="11" t="inlineStr">
        <is>
          <t>Kerala</t>
        </is>
      </c>
      <c r="B1934" s="12" t="inlineStr">
        <is>
          <t>ICT</t>
        </is>
      </c>
      <c r="C1934" s="13" t="inlineStr">
        <is>
          <t>2026_PWD_872386_2</t>
        </is>
      </c>
      <c r="D1934" s="14" t="inlineStr">
        <is>
          <t>[GENERAL-Routine Maintenance 2026-27- RC-1 Cluster 1 One year running contract for various PWD roads under Roads section MANNAR ZONE 1 in Alappuzha district 3 road stretches for a total length of 1.926 kmWork-General Civil Work]</t>
        </is>
      </c>
      <c r="E1934" s="14" t="inlineStr">
        <is>
          <t>Kerala Public Works &amp; Technology Department</t>
        </is>
      </c>
      <c r="F1934" s="13" t="inlineStr">
        <is>
          <t>26 Jul 2026</t>
        </is>
      </c>
      <c r="G1934" s="12" t="inlineStr">
        <is>
          <t>23 Aug 2026</t>
        </is>
      </c>
      <c r="H1934" s="8" t="inlineStr">
        <is>
          <t>⏳ UPCOMING</t>
        </is>
      </c>
      <c r="I1934" s="11" t="inlineStr">
        <is>
          <t>BOQ_1494293.xls</t>
        </is>
      </c>
      <c r="J1934" s="13" t="inlineStr">
        <is>
          <t>📊 Excel BOQ</t>
        </is>
      </c>
      <c r="K1934" s="15" t="n">
        <v>2.5</v>
      </c>
      <c r="L1934" s="16">
        <f>HYPERLINK("http://127.0.0.1:8000/api/documents/download?id=1789&amp;attachment=true", "⬇ Download BOQ_1494293.xls")</f>
        <v/>
      </c>
      <c r="M1934" s="16">
        <f>HYPERLINK("http://localhost:5173/?state=Kerala&amp;keyword=ICT&amp;tender=2026_PWD_872386_2", "🚀 Open in Portal")</f>
        <v/>
      </c>
    </row>
    <row r="1935" ht="24" customHeight="1">
      <c r="A1935" s="4" t="inlineStr">
        <is>
          <t>Kerala</t>
        </is>
      </c>
      <c r="B1935" s="5" t="inlineStr">
        <is>
          <t>ICT</t>
        </is>
      </c>
      <c r="C1935" s="6" t="inlineStr">
        <is>
          <t>2026_PWD_872386_2</t>
        </is>
      </c>
      <c r="D1935" s="7" t="inlineStr">
        <is>
          <t>[GENERAL-Routine Maintenance 2026-27- RC-1 Cluster 1 One year running contract for various PWD roads under Roads section MANNAR ZONE 1 in Alappuzha district 3 road stretches for a total length of 1.926 kmWork-General Civil Work]</t>
        </is>
      </c>
      <c r="E1935" s="7" t="inlineStr">
        <is>
          <t>Kerala Public Works &amp; Technology Department</t>
        </is>
      </c>
      <c r="F1935" s="6" t="inlineStr">
        <is>
          <t>26 Jul 2026</t>
        </is>
      </c>
      <c r="G1935" s="5" t="inlineStr">
        <is>
          <t>23 Aug 2026</t>
        </is>
      </c>
      <c r="H1935" s="8" t="inlineStr">
        <is>
          <t>⏳ UPCOMING</t>
        </is>
      </c>
      <c r="I1935" s="4" t="inlineStr">
        <is>
          <t>affidavit.pdf</t>
        </is>
      </c>
      <c r="J1935" s="6" t="inlineStr">
        <is>
          <t>📕 PDF Document</t>
        </is>
      </c>
      <c r="K1935" s="9" t="n">
        <v>17.8</v>
      </c>
      <c r="L1935" s="10">
        <f>HYPERLINK("http://127.0.0.1:8000/api/documents/download?id=1790&amp;attachment=true", "⬇ Download affidavit.pdf")</f>
        <v/>
      </c>
      <c r="M1935" s="10">
        <f>HYPERLINK("http://localhost:5173/?state=Kerala&amp;keyword=ICT&amp;tender=2026_PWD_872386_2", "🚀 Open in Portal")</f>
        <v/>
      </c>
    </row>
    <row r="1936" ht="24" customHeight="1">
      <c r="A1936" s="11" t="inlineStr">
        <is>
          <t>Kerala</t>
        </is>
      </c>
      <c r="B1936" s="12" t="inlineStr">
        <is>
          <t>ICT</t>
        </is>
      </c>
      <c r="C1936" s="13" t="inlineStr">
        <is>
          <t>2026_PWD_872386_2</t>
        </is>
      </c>
      <c r="D1936" s="14" t="inlineStr">
        <is>
          <t>[GENERAL-Routine Maintenance 2026-27- RC-1 Cluster 1 One year running contract for various PWD roads under Roads section MANNAR ZONE 1 in Alappuzha district 3 road stretches for a total length of 1.926 kmWork-General Civil Work]</t>
        </is>
      </c>
      <c r="E1936" s="14" t="inlineStr">
        <is>
          <t>Kerala Public Works &amp; Technology Department</t>
        </is>
      </c>
      <c r="F1936" s="13" t="inlineStr">
        <is>
          <t>26 Jul 2026</t>
        </is>
      </c>
      <c r="G1936" s="12" t="inlineStr">
        <is>
          <t>23 Aug 2026</t>
        </is>
      </c>
      <c r="H1936" s="8" t="inlineStr">
        <is>
          <t>⏳ UPCOMING</t>
        </is>
      </c>
      <c r="I1936" s="11" t="inlineStr">
        <is>
          <t>epayment.pdf</t>
        </is>
      </c>
      <c r="J1936" s="13" t="inlineStr">
        <is>
          <t>📕 PDF Document</t>
        </is>
      </c>
      <c r="K1936" s="15" t="n">
        <v>17.8</v>
      </c>
      <c r="L1936" s="16">
        <f>HYPERLINK("http://127.0.0.1:8000/api/documents/download?id=1791&amp;attachment=true", "⬇ Download epayment.pdf")</f>
        <v/>
      </c>
      <c r="M1936" s="16">
        <f>HYPERLINK("http://localhost:5173/?state=Kerala&amp;keyword=ICT&amp;tender=2026_PWD_872386_2", "🚀 Open in Portal")</f>
        <v/>
      </c>
    </row>
    <row r="1937" ht="24" customHeight="1">
      <c r="A1937" s="4" t="inlineStr">
        <is>
          <t>Kerala</t>
        </is>
      </c>
      <c r="B1937" s="5" t="inlineStr">
        <is>
          <t>ICT</t>
        </is>
      </c>
      <c r="C1937" s="6" t="inlineStr">
        <is>
          <t>2026_PWD_872386_2</t>
        </is>
      </c>
      <c r="D1937" s="7" t="inlineStr">
        <is>
          <t>[GENERAL-Routine Maintenance 2026-27- RC-1 Cluster 1 One year running contract for various PWD roads under Roads section MANNAR ZONE 1 in Alappuzha district 3 road stretches for a total length of 1.926 kmWork-General Civil Work]</t>
        </is>
      </c>
      <c r="E1937" s="7" t="inlineStr">
        <is>
          <t>Kerala Public Works &amp; Technology Department</t>
        </is>
      </c>
      <c r="F1937" s="6" t="inlineStr">
        <is>
          <t>26 Jul 2026</t>
        </is>
      </c>
      <c r="G1937" s="5" t="inlineStr">
        <is>
          <t>23 Aug 2026</t>
        </is>
      </c>
      <c r="H1937" s="8" t="inlineStr">
        <is>
          <t>⏳ UPCOMING</t>
        </is>
      </c>
      <c r="I1937" s="4" t="inlineStr">
        <is>
          <t>integrity.pdf</t>
        </is>
      </c>
      <c r="J1937" s="6" t="inlineStr">
        <is>
          <t>📕 PDF Document</t>
        </is>
      </c>
      <c r="K1937" s="9" t="n">
        <v>17.8</v>
      </c>
      <c r="L1937" s="10">
        <f>HYPERLINK("http://127.0.0.1:8000/api/documents/download?id=1792&amp;attachment=true", "⬇ Download integrity.pdf")</f>
        <v/>
      </c>
      <c r="M1937" s="10">
        <f>HYPERLINK("http://localhost:5173/?state=Kerala&amp;keyword=ICT&amp;tender=2026_PWD_872386_2", "🚀 Open in Portal")</f>
        <v/>
      </c>
    </row>
    <row r="1938" ht="24" customHeight="1">
      <c r="A1938" s="11" t="inlineStr">
        <is>
          <t>Kerala</t>
        </is>
      </c>
      <c r="B1938" s="12" t="inlineStr">
        <is>
          <t>ICT</t>
        </is>
      </c>
      <c r="C1938" s="13" t="inlineStr">
        <is>
          <t>2026_PWD_872386_2</t>
        </is>
      </c>
      <c r="D1938" s="14" t="inlineStr">
        <is>
          <t>[GENERAL-Routine Maintenance 2026-27- RC-1 Cluster 1 One year running contract for various PWD roads under Roads section MANNAR ZONE 1 in Alappuzha district 3 road stretches for a total length of 1.926 kmWork-General Civil Work]</t>
        </is>
      </c>
      <c r="E1938" s="14" t="inlineStr">
        <is>
          <t>Kerala Public Works &amp; Technology Department</t>
        </is>
      </c>
      <c r="F1938" s="13" t="inlineStr">
        <is>
          <t>26 Jul 2026</t>
        </is>
      </c>
      <c r="G1938" s="12" t="inlineStr">
        <is>
          <t>23 Aug 2026</t>
        </is>
      </c>
      <c r="H1938" s="8" t="inlineStr">
        <is>
          <t>⏳ UPCOMING</t>
        </is>
      </c>
      <c r="I1938" s="11" t="inlineStr">
        <is>
          <t>letter.pdf</t>
        </is>
      </c>
      <c r="J1938" s="13" t="inlineStr">
        <is>
          <t>📕 PDF Document</t>
        </is>
      </c>
      <c r="K1938" s="15" t="n">
        <v>17.8</v>
      </c>
      <c r="L1938" s="16">
        <f>HYPERLINK("http://127.0.0.1:8000/api/documents/download?id=1793&amp;attachment=true", "⬇ Download letter.pdf")</f>
        <v/>
      </c>
      <c r="M1938" s="16">
        <f>HYPERLINK("http://localhost:5173/?state=Kerala&amp;keyword=ICT&amp;tender=2026_PWD_872386_2", "🚀 Open in Portal")</f>
        <v/>
      </c>
    </row>
    <row r="1939" ht="24" customHeight="1">
      <c r="A1939" s="4" t="inlineStr">
        <is>
          <t>Kerala</t>
        </is>
      </c>
      <c r="B1939" s="5" t="inlineStr">
        <is>
          <t>ICT</t>
        </is>
      </c>
      <c r="C1939" s="6" t="inlineStr">
        <is>
          <t>2026_PWD_872386_2</t>
        </is>
      </c>
      <c r="D1939" s="7" t="inlineStr">
        <is>
          <t>[GENERAL-Routine Maintenance 2026-27- RC-1 Cluster 1 One year running contract for various PWD roads under Roads section MANNAR ZONE 1 in Alappuzha district 3 road stretches for a total length of 1.926 kmWork-General Civil Work]</t>
        </is>
      </c>
      <c r="E1939" s="7" t="inlineStr">
        <is>
          <t>Kerala Public Works &amp; Technology Department</t>
        </is>
      </c>
      <c r="F1939" s="6" t="inlineStr">
        <is>
          <t>26 Jul 2026</t>
        </is>
      </c>
      <c r="G1939" s="5" t="inlineStr">
        <is>
          <t>23 Aug 2026</t>
        </is>
      </c>
      <c r="H1939" s="8" t="inlineStr">
        <is>
          <t>⏳ UPCOMING</t>
        </is>
      </c>
      <c r="I1939" s="4" t="inlineStr">
        <is>
          <t>performance.pdf</t>
        </is>
      </c>
      <c r="J1939" s="6" t="inlineStr">
        <is>
          <t>📕 PDF Document</t>
        </is>
      </c>
      <c r="K1939" s="9" t="n">
        <v>17.8</v>
      </c>
      <c r="L1939" s="10">
        <f>HYPERLINK("http://127.0.0.1:8000/api/documents/download?id=1794&amp;attachment=true", "⬇ Download performance.pdf")</f>
        <v/>
      </c>
      <c r="M1939" s="10">
        <f>HYPERLINK("http://localhost:5173/?state=Kerala&amp;keyword=ICT&amp;tender=2026_PWD_872386_2", "🚀 Open in Portal")</f>
        <v/>
      </c>
    </row>
    <row r="1940" ht="24" customHeight="1">
      <c r="A1940" s="11" t="inlineStr">
        <is>
          <t>Kerala</t>
        </is>
      </c>
      <c r="B1940" s="12" t="inlineStr">
        <is>
          <t>ICT</t>
        </is>
      </c>
      <c r="C1940" s="13" t="inlineStr">
        <is>
          <t>2026_PWD_872386_2</t>
        </is>
      </c>
      <c r="D1940" s="14" t="inlineStr">
        <is>
          <t>[GENERAL-Routine Maintenance 2026-27- RC-1 Cluster 1 One year running contract for various PWD roads under Roads section MANNAR ZONE 1 in Alappuzha district 3 road stretches for a total length of 1.926 kmWork-General Civil Work]</t>
        </is>
      </c>
      <c r="E1940" s="14" t="inlineStr">
        <is>
          <t>Kerala Public Works &amp; Technology Department</t>
        </is>
      </c>
      <c r="F1940" s="13" t="inlineStr">
        <is>
          <t>26 Jul 2026</t>
        </is>
      </c>
      <c r="G1940" s="12" t="inlineStr">
        <is>
          <t>23 Aug 2026</t>
        </is>
      </c>
      <c r="H1940" s="8" t="inlineStr">
        <is>
          <t>⏳ UPCOMING</t>
        </is>
      </c>
      <c r="I1940" s="11" t="inlineStr">
        <is>
          <t>Tender_2026_PWD_872386_2_All_Documents.zip</t>
        </is>
      </c>
      <c r="J1940" s="13" t="inlineStr">
        <is>
          <t>📦 ZIP Package</t>
        </is>
      </c>
      <c r="K1940" s="15" t="n">
        <v>85.5</v>
      </c>
      <c r="L1940" s="16">
        <f>HYPERLINK("http://127.0.0.1:8000/api/documents/download?id=1795&amp;attachment=true", "⬇ Download Tender_2026_PWD_872386_2")</f>
        <v/>
      </c>
      <c r="M1940" s="16">
        <f>HYPERLINK("http://localhost:5173/?state=Kerala&amp;keyword=ICT&amp;tender=2026_PWD_872386_2", "🚀 Open in Portal")</f>
        <v/>
      </c>
    </row>
    <row r="1941" ht="24" customHeight="1">
      <c r="A1941" s="4" t="inlineStr">
        <is>
          <t>Kerala</t>
        </is>
      </c>
      <c r="B1941" s="5" t="inlineStr">
        <is>
          <t>ICT</t>
        </is>
      </c>
      <c r="C1941" s="6" t="inlineStr">
        <is>
          <t>2026_PWD_878571_1</t>
        </is>
      </c>
      <c r="D1941" s="7" t="inlineStr">
        <is>
          <t>[GENERAL-Kerala Budget 2025-26(Budget 2025-26) Construction of new Building for Homeo Dispensary at Kalluppara- Kerala(Budget 2025-26) Construction of new Building for Homeo Dispensary at Kalluppara Pathanamthitta District-Investigation Work]</t>
        </is>
      </c>
      <c r="E1941" s="7" t="inlineStr">
        <is>
          <t>Kerala Public Works &amp; Technology Department</t>
        </is>
      </c>
      <c r="F1941" s="6" t="inlineStr">
        <is>
          <t>16 Aug 2026</t>
        </is>
      </c>
      <c r="G1941" s="5" t="inlineStr">
        <is>
          <t>08 Sep 2026</t>
        </is>
      </c>
      <c r="H1941" s="8" t="inlineStr">
        <is>
          <t>⏳ UPCOMING</t>
        </is>
      </c>
      <c r="I1941" s="4" t="inlineStr">
        <is>
          <t>Tendernotice_1.pdf</t>
        </is>
      </c>
      <c r="J1941" s="6" t="inlineStr">
        <is>
          <t>📕 PDF Document</t>
        </is>
      </c>
      <c r="K1941" s="9" t="n">
        <v>17.8</v>
      </c>
      <c r="L1941" s="10">
        <f>HYPERLINK("http://127.0.0.1:8000/api/documents/download?id=1846&amp;attachment=true", "⬇ Download Tendernotice_1.pdf")</f>
        <v/>
      </c>
      <c r="M1941" s="10">
        <f>HYPERLINK("http://localhost:5173/?state=Kerala&amp;keyword=ICT&amp;tender=2026_PWD_878571_1", "🚀 Open in Portal")</f>
        <v/>
      </c>
    </row>
    <row r="1942" ht="24" customHeight="1">
      <c r="A1942" s="11" t="inlineStr">
        <is>
          <t>Kerala</t>
        </is>
      </c>
      <c r="B1942" s="12" t="inlineStr">
        <is>
          <t>ICT</t>
        </is>
      </c>
      <c r="C1942" s="13" t="inlineStr">
        <is>
          <t>2026_PWD_878571_1</t>
        </is>
      </c>
      <c r="D1942" s="14" t="inlineStr">
        <is>
          <t>[GENERAL-Kerala Budget 2025-26(Budget 2025-26) Construction of new Building for Homeo Dispensary at Kalluppara- Kerala(Budget 2025-26) Construction of new Building for Homeo Dispensary at Kalluppara Pathanamthitta District-Investigation Work]</t>
        </is>
      </c>
      <c r="E1942" s="14" t="inlineStr">
        <is>
          <t>Kerala Public Works &amp; Technology Department</t>
        </is>
      </c>
      <c r="F1942" s="13" t="inlineStr">
        <is>
          <t>16 Aug 2026</t>
        </is>
      </c>
      <c r="G1942" s="12" t="inlineStr">
        <is>
          <t>08 Sep 2026</t>
        </is>
      </c>
      <c r="H1942" s="8" t="inlineStr">
        <is>
          <t>⏳ UPCOMING</t>
        </is>
      </c>
      <c r="I1942" s="11" t="inlineStr">
        <is>
          <t>BOQ_1493287.xls</t>
        </is>
      </c>
      <c r="J1942" s="13" t="inlineStr">
        <is>
          <t>📊 Excel BOQ</t>
        </is>
      </c>
      <c r="K1942" s="15" t="n">
        <v>2.5</v>
      </c>
      <c r="L1942" s="16">
        <f>HYPERLINK("http://127.0.0.1:8000/api/documents/download?id=1847&amp;attachment=true", "⬇ Download BOQ_1493287.xls")</f>
        <v/>
      </c>
      <c r="M1942" s="16">
        <f>HYPERLINK("http://localhost:5173/?state=Kerala&amp;keyword=ICT&amp;tender=2026_PWD_878571_1", "🚀 Open in Portal")</f>
        <v/>
      </c>
    </row>
    <row r="1943" ht="24" customHeight="1">
      <c r="A1943" s="4" t="inlineStr">
        <is>
          <t>Kerala</t>
        </is>
      </c>
      <c r="B1943" s="5" t="inlineStr">
        <is>
          <t>ICT</t>
        </is>
      </c>
      <c r="C1943" s="6" t="inlineStr">
        <is>
          <t>2026_PWD_878571_1</t>
        </is>
      </c>
      <c r="D1943" s="7" t="inlineStr">
        <is>
          <t>[GENERAL-Kerala Budget 2025-26(Budget 2025-26) Construction of new Building for Homeo Dispensary at Kalluppara- Kerala(Budget 2025-26) Construction of new Building for Homeo Dispensary at Kalluppara Pathanamthitta District-Investigation Work]</t>
        </is>
      </c>
      <c r="E1943" s="7" t="inlineStr">
        <is>
          <t>Kerala Public Works &amp; Technology Department</t>
        </is>
      </c>
      <c r="F1943" s="6" t="inlineStr">
        <is>
          <t>16 Aug 2026</t>
        </is>
      </c>
      <c r="G1943" s="5" t="inlineStr">
        <is>
          <t>08 Sep 2026</t>
        </is>
      </c>
      <c r="H1943" s="8" t="inlineStr">
        <is>
          <t>⏳ UPCOMING</t>
        </is>
      </c>
      <c r="I1943" s="4" t="inlineStr">
        <is>
          <t>BID.pdf</t>
        </is>
      </c>
      <c r="J1943" s="6" t="inlineStr">
        <is>
          <t>📕 PDF Document</t>
        </is>
      </c>
      <c r="K1943" s="9" t="n">
        <v>17.8</v>
      </c>
      <c r="L1943" s="10">
        <f>HYPERLINK("http://127.0.0.1:8000/api/documents/download?id=1848&amp;attachment=true", "⬇ Download BID.pdf")</f>
        <v/>
      </c>
      <c r="M1943" s="10">
        <f>HYPERLINK("http://localhost:5173/?state=Kerala&amp;keyword=ICT&amp;tender=2026_PWD_878571_1", "🚀 Open in Portal")</f>
        <v/>
      </c>
    </row>
    <row r="1944" ht="24" customHeight="1">
      <c r="A1944" s="11" t="inlineStr">
        <is>
          <t>Kerala</t>
        </is>
      </c>
      <c r="B1944" s="12" t="inlineStr">
        <is>
          <t>ICT</t>
        </is>
      </c>
      <c r="C1944" s="13" t="inlineStr">
        <is>
          <t>2026_PWD_878571_1</t>
        </is>
      </c>
      <c r="D1944" s="14" t="inlineStr">
        <is>
          <t>[GENERAL-Kerala Budget 2025-26(Budget 2025-26) Construction of new Building for Homeo Dispensary at Kalluppara- Kerala(Budget 2025-26) Construction of new Building for Homeo Dispensary at Kalluppara Pathanamthitta District-Investigation Work]</t>
        </is>
      </c>
      <c r="E1944" s="14" t="inlineStr">
        <is>
          <t>Kerala Public Works &amp; Technology Department</t>
        </is>
      </c>
      <c r="F1944" s="13" t="inlineStr">
        <is>
          <t>16 Aug 2026</t>
        </is>
      </c>
      <c r="G1944" s="12" t="inlineStr">
        <is>
          <t>08 Sep 2026</t>
        </is>
      </c>
      <c r="H1944" s="8" t="inlineStr">
        <is>
          <t>⏳ UPCOMING</t>
        </is>
      </c>
      <c r="I1944" s="11" t="inlineStr">
        <is>
          <t>Tender_2026_PWD_878571_1_All_Documents.zip</t>
        </is>
      </c>
      <c r="J1944" s="13" t="inlineStr">
        <is>
          <t>📦 ZIP Package</t>
        </is>
      </c>
      <c r="K1944" s="15" t="n">
        <v>20.7</v>
      </c>
      <c r="L1944" s="16">
        <f>HYPERLINK("http://127.0.0.1:8000/api/documents/download?id=1849&amp;attachment=true", "⬇ Download Tender_2026_PWD_878571_1")</f>
        <v/>
      </c>
      <c r="M1944" s="16">
        <f>HYPERLINK("http://localhost:5173/?state=Kerala&amp;keyword=ICT&amp;tender=2026_PWD_878571_1", "🚀 Open in Portal")</f>
        <v/>
      </c>
    </row>
    <row r="1945" ht="24" customHeight="1">
      <c r="A1945" s="4" t="inlineStr">
        <is>
          <t>Kerala</t>
        </is>
      </c>
      <c r="B1945" s="5" t="inlineStr">
        <is>
          <t>ICT</t>
        </is>
      </c>
      <c r="C1945" s="6" t="inlineStr">
        <is>
          <t>2026_PWD_878614_1</t>
        </is>
      </c>
      <c r="D1945" s="7" t="inlineStr">
        <is>
          <t>[Zone IV One year Running Contract for various PWD Roads under Roads Section Perinthalmanna in Malappuram District 3 Nos of Road stretches for a length of 26.963 Km]</t>
        </is>
      </c>
      <c r="E1945" s="7" t="inlineStr">
        <is>
          <t>Kerala Public Works &amp; Technology Department</t>
        </is>
      </c>
      <c r="F1945" s="6" t="inlineStr">
        <is>
          <t>31 Aug 2026</t>
        </is>
      </c>
      <c r="G1945" s="5" t="inlineStr">
        <is>
          <t>28 Sep 2026</t>
        </is>
      </c>
      <c r="H1945" s="8" t="inlineStr">
        <is>
          <t>⏳ UPCOMING</t>
        </is>
      </c>
      <c r="I1945" s="4" t="inlineStr">
        <is>
          <t>Tendernotice_1.pdf</t>
        </is>
      </c>
      <c r="J1945" s="6" t="inlineStr">
        <is>
          <t>📕 PDF Document</t>
        </is>
      </c>
      <c r="K1945" s="9" t="n">
        <v>17.8</v>
      </c>
      <c r="L1945" s="10">
        <f>HYPERLINK("http://127.0.0.1:8000/api/documents/download?id=1896&amp;attachment=true", "⬇ Download Tendernotice_1.pdf")</f>
        <v/>
      </c>
      <c r="M1945" s="10">
        <f>HYPERLINK("http://localhost:5173/?state=Kerala&amp;keyword=ICT&amp;tender=2026_PWD_878614_1", "🚀 Open in Portal")</f>
        <v/>
      </c>
    </row>
    <row r="1946" ht="24" customHeight="1">
      <c r="A1946" s="11" t="inlineStr">
        <is>
          <t>Kerala</t>
        </is>
      </c>
      <c r="B1946" s="12" t="inlineStr">
        <is>
          <t>ICT</t>
        </is>
      </c>
      <c r="C1946" s="13" t="inlineStr">
        <is>
          <t>2026_PWD_878614_1</t>
        </is>
      </c>
      <c r="D1946" s="14" t="inlineStr">
        <is>
          <t>[Zone IV One year Running Contract for various PWD Roads under Roads Section Perinthalmanna in Malappuram District 3 Nos of Road stretches for a length of 26.963 Km]</t>
        </is>
      </c>
      <c r="E1946" s="14" t="inlineStr">
        <is>
          <t>Kerala Public Works &amp; Technology Department</t>
        </is>
      </c>
      <c r="F1946" s="13" t="inlineStr">
        <is>
          <t>31 Aug 2026</t>
        </is>
      </c>
      <c r="G1946" s="12" t="inlineStr">
        <is>
          <t>28 Sep 2026</t>
        </is>
      </c>
      <c r="H1946" s="8" t="inlineStr">
        <is>
          <t>⏳ UPCOMING</t>
        </is>
      </c>
      <c r="I1946" s="11" t="inlineStr">
        <is>
          <t>BOQ_1493338.xls</t>
        </is>
      </c>
      <c r="J1946" s="13" t="inlineStr">
        <is>
          <t>📊 Excel BOQ</t>
        </is>
      </c>
      <c r="K1946" s="15" t="n">
        <v>2.5</v>
      </c>
      <c r="L1946" s="16">
        <f>HYPERLINK("http://127.0.0.1:8000/api/documents/download?id=1897&amp;attachment=true", "⬇ Download BOQ_1493338.xls")</f>
        <v/>
      </c>
      <c r="M1946" s="16">
        <f>HYPERLINK("http://localhost:5173/?state=Kerala&amp;keyword=ICT&amp;tender=2026_PWD_878614_1", "🚀 Open in Portal")</f>
        <v/>
      </c>
    </row>
    <row r="1947" ht="24" customHeight="1">
      <c r="A1947" s="4" t="inlineStr">
        <is>
          <t>Kerala</t>
        </is>
      </c>
      <c r="B1947" s="5" t="inlineStr">
        <is>
          <t>ICT</t>
        </is>
      </c>
      <c r="C1947" s="6" t="inlineStr">
        <is>
          <t>2026_PWD_878614_1</t>
        </is>
      </c>
      <c r="D1947" s="7" t="inlineStr">
        <is>
          <t>[Zone IV One year Running Contract for various PWD Roads under Roads Section Perinthalmanna in Malappuram District 3 Nos of Road stretches for a length of 26.963 Km]</t>
        </is>
      </c>
      <c r="E1947" s="7" t="inlineStr">
        <is>
          <t>Kerala Public Works &amp; Technology Department</t>
        </is>
      </c>
      <c r="F1947" s="6" t="inlineStr">
        <is>
          <t>31 Aug 2026</t>
        </is>
      </c>
      <c r="G1947" s="5" t="inlineStr">
        <is>
          <t>28 Sep 2026</t>
        </is>
      </c>
      <c r="H1947" s="8" t="inlineStr">
        <is>
          <t>⏳ UPCOMING</t>
        </is>
      </c>
      <c r="I1947" s="4" t="inlineStr">
        <is>
          <t>viewsbd.pdf</t>
        </is>
      </c>
      <c r="J1947" s="6" t="inlineStr">
        <is>
          <t>📕 PDF Document</t>
        </is>
      </c>
      <c r="K1947" s="9" t="n">
        <v>17.8</v>
      </c>
      <c r="L1947" s="10">
        <f>HYPERLINK("http://127.0.0.1:8000/api/documents/download?id=1898&amp;attachment=true", "⬇ Download viewsbd.pdf")</f>
        <v/>
      </c>
      <c r="M1947" s="10">
        <f>HYPERLINK("http://localhost:5173/?state=Kerala&amp;keyword=ICT&amp;tender=2026_PWD_878614_1", "🚀 Open in Portal")</f>
        <v/>
      </c>
    </row>
    <row r="1948" ht="24" customHeight="1">
      <c r="A1948" s="11" t="inlineStr">
        <is>
          <t>Kerala</t>
        </is>
      </c>
      <c r="B1948" s="12" t="inlineStr">
        <is>
          <t>ICT</t>
        </is>
      </c>
      <c r="C1948" s="13" t="inlineStr">
        <is>
          <t>2026_PWD_878614_1</t>
        </is>
      </c>
      <c r="D1948" s="14" t="inlineStr">
        <is>
          <t>[Zone IV One year Running Contract for various PWD Roads under Roads Section Perinthalmanna in Malappuram District 3 Nos of Road stretches for a length of 26.963 Km]</t>
        </is>
      </c>
      <c r="E1948" s="14" t="inlineStr">
        <is>
          <t>Kerala Public Works &amp; Technology Department</t>
        </is>
      </c>
      <c r="F1948" s="13" t="inlineStr">
        <is>
          <t>31 Aug 2026</t>
        </is>
      </c>
      <c r="G1948" s="12" t="inlineStr">
        <is>
          <t>28 Sep 2026</t>
        </is>
      </c>
      <c r="H1948" s="8" t="inlineStr">
        <is>
          <t>⏳ UPCOMING</t>
        </is>
      </c>
      <c r="I1948" s="11" t="inlineStr">
        <is>
          <t>form_of_tender.pdf</t>
        </is>
      </c>
      <c r="J1948" s="13" t="inlineStr">
        <is>
          <t>📕 PDF Document</t>
        </is>
      </c>
      <c r="K1948" s="15" t="n">
        <v>17.8</v>
      </c>
      <c r="L1948" s="16">
        <f>HYPERLINK("http://127.0.0.1:8000/api/documents/download?id=1899&amp;attachment=true", "⬇ Download form_of_tender.pdf")</f>
        <v/>
      </c>
      <c r="M1948" s="16">
        <f>HYPERLINK("http://localhost:5173/?state=Kerala&amp;keyword=ICT&amp;tender=2026_PWD_878614_1", "🚀 Open in Portal")</f>
        <v/>
      </c>
    </row>
    <row r="1949" ht="24" customHeight="1">
      <c r="A1949" s="4" t="inlineStr">
        <is>
          <t>Kerala</t>
        </is>
      </c>
      <c r="B1949" s="5" t="inlineStr">
        <is>
          <t>ICT</t>
        </is>
      </c>
      <c r="C1949" s="6" t="inlineStr">
        <is>
          <t>2026_PWD_878614_1</t>
        </is>
      </c>
      <c r="D1949" s="7" t="inlineStr">
        <is>
          <t>[Zone IV One year Running Contract for various PWD Roads under Roads Section Perinthalmanna in Malappuram District 3 Nos of Road stretches for a length of 26.963 Km]</t>
        </is>
      </c>
      <c r="E1949" s="7" t="inlineStr">
        <is>
          <t>Kerala Public Works &amp; Technology Department</t>
        </is>
      </c>
      <c r="F1949" s="6" t="inlineStr">
        <is>
          <t>31 Aug 2026</t>
        </is>
      </c>
      <c r="G1949" s="5" t="inlineStr">
        <is>
          <t>28 Sep 2026</t>
        </is>
      </c>
      <c r="H1949" s="8" t="inlineStr">
        <is>
          <t>⏳ UPCOMING</t>
        </is>
      </c>
      <c r="I1949" s="4" t="inlineStr">
        <is>
          <t>Specialcondtionsofrunningcontractworks.pdf</t>
        </is>
      </c>
      <c r="J1949" s="6" t="inlineStr">
        <is>
          <t>📕 PDF Document</t>
        </is>
      </c>
      <c r="K1949" s="9" t="n">
        <v>17.9</v>
      </c>
      <c r="L1949" s="10">
        <f>HYPERLINK("http://127.0.0.1:8000/api/documents/download?id=1900&amp;attachment=true", "⬇ Download Specialcondtionsofrunnin")</f>
        <v/>
      </c>
      <c r="M1949" s="10">
        <f>HYPERLINK("http://localhost:5173/?state=Kerala&amp;keyword=ICT&amp;tender=2026_PWD_878614_1", "🚀 Open in Portal")</f>
        <v/>
      </c>
    </row>
    <row r="1950" ht="24" customHeight="1">
      <c r="A1950" s="11" t="inlineStr">
        <is>
          <t>Kerala</t>
        </is>
      </c>
      <c r="B1950" s="12" t="inlineStr">
        <is>
          <t>ICT</t>
        </is>
      </c>
      <c r="C1950" s="13" t="inlineStr">
        <is>
          <t>2026_PWD_878614_1</t>
        </is>
      </c>
      <c r="D1950" s="14" t="inlineStr">
        <is>
          <t>[Zone IV One year Running Contract for various PWD Roads under Roads Section Perinthalmanna in Malappuram District 3 Nos of Road stretches for a length of 26.963 Km]</t>
        </is>
      </c>
      <c r="E1950" s="14" t="inlineStr">
        <is>
          <t>Kerala Public Works &amp; Technology Department</t>
        </is>
      </c>
      <c r="F1950" s="13" t="inlineStr">
        <is>
          <t>31 Aug 2026</t>
        </is>
      </c>
      <c r="G1950" s="12" t="inlineStr">
        <is>
          <t>28 Sep 2026</t>
        </is>
      </c>
      <c r="H1950" s="8" t="inlineStr">
        <is>
          <t>⏳ UPCOMING</t>
        </is>
      </c>
      <c r="I1950" s="11" t="inlineStr">
        <is>
          <t>integrity_pact.pdf</t>
        </is>
      </c>
      <c r="J1950" s="13" t="inlineStr">
        <is>
          <t>📕 PDF Document</t>
        </is>
      </c>
      <c r="K1950" s="15" t="n">
        <v>17.8</v>
      </c>
      <c r="L1950" s="16">
        <f>HYPERLINK("http://127.0.0.1:8000/api/documents/download?id=1901&amp;attachment=true", "⬇ Download integrity_pact.pdf")</f>
        <v/>
      </c>
      <c r="M1950" s="16">
        <f>HYPERLINK("http://localhost:5173/?state=Kerala&amp;keyword=ICT&amp;tender=2026_PWD_878614_1", "🚀 Open in Portal")</f>
        <v/>
      </c>
    </row>
    <row r="1951" ht="24" customHeight="1">
      <c r="A1951" s="4" t="inlineStr">
        <is>
          <t>Kerala</t>
        </is>
      </c>
      <c r="B1951" s="5" t="inlineStr">
        <is>
          <t>ICT</t>
        </is>
      </c>
      <c r="C1951" s="6" t="inlineStr">
        <is>
          <t>2026_PWD_878614_1</t>
        </is>
      </c>
      <c r="D1951" s="7" t="inlineStr">
        <is>
          <t>[Zone IV One year Running Contract for various PWD Roads under Roads Section Perinthalmanna in Malappuram District 3 Nos of Road stretches for a length of 26.963 Km]</t>
        </is>
      </c>
      <c r="E1951" s="7" t="inlineStr">
        <is>
          <t>Kerala Public Works &amp; Technology Department</t>
        </is>
      </c>
      <c r="F1951" s="6" t="inlineStr">
        <is>
          <t>31 Aug 2026</t>
        </is>
      </c>
      <c r="G1951" s="5" t="inlineStr">
        <is>
          <t>28 Sep 2026</t>
        </is>
      </c>
      <c r="H1951" s="8" t="inlineStr">
        <is>
          <t>⏳ UPCOMING</t>
        </is>
      </c>
      <c r="I1951" s="4" t="inlineStr">
        <is>
          <t>epaymentform1.pdf</t>
        </is>
      </c>
      <c r="J1951" s="6" t="inlineStr">
        <is>
          <t>📕 PDF Document</t>
        </is>
      </c>
      <c r="K1951" s="9" t="n">
        <v>17.8</v>
      </c>
      <c r="L1951" s="10">
        <f>HYPERLINK("http://127.0.0.1:8000/api/documents/download?id=1902&amp;attachment=true", "⬇ Download epaymentform1.pdf")</f>
        <v/>
      </c>
      <c r="M1951" s="10">
        <f>HYPERLINK("http://localhost:5173/?state=Kerala&amp;keyword=ICT&amp;tender=2026_PWD_878614_1", "🚀 Open in Portal")</f>
        <v/>
      </c>
    </row>
    <row r="1952" ht="24" customHeight="1">
      <c r="A1952" s="11" t="inlineStr">
        <is>
          <t>Kerala</t>
        </is>
      </c>
      <c r="B1952" s="12" t="inlineStr">
        <is>
          <t>ICT</t>
        </is>
      </c>
      <c r="C1952" s="13" t="inlineStr">
        <is>
          <t>2026_PWD_878614_1</t>
        </is>
      </c>
      <c r="D1952" s="14" t="inlineStr">
        <is>
          <t>[Zone IV One year Running Contract for various PWD Roads under Roads Section Perinthalmanna in Malappuram District 3 Nos of Road stretches for a length of 26.963 Km]</t>
        </is>
      </c>
      <c r="E1952" s="14" t="inlineStr">
        <is>
          <t>Kerala Public Works &amp; Technology Department</t>
        </is>
      </c>
      <c r="F1952" s="13" t="inlineStr">
        <is>
          <t>31 Aug 2026</t>
        </is>
      </c>
      <c r="G1952" s="12" t="inlineStr">
        <is>
          <t>28 Sep 2026</t>
        </is>
      </c>
      <c r="H1952" s="8" t="inlineStr">
        <is>
          <t>⏳ UPCOMING</t>
        </is>
      </c>
      <c r="I1952" s="11" t="inlineStr">
        <is>
          <t>PreAgmntFormat_New.pdf</t>
        </is>
      </c>
      <c r="J1952" s="13" t="inlineStr">
        <is>
          <t>📕 PDF Document</t>
        </is>
      </c>
      <c r="K1952" s="15" t="n">
        <v>17.8</v>
      </c>
      <c r="L1952" s="16">
        <f>HYPERLINK("http://127.0.0.1:8000/api/documents/download?id=1903&amp;attachment=true", "⬇ Download PreAgmntFormat_New.pdf")</f>
        <v/>
      </c>
      <c r="M1952" s="16">
        <f>HYPERLINK("http://localhost:5173/?state=Kerala&amp;keyword=ICT&amp;tender=2026_PWD_878614_1", "🚀 Open in Portal")</f>
        <v/>
      </c>
    </row>
    <row r="1953" ht="24" customHeight="1">
      <c r="A1953" s="4" t="inlineStr">
        <is>
          <t>Kerala</t>
        </is>
      </c>
      <c r="B1953" s="5" t="inlineStr">
        <is>
          <t>ICT</t>
        </is>
      </c>
      <c r="C1953" s="6" t="inlineStr">
        <is>
          <t>2026_PWD_878614_1</t>
        </is>
      </c>
      <c r="D1953" s="7" t="inlineStr">
        <is>
          <t>[Zone IV One year Running Contract for various PWD Roads under Roads Section Perinthalmanna in Malappuram District 3 Nos of Road stretches for a length of 26.963 Km]</t>
        </is>
      </c>
      <c r="E1953" s="7" t="inlineStr">
        <is>
          <t>Kerala Public Works &amp; Technology Department</t>
        </is>
      </c>
      <c r="F1953" s="6" t="inlineStr">
        <is>
          <t>31 Aug 2026</t>
        </is>
      </c>
      <c r="G1953" s="5" t="inlineStr">
        <is>
          <t>28 Sep 2026</t>
        </is>
      </c>
      <c r="H1953" s="8" t="inlineStr">
        <is>
          <t>⏳ UPCOMING</t>
        </is>
      </c>
      <c r="I1953" s="4" t="inlineStr">
        <is>
          <t>Tender_2026_PWD_878614_1_All_Documents.zip</t>
        </is>
      </c>
      <c r="J1953" s="6" t="inlineStr">
        <is>
          <t>📦 ZIP Package</t>
        </is>
      </c>
      <c r="K1953" s="9" t="n">
        <v>66.7</v>
      </c>
      <c r="L1953" s="10">
        <f>HYPERLINK("http://127.0.0.1:8000/api/documents/download?id=1904&amp;attachment=true", "⬇ Download Tender_2026_PWD_878614_1")</f>
        <v/>
      </c>
      <c r="M1953" s="10">
        <f>HYPERLINK("http://localhost:5173/?state=Kerala&amp;keyword=ICT&amp;tender=2026_PWD_878614_1", "🚀 Open in Portal")</f>
        <v/>
      </c>
    </row>
    <row r="1954" ht="24" customHeight="1">
      <c r="A1954" s="11" t="inlineStr">
        <is>
          <t>Kerala</t>
        </is>
      </c>
      <c r="B1954" s="12" t="inlineStr">
        <is>
          <t>ICT</t>
        </is>
      </c>
      <c r="C1954" s="13" t="inlineStr">
        <is>
          <t>2026_PWD_878625_1</t>
        </is>
      </c>
      <c r="D1954" s="14" t="inlineStr">
        <is>
          <t>[GENERAL-RM 2026-27 , RC-2-One Year Running Contract -Zone III-on various roads under roads section Peermade, in Idukki district-3 road stretches for a length of 30.99 km-General Civil Work-1]</t>
        </is>
      </c>
      <c r="E1954" s="14" t="inlineStr">
        <is>
          <t>Kerala Public Works &amp; Technology Department</t>
        </is>
      </c>
      <c r="F1954" s="13" t="inlineStr">
        <is>
          <t>28 Sep 2026</t>
        </is>
      </c>
      <c r="G1954" s="12" t="inlineStr">
        <is>
          <t>22 Oct 2026</t>
        </is>
      </c>
      <c r="H1954" s="18" t="inlineStr">
        <is>
          <t>⚠️ CLOSING SOON</t>
        </is>
      </c>
      <c r="I1954" s="11" t="inlineStr">
        <is>
          <t>Tendernotice_1.pdf</t>
        </is>
      </c>
      <c r="J1954" s="13" t="inlineStr">
        <is>
          <t>📕 PDF Document</t>
        </is>
      </c>
      <c r="K1954" s="15" t="n">
        <v>17.8</v>
      </c>
      <c r="L1954" s="16">
        <f>HYPERLINK("http://127.0.0.1:8000/api/documents/download?id=1858&amp;attachment=true", "⬇ Download Tendernotice_1.pdf")</f>
        <v/>
      </c>
      <c r="M1954" s="16">
        <f>HYPERLINK("http://localhost:5173/?state=Kerala&amp;keyword=ICT&amp;tender=2026_PWD_878625_1", "🚀 Open in Portal")</f>
        <v/>
      </c>
    </row>
    <row r="1955" ht="24" customHeight="1">
      <c r="A1955" s="4" t="inlineStr">
        <is>
          <t>Kerala</t>
        </is>
      </c>
      <c r="B1955" s="5" t="inlineStr">
        <is>
          <t>ICT</t>
        </is>
      </c>
      <c r="C1955" s="6" t="inlineStr">
        <is>
          <t>2026_PWD_878625_1</t>
        </is>
      </c>
      <c r="D1955" s="7" t="inlineStr">
        <is>
          <t>[GENERAL-RM 2026-27 , RC-2-One Year Running Contract -Zone III-on various roads under roads section Peermade, in Idukki district-3 road stretches for a length of 30.99 km-General Civil Work-1]</t>
        </is>
      </c>
      <c r="E1955" s="7" t="inlineStr">
        <is>
          <t>Kerala Public Works &amp; Technology Department</t>
        </is>
      </c>
      <c r="F1955" s="6" t="inlineStr">
        <is>
          <t>28 Sep 2026</t>
        </is>
      </c>
      <c r="G1955" s="5" t="inlineStr">
        <is>
          <t>22 Oct 2026</t>
        </is>
      </c>
      <c r="H1955" s="18" t="inlineStr">
        <is>
          <t>⚠️ CLOSING SOON</t>
        </is>
      </c>
      <c r="I1955" s="4" t="inlineStr">
        <is>
          <t>BOQ_1493422.xls</t>
        </is>
      </c>
      <c r="J1955" s="6" t="inlineStr">
        <is>
          <t>📊 Excel BOQ</t>
        </is>
      </c>
      <c r="K1955" s="9" t="n">
        <v>2.5</v>
      </c>
      <c r="L1955" s="10">
        <f>HYPERLINK("http://127.0.0.1:8000/api/documents/download?id=1859&amp;attachment=true", "⬇ Download BOQ_1493422.xls")</f>
        <v/>
      </c>
      <c r="M1955" s="10">
        <f>HYPERLINK("http://localhost:5173/?state=Kerala&amp;keyword=ICT&amp;tender=2026_PWD_878625_1", "🚀 Open in Portal")</f>
        <v/>
      </c>
    </row>
    <row r="1956" ht="24" customHeight="1">
      <c r="A1956" s="11" t="inlineStr">
        <is>
          <t>Kerala</t>
        </is>
      </c>
      <c r="B1956" s="12" t="inlineStr">
        <is>
          <t>ICT</t>
        </is>
      </c>
      <c r="C1956" s="13" t="inlineStr">
        <is>
          <t>2026_PWD_878625_1</t>
        </is>
      </c>
      <c r="D1956" s="14" t="inlineStr">
        <is>
          <t>[GENERAL-RM 2026-27 , RC-2-One Year Running Contract -Zone III-on various roads under roads section Peermade, in Idukki district-3 road stretches for a length of 30.99 km-General Civil Work-1]</t>
        </is>
      </c>
      <c r="E1956" s="14" t="inlineStr">
        <is>
          <t>Kerala Public Works &amp; Technology Department</t>
        </is>
      </c>
      <c r="F1956" s="13" t="inlineStr">
        <is>
          <t>28 Sep 2026</t>
        </is>
      </c>
      <c r="G1956" s="12" t="inlineStr">
        <is>
          <t>22 Oct 2026</t>
        </is>
      </c>
      <c r="H1956" s="18" t="inlineStr">
        <is>
          <t>⚠️ CLOSING SOON</t>
        </is>
      </c>
      <c r="I1956" s="11" t="inlineStr">
        <is>
          <t>Tender_2026_PWD_878625_1_All_Documents.zip</t>
        </is>
      </c>
      <c r="J1956" s="13" t="inlineStr">
        <is>
          <t>📦 ZIP Package</t>
        </is>
      </c>
      <c r="K1956" s="15" t="n">
        <v>11.6</v>
      </c>
      <c r="L1956" s="16">
        <f>HYPERLINK("http://127.0.0.1:8000/api/documents/download?id=1860&amp;attachment=true", "⬇ Download Tender_2026_PWD_878625_1")</f>
        <v/>
      </c>
      <c r="M1956" s="16">
        <f>HYPERLINK("http://localhost:5173/?state=Kerala&amp;keyword=ICT&amp;tender=2026_PWD_878625_1", "🚀 Open in Portal")</f>
        <v/>
      </c>
    </row>
    <row r="1957" ht="24" customHeight="1">
      <c r="A1957" s="4" t="inlineStr">
        <is>
          <t>Kerala</t>
        </is>
      </c>
      <c r="B1957" s="5" t="inlineStr">
        <is>
          <t>ICT</t>
        </is>
      </c>
      <c r="C1957" s="6" t="inlineStr">
        <is>
          <t>2026_PWD_878667_1</t>
        </is>
      </c>
      <c r="D1957" s="7" t="inlineStr">
        <is>
          <t>[Zone 12 One Year Running Contract for various PWD Roads under Road section Manjeri in Malappuram District 5 no of Road stretches for a length 23.14 km Running contract-General Civil Work]</t>
        </is>
      </c>
      <c r="E1957" s="7" t="inlineStr">
        <is>
          <t>Kerala Public Works &amp; Technology Department</t>
        </is>
      </c>
      <c r="F1957" s="6" t="inlineStr">
        <is>
          <t>14 Oct 2026</t>
        </is>
      </c>
      <c r="G1957" s="5" t="inlineStr">
        <is>
          <t>04 Nov 2026</t>
        </is>
      </c>
      <c r="H1957" s="17" t="inlineStr">
        <is>
          <t>🟢 LIVE ACTIVE</t>
        </is>
      </c>
      <c r="I1957" s="4" t="inlineStr">
        <is>
          <t>Tendernotice_1.pdf</t>
        </is>
      </c>
      <c r="J1957" s="6" t="inlineStr">
        <is>
          <t>📕 PDF Document</t>
        </is>
      </c>
      <c r="K1957" s="9" t="n">
        <v>17.8</v>
      </c>
      <c r="L1957" s="10">
        <f>HYPERLINK("http://127.0.0.1:8000/api/documents/download?id=1832&amp;attachment=true", "⬇ Download Tendernotice_1.pdf")</f>
        <v/>
      </c>
      <c r="M1957" s="10">
        <f>HYPERLINK("http://localhost:5173/?state=Kerala&amp;keyword=ICT&amp;tender=2026_PWD_878667_1", "🚀 Open in Portal")</f>
        <v/>
      </c>
    </row>
    <row r="1958" ht="24" customHeight="1">
      <c r="A1958" s="11" t="inlineStr">
        <is>
          <t>Kerala</t>
        </is>
      </c>
      <c r="B1958" s="12" t="inlineStr">
        <is>
          <t>ICT</t>
        </is>
      </c>
      <c r="C1958" s="13" t="inlineStr">
        <is>
          <t>2026_PWD_878667_1</t>
        </is>
      </c>
      <c r="D1958" s="14" t="inlineStr">
        <is>
          <t>[Zone 12 One Year Running Contract for various PWD Roads under Road section Manjeri in Malappuram District 5 no of Road stretches for a length 23.14 km Running contract-General Civil Work]</t>
        </is>
      </c>
      <c r="E1958" s="14" t="inlineStr">
        <is>
          <t>Kerala Public Works &amp; Technology Department</t>
        </is>
      </c>
      <c r="F1958" s="13" t="inlineStr">
        <is>
          <t>14 Oct 2026</t>
        </is>
      </c>
      <c r="G1958" s="12" t="inlineStr">
        <is>
          <t>04 Nov 2026</t>
        </is>
      </c>
      <c r="H1958" s="17" t="inlineStr">
        <is>
          <t>🟢 LIVE ACTIVE</t>
        </is>
      </c>
      <c r="I1958" s="11" t="inlineStr">
        <is>
          <t>BOQ_1493455.xls</t>
        </is>
      </c>
      <c r="J1958" s="13" t="inlineStr">
        <is>
          <t>📊 Excel BOQ</t>
        </is>
      </c>
      <c r="K1958" s="15" t="n">
        <v>2.5</v>
      </c>
      <c r="L1958" s="16">
        <f>HYPERLINK("http://127.0.0.1:8000/api/documents/download?id=1833&amp;attachment=true", "⬇ Download BOQ_1493455.xls")</f>
        <v/>
      </c>
      <c r="M1958" s="16">
        <f>HYPERLINK("http://localhost:5173/?state=Kerala&amp;keyword=ICT&amp;tender=2026_PWD_878667_1", "🚀 Open in Portal")</f>
        <v/>
      </c>
    </row>
    <row r="1959" ht="24" customHeight="1">
      <c r="A1959" s="4" t="inlineStr">
        <is>
          <t>Kerala</t>
        </is>
      </c>
      <c r="B1959" s="5" t="inlineStr">
        <is>
          <t>ICT</t>
        </is>
      </c>
      <c r="C1959" s="6" t="inlineStr">
        <is>
          <t>2026_PWD_878667_1</t>
        </is>
      </c>
      <c r="D1959" s="7" t="inlineStr">
        <is>
          <t>[Zone 12 One Year Running Contract for various PWD Roads under Road section Manjeri in Malappuram District 5 no of Road stretches for a length 23.14 km Running contract-General Civil Work]</t>
        </is>
      </c>
      <c r="E1959" s="7" t="inlineStr">
        <is>
          <t>Kerala Public Works &amp; Technology Department</t>
        </is>
      </c>
      <c r="F1959" s="6" t="inlineStr">
        <is>
          <t>14 Oct 2026</t>
        </is>
      </c>
      <c r="G1959" s="5" t="inlineStr">
        <is>
          <t>04 Nov 2026</t>
        </is>
      </c>
      <c r="H1959" s="17" t="inlineStr">
        <is>
          <t>🟢 LIVE ACTIVE</t>
        </is>
      </c>
      <c r="I1959" s="4" t="inlineStr">
        <is>
          <t>viewsbd.pdf</t>
        </is>
      </c>
      <c r="J1959" s="6" t="inlineStr">
        <is>
          <t>📕 PDF Document</t>
        </is>
      </c>
      <c r="K1959" s="9" t="n">
        <v>17.8</v>
      </c>
      <c r="L1959" s="10">
        <f>HYPERLINK("http://127.0.0.1:8000/api/documents/download?id=1834&amp;attachment=true", "⬇ Download viewsbd.pdf")</f>
        <v/>
      </c>
      <c r="M1959" s="10">
        <f>HYPERLINK("http://localhost:5173/?state=Kerala&amp;keyword=ICT&amp;tender=2026_PWD_878667_1", "🚀 Open in Portal")</f>
        <v/>
      </c>
    </row>
    <row r="1960" ht="24" customHeight="1">
      <c r="A1960" s="11" t="inlineStr">
        <is>
          <t>Kerala</t>
        </is>
      </c>
      <c r="B1960" s="12" t="inlineStr">
        <is>
          <t>ICT</t>
        </is>
      </c>
      <c r="C1960" s="13" t="inlineStr">
        <is>
          <t>2026_PWD_878667_1</t>
        </is>
      </c>
      <c r="D1960" s="14" t="inlineStr">
        <is>
          <t>[Zone 12 One Year Running Contract for various PWD Roads under Road section Manjeri in Malappuram District 5 no of Road stretches for a length 23.14 km Running contract-General Civil Work]</t>
        </is>
      </c>
      <c r="E1960" s="14" t="inlineStr">
        <is>
          <t>Kerala Public Works &amp; Technology Department</t>
        </is>
      </c>
      <c r="F1960" s="13" t="inlineStr">
        <is>
          <t>14 Oct 2026</t>
        </is>
      </c>
      <c r="G1960" s="12" t="inlineStr">
        <is>
          <t>04 Nov 2026</t>
        </is>
      </c>
      <c r="H1960" s="17" t="inlineStr">
        <is>
          <t>🟢 LIVE ACTIVE</t>
        </is>
      </c>
      <c r="I1960" s="11" t="inlineStr">
        <is>
          <t>PreAgmntFormat_New.pdf</t>
        </is>
      </c>
      <c r="J1960" s="13" t="inlineStr">
        <is>
          <t>📕 PDF Document</t>
        </is>
      </c>
      <c r="K1960" s="15" t="n">
        <v>17.8</v>
      </c>
      <c r="L1960" s="16">
        <f>HYPERLINK("http://127.0.0.1:8000/api/documents/download?id=1835&amp;attachment=true", "⬇ Download PreAgmntFormat_New.pdf")</f>
        <v/>
      </c>
      <c r="M1960" s="16">
        <f>HYPERLINK("http://localhost:5173/?state=Kerala&amp;keyword=ICT&amp;tender=2026_PWD_878667_1", "🚀 Open in Portal")</f>
        <v/>
      </c>
    </row>
    <row r="1961" ht="24" customHeight="1">
      <c r="A1961" s="4" t="inlineStr">
        <is>
          <t>Kerala</t>
        </is>
      </c>
      <c r="B1961" s="5" t="inlineStr">
        <is>
          <t>ICT</t>
        </is>
      </c>
      <c r="C1961" s="6" t="inlineStr">
        <is>
          <t>2026_PWD_878667_1</t>
        </is>
      </c>
      <c r="D1961" s="7" t="inlineStr">
        <is>
          <t>[Zone 12 One Year Running Contract for various PWD Roads under Road section Manjeri in Malappuram District 5 no of Road stretches for a length 23.14 km Running contract-General Civil Work]</t>
        </is>
      </c>
      <c r="E1961" s="7" t="inlineStr">
        <is>
          <t>Kerala Public Works &amp; Technology Department</t>
        </is>
      </c>
      <c r="F1961" s="6" t="inlineStr">
        <is>
          <t>14 Oct 2026</t>
        </is>
      </c>
      <c r="G1961" s="5" t="inlineStr">
        <is>
          <t>04 Nov 2026</t>
        </is>
      </c>
      <c r="H1961" s="17" t="inlineStr">
        <is>
          <t>🟢 LIVE ACTIVE</t>
        </is>
      </c>
      <c r="I1961" s="4" t="inlineStr">
        <is>
          <t>epaymentform1.pdf</t>
        </is>
      </c>
      <c r="J1961" s="6" t="inlineStr">
        <is>
          <t>📕 PDF Document</t>
        </is>
      </c>
      <c r="K1961" s="9" t="n">
        <v>17.8</v>
      </c>
      <c r="L1961" s="10">
        <f>HYPERLINK("http://127.0.0.1:8000/api/documents/download?id=1836&amp;attachment=true", "⬇ Download epaymentform1.pdf")</f>
        <v/>
      </c>
      <c r="M1961" s="10">
        <f>HYPERLINK("http://localhost:5173/?state=Kerala&amp;keyword=ICT&amp;tender=2026_PWD_878667_1", "🚀 Open in Portal")</f>
        <v/>
      </c>
    </row>
    <row r="1962" ht="24" customHeight="1">
      <c r="A1962" s="11" t="inlineStr">
        <is>
          <t>Kerala</t>
        </is>
      </c>
      <c r="B1962" s="12" t="inlineStr">
        <is>
          <t>ICT</t>
        </is>
      </c>
      <c r="C1962" s="13" t="inlineStr">
        <is>
          <t>2026_PWD_878667_1</t>
        </is>
      </c>
      <c r="D1962" s="14" t="inlineStr">
        <is>
          <t>[Zone 12 One Year Running Contract for various PWD Roads under Road section Manjeri in Malappuram District 5 no of Road stretches for a length 23.14 km Running contract-General Civil Work]</t>
        </is>
      </c>
      <c r="E1962" s="14" t="inlineStr">
        <is>
          <t>Kerala Public Works &amp; Technology Department</t>
        </is>
      </c>
      <c r="F1962" s="13" t="inlineStr">
        <is>
          <t>14 Oct 2026</t>
        </is>
      </c>
      <c r="G1962" s="12" t="inlineStr">
        <is>
          <t>04 Nov 2026</t>
        </is>
      </c>
      <c r="H1962" s="17" t="inlineStr">
        <is>
          <t>🟢 LIVE ACTIVE</t>
        </is>
      </c>
      <c r="I1962" s="11" t="inlineStr">
        <is>
          <t>form_of_tender.pdf</t>
        </is>
      </c>
      <c r="J1962" s="13" t="inlineStr">
        <is>
          <t>📕 PDF Document</t>
        </is>
      </c>
      <c r="K1962" s="15" t="n">
        <v>17.8</v>
      </c>
      <c r="L1962" s="16">
        <f>HYPERLINK("http://127.0.0.1:8000/api/documents/download?id=1837&amp;attachment=true", "⬇ Download form_of_tender.pdf")</f>
        <v/>
      </c>
      <c r="M1962" s="16">
        <f>HYPERLINK("http://localhost:5173/?state=Kerala&amp;keyword=ICT&amp;tender=2026_PWD_878667_1", "🚀 Open in Portal")</f>
        <v/>
      </c>
    </row>
    <row r="1963" ht="24" customHeight="1">
      <c r="A1963" s="4" t="inlineStr">
        <is>
          <t>Kerala</t>
        </is>
      </c>
      <c r="B1963" s="5" t="inlineStr">
        <is>
          <t>ICT</t>
        </is>
      </c>
      <c r="C1963" s="6" t="inlineStr">
        <is>
          <t>2026_PWD_878667_1</t>
        </is>
      </c>
      <c r="D1963" s="7" t="inlineStr">
        <is>
          <t>[Zone 12 One Year Running Contract for various PWD Roads under Road section Manjeri in Malappuram District 5 no of Road stretches for a length 23.14 km Running contract-General Civil Work]</t>
        </is>
      </c>
      <c r="E1963" s="7" t="inlineStr">
        <is>
          <t>Kerala Public Works &amp; Technology Department</t>
        </is>
      </c>
      <c r="F1963" s="6" t="inlineStr">
        <is>
          <t>14 Oct 2026</t>
        </is>
      </c>
      <c r="G1963" s="5" t="inlineStr">
        <is>
          <t>04 Nov 2026</t>
        </is>
      </c>
      <c r="H1963" s="17" t="inlineStr">
        <is>
          <t>🟢 LIVE ACTIVE</t>
        </is>
      </c>
      <c r="I1963" s="4" t="inlineStr">
        <is>
          <t>Specialcondtionsofrunningcontractworks.pdf</t>
        </is>
      </c>
      <c r="J1963" s="6" t="inlineStr">
        <is>
          <t>📕 PDF Document</t>
        </is>
      </c>
      <c r="K1963" s="9" t="n">
        <v>17.9</v>
      </c>
      <c r="L1963" s="10">
        <f>HYPERLINK("http://127.0.0.1:8000/api/documents/download?id=1838&amp;attachment=true", "⬇ Download Specialcondtionsofrunnin")</f>
        <v/>
      </c>
      <c r="M1963" s="10">
        <f>HYPERLINK("http://localhost:5173/?state=Kerala&amp;keyword=ICT&amp;tender=2026_PWD_878667_1", "🚀 Open in Portal")</f>
        <v/>
      </c>
    </row>
    <row r="1964" ht="24" customHeight="1">
      <c r="A1964" s="11" t="inlineStr">
        <is>
          <t>Kerala</t>
        </is>
      </c>
      <c r="B1964" s="12" t="inlineStr">
        <is>
          <t>ICT</t>
        </is>
      </c>
      <c r="C1964" s="13" t="inlineStr">
        <is>
          <t>2026_PWD_878667_1</t>
        </is>
      </c>
      <c r="D1964" s="14" t="inlineStr">
        <is>
          <t>[Zone 12 One Year Running Contract for various PWD Roads under Road section Manjeri in Malappuram District 5 no of Road stretches for a length 23.14 km Running contract-General Civil Work]</t>
        </is>
      </c>
      <c r="E1964" s="14" t="inlineStr">
        <is>
          <t>Kerala Public Works &amp; Technology Department</t>
        </is>
      </c>
      <c r="F1964" s="13" t="inlineStr">
        <is>
          <t>14 Oct 2026</t>
        </is>
      </c>
      <c r="G1964" s="12" t="inlineStr">
        <is>
          <t>04 Nov 2026</t>
        </is>
      </c>
      <c r="H1964" s="17" t="inlineStr">
        <is>
          <t>🟢 LIVE ACTIVE</t>
        </is>
      </c>
      <c r="I1964" s="11" t="inlineStr">
        <is>
          <t>integrity_pact.pdf</t>
        </is>
      </c>
      <c r="J1964" s="13" t="inlineStr">
        <is>
          <t>📕 PDF Document</t>
        </is>
      </c>
      <c r="K1964" s="15" t="n">
        <v>17.8</v>
      </c>
      <c r="L1964" s="16">
        <f>HYPERLINK("http://127.0.0.1:8000/api/documents/download?id=1839&amp;attachment=true", "⬇ Download integrity_pact.pdf")</f>
        <v/>
      </c>
      <c r="M1964" s="16">
        <f>HYPERLINK("http://localhost:5173/?state=Kerala&amp;keyword=ICT&amp;tender=2026_PWD_878667_1", "🚀 Open in Portal")</f>
        <v/>
      </c>
    </row>
    <row r="1965" ht="24" customHeight="1">
      <c r="A1965" s="4" t="inlineStr">
        <is>
          <t>Kerala</t>
        </is>
      </c>
      <c r="B1965" s="5" t="inlineStr">
        <is>
          <t>ICT</t>
        </is>
      </c>
      <c r="C1965" s="6" t="inlineStr">
        <is>
          <t>2026_PWD_878667_1</t>
        </is>
      </c>
      <c r="D1965" s="7" t="inlineStr">
        <is>
          <t>[Zone 12 One Year Running Contract for various PWD Roads under Road section Manjeri in Malappuram District 5 no of Road stretches for a length 23.14 km Running contract-General Civil Work]</t>
        </is>
      </c>
      <c r="E1965" s="7" t="inlineStr">
        <is>
          <t>Kerala Public Works &amp; Technology Department</t>
        </is>
      </c>
      <c r="F1965" s="6" t="inlineStr">
        <is>
          <t>14 Oct 2026</t>
        </is>
      </c>
      <c r="G1965" s="5" t="inlineStr">
        <is>
          <t>04 Nov 2026</t>
        </is>
      </c>
      <c r="H1965" s="17" t="inlineStr">
        <is>
          <t>🟢 LIVE ACTIVE</t>
        </is>
      </c>
      <c r="I1965" s="4" t="inlineStr">
        <is>
          <t>Tender_2026_PWD_878667_1_All_Documents.zip</t>
        </is>
      </c>
      <c r="J1965" s="6" t="inlineStr">
        <is>
          <t>📦 ZIP Package</t>
        </is>
      </c>
      <c r="K1965" s="9" t="n">
        <v>66.8</v>
      </c>
      <c r="L1965" s="10">
        <f>HYPERLINK("http://127.0.0.1:8000/api/documents/download?id=1840&amp;attachment=true", "⬇ Download Tender_2026_PWD_878667_1")</f>
        <v/>
      </c>
      <c r="M1965" s="10">
        <f>HYPERLINK("http://localhost:5173/?state=Kerala&amp;keyword=ICT&amp;tender=2026_PWD_878667_1", "🚀 Open in Portal")</f>
        <v/>
      </c>
    </row>
    <row r="1966" ht="24" customHeight="1">
      <c r="A1966" s="11" t="inlineStr">
        <is>
          <t>Kerala</t>
        </is>
      </c>
      <c r="B1966" s="12" t="inlineStr">
        <is>
          <t>ICT</t>
        </is>
      </c>
      <c r="C1966" s="13" t="inlineStr">
        <is>
          <t>2026_PWD_878687_1</t>
        </is>
      </c>
      <c r="D1966" s="14" t="inlineStr">
        <is>
          <t>[GENERAL-RM / 2026-27 - RC-2 -One Year Running Contract for various PWD roads Under Roads section Peermade in idukki district 4 Roads stretches for a length of 25.7 km-General Civil Work]</t>
        </is>
      </c>
      <c r="E1966" s="14" t="inlineStr">
        <is>
          <t>Kerala Public Works &amp; Technology Department</t>
        </is>
      </c>
      <c r="F1966" s="13" t="inlineStr">
        <is>
          <t>12 Oct 2026</t>
        </is>
      </c>
      <c r="G1966" s="12" t="inlineStr">
        <is>
          <t>07 Nov 2026</t>
        </is>
      </c>
      <c r="H1966" s="17" t="inlineStr">
        <is>
          <t>🟢 LIVE ACTIVE</t>
        </is>
      </c>
      <c r="I1966" s="11" t="inlineStr">
        <is>
          <t>Tendernotice_1.pdf</t>
        </is>
      </c>
      <c r="J1966" s="13" t="inlineStr">
        <is>
          <t>📕 PDF Document</t>
        </is>
      </c>
      <c r="K1966" s="15" t="n">
        <v>17.8</v>
      </c>
      <c r="L1966" s="16">
        <f>HYPERLINK("http://127.0.0.1:8000/api/documents/download?id=1861&amp;attachment=true", "⬇ Download Tendernotice_1.pdf")</f>
        <v/>
      </c>
      <c r="M1966" s="16">
        <f>HYPERLINK("http://localhost:5173/?state=Kerala&amp;keyword=ICT&amp;tender=2026_PWD_878687_1", "🚀 Open in Portal")</f>
        <v/>
      </c>
    </row>
    <row r="1967" ht="24" customHeight="1">
      <c r="A1967" s="4" t="inlineStr">
        <is>
          <t>Kerala</t>
        </is>
      </c>
      <c r="B1967" s="5" t="inlineStr">
        <is>
          <t>ICT</t>
        </is>
      </c>
      <c r="C1967" s="6" t="inlineStr">
        <is>
          <t>2026_PWD_878687_1</t>
        </is>
      </c>
      <c r="D1967" s="7" t="inlineStr">
        <is>
          <t>[GENERAL-RM / 2026-27 - RC-2 -One Year Running Contract for various PWD roads Under Roads section Peermade in idukki district 4 Roads stretches for a length of 25.7 km-General Civil Work]</t>
        </is>
      </c>
      <c r="E1967" s="7" t="inlineStr">
        <is>
          <t>Kerala Public Works &amp; Technology Department</t>
        </is>
      </c>
      <c r="F1967" s="6" t="inlineStr">
        <is>
          <t>12 Oct 2026</t>
        </is>
      </c>
      <c r="G1967" s="5" t="inlineStr">
        <is>
          <t>07 Nov 2026</t>
        </is>
      </c>
      <c r="H1967" s="17" t="inlineStr">
        <is>
          <t>🟢 LIVE ACTIVE</t>
        </is>
      </c>
      <c r="I1967" s="4" t="inlineStr">
        <is>
          <t>BOQ_1493488.xls</t>
        </is>
      </c>
      <c r="J1967" s="6" t="inlineStr">
        <is>
          <t>📊 Excel BOQ</t>
        </is>
      </c>
      <c r="K1967" s="9" t="n">
        <v>2.5</v>
      </c>
      <c r="L1967" s="10">
        <f>HYPERLINK("http://127.0.0.1:8000/api/documents/download?id=1862&amp;attachment=true", "⬇ Download BOQ_1493488.xls")</f>
        <v/>
      </c>
      <c r="M1967" s="10">
        <f>HYPERLINK("http://localhost:5173/?state=Kerala&amp;keyword=ICT&amp;tender=2026_PWD_878687_1", "🚀 Open in Portal")</f>
        <v/>
      </c>
    </row>
    <row r="1968" ht="24" customHeight="1">
      <c r="A1968" s="11" t="inlineStr">
        <is>
          <t>Kerala</t>
        </is>
      </c>
      <c r="B1968" s="12" t="inlineStr">
        <is>
          <t>ICT</t>
        </is>
      </c>
      <c r="C1968" s="13" t="inlineStr">
        <is>
          <t>2026_PWD_878687_1</t>
        </is>
      </c>
      <c r="D1968" s="14" t="inlineStr">
        <is>
          <t>[GENERAL-RM / 2026-27 - RC-2 -One Year Running Contract for various PWD roads Under Roads section Peermade in idukki district 4 Roads stretches for a length of 25.7 km-General Civil Work]</t>
        </is>
      </c>
      <c r="E1968" s="14" t="inlineStr">
        <is>
          <t>Kerala Public Works &amp; Technology Department</t>
        </is>
      </c>
      <c r="F1968" s="13" t="inlineStr">
        <is>
          <t>12 Oct 2026</t>
        </is>
      </c>
      <c r="G1968" s="12" t="inlineStr">
        <is>
          <t>07 Nov 2026</t>
        </is>
      </c>
      <c r="H1968" s="17" t="inlineStr">
        <is>
          <t>🟢 LIVE ACTIVE</t>
        </is>
      </c>
      <c r="I1968" s="11" t="inlineStr">
        <is>
          <t>Tender_2026_PWD_878687_1_All_Documents.zip</t>
        </is>
      </c>
      <c r="J1968" s="13" t="inlineStr">
        <is>
          <t>📦 ZIP Package</t>
        </is>
      </c>
      <c r="K1968" s="15" t="n">
        <v>11.6</v>
      </c>
      <c r="L1968" s="16">
        <f>HYPERLINK("http://127.0.0.1:8000/api/documents/download?id=1863&amp;attachment=true", "⬇ Download Tender_2026_PWD_878687_1")</f>
        <v/>
      </c>
      <c r="M1968" s="16">
        <f>HYPERLINK("http://localhost:5173/?state=Kerala&amp;keyword=ICT&amp;tender=2026_PWD_878687_1", "🚀 Open in Portal")</f>
        <v/>
      </c>
    </row>
    <row r="1969" ht="24" customHeight="1">
      <c r="A1969" s="4" t="inlineStr">
        <is>
          <t>Kerala</t>
        </is>
      </c>
      <c r="B1969" s="5" t="inlineStr">
        <is>
          <t>ICT</t>
        </is>
      </c>
      <c r="C1969" s="6" t="inlineStr">
        <is>
          <t>2026_PWD_878819_1</t>
        </is>
      </c>
      <c r="D1969" s="7" t="inlineStr">
        <is>
          <t>[RM 2024-25 Eviction of Encrochment-General civil works]</t>
        </is>
      </c>
      <c r="E1969" s="7" t="inlineStr">
        <is>
          <t>Kerala Public Works &amp; Technology Department</t>
        </is>
      </c>
      <c r="F1969" s="6" t="inlineStr">
        <is>
          <t>11 Aug 2026</t>
        </is>
      </c>
      <c r="G1969" s="5" t="inlineStr">
        <is>
          <t>09 Sep 2026</t>
        </is>
      </c>
      <c r="H1969" s="8" t="inlineStr">
        <is>
          <t>⏳ UPCOMING</t>
        </is>
      </c>
      <c r="I1969" s="4" t="inlineStr">
        <is>
          <t>Tendernotice_1.pdf</t>
        </is>
      </c>
      <c r="J1969" s="6" t="inlineStr">
        <is>
          <t>📕 PDF Document</t>
        </is>
      </c>
      <c r="K1969" s="9" t="n">
        <v>17.8</v>
      </c>
      <c r="L1969" s="10">
        <f>HYPERLINK("http://127.0.0.1:8000/api/documents/download?id=1801&amp;attachment=true", "⬇ Download Tendernotice_1.pdf")</f>
        <v/>
      </c>
      <c r="M1969" s="10">
        <f>HYPERLINK("http://localhost:5173/?state=Kerala&amp;keyword=ICT&amp;tender=2026_PWD_878819_1", "🚀 Open in Portal")</f>
        <v/>
      </c>
    </row>
    <row r="1970" ht="24" customHeight="1">
      <c r="A1970" s="11" t="inlineStr">
        <is>
          <t>Kerala</t>
        </is>
      </c>
      <c r="B1970" s="12" t="inlineStr">
        <is>
          <t>ICT</t>
        </is>
      </c>
      <c r="C1970" s="13" t="inlineStr">
        <is>
          <t>2026_PWD_878819_1</t>
        </is>
      </c>
      <c r="D1970" s="14" t="inlineStr">
        <is>
          <t>[RM 2024-25 Eviction of Encrochment-General civil works]</t>
        </is>
      </c>
      <c r="E1970" s="14" t="inlineStr">
        <is>
          <t>Kerala Public Works &amp; Technology Department</t>
        </is>
      </c>
      <c r="F1970" s="13" t="inlineStr">
        <is>
          <t>11 Aug 2026</t>
        </is>
      </c>
      <c r="G1970" s="12" t="inlineStr">
        <is>
          <t>09 Sep 2026</t>
        </is>
      </c>
      <c r="H1970" s="8" t="inlineStr">
        <is>
          <t>⏳ UPCOMING</t>
        </is>
      </c>
      <c r="I1970" s="11" t="inlineStr">
        <is>
          <t>BOQ_1493817.xls</t>
        </is>
      </c>
      <c r="J1970" s="13" t="inlineStr">
        <is>
          <t>📊 Excel BOQ</t>
        </is>
      </c>
      <c r="K1970" s="15" t="n">
        <v>2.4</v>
      </c>
      <c r="L1970" s="16">
        <f>HYPERLINK("http://127.0.0.1:8000/api/documents/download?id=1802&amp;attachment=true", "⬇ Download BOQ_1493817.xls")</f>
        <v/>
      </c>
      <c r="M1970" s="16">
        <f>HYPERLINK("http://localhost:5173/?state=Kerala&amp;keyword=ICT&amp;tender=2026_PWD_878819_1", "🚀 Open in Portal")</f>
        <v/>
      </c>
    </row>
    <row r="1971" ht="24" customHeight="1">
      <c r="A1971" s="4" t="inlineStr">
        <is>
          <t>Kerala</t>
        </is>
      </c>
      <c r="B1971" s="5" t="inlineStr">
        <is>
          <t>ICT</t>
        </is>
      </c>
      <c r="C1971" s="6" t="inlineStr">
        <is>
          <t>2026_PWD_878819_1</t>
        </is>
      </c>
      <c r="D1971" s="7" t="inlineStr">
        <is>
          <t>[RM 2024-25 Eviction of Encrochment-General civil works]</t>
        </is>
      </c>
      <c r="E1971" s="7" t="inlineStr">
        <is>
          <t>Kerala Public Works &amp; Technology Department</t>
        </is>
      </c>
      <c r="F1971" s="6" t="inlineStr">
        <is>
          <t>11 Aug 2026</t>
        </is>
      </c>
      <c r="G1971" s="5" t="inlineStr">
        <is>
          <t>09 Sep 2026</t>
        </is>
      </c>
      <c r="H1971" s="8" t="inlineStr">
        <is>
          <t>⏳ UPCOMING</t>
        </is>
      </c>
      <c r="I1971" s="4" t="inlineStr">
        <is>
          <t>viewnit.pdf</t>
        </is>
      </c>
      <c r="J1971" s="6" t="inlineStr">
        <is>
          <t>📕 PDF Document</t>
        </is>
      </c>
      <c r="K1971" s="9" t="n">
        <v>17.8</v>
      </c>
      <c r="L1971" s="10">
        <f>HYPERLINK("http://127.0.0.1:8000/api/documents/download?id=1803&amp;attachment=true", "⬇ Download viewnit.pdf")</f>
        <v/>
      </c>
      <c r="M1971" s="10">
        <f>HYPERLINK("http://localhost:5173/?state=Kerala&amp;keyword=ICT&amp;tender=2026_PWD_878819_1", "🚀 Open in Portal")</f>
        <v/>
      </c>
    </row>
    <row r="1972" ht="24" customHeight="1">
      <c r="A1972" s="11" t="inlineStr">
        <is>
          <t>Kerala</t>
        </is>
      </c>
      <c r="B1972" s="12" t="inlineStr">
        <is>
          <t>ICT</t>
        </is>
      </c>
      <c r="C1972" s="13" t="inlineStr">
        <is>
          <t>2026_PWD_878819_1</t>
        </is>
      </c>
      <c r="D1972" s="14" t="inlineStr">
        <is>
          <t>[RM 2024-25 Eviction of Encrochment-General civil works]</t>
        </is>
      </c>
      <c r="E1972" s="14" t="inlineStr">
        <is>
          <t>Kerala Public Works &amp; Technology Department</t>
        </is>
      </c>
      <c r="F1972" s="13" t="inlineStr">
        <is>
          <t>11 Aug 2026</t>
        </is>
      </c>
      <c r="G1972" s="12" t="inlineStr">
        <is>
          <t>09 Sep 2026</t>
        </is>
      </c>
      <c r="H1972" s="8" t="inlineStr">
        <is>
          <t>⏳ UPCOMING</t>
        </is>
      </c>
      <c r="I1972" s="11" t="inlineStr">
        <is>
          <t>viewsbd.pdf</t>
        </is>
      </c>
      <c r="J1972" s="13" t="inlineStr">
        <is>
          <t>📕 PDF Document</t>
        </is>
      </c>
      <c r="K1972" s="15" t="n">
        <v>17.8</v>
      </c>
      <c r="L1972" s="16">
        <f>HYPERLINK("http://127.0.0.1:8000/api/documents/download?id=1804&amp;attachment=true", "⬇ Download viewsbd.pdf")</f>
        <v/>
      </c>
      <c r="M1972" s="16">
        <f>HYPERLINK("http://localhost:5173/?state=Kerala&amp;keyword=ICT&amp;tender=2026_PWD_878819_1", "🚀 Open in Portal")</f>
        <v/>
      </c>
    </row>
    <row r="1973" ht="24" customHeight="1">
      <c r="A1973" s="4" t="inlineStr">
        <is>
          <t>Kerala</t>
        </is>
      </c>
      <c r="B1973" s="5" t="inlineStr">
        <is>
          <t>ICT</t>
        </is>
      </c>
      <c r="C1973" s="6" t="inlineStr">
        <is>
          <t>2026_PWD_878819_1</t>
        </is>
      </c>
      <c r="D1973" s="7" t="inlineStr">
        <is>
          <t>[RM 2024-25 Eviction of Encrochment-General civil works]</t>
        </is>
      </c>
      <c r="E1973" s="7" t="inlineStr">
        <is>
          <t>Kerala Public Works &amp; Technology Department</t>
        </is>
      </c>
      <c r="F1973" s="6" t="inlineStr">
        <is>
          <t>11 Aug 2026</t>
        </is>
      </c>
      <c r="G1973" s="5" t="inlineStr">
        <is>
          <t>09 Sep 2026</t>
        </is>
      </c>
      <c r="H1973" s="8" t="inlineStr">
        <is>
          <t>⏳ UPCOMING</t>
        </is>
      </c>
      <c r="I1973" s="4" t="inlineStr">
        <is>
          <t>Tender_2026_PWD_878819_1_All_Documents.zip</t>
        </is>
      </c>
      <c r="J1973" s="6" t="inlineStr">
        <is>
          <t>📦 ZIP Package</t>
        </is>
      </c>
      <c r="K1973" s="9" t="n">
        <v>29.8</v>
      </c>
      <c r="L1973" s="10">
        <f>HYPERLINK("http://127.0.0.1:8000/api/documents/download?id=1805&amp;attachment=true", "⬇ Download Tender_2026_PWD_878819_1")</f>
        <v/>
      </c>
      <c r="M1973" s="10">
        <f>HYPERLINK("http://localhost:5173/?state=Kerala&amp;keyword=ICT&amp;tender=2026_PWD_878819_1", "🚀 Open in Portal")</f>
        <v/>
      </c>
    </row>
    <row r="1974" ht="24" customHeight="1">
      <c r="A1974" s="11" t="inlineStr">
        <is>
          <t>Kerala</t>
        </is>
      </c>
      <c r="B1974" s="12" t="inlineStr">
        <is>
          <t>ICT</t>
        </is>
      </c>
      <c r="C1974" s="13" t="inlineStr">
        <is>
          <t>2026_PWD_878910_1</t>
        </is>
      </c>
      <c r="D1974" s="14" t="inlineStr">
        <is>
          <t>[Zone 5 One year Running Contract for Various PWD Roads section Perinthalmanna in Malappuram Disttrict 6 Nos of Roads stretches for a length of 25.924 km]</t>
        </is>
      </c>
      <c r="E1974" s="14" t="inlineStr">
        <is>
          <t>Kerala Public Works &amp; Technology Department</t>
        </is>
      </c>
      <c r="F1974" s="13" t="inlineStr">
        <is>
          <t>28 Sep 2026</t>
        </is>
      </c>
      <c r="G1974" s="12" t="inlineStr">
        <is>
          <t>16 Nov 2026</t>
        </is>
      </c>
      <c r="H1974" s="17" t="inlineStr">
        <is>
          <t>🟢 LIVE ACTIVE</t>
        </is>
      </c>
      <c r="I1974" s="11" t="inlineStr">
        <is>
          <t>Tendernotice_1.pdf</t>
        </is>
      </c>
      <c r="J1974" s="13" t="inlineStr">
        <is>
          <t>📕 PDF Document</t>
        </is>
      </c>
      <c r="K1974" s="15" t="n">
        <v>17.8</v>
      </c>
      <c r="L1974" s="16">
        <f>HYPERLINK("http://127.0.0.1:8000/api/documents/download?id=1823&amp;attachment=true", "⬇ Download Tendernotice_1.pdf")</f>
        <v/>
      </c>
      <c r="M1974" s="16">
        <f>HYPERLINK("http://localhost:5173/?state=Kerala&amp;keyword=ICT&amp;tender=2026_PWD_878910_1", "🚀 Open in Portal")</f>
        <v/>
      </c>
    </row>
    <row r="1975" ht="24" customHeight="1">
      <c r="A1975" s="4" t="inlineStr">
        <is>
          <t>Kerala</t>
        </is>
      </c>
      <c r="B1975" s="5" t="inlineStr">
        <is>
          <t>ICT</t>
        </is>
      </c>
      <c r="C1975" s="6" t="inlineStr">
        <is>
          <t>2026_PWD_878910_1</t>
        </is>
      </c>
      <c r="D1975" s="7" t="inlineStr">
        <is>
          <t>[Zone 5 One year Running Contract for Various PWD Roads section Perinthalmanna in Malappuram Disttrict 6 Nos of Roads stretches for a length of 25.924 km]</t>
        </is>
      </c>
      <c r="E1975" s="7" t="inlineStr">
        <is>
          <t>Kerala Public Works &amp; Technology Department</t>
        </is>
      </c>
      <c r="F1975" s="6" t="inlineStr">
        <is>
          <t>28 Sep 2026</t>
        </is>
      </c>
      <c r="G1975" s="5" t="inlineStr">
        <is>
          <t>16 Nov 2026</t>
        </is>
      </c>
      <c r="H1975" s="17" t="inlineStr">
        <is>
          <t>🟢 LIVE ACTIVE</t>
        </is>
      </c>
      <c r="I1975" s="4" t="inlineStr">
        <is>
          <t>BOQ_1493961.xls</t>
        </is>
      </c>
      <c r="J1975" s="6" t="inlineStr">
        <is>
          <t>📊 Excel BOQ</t>
        </is>
      </c>
      <c r="K1975" s="9" t="n">
        <v>2.5</v>
      </c>
      <c r="L1975" s="10">
        <f>HYPERLINK("http://127.0.0.1:8000/api/documents/download?id=1824&amp;attachment=true", "⬇ Download BOQ_1493961.xls")</f>
        <v/>
      </c>
      <c r="M1975" s="10">
        <f>HYPERLINK("http://localhost:5173/?state=Kerala&amp;keyword=ICT&amp;tender=2026_PWD_878910_1", "🚀 Open in Portal")</f>
        <v/>
      </c>
    </row>
    <row r="1976" ht="24" customHeight="1">
      <c r="A1976" s="11" t="inlineStr">
        <is>
          <t>Kerala</t>
        </is>
      </c>
      <c r="B1976" s="12" t="inlineStr">
        <is>
          <t>ICT</t>
        </is>
      </c>
      <c r="C1976" s="13" t="inlineStr">
        <is>
          <t>2026_PWD_878910_1</t>
        </is>
      </c>
      <c r="D1976" s="14" t="inlineStr">
        <is>
          <t>[Zone 5 One year Running Contract for Various PWD Roads section Perinthalmanna in Malappuram Disttrict 6 Nos of Roads stretches for a length of 25.924 km]</t>
        </is>
      </c>
      <c r="E1976" s="14" t="inlineStr">
        <is>
          <t>Kerala Public Works &amp; Technology Department</t>
        </is>
      </c>
      <c r="F1976" s="13" t="inlineStr">
        <is>
          <t>28 Sep 2026</t>
        </is>
      </c>
      <c r="G1976" s="12" t="inlineStr">
        <is>
          <t>16 Nov 2026</t>
        </is>
      </c>
      <c r="H1976" s="17" t="inlineStr">
        <is>
          <t>🟢 LIVE ACTIVE</t>
        </is>
      </c>
      <c r="I1976" s="11" t="inlineStr">
        <is>
          <t>viewsbd.pdf</t>
        </is>
      </c>
      <c r="J1976" s="13" t="inlineStr">
        <is>
          <t>📕 PDF Document</t>
        </is>
      </c>
      <c r="K1976" s="15" t="n">
        <v>17.8</v>
      </c>
      <c r="L1976" s="16">
        <f>HYPERLINK("http://127.0.0.1:8000/api/documents/download?id=1825&amp;attachment=true", "⬇ Download viewsbd.pdf")</f>
        <v/>
      </c>
      <c r="M1976" s="16">
        <f>HYPERLINK("http://localhost:5173/?state=Kerala&amp;keyword=ICT&amp;tender=2026_PWD_878910_1", "🚀 Open in Portal")</f>
        <v/>
      </c>
    </row>
    <row r="1977" ht="24" customHeight="1">
      <c r="A1977" s="4" t="inlineStr">
        <is>
          <t>Kerala</t>
        </is>
      </c>
      <c r="B1977" s="5" t="inlineStr">
        <is>
          <t>ICT</t>
        </is>
      </c>
      <c r="C1977" s="6" t="inlineStr">
        <is>
          <t>2026_PWD_878910_1</t>
        </is>
      </c>
      <c r="D1977" s="7" t="inlineStr">
        <is>
          <t>[Zone 5 One year Running Contract for Various PWD Roads section Perinthalmanna in Malappuram Disttrict 6 Nos of Roads stretches for a length of 25.924 km]</t>
        </is>
      </c>
      <c r="E1977" s="7" t="inlineStr">
        <is>
          <t>Kerala Public Works &amp; Technology Department</t>
        </is>
      </c>
      <c r="F1977" s="6" t="inlineStr">
        <is>
          <t>28 Sep 2026</t>
        </is>
      </c>
      <c r="G1977" s="5" t="inlineStr">
        <is>
          <t>16 Nov 2026</t>
        </is>
      </c>
      <c r="H1977" s="17" t="inlineStr">
        <is>
          <t>🟢 LIVE ACTIVE</t>
        </is>
      </c>
      <c r="I1977" s="4" t="inlineStr">
        <is>
          <t>PreAgmntFormat_New.pdf</t>
        </is>
      </c>
      <c r="J1977" s="6" t="inlineStr">
        <is>
          <t>📕 PDF Document</t>
        </is>
      </c>
      <c r="K1977" s="9" t="n">
        <v>17.8</v>
      </c>
      <c r="L1977" s="10">
        <f>HYPERLINK("http://127.0.0.1:8000/api/documents/download?id=1826&amp;attachment=true", "⬇ Download PreAgmntFormat_New.pdf")</f>
        <v/>
      </c>
      <c r="M1977" s="10">
        <f>HYPERLINK("http://localhost:5173/?state=Kerala&amp;keyword=ICT&amp;tender=2026_PWD_878910_1", "🚀 Open in Portal")</f>
        <v/>
      </c>
    </row>
    <row r="1978" ht="24" customHeight="1">
      <c r="A1978" s="11" t="inlineStr">
        <is>
          <t>Kerala</t>
        </is>
      </c>
      <c r="B1978" s="12" t="inlineStr">
        <is>
          <t>ICT</t>
        </is>
      </c>
      <c r="C1978" s="13" t="inlineStr">
        <is>
          <t>2026_PWD_878910_1</t>
        </is>
      </c>
      <c r="D1978" s="14" t="inlineStr">
        <is>
          <t>[Zone 5 One year Running Contract for Various PWD Roads section Perinthalmanna in Malappuram Disttrict 6 Nos of Roads stretches for a length of 25.924 km]</t>
        </is>
      </c>
      <c r="E1978" s="14" t="inlineStr">
        <is>
          <t>Kerala Public Works &amp; Technology Department</t>
        </is>
      </c>
      <c r="F1978" s="13" t="inlineStr">
        <is>
          <t>28 Sep 2026</t>
        </is>
      </c>
      <c r="G1978" s="12" t="inlineStr">
        <is>
          <t>16 Nov 2026</t>
        </is>
      </c>
      <c r="H1978" s="17" t="inlineStr">
        <is>
          <t>🟢 LIVE ACTIVE</t>
        </is>
      </c>
      <c r="I1978" s="11" t="inlineStr">
        <is>
          <t>epaymentform1.pdf</t>
        </is>
      </c>
      <c r="J1978" s="13" t="inlineStr">
        <is>
          <t>📕 PDF Document</t>
        </is>
      </c>
      <c r="K1978" s="15" t="n">
        <v>17.8</v>
      </c>
      <c r="L1978" s="16">
        <f>HYPERLINK("http://127.0.0.1:8000/api/documents/download?id=1827&amp;attachment=true", "⬇ Download epaymentform1.pdf")</f>
        <v/>
      </c>
      <c r="M1978" s="16">
        <f>HYPERLINK("http://localhost:5173/?state=Kerala&amp;keyword=ICT&amp;tender=2026_PWD_878910_1", "🚀 Open in Portal")</f>
        <v/>
      </c>
    </row>
    <row r="1979" ht="24" customHeight="1">
      <c r="A1979" s="4" t="inlineStr">
        <is>
          <t>Kerala</t>
        </is>
      </c>
      <c r="B1979" s="5" t="inlineStr">
        <is>
          <t>ICT</t>
        </is>
      </c>
      <c r="C1979" s="6" t="inlineStr">
        <is>
          <t>2026_PWD_878910_1</t>
        </is>
      </c>
      <c r="D1979" s="7" t="inlineStr">
        <is>
          <t>[Zone 5 One year Running Contract for Various PWD Roads section Perinthalmanna in Malappuram Disttrict 6 Nos of Roads stretches for a length of 25.924 km]</t>
        </is>
      </c>
      <c r="E1979" s="7" t="inlineStr">
        <is>
          <t>Kerala Public Works &amp; Technology Department</t>
        </is>
      </c>
      <c r="F1979" s="6" t="inlineStr">
        <is>
          <t>28 Sep 2026</t>
        </is>
      </c>
      <c r="G1979" s="5" t="inlineStr">
        <is>
          <t>16 Nov 2026</t>
        </is>
      </c>
      <c r="H1979" s="17" t="inlineStr">
        <is>
          <t>🟢 LIVE ACTIVE</t>
        </is>
      </c>
      <c r="I1979" s="4" t="inlineStr">
        <is>
          <t>integrity_pact.pdf</t>
        </is>
      </c>
      <c r="J1979" s="6" t="inlineStr">
        <is>
          <t>📕 PDF Document</t>
        </is>
      </c>
      <c r="K1979" s="9" t="n">
        <v>17.8</v>
      </c>
      <c r="L1979" s="10">
        <f>HYPERLINK("http://127.0.0.1:8000/api/documents/download?id=1828&amp;attachment=true", "⬇ Download integrity_pact.pdf")</f>
        <v/>
      </c>
      <c r="M1979" s="10">
        <f>HYPERLINK("http://localhost:5173/?state=Kerala&amp;keyword=ICT&amp;tender=2026_PWD_878910_1", "🚀 Open in Portal")</f>
        <v/>
      </c>
    </row>
    <row r="1980" ht="24" customHeight="1">
      <c r="A1980" s="11" t="inlineStr">
        <is>
          <t>Kerala</t>
        </is>
      </c>
      <c r="B1980" s="12" t="inlineStr">
        <is>
          <t>ICT</t>
        </is>
      </c>
      <c r="C1980" s="13" t="inlineStr">
        <is>
          <t>2026_PWD_878910_1</t>
        </is>
      </c>
      <c r="D1980" s="14" t="inlineStr">
        <is>
          <t>[Zone 5 One year Running Contract for Various PWD Roads section Perinthalmanna in Malappuram Disttrict 6 Nos of Roads stretches for a length of 25.924 km]</t>
        </is>
      </c>
      <c r="E1980" s="14" t="inlineStr">
        <is>
          <t>Kerala Public Works &amp; Technology Department</t>
        </is>
      </c>
      <c r="F1980" s="13" t="inlineStr">
        <is>
          <t>28 Sep 2026</t>
        </is>
      </c>
      <c r="G1980" s="12" t="inlineStr">
        <is>
          <t>16 Nov 2026</t>
        </is>
      </c>
      <c r="H1980" s="17" t="inlineStr">
        <is>
          <t>🟢 LIVE ACTIVE</t>
        </is>
      </c>
      <c r="I1980" s="11" t="inlineStr">
        <is>
          <t>form_of_tender.pdf</t>
        </is>
      </c>
      <c r="J1980" s="13" t="inlineStr">
        <is>
          <t>📕 PDF Document</t>
        </is>
      </c>
      <c r="K1980" s="15" t="n">
        <v>17.8</v>
      </c>
      <c r="L1980" s="16">
        <f>HYPERLINK("http://127.0.0.1:8000/api/documents/download?id=1829&amp;attachment=true", "⬇ Download form_of_tender.pdf")</f>
        <v/>
      </c>
      <c r="M1980" s="16">
        <f>HYPERLINK("http://localhost:5173/?state=Kerala&amp;keyword=ICT&amp;tender=2026_PWD_878910_1", "🚀 Open in Portal")</f>
        <v/>
      </c>
    </row>
    <row r="1981" ht="24" customHeight="1">
      <c r="A1981" s="4" t="inlineStr">
        <is>
          <t>Kerala</t>
        </is>
      </c>
      <c r="B1981" s="5" t="inlineStr">
        <is>
          <t>ICT</t>
        </is>
      </c>
      <c r="C1981" s="6" t="inlineStr">
        <is>
          <t>2026_PWD_878910_1</t>
        </is>
      </c>
      <c r="D1981" s="7" t="inlineStr">
        <is>
          <t>[Zone 5 One year Running Contract for Various PWD Roads section Perinthalmanna in Malappuram Disttrict 6 Nos of Roads stretches for a length of 25.924 km]</t>
        </is>
      </c>
      <c r="E1981" s="7" t="inlineStr">
        <is>
          <t>Kerala Public Works &amp; Technology Department</t>
        </is>
      </c>
      <c r="F1981" s="6" t="inlineStr">
        <is>
          <t>28 Sep 2026</t>
        </is>
      </c>
      <c r="G1981" s="5" t="inlineStr">
        <is>
          <t>16 Nov 2026</t>
        </is>
      </c>
      <c r="H1981" s="17" t="inlineStr">
        <is>
          <t>🟢 LIVE ACTIVE</t>
        </is>
      </c>
      <c r="I1981" s="4" t="inlineStr">
        <is>
          <t>Specialcondtionsofrunningcontractworks.pdf</t>
        </is>
      </c>
      <c r="J1981" s="6" t="inlineStr">
        <is>
          <t>📕 PDF Document</t>
        </is>
      </c>
      <c r="K1981" s="9" t="n">
        <v>17.9</v>
      </c>
      <c r="L1981" s="10">
        <f>HYPERLINK("http://127.0.0.1:8000/api/documents/download?id=1830&amp;attachment=true", "⬇ Download Specialcondtionsofrunnin")</f>
        <v/>
      </c>
      <c r="M1981" s="10">
        <f>HYPERLINK("http://localhost:5173/?state=Kerala&amp;keyword=ICT&amp;tender=2026_PWD_878910_1", "🚀 Open in Portal")</f>
        <v/>
      </c>
    </row>
    <row r="1982" ht="24" customHeight="1">
      <c r="A1982" s="11" t="inlineStr">
        <is>
          <t>Kerala</t>
        </is>
      </c>
      <c r="B1982" s="12" t="inlineStr">
        <is>
          <t>ICT</t>
        </is>
      </c>
      <c r="C1982" s="13" t="inlineStr">
        <is>
          <t>2026_PWD_878910_1</t>
        </is>
      </c>
      <c r="D1982" s="14" t="inlineStr">
        <is>
          <t>[Zone 5 One year Running Contract for Various PWD Roads section Perinthalmanna in Malappuram Disttrict 6 Nos of Roads stretches for a length of 25.924 km]</t>
        </is>
      </c>
      <c r="E1982" s="14" t="inlineStr">
        <is>
          <t>Kerala Public Works &amp; Technology Department</t>
        </is>
      </c>
      <c r="F1982" s="13" t="inlineStr">
        <is>
          <t>28 Sep 2026</t>
        </is>
      </c>
      <c r="G1982" s="12" t="inlineStr">
        <is>
          <t>16 Nov 2026</t>
        </is>
      </c>
      <c r="H1982" s="17" t="inlineStr">
        <is>
          <t>🟢 LIVE ACTIVE</t>
        </is>
      </c>
      <c r="I1982" s="11" t="inlineStr">
        <is>
          <t>Tender_2026_PWD_878910_1_All_Documents.zip</t>
        </is>
      </c>
      <c r="J1982" s="13" t="inlineStr">
        <is>
          <t>📦 ZIP Package</t>
        </is>
      </c>
      <c r="K1982" s="15" t="n">
        <v>66.8</v>
      </c>
      <c r="L1982" s="16">
        <f>HYPERLINK("http://127.0.0.1:8000/api/documents/download?id=1831&amp;attachment=true", "⬇ Download Tender_2026_PWD_878910_1")</f>
        <v/>
      </c>
      <c r="M1982" s="16">
        <f>HYPERLINK("http://localhost:5173/?state=Kerala&amp;keyword=ICT&amp;tender=2026_PWD_878910_1", "🚀 Open in Portal")</f>
        <v/>
      </c>
    </row>
    <row r="1983" ht="24" customHeight="1">
      <c r="A1983" s="4" t="inlineStr">
        <is>
          <t>Kerala</t>
        </is>
      </c>
      <c r="B1983" s="5" t="inlineStr">
        <is>
          <t>ICT</t>
        </is>
      </c>
      <c r="C1983" s="6" t="inlineStr">
        <is>
          <t>2026_PWD_879002_1</t>
        </is>
      </c>
      <c r="D1983" s="7" t="inlineStr">
        <is>
          <t>[GENERAL-Routine Maintenance 2026-27- RC1-Cluster 1-One year running contract for various PWD Roads under roads section Eraviperoor in Pathanamthitta district- 3 road stretches for a total length of 5.76 km-General Civil Work]</t>
        </is>
      </c>
      <c r="E1983" s="7" t="inlineStr">
        <is>
          <t>Kerala Public Works &amp; Technology Department</t>
        </is>
      </c>
      <c r="F1983" s="6" t="inlineStr">
        <is>
          <t>12 Sep 2026</t>
        </is>
      </c>
      <c r="G1983" s="5" t="inlineStr">
        <is>
          <t>08 Oct 2026</t>
        </is>
      </c>
      <c r="H1983" s="8" t="inlineStr">
        <is>
          <t>⏳ UPCOMING</t>
        </is>
      </c>
      <c r="I1983" s="4" t="inlineStr">
        <is>
          <t>Tendernotice_1.pdf</t>
        </is>
      </c>
      <c r="J1983" s="6" t="inlineStr">
        <is>
          <t>📕 PDF Document</t>
        </is>
      </c>
      <c r="K1983" s="9" t="n">
        <v>17.8</v>
      </c>
      <c r="L1983" s="10">
        <f>HYPERLINK("http://127.0.0.1:8000/api/documents/download?id=1812&amp;attachment=true", "⬇ Download Tendernotice_1.pdf")</f>
        <v/>
      </c>
      <c r="M1983" s="10">
        <f>HYPERLINK("http://localhost:5173/?state=Kerala&amp;keyword=ICT&amp;tender=2026_PWD_879002_1", "🚀 Open in Portal")</f>
        <v/>
      </c>
    </row>
    <row r="1984" ht="24" customHeight="1">
      <c r="A1984" s="11" t="inlineStr">
        <is>
          <t>Kerala</t>
        </is>
      </c>
      <c r="B1984" s="12" t="inlineStr">
        <is>
          <t>ICT</t>
        </is>
      </c>
      <c r="C1984" s="13" t="inlineStr">
        <is>
          <t>2026_PWD_879002_1</t>
        </is>
      </c>
      <c r="D1984" s="14" t="inlineStr">
        <is>
          <t>[GENERAL-Routine Maintenance 2026-27- RC1-Cluster 1-One year running contract for various PWD Roads under roads section Eraviperoor in Pathanamthitta district- 3 road stretches for a total length of 5.76 km-General Civil Work]</t>
        </is>
      </c>
      <c r="E1984" s="14" t="inlineStr">
        <is>
          <t>Kerala Public Works &amp; Technology Department</t>
        </is>
      </c>
      <c r="F1984" s="13" t="inlineStr">
        <is>
          <t>12 Sep 2026</t>
        </is>
      </c>
      <c r="G1984" s="12" t="inlineStr">
        <is>
          <t>08 Oct 2026</t>
        </is>
      </c>
      <c r="H1984" s="8" t="inlineStr">
        <is>
          <t>⏳ UPCOMING</t>
        </is>
      </c>
      <c r="I1984" s="11" t="inlineStr">
        <is>
          <t>viewsbd.pdf</t>
        </is>
      </c>
      <c r="J1984" s="13" t="inlineStr">
        <is>
          <t>📕 PDF Document</t>
        </is>
      </c>
      <c r="K1984" s="15" t="n">
        <v>17.8</v>
      </c>
      <c r="L1984" s="16">
        <f>HYPERLINK("http://127.0.0.1:8000/api/documents/download?id=1813&amp;attachment=true", "⬇ Download viewsbd.pdf")</f>
        <v/>
      </c>
      <c r="M1984" s="16">
        <f>HYPERLINK("http://localhost:5173/?state=Kerala&amp;keyword=ICT&amp;tender=2026_PWD_879002_1", "🚀 Open in Portal")</f>
        <v/>
      </c>
    </row>
    <row r="1985" ht="24" customHeight="1">
      <c r="A1985" s="4" t="inlineStr">
        <is>
          <t>Kerala</t>
        </is>
      </c>
      <c r="B1985" s="5" t="inlineStr">
        <is>
          <t>ICT</t>
        </is>
      </c>
      <c r="C1985" s="6" t="inlineStr">
        <is>
          <t>2026_PWD_879002_1</t>
        </is>
      </c>
      <c r="D1985" s="7" t="inlineStr">
        <is>
          <t>[GENERAL-Routine Maintenance 2026-27- RC1-Cluster 1-One year running contract for various PWD Roads under roads section Eraviperoor in Pathanamthitta district- 3 road stretches for a total length of 5.76 km-General Civil Work]</t>
        </is>
      </c>
      <c r="E1985" s="7" t="inlineStr">
        <is>
          <t>Kerala Public Works &amp; Technology Department</t>
        </is>
      </c>
      <c r="F1985" s="6" t="inlineStr">
        <is>
          <t>12 Sep 2026</t>
        </is>
      </c>
      <c r="G1985" s="5" t="inlineStr">
        <is>
          <t>08 Oct 2026</t>
        </is>
      </c>
      <c r="H1985" s="8" t="inlineStr">
        <is>
          <t>⏳ UPCOMING</t>
        </is>
      </c>
      <c r="I1985" s="4" t="inlineStr">
        <is>
          <t>priliminary.pdf</t>
        </is>
      </c>
      <c r="J1985" s="6" t="inlineStr">
        <is>
          <t>📕 PDF Document</t>
        </is>
      </c>
      <c r="K1985" s="9" t="n">
        <v>17.8</v>
      </c>
      <c r="L1985" s="10">
        <f>HYPERLINK("http://127.0.0.1:8000/api/documents/download?id=1814&amp;attachment=true", "⬇ Download priliminary.pdf")</f>
        <v/>
      </c>
      <c r="M1985" s="10">
        <f>HYPERLINK("http://localhost:5173/?state=Kerala&amp;keyword=ICT&amp;tender=2026_PWD_879002_1", "🚀 Open in Portal")</f>
        <v/>
      </c>
    </row>
    <row r="1986" ht="24" customHeight="1">
      <c r="A1986" s="11" t="inlineStr">
        <is>
          <t>Kerala</t>
        </is>
      </c>
      <c r="B1986" s="12" t="inlineStr">
        <is>
          <t>ICT</t>
        </is>
      </c>
      <c r="C1986" s="13" t="inlineStr">
        <is>
          <t>2026_PWD_879002_1</t>
        </is>
      </c>
      <c r="D1986" s="14" t="inlineStr">
        <is>
          <t>[GENERAL-Routine Maintenance 2026-27- RC1-Cluster 1-One year running contract for various PWD Roads under roads section Eraviperoor in Pathanamthitta district- 3 road stretches for a total length of 5.76 km-General Civil Work]</t>
        </is>
      </c>
      <c r="E1986" s="14" t="inlineStr">
        <is>
          <t>Kerala Public Works &amp; Technology Department</t>
        </is>
      </c>
      <c r="F1986" s="13" t="inlineStr">
        <is>
          <t>12 Sep 2026</t>
        </is>
      </c>
      <c r="G1986" s="12" t="inlineStr">
        <is>
          <t>08 Oct 2026</t>
        </is>
      </c>
      <c r="H1986" s="8" t="inlineStr">
        <is>
          <t>⏳ UPCOMING</t>
        </is>
      </c>
      <c r="I1986" s="11" t="inlineStr">
        <is>
          <t>affidavit.pdf</t>
        </is>
      </c>
      <c r="J1986" s="13" t="inlineStr">
        <is>
          <t>📕 PDF Document</t>
        </is>
      </c>
      <c r="K1986" s="15" t="n">
        <v>17.8</v>
      </c>
      <c r="L1986" s="16">
        <f>HYPERLINK("http://127.0.0.1:8000/api/documents/download?id=1815&amp;attachment=true", "⬇ Download affidavit.pdf")</f>
        <v/>
      </c>
      <c r="M1986" s="16">
        <f>HYPERLINK("http://localhost:5173/?state=Kerala&amp;keyword=ICT&amp;tender=2026_PWD_879002_1", "🚀 Open in Portal")</f>
        <v/>
      </c>
    </row>
    <row r="1987" ht="24" customHeight="1">
      <c r="A1987" s="4" t="inlineStr">
        <is>
          <t>Kerala</t>
        </is>
      </c>
      <c r="B1987" s="5" t="inlineStr">
        <is>
          <t>ICT</t>
        </is>
      </c>
      <c r="C1987" s="6" t="inlineStr">
        <is>
          <t>2026_PWD_879002_1</t>
        </is>
      </c>
      <c r="D1987" s="7" t="inlineStr">
        <is>
          <t>[GENERAL-Routine Maintenance 2026-27- RC1-Cluster 1-One year running contract for various PWD Roads under roads section Eraviperoor in Pathanamthitta district- 3 road stretches for a total length of 5.76 km-General Civil Work]</t>
        </is>
      </c>
      <c r="E1987" s="7" t="inlineStr">
        <is>
          <t>Kerala Public Works &amp; Technology Department</t>
        </is>
      </c>
      <c r="F1987" s="6" t="inlineStr">
        <is>
          <t>12 Sep 2026</t>
        </is>
      </c>
      <c r="G1987" s="5" t="inlineStr">
        <is>
          <t>08 Oct 2026</t>
        </is>
      </c>
      <c r="H1987" s="8" t="inlineStr">
        <is>
          <t>⏳ UPCOMING</t>
        </is>
      </c>
      <c r="I1987" s="4" t="inlineStr">
        <is>
          <t>epayment.pdf</t>
        </is>
      </c>
      <c r="J1987" s="6" t="inlineStr">
        <is>
          <t>📕 PDF Document</t>
        </is>
      </c>
      <c r="K1987" s="9" t="n">
        <v>17.8</v>
      </c>
      <c r="L1987" s="10">
        <f>HYPERLINK("http://127.0.0.1:8000/api/documents/download?id=1816&amp;attachment=true", "⬇ Download epayment.pdf")</f>
        <v/>
      </c>
      <c r="M1987" s="10">
        <f>HYPERLINK("http://localhost:5173/?state=Kerala&amp;keyword=ICT&amp;tender=2026_PWD_879002_1", "🚀 Open in Portal")</f>
        <v/>
      </c>
    </row>
    <row r="1988" ht="24" customHeight="1">
      <c r="A1988" s="11" t="inlineStr">
        <is>
          <t>Kerala</t>
        </is>
      </c>
      <c r="B1988" s="12" t="inlineStr">
        <is>
          <t>ICT</t>
        </is>
      </c>
      <c r="C1988" s="13" t="inlineStr">
        <is>
          <t>2026_PWD_879002_1</t>
        </is>
      </c>
      <c r="D1988" s="14" t="inlineStr">
        <is>
          <t>[GENERAL-Routine Maintenance 2026-27- RC1-Cluster 1-One year running contract for various PWD Roads under roads section Eraviperoor in Pathanamthitta district- 3 road stretches for a total length of 5.76 km-General Civil Work]</t>
        </is>
      </c>
      <c r="E1988" s="14" t="inlineStr">
        <is>
          <t>Kerala Public Works &amp; Technology Department</t>
        </is>
      </c>
      <c r="F1988" s="13" t="inlineStr">
        <is>
          <t>12 Sep 2026</t>
        </is>
      </c>
      <c r="G1988" s="12" t="inlineStr">
        <is>
          <t>08 Oct 2026</t>
        </is>
      </c>
      <c r="H1988" s="8" t="inlineStr">
        <is>
          <t>⏳ UPCOMING</t>
        </is>
      </c>
      <c r="I1988" s="11" t="inlineStr">
        <is>
          <t>integrity.pdf</t>
        </is>
      </c>
      <c r="J1988" s="13" t="inlineStr">
        <is>
          <t>📕 PDF Document</t>
        </is>
      </c>
      <c r="K1988" s="15" t="n">
        <v>17.8</v>
      </c>
      <c r="L1988" s="16">
        <f>HYPERLINK("http://127.0.0.1:8000/api/documents/download?id=1817&amp;attachment=true", "⬇ Download integrity.pdf")</f>
        <v/>
      </c>
      <c r="M1988" s="16">
        <f>HYPERLINK("http://localhost:5173/?state=Kerala&amp;keyword=ICT&amp;tender=2026_PWD_879002_1", "🚀 Open in Portal")</f>
        <v/>
      </c>
    </row>
    <row r="1989" ht="24" customHeight="1">
      <c r="A1989" s="4" t="inlineStr">
        <is>
          <t>Kerala</t>
        </is>
      </c>
      <c r="B1989" s="5" t="inlineStr">
        <is>
          <t>ICT</t>
        </is>
      </c>
      <c r="C1989" s="6" t="inlineStr">
        <is>
          <t>2026_PWD_879002_1</t>
        </is>
      </c>
      <c r="D1989" s="7" t="inlineStr">
        <is>
          <t>[GENERAL-Routine Maintenance 2026-27- RC1-Cluster 1-One year running contract for various PWD Roads under roads section Eraviperoor in Pathanamthitta district- 3 road stretches for a total length of 5.76 km-General Civil Work]</t>
        </is>
      </c>
      <c r="E1989" s="7" t="inlineStr">
        <is>
          <t>Kerala Public Works &amp; Technology Department</t>
        </is>
      </c>
      <c r="F1989" s="6" t="inlineStr">
        <is>
          <t>12 Sep 2026</t>
        </is>
      </c>
      <c r="G1989" s="5" t="inlineStr">
        <is>
          <t>08 Oct 2026</t>
        </is>
      </c>
      <c r="H1989" s="8" t="inlineStr">
        <is>
          <t>⏳ UPCOMING</t>
        </is>
      </c>
      <c r="I1989" s="4" t="inlineStr">
        <is>
          <t>letter.pdf</t>
        </is>
      </c>
      <c r="J1989" s="6" t="inlineStr">
        <is>
          <t>📕 PDF Document</t>
        </is>
      </c>
      <c r="K1989" s="9" t="n">
        <v>17.8</v>
      </c>
      <c r="L1989" s="10">
        <f>HYPERLINK("http://127.0.0.1:8000/api/documents/download?id=1818&amp;attachment=true", "⬇ Download letter.pdf")</f>
        <v/>
      </c>
      <c r="M1989" s="10">
        <f>HYPERLINK("http://localhost:5173/?state=Kerala&amp;keyword=ICT&amp;tender=2026_PWD_879002_1", "🚀 Open in Portal")</f>
        <v/>
      </c>
    </row>
    <row r="1990" ht="24" customHeight="1">
      <c r="A1990" s="11" t="inlineStr">
        <is>
          <t>Kerala</t>
        </is>
      </c>
      <c r="B1990" s="12" t="inlineStr">
        <is>
          <t>ICT</t>
        </is>
      </c>
      <c r="C1990" s="13" t="inlineStr">
        <is>
          <t>2026_PWD_879002_1</t>
        </is>
      </c>
      <c r="D1990" s="14" t="inlineStr">
        <is>
          <t>[GENERAL-Routine Maintenance 2026-27- RC1-Cluster 1-One year running contract for various PWD Roads under roads section Eraviperoor in Pathanamthitta district- 3 road stretches for a total length of 5.76 km-General Civil Work]</t>
        </is>
      </c>
      <c r="E1990" s="14" t="inlineStr">
        <is>
          <t>Kerala Public Works &amp; Technology Department</t>
        </is>
      </c>
      <c r="F1990" s="13" t="inlineStr">
        <is>
          <t>12 Sep 2026</t>
        </is>
      </c>
      <c r="G1990" s="12" t="inlineStr">
        <is>
          <t>08 Oct 2026</t>
        </is>
      </c>
      <c r="H1990" s="8" t="inlineStr">
        <is>
          <t>⏳ UPCOMING</t>
        </is>
      </c>
      <c r="I1990" s="11" t="inlineStr">
        <is>
          <t>viewnit.pdf</t>
        </is>
      </c>
      <c r="J1990" s="13" t="inlineStr">
        <is>
          <t>📕 PDF Document</t>
        </is>
      </c>
      <c r="K1990" s="15" t="n">
        <v>17.8</v>
      </c>
      <c r="L1990" s="16">
        <f>HYPERLINK("http://127.0.0.1:8000/api/documents/download?id=1819&amp;attachment=true", "⬇ Download viewnit.pdf")</f>
        <v/>
      </c>
      <c r="M1990" s="16">
        <f>HYPERLINK("http://localhost:5173/?state=Kerala&amp;keyword=ICT&amp;tender=2026_PWD_879002_1", "🚀 Open in Portal")</f>
        <v/>
      </c>
    </row>
    <row r="1991" ht="24" customHeight="1">
      <c r="A1991" s="4" t="inlineStr">
        <is>
          <t>Kerala</t>
        </is>
      </c>
      <c r="B1991" s="5" t="inlineStr">
        <is>
          <t>ICT</t>
        </is>
      </c>
      <c r="C1991" s="6" t="inlineStr">
        <is>
          <t>2026_PWD_879002_1</t>
        </is>
      </c>
      <c r="D1991" s="7" t="inlineStr">
        <is>
          <t>[GENERAL-Routine Maintenance 2026-27- RC1-Cluster 1-One year running contract for various PWD Roads under roads section Eraviperoor in Pathanamthitta district- 3 road stretches for a total length of 5.76 km-General Civil Work]</t>
        </is>
      </c>
      <c r="E1991" s="7" t="inlineStr">
        <is>
          <t>Kerala Public Works &amp; Technology Department</t>
        </is>
      </c>
      <c r="F1991" s="6" t="inlineStr">
        <is>
          <t>12 Sep 2026</t>
        </is>
      </c>
      <c r="G1991" s="5" t="inlineStr">
        <is>
          <t>08 Oct 2026</t>
        </is>
      </c>
      <c r="H1991" s="8" t="inlineStr">
        <is>
          <t>⏳ UPCOMING</t>
        </is>
      </c>
      <c r="I1991" s="4" t="inlineStr">
        <is>
          <t>performance.pdf</t>
        </is>
      </c>
      <c r="J1991" s="6" t="inlineStr">
        <is>
          <t>📕 PDF Document</t>
        </is>
      </c>
      <c r="K1991" s="9" t="n">
        <v>17.8</v>
      </c>
      <c r="L1991" s="10">
        <f>HYPERLINK("http://127.0.0.1:8000/api/documents/download?id=1820&amp;attachment=true", "⬇ Download performance.pdf")</f>
        <v/>
      </c>
      <c r="M1991" s="10">
        <f>HYPERLINK("http://localhost:5173/?state=Kerala&amp;keyword=ICT&amp;tender=2026_PWD_879002_1", "🚀 Open in Portal")</f>
        <v/>
      </c>
    </row>
    <row r="1992" ht="24" customHeight="1">
      <c r="A1992" s="11" t="inlineStr">
        <is>
          <t>Kerala</t>
        </is>
      </c>
      <c r="B1992" s="12" t="inlineStr">
        <is>
          <t>ICT</t>
        </is>
      </c>
      <c r="C1992" s="13" t="inlineStr">
        <is>
          <t>2026_PWD_879002_1</t>
        </is>
      </c>
      <c r="D1992" s="14" t="inlineStr">
        <is>
          <t>[GENERAL-Routine Maintenance 2026-27- RC1-Cluster 1-One year running contract for various PWD Roads under roads section Eraviperoor in Pathanamthitta district- 3 road stretches for a total length of 5.76 km-General Civil Work]</t>
        </is>
      </c>
      <c r="E1992" s="14" t="inlineStr">
        <is>
          <t>Kerala Public Works &amp; Technology Department</t>
        </is>
      </c>
      <c r="F1992" s="13" t="inlineStr">
        <is>
          <t>12 Sep 2026</t>
        </is>
      </c>
      <c r="G1992" s="12" t="inlineStr">
        <is>
          <t>08 Oct 2026</t>
        </is>
      </c>
      <c r="H1992" s="8" t="inlineStr">
        <is>
          <t>⏳ UPCOMING</t>
        </is>
      </c>
      <c r="I1992" s="11" t="inlineStr">
        <is>
          <t>BOQ_1494177.xls</t>
        </is>
      </c>
      <c r="J1992" s="13" t="inlineStr">
        <is>
          <t>📊 Excel BOQ</t>
        </is>
      </c>
      <c r="K1992" s="15" t="n">
        <v>2.5</v>
      </c>
      <c r="L1992" s="16">
        <f>HYPERLINK("http://127.0.0.1:8000/api/documents/download?id=1821&amp;attachment=true", "⬇ Download BOQ_1494177.xls")</f>
        <v/>
      </c>
      <c r="M1992" s="16">
        <f>HYPERLINK("http://localhost:5173/?state=Kerala&amp;keyword=ICT&amp;tender=2026_PWD_879002_1", "🚀 Open in Portal")</f>
        <v/>
      </c>
    </row>
    <row r="1993" ht="24" customHeight="1">
      <c r="A1993" s="4" t="inlineStr">
        <is>
          <t>Kerala</t>
        </is>
      </c>
      <c r="B1993" s="5" t="inlineStr">
        <is>
          <t>ICT</t>
        </is>
      </c>
      <c r="C1993" s="6" t="inlineStr">
        <is>
          <t>2026_PWD_879002_1</t>
        </is>
      </c>
      <c r="D1993" s="7" t="inlineStr">
        <is>
          <t>[GENERAL-Routine Maintenance 2026-27- RC1-Cluster 1-One year running contract for various PWD Roads under roads section Eraviperoor in Pathanamthitta district- 3 road stretches for a total length of 5.76 km-General Civil Work]</t>
        </is>
      </c>
      <c r="E1993" s="7" t="inlineStr">
        <is>
          <t>Kerala Public Works &amp; Technology Department</t>
        </is>
      </c>
      <c r="F1993" s="6" t="inlineStr">
        <is>
          <t>12 Sep 2026</t>
        </is>
      </c>
      <c r="G1993" s="5" t="inlineStr">
        <is>
          <t>08 Oct 2026</t>
        </is>
      </c>
      <c r="H1993" s="8" t="inlineStr">
        <is>
          <t>⏳ UPCOMING</t>
        </is>
      </c>
      <c r="I1993" s="4" t="inlineStr">
        <is>
          <t>Tender_2026_PWD_879002_1_All_Documents.zip</t>
        </is>
      </c>
      <c r="J1993" s="6" t="inlineStr">
        <is>
          <t>📦 ZIP Package</t>
        </is>
      </c>
      <c r="K1993" s="9" t="n">
        <v>85.09999999999999</v>
      </c>
      <c r="L1993" s="10">
        <f>HYPERLINK("http://127.0.0.1:8000/api/documents/download?id=1822&amp;attachment=true", "⬇ Download Tender_2026_PWD_879002_1")</f>
        <v/>
      </c>
      <c r="M1993" s="10">
        <f>HYPERLINK("http://localhost:5173/?state=Kerala&amp;keyword=ICT&amp;tender=2026_PWD_879002_1", "🚀 Open in Portal")</f>
        <v/>
      </c>
    </row>
    <row r="1994" ht="24" customHeight="1">
      <c r="A1994" s="11" t="inlineStr">
        <is>
          <t>Kerala</t>
        </is>
      </c>
      <c r="B1994" s="12" t="inlineStr">
        <is>
          <t>ICT</t>
        </is>
      </c>
      <c r="C1994" s="13" t="inlineStr">
        <is>
          <t>2026_PWD_879005_1</t>
        </is>
      </c>
      <c r="D1994" s="14" t="inlineStr">
        <is>
          <t>[GENERAL-RUNNING CONTRACT 2026-27- Repair works for District Jail and Sub Jail - Alappuzha-General Civil Work]</t>
        </is>
      </c>
      <c r="E1994" s="14" t="inlineStr">
        <is>
          <t>Kerala Public Works &amp; Technology Department</t>
        </is>
      </c>
      <c r="F1994" s="13" t="inlineStr">
        <is>
          <t>05 Oct 2026</t>
        </is>
      </c>
      <c r="G1994" s="12" t="inlineStr">
        <is>
          <t>04 Nov 2026</t>
        </is>
      </c>
      <c r="H1994" s="17" t="inlineStr">
        <is>
          <t>🟢 LIVE ACTIVE</t>
        </is>
      </c>
      <c r="I1994" s="11" t="inlineStr">
        <is>
          <t>BOQ_1494215.xls</t>
        </is>
      </c>
      <c r="J1994" s="13" t="inlineStr">
        <is>
          <t>📊 Excel BOQ</t>
        </is>
      </c>
      <c r="K1994" s="15" t="n">
        <v>2.5</v>
      </c>
      <c r="L1994" s="16">
        <f>HYPERLINK("http://127.0.0.1:8000/api/documents/download?id=1778&amp;attachment=true", "⬇ Download BOQ_1494215.xls")</f>
        <v/>
      </c>
      <c r="M1994" s="16">
        <f>HYPERLINK("http://localhost:5173/?state=Kerala&amp;keyword=ICT&amp;tender=2026_PWD_879005_1", "🚀 Open in Portal")</f>
        <v/>
      </c>
    </row>
    <row r="1995" ht="24" customHeight="1">
      <c r="A1995" s="4" t="inlineStr">
        <is>
          <t>Kerala</t>
        </is>
      </c>
      <c r="B1995" s="5" t="inlineStr">
        <is>
          <t>ICT</t>
        </is>
      </c>
      <c r="C1995" s="6" t="inlineStr">
        <is>
          <t>2026_PWD_879005_1</t>
        </is>
      </c>
      <c r="D1995" s="7" t="inlineStr">
        <is>
          <t>[GENERAL-RUNNING CONTRACT 2026-27- Repair works for District Jail and Sub Jail - Alappuzha-General Civil Work]</t>
        </is>
      </c>
      <c r="E1995" s="7" t="inlineStr">
        <is>
          <t>Kerala Public Works &amp; Technology Department</t>
        </is>
      </c>
      <c r="F1995" s="6" t="inlineStr">
        <is>
          <t>05 Oct 2026</t>
        </is>
      </c>
      <c r="G1995" s="5" t="inlineStr">
        <is>
          <t>04 Nov 2026</t>
        </is>
      </c>
      <c r="H1995" s="17" t="inlineStr">
        <is>
          <t>🟢 LIVE ACTIVE</t>
        </is>
      </c>
      <c r="I1995" s="4" t="inlineStr">
        <is>
          <t>EPAYMENTFORM.pdf</t>
        </is>
      </c>
      <c r="J1995" s="6" t="inlineStr">
        <is>
          <t>📕 PDF Document</t>
        </is>
      </c>
      <c r="K1995" s="9" t="n">
        <v>17.8</v>
      </c>
      <c r="L1995" s="10">
        <f>HYPERLINK("http://127.0.0.1:8000/api/documents/download?id=1779&amp;attachment=true", "⬇ Download EPAYMENTFORM.pdf")</f>
        <v/>
      </c>
      <c r="M1995" s="10">
        <f>HYPERLINK("http://localhost:5173/?state=Kerala&amp;keyword=ICT&amp;tender=2026_PWD_879005_1", "🚀 Open in Portal")</f>
        <v/>
      </c>
    </row>
    <row r="1996" ht="24" customHeight="1">
      <c r="A1996" s="11" t="inlineStr">
        <is>
          <t>Kerala</t>
        </is>
      </c>
      <c r="B1996" s="12" t="inlineStr">
        <is>
          <t>ICT</t>
        </is>
      </c>
      <c r="C1996" s="13" t="inlineStr">
        <is>
          <t>2026_PWD_879005_1</t>
        </is>
      </c>
      <c r="D1996" s="14" t="inlineStr">
        <is>
          <t>[GENERAL-RUNNING CONTRACT 2026-27- Repair works for District Jail and Sub Jail - Alappuzha-General Civil Work]</t>
        </is>
      </c>
      <c r="E1996" s="14" t="inlineStr">
        <is>
          <t>Kerala Public Works &amp; Technology Department</t>
        </is>
      </c>
      <c r="F1996" s="13" t="inlineStr">
        <is>
          <t>05 Oct 2026</t>
        </is>
      </c>
      <c r="G1996" s="12" t="inlineStr">
        <is>
          <t>04 Nov 2026</t>
        </is>
      </c>
      <c r="H1996" s="17" t="inlineStr">
        <is>
          <t>🟢 LIVE ACTIVE</t>
        </is>
      </c>
      <c r="I1996" s="11" t="inlineStr">
        <is>
          <t>FORMOFTENDER.pdf</t>
        </is>
      </c>
      <c r="J1996" s="13" t="inlineStr">
        <is>
          <t>📕 PDF Document</t>
        </is>
      </c>
      <c r="K1996" s="15" t="n">
        <v>17.8</v>
      </c>
      <c r="L1996" s="16">
        <f>HYPERLINK("http://127.0.0.1:8000/api/documents/download?id=1780&amp;attachment=true", "⬇ Download FORMOFTENDER.pdf")</f>
        <v/>
      </c>
      <c r="M1996" s="16">
        <f>HYPERLINK("http://localhost:5173/?state=Kerala&amp;keyword=ICT&amp;tender=2026_PWD_879005_1", "🚀 Open in Portal")</f>
        <v/>
      </c>
    </row>
    <row r="1997" ht="24" customHeight="1">
      <c r="A1997" s="4" t="inlineStr">
        <is>
          <t>Kerala</t>
        </is>
      </c>
      <c r="B1997" s="5" t="inlineStr">
        <is>
          <t>ICT</t>
        </is>
      </c>
      <c r="C1997" s="6" t="inlineStr">
        <is>
          <t>2026_PWD_879005_1</t>
        </is>
      </c>
      <c r="D1997" s="7" t="inlineStr">
        <is>
          <t>[GENERAL-RUNNING CONTRACT 2026-27- Repair works for District Jail and Sub Jail - Alappuzha-General Civil Work]</t>
        </is>
      </c>
      <c r="E1997" s="7" t="inlineStr">
        <is>
          <t>Kerala Public Works &amp; Technology Department</t>
        </is>
      </c>
      <c r="F1997" s="6" t="inlineStr">
        <is>
          <t>05 Oct 2026</t>
        </is>
      </c>
      <c r="G1997" s="5" t="inlineStr">
        <is>
          <t>04 Nov 2026</t>
        </is>
      </c>
      <c r="H1997" s="17" t="inlineStr">
        <is>
          <t>🟢 LIVE ACTIVE</t>
        </is>
      </c>
      <c r="I1997" s="4" t="inlineStr">
        <is>
          <t>INTEGRITYPACTCERTIFICATE.pdf</t>
        </is>
      </c>
      <c r="J1997" s="6" t="inlineStr">
        <is>
          <t>📕 PDF Document</t>
        </is>
      </c>
      <c r="K1997" s="9" t="n">
        <v>17.9</v>
      </c>
      <c r="L1997" s="10">
        <f>HYPERLINK("http://127.0.0.1:8000/api/documents/download?id=1781&amp;attachment=true", "⬇ Download INTEGRITYPACTCERTIFICATE")</f>
        <v/>
      </c>
      <c r="M1997" s="10">
        <f>HYPERLINK("http://localhost:5173/?state=Kerala&amp;keyword=ICT&amp;tender=2026_PWD_879005_1", "🚀 Open in Portal")</f>
        <v/>
      </c>
    </row>
    <row r="1998" ht="24" customHeight="1">
      <c r="A1998" s="11" t="inlineStr">
        <is>
          <t>Kerala</t>
        </is>
      </c>
      <c r="B1998" s="12" t="inlineStr">
        <is>
          <t>ICT</t>
        </is>
      </c>
      <c r="C1998" s="13" t="inlineStr">
        <is>
          <t>2026_PWD_879005_1</t>
        </is>
      </c>
      <c r="D1998" s="14" t="inlineStr">
        <is>
          <t>[GENERAL-RUNNING CONTRACT 2026-27- Repair works for District Jail and Sub Jail - Alappuzha-General Civil Work]</t>
        </is>
      </c>
      <c r="E1998" s="14" t="inlineStr">
        <is>
          <t>Kerala Public Works &amp; Technology Department</t>
        </is>
      </c>
      <c r="F1998" s="13" t="inlineStr">
        <is>
          <t>05 Oct 2026</t>
        </is>
      </c>
      <c r="G1998" s="12" t="inlineStr">
        <is>
          <t>04 Nov 2026</t>
        </is>
      </c>
      <c r="H1998" s="17" t="inlineStr">
        <is>
          <t>🟢 LIVE ACTIVE</t>
        </is>
      </c>
      <c r="I1998" s="11" t="inlineStr">
        <is>
          <t>SBD.pdf</t>
        </is>
      </c>
      <c r="J1998" s="13" t="inlineStr">
        <is>
          <t>📕 PDF Document</t>
        </is>
      </c>
      <c r="K1998" s="15" t="n">
        <v>17.8</v>
      </c>
      <c r="L1998" s="16">
        <f>HYPERLINK("http://127.0.0.1:8000/api/documents/download?id=1782&amp;attachment=true", "⬇ Download SBD.pdf")</f>
        <v/>
      </c>
      <c r="M1998" s="16">
        <f>HYPERLINK("http://localhost:5173/?state=Kerala&amp;keyword=ICT&amp;tender=2026_PWD_879005_1", "🚀 Open in Portal")</f>
        <v/>
      </c>
    </row>
    <row r="1999" ht="24" customHeight="1">
      <c r="A1999" s="4" t="inlineStr">
        <is>
          <t>Kerala</t>
        </is>
      </c>
      <c r="B1999" s="5" t="inlineStr">
        <is>
          <t>ICT</t>
        </is>
      </c>
      <c r="C1999" s="6" t="inlineStr">
        <is>
          <t>2026_PWD_879005_1</t>
        </is>
      </c>
      <c r="D1999" s="7" t="inlineStr">
        <is>
          <t>[GENERAL-RUNNING CONTRACT 2026-27- Repair works for District Jail and Sub Jail - Alappuzha-General Civil Work]</t>
        </is>
      </c>
      <c r="E1999" s="7" t="inlineStr">
        <is>
          <t>Kerala Public Works &amp; Technology Department</t>
        </is>
      </c>
      <c r="F1999" s="6" t="inlineStr">
        <is>
          <t>05 Oct 2026</t>
        </is>
      </c>
      <c r="G1999" s="5" t="inlineStr">
        <is>
          <t>04 Nov 2026</t>
        </is>
      </c>
      <c r="H1999" s="17" t="inlineStr">
        <is>
          <t>🟢 LIVE ACTIVE</t>
        </is>
      </c>
      <c r="I1999" s="4" t="inlineStr">
        <is>
          <t>PRELIMINARYAGREEMENT.pdf</t>
        </is>
      </c>
      <c r="J1999" s="6" t="inlineStr">
        <is>
          <t>📕 PDF Document</t>
        </is>
      </c>
      <c r="K1999" s="9" t="n">
        <v>17.9</v>
      </c>
      <c r="L1999" s="10">
        <f>HYPERLINK("http://127.0.0.1:8000/api/documents/download?id=1783&amp;attachment=true", "⬇ Download PRELIMINARYAGREEMENT.pdf")</f>
        <v/>
      </c>
      <c r="M1999" s="10">
        <f>HYPERLINK("http://localhost:5173/?state=Kerala&amp;keyword=ICT&amp;tender=2026_PWD_879005_1", "🚀 Open in Portal")</f>
        <v/>
      </c>
    </row>
    <row r="2000" ht="24" customHeight="1">
      <c r="A2000" s="11" t="inlineStr">
        <is>
          <t>Kerala</t>
        </is>
      </c>
      <c r="B2000" s="12" t="inlineStr">
        <is>
          <t>ICT</t>
        </is>
      </c>
      <c r="C2000" s="13" t="inlineStr">
        <is>
          <t>2026_PWD_879005_1</t>
        </is>
      </c>
      <c r="D2000" s="14" t="inlineStr">
        <is>
          <t>[GENERAL-RUNNING CONTRACT 2026-27- Repair works for District Jail and Sub Jail - Alappuzha-General Civil Work]</t>
        </is>
      </c>
      <c r="E2000" s="14" t="inlineStr">
        <is>
          <t>Kerala Public Works &amp; Technology Department</t>
        </is>
      </c>
      <c r="F2000" s="13" t="inlineStr">
        <is>
          <t>05 Oct 2026</t>
        </is>
      </c>
      <c r="G2000" s="12" t="inlineStr">
        <is>
          <t>04 Nov 2026</t>
        </is>
      </c>
      <c r="H2000" s="17" t="inlineStr">
        <is>
          <t>🟢 LIVE ACTIVE</t>
        </is>
      </c>
      <c r="I2000" s="11" t="inlineStr">
        <is>
          <t>AFFIDAVIT.pdf</t>
        </is>
      </c>
      <c r="J2000" s="13" t="inlineStr">
        <is>
          <t>📕 PDF Document</t>
        </is>
      </c>
      <c r="K2000" s="15" t="n">
        <v>17.8</v>
      </c>
      <c r="L2000" s="16">
        <f>HYPERLINK("http://127.0.0.1:8000/api/documents/download?id=1784&amp;attachment=true", "⬇ Download AFFIDAVIT.pdf")</f>
        <v/>
      </c>
      <c r="M2000" s="16">
        <f>HYPERLINK("http://localhost:5173/?state=Kerala&amp;keyword=ICT&amp;tender=2026_PWD_879005_1", "🚀 Open in Portal")</f>
        <v/>
      </c>
    </row>
    <row r="2001" ht="24" customHeight="1">
      <c r="A2001" s="4" t="inlineStr">
        <is>
          <t>Kerala</t>
        </is>
      </c>
      <c r="B2001" s="5" t="inlineStr">
        <is>
          <t>ICT</t>
        </is>
      </c>
      <c r="C2001" s="6" t="inlineStr">
        <is>
          <t>2026_PWD_879005_1</t>
        </is>
      </c>
      <c r="D2001" s="7" t="inlineStr">
        <is>
          <t>[GENERAL-RUNNING CONTRACT 2026-27- Repair works for District Jail and Sub Jail - Alappuzha-General Civil Work]</t>
        </is>
      </c>
      <c r="E2001" s="7" t="inlineStr">
        <is>
          <t>Kerala Public Works &amp; Technology Department</t>
        </is>
      </c>
      <c r="F2001" s="6" t="inlineStr">
        <is>
          <t>05 Oct 2026</t>
        </is>
      </c>
      <c r="G2001" s="5" t="inlineStr">
        <is>
          <t>04 Nov 2026</t>
        </is>
      </c>
      <c r="H2001" s="17" t="inlineStr">
        <is>
          <t>🟢 LIVE ACTIVE</t>
        </is>
      </c>
      <c r="I2001" s="4" t="inlineStr">
        <is>
          <t>Tender_2026_PWD_879005_1_All_Documents.zip</t>
        </is>
      </c>
      <c r="J2001" s="6" t="inlineStr">
        <is>
          <t>📦 ZIP Package</t>
        </is>
      </c>
      <c r="K2001" s="9" t="n">
        <v>57.6</v>
      </c>
      <c r="L2001" s="10">
        <f>HYPERLINK("http://127.0.0.1:8000/api/documents/download?id=2989&amp;attachment=true", "⬇ Download Tender_2026_PWD_879005_1")</f>
        <v/>
      </c>
      <c r="M2001" s="10">
        <f>HYPERLINK("http://localhost:5173/?state=Kerala&amp;keyword=ICT&amp;tender=2026_PWD_879005_1", "🚀 Open in Portal")</f>
        <v/>
      </c>
    </row>
    <row r="2002" ht="24" customHeight="1">
      <c r="A2002" s="11" t="inlineStr">
        <is>
          <t>Kerala</t>
        </is>
      </c>
      <c r="B2002" s="12" t="inlineStr">
        <is>
          <t>ICT</t>
        </is>
      </c>
      <c r="C2002" s="13" t="inlineStr">
        <is>
          <t>2026_SKDP_868732_2</t>
        </is>
      </c>
      <c r="D2002" s="14" t="inlineStr">
        <is>
          <t>[DP Kannur-Project No 17/2026-27- RENOVATION OF SEED DRYING YARD AT DISTRICT AGRICULTURAL FARM THALIPARMBA]</t>
        </is>
      </c>
      <c r="E2002" s="14" t="inlineStr">
        <is>
          <t>Kerala Public Works &amp; Technology Department</t>
        </is>
      </c>
      <c r="F2002" s="13" t="inlineStr">
        <is>
          <t>24 Aug 2026</t>
        </is>
      </c>
      <c r="G2002" s="12" t="inlineStr">
        <is>
          <t>18 Sep 2026</t>
        </is>
      </c>
      <c r="H2002" s="8" t="inlineStr">
        <is>
          <t>⏳ UPCOMING</t>
        </is>
      </c>
      <c r="I2002" s="11" t="inlineStr">
        <is>
          <t>Tendernotice_1.pdf</t>
        </is>
      </c>
      <c r="J2002" s="13" t="inlineStr">
        <is>
          <t>📕 PDF Document</t>
        </is>
      </c>
      <c r="K2002" s="15" t="n">
        <v>17.8</v>
      </c>
      <c r="L2002" s="16">
        <f>HYPERLINK("http://127.0.0.1:8000/api/documents/download?id=1888&amp;attachment=true", "⬇ Download Tendernotice_1.pdf")</f>
        <v/>
      </c>
      <c r="M2002" s="16">
        <f>HYPERLINK("http://localhost:5173/?state=Kerala&amp;keyword=ICT&amp;tender=2026_SKDP_868732_2", "🚀 Open in Portal")</f>
        <v/>
      </c>
    </row>
    <row r="2003" ht="24" customHeight="1">
      <c r="A2003" s="4" t="inlineStr">
        <is>
          <t>Kerala</t>
        </is>
      </c>
      <c r="B2003" s="5" t="inlineStr">
        <is>
          <t>ICT</t>
        </is>
      </c>
      <c r="C2003" s="6" t="inlineStr">
        <is>
          <t>2026_SKDP_868732_2</t>
        </is>
      </c>
      <c r="D2003" s="7" t="inlineStr">
        <is>
          <t>[DP Kannur-Project No 17/2026-27- RENOVATION OF SEED DRYING YARD AT DISTRICT AGRICULTURAL FARM THALIPARMBA]</t>
        </is>
      </c>
      <c r="E2003" s="7" t="inlineStr">
        <is>
          <t>Kerala Public Works &amp; Technology Department</t>
        </is>
      </c>
      <c r="F2003" s="6" t="inlineStr">
        <is>
          <t>24 Aug 2026</t>
        </is>
      </c>
      <c r="G2003" s="5" t="inlineStr">
        <is>
          <t>18 Sep 2026</t>
        </is>
      </c>
      <c r="H2003" s="8" t="inlineStr">
        <is>
          <t>⏳ UPCOMING</t>
        </is>
      </c>
      <c r="I2003" s="4" t="inlineStr">
        <is>
          <t>viewnit.pdf</t>
        </is>
      </c>
      <c r="J2003" s="6" t="inlineStr">
        <is>
          <t>📕 PDF Document</t>
        </is>
      </c>
      <c r="K2003" s="9" t="n">
        <v>17.8</v>
      </c>
      <c r="L2003" s="10">
        <f>HYPERLINK("http://127.0.0.1:8000/api/documents/download?id=1889&amp;attachment=true", "⬇ Download viewnit.pdf")</f>
        <v/>
      </c>
      <c r="M2003" s="10">
        <f>HYPERLINK("http://localhost:5173/?state=Kerala&amp;keyword=ICT&amp;tender=2026_SKDP_868732_2", "🚀 Open in Portal")</f>
        <v/>
      </c>
    </row>
    <row r="2004" ht="24" customHeight="1">
      <c r="A2004" s="11" t="inlineStr">
        <is>
          <t>Kerala</t>
        </is>
      </c>
      <c r="B2004" s="12" t="inlineStr">
        <is>
          <t>ICT</t>
        </is>
      </c>
      <c r="C2004" s="13" t="inlineStr">
        <is>
          <t>2026_SKDP_868732_2</t>
        </is>
      </c>
      <c r="D2004" s="14" t="inlineStr">
        <is>
          <t>[DP Kannur-Project No 17/2026-27- RENOVATION OF SEED DRYING YARD AT DISTRICT AGRICULTURAL FARM THALIPARMBA]</t>
        </is>
      </c>
      <c r="E2004" s="14" t="inlineStr">
        <is>
          <t>Kerala Public Works &amp; Technology Department</t>
        </is>
      </c>
      <c r="F2004" s="13" t="inlineStr">
        <is>
          <t>24 Aug 2026</t>
        </is>
      </c>
      <c r="G2004" s="12" t="inlineStr">
        <is>
          <t>18 Sep 2026</t>
        </is>
      </c>
      <c r="H2004" s="8" t="inlineStr">
        <is>
          <t>⏳ UPCOMING</t>
        </is>
      </c>
      <c r="I2004" s="11" t="inlineStr">
        <is>
          <t>viewsbd.pdf</t>
        </is>
      </c>
      <c r="J2004" s="13" t="inlineStr">
        <is>
          <t>📕 PDF Document</t>
        </is>
      </c>
      <c r="K2004" s="15" t="n">
        <v>17.8</v>
      </c>
      <c r="L2004" s="16">
        <f>HYPERLINK("http://127.0.0.1:8000/api/documents/download?id=1890&amp;attachment=true", "⬇ Download viewsbd.pdf")</f>
        <v/>
      </c>
      <c r="M2004" s="16">
        <f>HYPERLINK("http://localhost:5173/?state=Kerala&amp;keyword=ICT&amp;tender=2026_SKDP_868732_2", "🚀 Open in Portal")</f>
        <v/>
      </c>
    </row>
    <row r="2005" ht="24" customHeight="1">
      <c r="A2005" s="4" t="inlineStr">
        <is>
          <t>Kerala</t>
        </is>
      </c>
      <c r="B2005" s="5" t="inlineStr">
        <is>
          <t>ICT</t>
        </is>
      </c>
      <c r="C2005" s="6" t="inlineStr">
        <is>
          <t>2026_SKDP_868732_2</t>
        </is>
      </c>
      <c r="D2005" s="7" t="inlineStr">
        <is>
          <t>[DP Kannur-Project No 17/2026-27- RENOVATION OF SEED DRYING YARD AT DISTRICT AGRICULTURAL FARM THALIPARMBA]</t>
        </is>
      </c>
      <c r="E2005" s="7" t="inlineStr">
        <is>
          <t>Kerala Public Works &amp; Technology Department</t>
        </is>
      </c>
      <c r="F2005" s="6" t="inlineStr">
        <is>
          <t>24 Aug 2026</t>
        </is>
      </c>
      <c r="G2005" s="5" t="inlineStr">
        <is>
          <t>18 Sep 2026</t>
        </is>
      </c>
      <c r="H2005" s="8" t="inlineStr">
        <is>
          <t>⏳ UPCOMING</t>
        </is>
      </c>
      <c r="I2005" s="4" t="inlineStr">
        <is>
          <t>priliminaryagreementformat.pdf</t>
        </is>
      </c>
      <c r="J2005" s="6" t="inlineStr">
        <is>
          <t>📕 PDF Document</t>
        </is>
      </c>
      <c r="K2005" s="9" t="n">
        <v>17.9</v>
      </c>
      <c r="L2005" s="10">
        <f>HYPERLINK("http://127.0.0.1:8000/api/documents/download?id=1891&amp;attachment=true", "⬇ Download priliminaryagreementform")</f>
        <v/>
      </c>
      <c r="M2005" s="10">
        <f>HYPERLINK("http://localhost:5173/?state=Kerala&amp;keyword=ICT&amp;tender=2026_SKDP_868732_2", "🚀 Open in Portal")</f>
        <v/>
      </c>
    </row>
    <row r="2006" ht="24" customHeight="1">
      <c r="A2006" s="11" t="inlineStr">
        <is>
          <t>Kerala</t>
        </is>
      </c>
      <c r="B2006" s="12" t="inlineStr">
        <is>
          <t>ICT</t>
        </is>
      </c>
      <c r="C2006" s="13" t="inlineStr">
        <is>
          <t>2026_SKDP_868732_2</t>
        </is>
      </c>
      <c r="D2006" s="14" t="inlineStr">
        <is>
          <t>[DP Kannur-Project No 17/2026-27- RENOVATION OF SEED DRYING YARD AT DISTRICT AGRICULTURAL FARM THALIPARMBA]</t>
        </is>
      </c>
      <c r="E2006" s="14" t="inlineStr">
        <is>
          <t>Kerala Public Works &amp; Technology Department</t>
        </is>
      </c>
      <c r="F2006" s="13" t="inlineStr">
        <is>
          <t>24 Aug 2026</t>
        </is>
      </c>
      <c r="G2006" s="12" t="inlineStr">
        <is>
          <t>18 Sep 2026</t>
        </is>
      </c>
      <c r="H2006" s="8" t="inlineStr">
        <is>
          <t>⏳ UPCOMING</t>
        </is>
      </c>
      <c r="I2006" s="11" t="inlineStr">
        <is>
          <t>epayform.pdf</t>
        </is>
      </c>
      <c r="J2006" s="13" t="inlineStr">
        <is>
          <t>📕 PDF Document</t>
        </is>
      </c>
      <c r="K2006" s="15" t="n">
        <v>17.8</v>
      </c>
      <c r="L2006" s="16">
        <f>HYPERLINK("http://127.0.0.1:8000/api/documents/download?id=1892&amp;attachment=true", "⬇ Download epayform.pdf")</f>
        <v/>
      </c>
      <c r="M2006" s="16">
        <f>HYPERLINK("http://localhost:5173/?state=Kerala&amp;keyword=ICT&amp;tender=2026_SKDP_868732_2", "🚀 Open in Portal")</f>
        <v/>
      </c>
    </row>
    <row r="2007" ht="24" customHeight="1">
      <c r="A2007" s="4" t="inlineStr">
        <is>
          <t>Kerala</t>
        </is>
      </c>
      <c r="B2007" s="5" t="inlineStr">
        <is>
          <t>ICT</t>
        </is>
      </c>
      <c r="C2007" s="6" t="inlineStr">
        <is>
          <t>2026_SKDP_868732_2</t>
        </is>
      </c>
      <c r="D2007" s="7" t="inlineStr">
        <is>
          <t>[DP Kannur-Project No 17/2026-27- RENOVATION OF SEED DRYING YARD AT DISTRICT AGRICULTURAL FARM THALIPARMBA]</t>
        </is>
      </c>
      <c r="E2007" s="7" t="inlineStr">
        <is>
          <t>Kerala Public Works &amp; Technology Department</t>
        </is>
      </c>
      <c r="F2007" s="6" t="inlineStr">
        <is>
          <t>24 Aug 2026</t>
        </is>
      </c>
      <c r="G2007" s="5" t="inlineStr">
        <is>
          <t>18 Sep 2026</t>
        </is>
      </c>
      <c r="H2007" s="8" t="inlineStr">
        <is>
          <t>⏳ UPCOMING</t>
        </is>
      </c>
      <c r="I2007" s="4" t="inlineStr">
        <is>
          <t>FOTIPACTAFFIDAVIT.pdf</t>
        </is>
      </c>
      <c r="J2007" s="6" t="inlineStr">
        <is>
          <t>📕 PDF Document</t>
        </is>
      </c>
      <c r="K2007" s="9" t="n">
        <v>17.9</v>
      </c>
      <c r="L2007" s="10">
        <f>HYPERLINK("http://127.0.0.1:8000/api/documents/download?id=1893&amp;attachment=true", "⬇ Download FOTIPACTAFFIDAVIT.pdf")</f>
        <v/>
      </c>
      <c r="M2007" s="10">
        <f>HYPERLINK("http://localhost:5173/?state=Kerala&amp;keyword=ICT&amp;tender=2026_SKDP_868732_2", "🚀 Open in Portal")</f>
        <v/>
      </c>
    </row>
    <row r="2008" ht="24" customHeight="1">
      <c r="A2008" s="11" t="inlineStr">
        <is>
          <t>Kerala</t>
        </is>
      </c>
      <c r="B2008" s="12" t="inlineStr">
        <is>
          <t>ICT</t>
        </is>
      </c>
      <c r="C2008" s="13" t="inlineStr">
        <is>
          <t>2026_SKDP_868732_2</t>
        </is>
      </c>
      <c r="D2008" s="14" t="inlineStr">
        <is>
          <t>[DP Kannur-Project No 17/2026-27- RENOVATION OF SEED DRYING YARD AT DISTRICT AGRICULTURAL FARM THALIPARMBA]</t>
        </is>
      </c>
      <c r="E2008" s="14" t="inlineStr">
        <is>
          <t>Kerala Public Works &amp; Technology Department</t>
        </is>
      </c>
      <c r="F2008" s="13" t="inlineStr">
        <is>
          <t>24 Aug 2026</t>
        </is>
      </c>
      <c r="G2008" s="12" t="inlineStr">
        <is>
          <t>18 Sep 2026</t>
        </is>
      </c>
      <c r="H2008" s="8" t="inlineStr">
        <is>
          <t>⏳ UPCOMING</t>
        </is>
      </c>
      <c r="I2008" s="11" t="inlineStr">
        <is>
          <t>BOQ_1492468.xls</t>
        </is>
      </c>
      <c r="J2008" s="13" t="inlineStr">
        <is>
          <t>📊 Excel BOQ</t>
        </is>
      </c>
      <c r="K2008" s="15" t="n">
        <v>2.5</v>
      </c>
      <c r="L2008" s="16">
        <f>HYPERLINK("http://127.0.0.1:8000/api/documents/download?id=1894&amp;attachment=true", "⬇ Download BOQ_1492468.xls")</f>
        <v/>
      </c>
      <c r="M2008" s="16">
        <f>HYPERLINK("http://localhost:5173/?state=Kerala&amp;keyword=ICT&amp;tender=2026_SKDP_868732_2", "🚀 Open in Portal")</f>
        <v/>
      </c>
    </row>
    <row r="2009" ht="24" customHeight="1">
      <c r="A2009" s="4" t="inlineStr">
        <is>
          <t>Kerala</t>
        </is>
      </c>
      <c r="B2009" s="5" t="inlineStr">
        <is>
          <t>ICT</t>
        </is>
      </c>
      <c r="C2009" s="6" t="inlineStr">
        <is>
          <t>2026_SKDP_868732_2</t>
        </is>
      </c>
      <c r="D2009" s="7" t="inlineStr">
        <is>
          <t>[DP Kannur-Project No 17/2026-27- RENOVATION OF SEED DRYING YARD AT DISTRICT AGRICULTURAL FARM THALIPARMBA]</t>
        </is>
      </c>
      <c r="E2009" s="7" t="inlineStr">
        <is>
          <t>Kerala Public Works &amp; Technology Department</t>
        </is>
      </c>
      <c r="F2009" s="6" t="inlineStr">
        <is>
          <t>24 Aug 2026</t>
        </is>
      </c>
      <c r="G2009" s="5" t="inlineStr">
        <is>
          <t>18 Sep 2026</t>
        </is>
      </c>
      <c r="H2009" s="8" t="inlineStr">
        <is>
          <t>⏳ UPCOMING</t>
        </is>
      </c>
      <c r="I2009" s="4" t="inlineStr">
        <is>
          <t>Tender_2026_SKDP_868732_2_All_Documents.zip</t>
        </is>
      </c>
      <c r="J2009" s="6" t="inlineStr">
        <is>
          <t>📦 ZIP Package</t>
        </is>
      </c>
      <c r="K2009" s="9" t="n">
        <v>57.5</v>
      </c>
      <c r="L2009" s="10">
        <f>HYPERLINK("http://127.0.0.1:8000/api/documents/download?id=1895&amp;attachment=true", "⬇ Download Tender_2026_SKDP_868732_")</f>
        <v/>
      </c>
      <c r="M2009" s="10">
        <f>HYPERLINK("http://localhost:5173/?state=Kerala&amp;keyword=ICT&amp;tender=2026_SKDP_868732_2", "🚀 Open in Portal")</f>
        <v/>
      </c>
    </row>
    <row r="2010" ht="24" customHeight="1">
      <c r="A2010" s="11" t="inlineStr">
        <is>
          <t>Kerala</t>
        </is>
      </c>
      <c r="B2010" s="12" t="inlineStr">
        <is>
          <t>ICT</t>
        </is>
      </c>
      <c r="C2010" s="13" t="inlineStr">
        <is>
          <t>2026_SKDP_869064_2</t>
        </is>
      </c>
      <c r="D2010" s="14" t="inlineStr">
        <is>
          <t>[DP Kannur Project No 43/2026-27 - Infrastructural Development Works at District Soil Testing Laboratory, Karimbam]</t>
        </is>
      </c>
      <c r="E2010" s="14" t="inlineStr">
        <is>
          <t>Kerala Public Works &amp; Technology Department</t>
        </is>
      </c>
      <c r="F2010" s="13" t="inlineStr">
        <is>
          <t>26 Jul 2026</t>
        </is>
      </c>
      <c r="G2010" s="12" t="inlineStr">
        <is>
          <t>24 Aug 2026</t>
        </is>
      </c>
      <c r="H2010" s="8" t="inlineStr">
        <is>
          <t>⏳ UPCOMING</t>
        </is>
      </c>
      <c r="I2010" s="11" t="inlineStr">
        <is>
          <t>Tendernotice_1.pdf</t>
        </is>
      </c>
      <c r="J2010" s="13" t="inlineStr">
        <is>
          <t>📕 PDF Document</t>
        </is>
      </c>
      <c r="K2010" s="15" t="n">
        <v>17.8</v>
      </c>
      <c r="L2010" s="16">
        <f>HYPERLINK("http://127.0.0.1:8000/api/documents/download?id=1868&amp;attachment=true", "⬇ Download Tendernotice_1.pdf")</f>
        <v/>
      </c>
      <c r="M2010" s="16">
        <f>HYPERLINK("http://localhost:5173/?state=Kerala&amp;keyword=ICT&amp;tender=2026_SKDP_869064_2", "🚀 Open in Portal")</f>
        <v/>
      </c>
    </row>
    <row r="2011" ht="24" customHeight="1">
      <c r="A2011" s="4" t="inlineStr">
        <is>
          <t>Kerala</t>
        </is>
      </c>
      <c r="B2011" s="5" t="inlineStr">
        <is>
          <t>ICT</t>
        </is>
      </c>
      <c r="C2011" s="6" t="inlineStr">
        <is>
          <t>2026_SKDP_869064_2</t>
        </is>
      </c>
      <c r="D2011" s="7" t="inlineStr">
        <is>
          <t>[DP Kannur Project No 43/2026-27 - Infrastructural Development Works at District Soil Testing Laboratory, Karimbam]</t>
        </is>
      </c>
      <c r="E2011" s="7" t="inlineStr">
        <is>
          <t>Kerala Public Works &amp; Technology Department</t>
        </is>
      </c>
      <c r="F2011" s="6" t="inlineStr">
        <is>
          <t>26 Jul 2026</t>
        </is>
      </c>
      <c r="G2011" s="5" t="inlineStr">
        <is>
          <t>24 Aug 2026</t>
        </is>
      </c>
      <c r="H2011" s="8" t="inlineStr">
        <is>
          <t>⏳ UPCOMING</t>
        </is>
      </c>
      <c r="I2011" s="4" t="inlineStr">
        <is>
          <t>viewnit.pdf</t>
        </is>
      </c>
      <c r="J2011" s="6" t="inlineStr">
        <is>
          <t>📕 PDF Document</t>
        </is>
      </c>
      <c r="K2011" s="9" t="n">
        <v>17.8</v>
      </c>
      <c r="L2011" s="10">
        <f>HYPERLINK("http://127.0.0.1:8000/api/documents/download?id=1869&amp;attachment=true", "⬇ Download viewnit.pdf")</f>
        <v/>
      </c>
      <c r="M2011" s="10">
        <f>HYPERLINK("http://localhost:5173/?state=Kerala&amp;keyword=ICT&amp;tender=2026_SKDP_869064_2", "🚀 Open in Portal")</f>
        <v/>
      </c>
    </row>
    <row r="2012" ht="24" customHeight="1">
      <c r="A2012" s="11" t="inlineStr">
        <is>
          <t>Kerala</t>
        </is>
      </c>
      <c r="B2012" s="12" t="inlineStr">
        <is>
          <t>ICT</t>
        </is>
      </c>
      <c r="C2012" s="13" t="inlineStr">
        <is>
          <t>2026_SKDP_869064_2</t>
        </is>
      </c>
      <c r="D2012" s="14" t="inlineStr">
        <is>
          <t>[DP Kannur Project No 43/2026-27 - Infrastructural Development Works at District Soil Testing Laboratory, Karimbam]</t>
        </is>
      </c>
      <c r="E2012" s="14" t="inlineStr">
        <is>
          <t>Kerala Public Works &amp; Technology Department</t>
        </is>
      </c>
      <c r="F2012" s="13" t="inlineStr">
        <is>
          <t>26 Jul 2026</t>
        </is>
      </c>
      <c r="G2012" s="12" t="inlineStr">
        <is>
          <t>24 Aug 2026</t>
        </is>
      </c>
      <c r="H2012" s="8" t="inlineStr">
        <is>
          <t>⏳ UPCOMING</t>
        </is>
      </c>
      <c r="I2012" s="11" t="inlineStr">
        <is>
          <t>BOQ_1492942.xls</t>
        </is>
      </c>
      <c r="J2012" s="13" t="inlineStr">
        <is>
          <t>📊 Excel BOQ</t>
        </is>
      </c>
      <c r="K2012" s="15" t="n">
        <v>2.5</v>
      </c>
      <c r="L2012" s="16">
        <f>HYPERLINK("http://127.0.0.1:8000/api/documents/download?id=1870&amp;attachment=true", "⬇ Download BOQ_1492942.xls")</f>
        <v/>
      </c>
      <c r="M2012" s="16">
        <f>HYPERLINK("http://localhost:5173/?state=Kerala&amp;keyword=ICT&amp;tender=2026_SKDP_869064_2", "🚀 Open in Portal")</f>
        <v/>
      </c>
    </row>
    <row r="2013" ht="24" customHeight="1">
      <c r="A2013" s="4" t="inlineStr">
        <is>
          <t>Kerala</t>
        </is>
      </c>
      <c r="B2013" s="5" t="inlineStr">
        <is>
          <t>ICT</t>
        </is>
      </c>
      <c r="C2013" s="6" t="inlineStr">
        <is>
          <t>2026_SKDP_869064_2</t>
        </is>
      </c>
      <c r="D2013" s="7" t="inlineStr">
        <is>
          <t>[DP Kannur Project No 43/2026-27 - Infrastructural Development Works at District Soil Testing Laboratory, Karimbam]</t>
        </is>
      </c>
      <c r="E2013" s="7" t="inlineStr">
        <is>
          <t>Kerala Public Works &amp; Technology Department</t>
        </is>
      </c>
      <c r="F2013" s="6" t="inlineStr">
        <is>
          <t>26 Jul 2026</t>
        </is>
      </c>
      <c r="G2013" s="5" t="inlineStr">
        <is>
          <t>24 Aug 2026</t>
        </is>
      </c>
      <c r="H2013" s="8" t="inlineStr">
        <is>
          <t>⏳ UPCOMING</t>
        </is>
      </c>
      <c r="I2013" s="4" t="inlineStr">
        <is>
          <t>viewsbd.pdf</t>
        </is>
      </c>
      <c r="J2013" s="6" t="inlineStr">
        <is>
          <t>📕 PDF Document</t>
        </is>
      </c>
      <c r="K2013" s="9" t="n">
        <v>17.8</v>
      </c>
      <c r="L2013" s="10">
        <f>HYPERLINK("http://127.0.0.1:8000/api/documents/download?id=1871&amp;attachment=true", "⬇ Download viewsbd.pdf")</f>
        <v/>
      </c>
      <c r="M2013" s="10">
        <f>HYPERLINK("http://localhost:5173/?state=Kerala&amp;keyword=ICT&amp;tender=2026_SKDP_869064_2", "🚀 Open in Portal")</f>
        <v/>
      </c>
    </row>
    <row r="2014" ht="24" customHeight="1">
      <c r="A2014" s="11" t="inlineStr">
        <is>
          <t>Kerala</t>
        </is>
      </c>
      <c r="B2014" s="12" t="inlineStr">
        <is>
          <t>ICT</t>
        </is>
      </c>
      <c r="C2014" s="13" t="inlineStr">
        <is>
          <t>2026_SKDP_869064_2</t>
        </is>
      </c>
      <c r="D2014" s="14" t="inlineStr">
        <is>
          <t>[DP Kannur Project No 43/2026-27 - Infrastructural Development Works at District Soil Testing Laboratory, Karimbam]</t>
        </is>
      </c>
      <c r="E2014" s="14" t="inlineStr">
        <is>
          <t>Kerala Public Works &amp; Technology Department</t>
        </is>
      </c>
      <c r="F2014" s="13" t="inlineStr">
        <is>
          <t>26 Jul 2026</t>
        </is>
      </c>
      <c r="G2014" s="12" t="inlineStr">
        <is>
          <t>24 Aug 2026</t>
        </is>
      </c>
      <c r="H2014" s="8" t="inlineStr">
        <is>
          <t>⏳ UPCOMING</t>
        </is>
      </c>
      <c r="I2014" s="11" t="inlineStr">
        <is>
          <t>epayform.pdf</t>
        </is>
      </c>
      <c r="J2014" s="13" t="inlineStr">
        <is>
          <t>📕 PDF Document</t>
        </is>
      </c>
      <c r="K2014" s="15" t="n">
        <v>17.8</v>
      </c>
      <c r="L2014" s="16">
        <f>HYPERLINK("http://127.0.0.1:8000/api/documents/download?id=1872&amp;attachment=true", "⬇ Download epayform.pdf")</f>
        <v/>
      </c>
      <c r="M2014" s="16">
        <f>HYPERLINK("http://localhost:5173/?state=Kerala&amp;keyword=ICT&amp;tender=2026_SKDP_869064_2", "🚀 Open in Portal")</f>
        <v/>
      </c>
    </row>
    <row r="2015" ht="24" customHeight="1">
      <c r="A2015" s="4" t="inlineStr">
        <is>
          <t>Kerala</t>
        </is>
      </c>
      <c r="B2015" s="5" t="inlineStr">
        <is>
          <t>ICT</t>
        </is>
      </c>
      <c r="C2015" s="6" t="inlineStr">
        <is>
          <t>2026_SKDP_869064_2</t>
        </is>
      </c>
      <c r="D2015" s="7" t="inlineStr">
        <is>
          <t>[DP Kannur Project No 43/2026-27 - Infrastructural Development Works at District Soil Testing Laboratory, Karimbam]</t>
        </is>
      </c>
      <c r="E2015" s="7" t="inlineStr">
        <is>
          <t>Kerala Public Works &amp; Technology Department</t>
        </is>
      </c>
      <c r="F2015" s="6" t="inlineStr">
        <is>
          <t>26 Jul 2026</t>
        </is>
      </c>
      <c r="G2015" s="5" t="inlineStr">
        <is>
          <t>24 Aug 2026</t>
        </is>
      </c>
      <c r="H2015" s="8" t="inlineStr">
        <is>
          <t>⏳ UPCOMING</t>
        </is>
      </c>
      <c r="I2015" s="4" t="inlineStr">
        <is>
          <t>priliminaryagreementformat.pdf</t>
        </is>
      </c>
      <c r="J2015" s="6" t="inlineStr">
        <is>
          <t>📕 PDF Document</t>
        </is>
      </c>
      <c r="K2015" s="9" t="n">
        <v>17.9</v>
      </c>
      <c r="L2015" s="10">
        <f>HYPERLINK("http://127.0.0.1:8000/api/documents/download?id=1873&amp;attachment=true", "⬇ Download priliminaryagreementform")</f>
        <v/>
      </c>
      <c r="M2015" s="10">
        <f>HYPERLINK("http://localhost:5173/?state=Kerala&amp;keyword=ICT&amp;tender=2026_SKDP_869064_2", "🚀 Open in Portal")</f>
        <v/>
      </c>
    </row>
    <row r="2016" ht="24" customHeight="1">
      <c r="A2016" s="11" t="inlineStr">
        <is>
          <t>Kerala</t>
        </is>
      </c>
      <c r="B2016" s="12" t="inlineStr">
        <is>
          <t>ICT</t>
        </is>
      </c>
      <c r="C2016" s="13" t="inlineStr">
        <is>
          <t>2026_SKDP_869064_2</t>
        </is>
      </c>
      <c r="D2016" s="14" t="inlineStr">
        <is>
          <t>[DP Kannur Project No 43/2026-27 - Infrastructural Development Works at District Soil Testing Laboratory, Karimbam]</t>
        </is>
      </c>
      <c r="E2016" s="14" t="inlineStr">
        <is>
          <t>Kerala Public Works &amp; Technology Department</t>
        </is>
      </c>
      <c r="F2016" s="13" t="inlineStr">
        <is>
          <t>26 Jul 2026</t>
        </is>
      </c>
      <c r="G2016" s="12" t="inlineStr">
        <is>
          <t>24 Aug 2026</t>
        </is>
      </c>
      <c r="H2016" s="8" t="inlineStr">
        <is>
          <t>⏳ UPCOMING</t>
        </is>
      </c>
      <c r="I2016" s="11" t="inlineStr">
        <is>
          <t>FOTIPACTAFFIDAVIT.pdf</t>
        </is>
      </c>
      <c r="J2016" s="13" t="inlineStr">
        <is>
          <t>📕 PDF Document</t>
        </is>
      </c>
      <c r="K2016" s="15" t="n">
        <v>17.8</v>
      </c>
      <c r="L2016" s="16">
        <f>HYPERLINK("http://127.0.0.1:8000/api/documents/download?id=1874&amp;attachment=true", "⬇ Download FOTIPACTAFFIDAVIT.pdf")</f>
        <v/>
      </c>
      <c r="M2016" s="16">
        <f>HYPERLINK("http://localhost:5173/?state=Kerala&amp;keyword=ICT&amp;tender=2026_SKDP_869064_2", "🚀 Open in Portal")</f>
        <v/>
      </c>
    </row>
    <row r="2017" ht="24" customHeight="1">
      <c r="A2017" s="4" t="inlineStr">
        <is>
          <t>Kerala</t>
        </is>
      </c>
      <c r="B2017" s="5" t="inlineStr">
        <is>
          <t>ICT</t>
        </is>
      </c>
      <c r="C2017" s="6" t="inlineStr">
        <is>
          <t>2026_SKDP_869064_2</t>
        </is>
      </c>
      <c r="D2017" s="7" t="inlineStr">
        <is>
          <t>[DP Kannur Project No 43/2026-27 - Infrastructural Development Works at District Soil Testing Laboratory, Karimbam]</t>
        </is>
      </c>
      <c r="E2017" s="7" t="inlineStr">
        <is>
          <t>Kerala Public Works &amp; Technology Department</t>
        </is>
      </c>
      <c r="F2017" s="6" t="inlineStr">
        <is>
          <t>26 Jul 2026</t>
        </is>
      </c>
      <c r="G2017" s="5" t="inlineStr">
        <is>
          <t>24 Aug 2026</t>
        </is>
      </c>
      <c r="H2017" s="8" t="inlineStr">
        <is>
          <t>⏳ UPCOMING</t>
        </is>
      </c>
      <c r="I2017" s="4" t="inlineStr">
        <is>
          <t>Tender_2026_SKDP_869064_2_All_Documents.zip</t>
        </is>
      </c>
      <c r="J2017" s="6" t="inlineStr">
        <is>
          <t>📦 ZIP Package</t>
        </is>
      </c>
      <c r="K2017" s="9" t="n">
        <v>57.6</v>
      </c>
      <c r="L2017" s="10">
        <f>HYPERLINK("http://127.0.0.1:8000/api/documents/download?id=1875&amp;attachment=true", "⬇ Download Tender_2026_SKDP_869064_")</f>
        <v/>
      </c>
      <c r="M2017" s="10">
        <f>HYPERLINK("http://localhost:5173/?state=Kerala&amp;keyword=ICT&amp;tender=2026_SKDP_869064_2", "🚀 Open in Portal")</f>
        <v/>
      </c>
    </row>
    <row r="2018" ht="24" customHeight="1">
      <c r="A2018" s="11" t="inlineStr">
        <is>
          <t>Kerala</t>
        </is>
      </c>
      <c r="B2018" s="12" t="inlineStr">
        <is>
          <t>ICT</t>
        </is>
      </c>
      <c r="C2018" s="13" t="inlineStr">
        <is>
          <t>2026_SKDP_878528_1</t>
        </is>
      </c>
      <c r="D2018" s="14" t="inlineStr">
        <is>
          <t>[District Panchayat-Electrification of Modern Cattle shed at SSF Kankol-Project No-S0600/26-]</t>
        </is>
      </c>
      <c r="E2018" s="14" t="inlineStr">
        <is>
          <t>Kerala Public Works &amp; Technology Department</t>
        </is>
      </c>
      <c r="F2018" s="13" t="inlineStr">
        <is>
          <t>15 Aug 2026</t>
        </is>
      </c>
      <c r="G2018" s="12" t="inlineStr">
        <is>
          <t>05 Sep 2026</t>
        </is>
      </c>
      <c r="H2018" s="8" t="inlineStr">
        <is>
          <t>⏳ UPCOMING</t>
        </is>
      </c>
      <c r="I2018" s="11" t="inlineStr">
        <is>
          <t>Tendernotice_1.pdf</t>
        </is>
      </c>
      <c r="J2018" s="13" t="inlineStr">
        <is>
          <t>📕 PDF Document</t>
        </is>
      </c>
      <c r="K2018" s="15" t="n">
        <v>17.8</v>
      </c>
      <c r="L2018" s="16">
        <f>HYPERLINK("http://127.0.0.1:8000/api/documents/download?id=1881&amp;attachment=true", "⬇ Download Tendernotice_1.pdf")</f>
        <v/>
      </c>
      <c r="M2018" s="16">
        <f>HYPERLINK("http://localhost:5173/?state=Kerala&amp;keyword=ICT&amp;tender=2026_SKDP_878528_1", "🚀 Open in Portal")</f>
        <v/>
      </c>
    </row>
    <row r="2019" ht="24" customHeight="1">
      <c r="A2019" s="4" t="inlineStr">
        <is>
          <t>Kerala</t>
        </is>
      </c>
      <c r="B2019" s="5" t="inlineStr">
        <is>
          <t>ICT</t>
        </is>
      </c>
      <c r="C2019" s="6" t="inlineStr">
        <is>
          <t>2026_SKDP_878528_1</t>
        </is>
      </c>
      <c r="D2019" s="7" t="inlineStr">
        <is>
          <t>[District Panchayat-Electrification of Modern Cattle shed at SSF Kankol-Project No-S0600/26-]</t>
        </is>
      </c>
      <c r="E2019" s="7" t="inlineStr">
        <is>
          <t>Kerala Public Works &amp; Technology Department</t>
        </is>
      </c>
      <c r="F2019" s="6" t="inlineStr">
        <is>
          <t>15 Aug 2026</t>
        </is>
      </c>
      <c r="G2019" s="5" t="inlineStr">
        <is>
          <t>05 Sep 2026</t>
        </is>
      </c>
      <c r="H2019" s="8" t="inlineStr">
        <is>
          <t>⏳ UPCOMING</t>
        </is>
      </c>
      <c r="I2019" s="4" t="inlineStr">
        <is>
          <t>BOQ_1493180.xls</t>
        </is>
      </c>
      <c r="J2019" s="6" t="inlineStr">
        <is>
          <t>📊 Excel BOQ</t>
        </is>
      </c>
      <c r="K2019" s="9" t="n">
        <v>2.5</v>
      </c>
      <c r="L2019" s="10">
        <f>HYPERLINK("http://127.0.0.1:8000/api/documents/download?id=1882&amp;attachment=true", "⬇ Download BOQ_1493180.xls")</f>
        <v/>
      </c>
      <c r="M2019" s="10">
        <f>HYPERLINK("http://localhost:5173/?state=Kerala&amp;keyword=ICT&amp;tender=2026_SKDP_878528_1", "🚀 Open in Portal")</f>
        <v/>
      </c>
    </row>
    <row r="2020" ht="24" customHeight="1">
      <c r="A2020" s="11" t="inlineStr">
        <is>
          <t>Kerala</t>
        </is>
      </c>
      <c r="B2020" s="12" t="inlineStr">
        <is>
          <t>ICT</t>
        </is>
      </c>
      <c r="C2020" s="13" t="inlineStr">
        <is>
          <t>2026_SKDP_878528_1</t>
        </is>
      </c>
      <c r="D2020" s="14" t="inlineStr">
        <is>
          <t>[District Panchayat-Electrification of Modern Cattle shed at SSF Kankol-Project No-S0600/26-]</t>
        </is>
      </c>
      <c r="E2020" s="14" t="inlineStr">
        <is>
          <t>Kerala Public Works &amp; Technology Department</t>
        </is>
      </c>
      <c r="F2020" s="13" t="inlineStr">
        <is>
          <t>15 Aug 2026</t>
        </is>
      </c>
      <c r="G2020" s="12" t="inlineStr">
        <is>
          <t>05 Sep 2026</t>
        </is>
      </c>
      <c r="H2020" s="8" t="inlineStr">
        <is>
          <t>⏳ UPCOMING</t>
        </is>
      </c>
      <c r="I2020" s="11" t="inlineStr">
        <is>
          <t>sbd.pdf</t>
        </is>
      </c>
      <c r="J2020" s="13" t="inlineStr">
        <is>
          <t>📕 PDF Document</t>
        </is>
      </c>
      <c r="K2020" s="15" t="n">
        <v>17.8</v>
      </c>
      <c r="L2020" s="16">
        <f>HYPERLINK("http://127.0.0.1:8000/api/documents/download?id=1883&amp;attachment=true", "⬇ Download sbd.pdf")</f>
        <v/>
      </c>
      <c r="M2020" s="16">
        <f>HYPERLINK("http://localhost:5173/?state=Kerala&amp;keyword=ICT&amp;tender=2026_SKDP_878528_1", "🚀 Open in Portal")</f>
        <v/>
      </c>
    </row>
    <row r="2021" ht="24" customHeight="1">
      <c r="A2021" s="4" t="inlineStr">
        <is>
          <t>Kerala</t>
        </is>
      </c>
      <c r="B2021" s="5" t="inlineStr">
        <is>
          <t>ICT</t>
        </is>
      </c>
      <c r="C2021" s="6" t="inlineStr">
        <is>
          <t>2026_SKDP_878528_1</t>
        </is>
      </c>
      <c r="D2021" s="7" t="inlineStr">
        <is>
          <t>[District Panchayat-Electrification of Modern Cattle shed at SSF Kankol-Project No-S0600/26-]</t>
        </is>
      </c>
      <c r="E2021" s="7" t="inlineStr">
        <is>
          <t>Kerala Public Works &amp; Technology Department</t>
        </is>
      </c>
      <c r="F2021" s="6" t="inlineStr">
        <is>
          <t>15 Aug 2026</t>
        </is>
      </c>
      <c r="G2021" s="5" t="inlineStr">
        <is>
          <t>05 Sep 2026</t>
        </is>
      </c>
      <c r="H2021" s="8" t="inlineStr">
        <is>
          <t>⏳ UPCOMING</t>
        </is>
      </c>
      <c r="I2021" s="4" t="inlineStr">
        <is>
          <t>priliminaryagreementformat.pdf</t>
        </is>
      </c>
      <c r="J2021" s="6" t="inlineStr">
        <is>
          <t>📕 PDF Document</t>
        </is>
      </c>
      <c r="K2021" s="9" t="n">
        <v>17.9</v>
      </c>
      <c r="L2021" s="10">
        <f>HYPERLINK("http://127.0.0.1:8000/api/documents/download?id=1884&amp;attachment=true", "⬇ Download priliminaryagreementform")</f>
        <v/>
      </c>
      <c r="M2021" s="10">
        <f>HYPERLINK("http://localhost:5173/?state=Kerala&amp;keyword=ICT&amp;tender=2026_SKDP_878528_1", "🚀 Open in Portal")</f>
        <v/>
      </c>
    </row>
    <row r="2022" ht="24" customHeight="1">
      <c r="A2022" s="11" t="inlineStr">
        <is>
          <t>Kerala</t>
        </is>
      </c>
      <c r="B2022" s="12" t="inlineStr">
        <is>
          <t>ICT</t>
        </is>
      </c>
      <c r="C2022" s="13" t="inlineStr">
        <is>
          <t>2026_SKDP_878528_1</t>
        </is>
      </c>
      <c r="D2022" s="14" t="inlineStr">
        <is>
          <t>[District Panchayat-Electrification of Modern Cattle shed at SSF Kankol-Project No-S0600/26-]</t>
        </is>
      </c>
      <c r="E2022" s="14" t="inlineStr">
        <is>
          <t>Kerala Public Works &amp; Technology Department</t>
        </is>
      </c>
      <c r="F2022" s="13" t="inlineStr">
        <is>
          <t>15 Aug 2026</t>
        </is>
      </c>
      <c r="G2022" s="12" t="inlineStr">
        <is>
          <t>05 Sep 2026</t>
        </is>
      </c>
      <c r="H2022" s="8" t="inlineStr">
        <is>
          <t>⏳ UPCOMING</t>
        </is>
      </c>
      <c r="I2022" s="11" t="inlineStr">
        <is>
          <t>epayform.pdf</t>
        </is>
      </c>
      <c r="J2022" s="13" t="inlineStr">
        <is>
          <t>📕 PDF Document</t>
        </is>
      </c>
      <c r="K2022" s="15" t="n">
        <v>17.8</v>
      </c>
      <c r="L2022" s="16">
        <f>HYPERLINK("http://127.0.0.1:8000/api/documents/download?id=1885&amp;attachment=true", "⬇ Download epayform.pdf")</f>
        <v/>
      </c>
      <c r="M2022" s="16">
        <f>HYPERLINK("http://localhost:5173/?state=Kerala&amp;keyword=ICT&amp;tender=2026_SKDP_878528_1", "🚀 Open in Portal")</f>
        <v/>
      </c>
    </row>
    <row r="2023" ht="24" customHeight="1">
      <c r="A2023" s="4" t="inlineStr">
        <is>
          <t>Kerala</t>
        </is>
      </c>
      <c r="B2023" s="5" t="inlineStr">
        <is>
          <t>ICT</t>
        </is>
      </c>
      <c r="C2023" s="6" t="inlineStr">
        <is>
          <t>2026_SKDP_878528_1</t>
        </is>
      </c>
      <c r="D2023" s="7" t="inlineStr">
        <is>
          <t>[District Panchayat-Electrification of Modern Cattle shed at SSF Kankol-Project No-S0600/26-]</t>
        </is>
      </c>
      <c r="E2023" s="7" t="inlineStr">
        <is>
          <t>Kerala Public Works &amp; Technology Department</t>
        </is>
      </c>
      <c r="F2023" s="6" t="inlineStr">
        <is>
          <t>15 Aug 2026</t>
        </is>
      </c>
      <c r="G2023" s="5" t="inlineStr">
        <is>
          <t>05 Sep 2026</t>
        </is>
      </c>
      <c r="H2023" s="8" t="inlineStr">
        <is>
          <t>⏳ UPCOMING</t>
        </is>
      </c>
      <c r="I2023" s="4" t="inlineStr">
        <is>
          <t>FOTIPACTAFFIDAVIT.pdf</t>
        </is>
      </c>
      <c r="J2023" s="6" t="inlineStr">
        <is>
          <t>📕 PDF Document</t>
        </is>
      </c>
      <c r="K2023" s="9" t="n">
        <v>17.8</v>
      </c>
      <c r="L2023" s="10">
        <f>HYPERLINK("http://127.0.0.1:8000/api/documents/download?id=1886&amp;attachment=true", "⬇ Download FOTIPACTAFFIDAVIT.pdf")</f>
        <v/>
      </c>
      <c r="M2023" s="10">
        <f>HYPERLINK("http://localhost:5173/?state=Kerala&amp;keyword=ICT&amp;tender=2026_SKDP_878528_1", "🚀 Open in Portal")</f>
        <v/>
      </c>
    </row>
    <row r="2024" ht="24" customHeight="1">
      <c r="A2024" s="11" t="inlineStr">
        <is>
          <t>Kerala</t>
        </is>
      </c>
      <c r="B2024" s="12" t="inlineStr">
        <is>
          <t>ICT</t>
        </is>
      </c>
      <c r="C2024" s="13" t="inlineStr">
        <is>
          <t>2026_SKDP_878528_1</t>
        </is>
      </c>
      <c r="D2024" s="14" t="inlineStr">
        <is>
          <t>[District Panchayat-Electrification of Modern Cattle shed at SSF Kankol-Project No-S0600/26-]</t>
        </is>
      </c>
      <c r="E2024" s="14" t="inlineStr">
        <is>
          <t>Kerala Public Works &amp; Technology Department</t>
        </is>
      </c>
      <c r="F2024" s="13" t="inlineStr">
        <is>
          <t>15 Aug 2026</t>
        </is>
      </c>
      <c r="G2024" s="12" t="inlineStr">
        <is>
          <t>05 Sep 2026</t>
        </is>
      </c>
      <c r="H2024" s="8" t="inlineStr">
        <is>
          <t>⏳ UPCOMING</t>
        </is>
      </c>
      <c r="I2024" s="11" t="inlineStr">
        <is>
          <t>Tender_2026_SKDP_878528_1_All_Documents.zip</t>
        </is>
      </c>
      <c r="J2024" s="13" t="inlineStr">
        <is>
          <t>📦 ZIP Package</t>
        </is>
      </c>
      <c r="K2024" s="15" t="n">
        <v>48.3</v>
      </c>
      <c r="L2024" s="16">
        <f>HYPERLINK("http://127.0.0.1:8000/api/documents/download?id=1887&amp;attachment=true", "⬇ Download Tender_2026_SKDP_878528_")</f>
        <v/>
      </c>
      <c r="M2024" s="16">
        <f>HYPERLINK("http://localhost:5173/?state=Kerala&amp;keyword=ICT&amp;tender=2026_SKDP_878528_1", "🚀 Open in Portal")</f>
        <v/>
      </c>
    </row>
    <row r="2025" ht="24" customHeight="1">
      <c r="A2025" s="4" t="inlineStr">
        <is>
          <t>Kerala</t>
        </is>
      </c>
      <c r="B2025" s="5" t="inlineStr">
        <is>
          <t>ICT</t>
        </is>
      </c>
      <c r="C2025" s="6" t="inlineStr">
        <is>
          <t>2026_SKF_844541_5</t>
        </is>
      </c>
      <c r="D2025" s="7" t="inlineStr">
        <is>
          <t>[One Panchayath One Playground-Development of Playground at Ayyankoickal G.H.S.S Ground in Thevalakkara Grama Panchayath in Chavara LAC, Kollam District- Plan - Retender]</t>
        </is>
      </c>
      <c r="E2025" s="7" t="inlineStr">
        <is>
          <t>Kerala Public Works &amp; Technology Department</t>
        </is>
      </c>
      <c r="F2025" s="6" t="inlineStr">
        <is>
          <t>24 Oct 2026</t>
        </is>
      </c>
      <c r="G2025" s="5" t="inlineStr">
        <is>
          <t>14 Nov 2026</t>
        </is>
      </c>
      <c r="H2025" s="8" t="inlineStr">
        <is>
          <t>⏳ UPCOMING</t>
        </is>
      </c>
      <c r="I2025" s="4" t="inlineStr">
        <is>
          <t>Tendernotice_1.pdf</t>
        </is>
      </c>
      <c r="J2025" s="6" t="inlineStr">
        <is>
          <t>📕 PDF Document</t>
        </is>
      </c>
      <c r="K2025" s="9" t="n">
        <v>17.8</v>
      </c>
      <c r="L2025" s="10">
        <f>HYPERLINK("http://127.0.0.1:8000/api/documents/download?id=1796&amp;attachment=true", "⬇ Download Tendernotice_1.pdf")</f>
        <v/>
      </c>
      <c r="M2025" s="10">
        <f>HYPERLINK("http://localhost:5173/?state=Kerala&amp;keyword=ICT&amp;tender=2026_SKF_844541_5", "🚀 Open in Portal")</f>
        <v/>
      </c>
    </row>
    <row r="2026" ht="24" customHeight="1">
      <c r="A2026" s="11" t="inlineStr">
        <is>
          <t>Kerala</t>
        </is>
      </c>
      <c r="B2026" s="12" t="inlineStr">
        <is>
          <t>ICT</t>
        </is>
      </c>
      <c r="C2026" s="13" t="inlineStr">
        <is>
          <t>2026_SKF_844541_5</t>
        </is>
      </c>
      <c r="D2026" s="14" t="inlineStr">
        <is>
          <t>[One Panchayath One Playground-Development of Playground at Ayyankoickal G.H.S.S Ground in Thevalakkara Grama Panchayath in Chavara LAC, Kollam District- Plan - Retender]</t>
        </is>
      </c>
      <c r="E2026" s="14" t="inlineStr">
        <is>
          <t>Kerala Public Works &amp; Technology Department</t>
        </is>
      </c>
      <c r="F2026" s="13" t="inlineStr">
        <is>
          <t>24 Oct 2026</t>
        </is>
      </c>
      <c r="G2026" s="12" t="inlineStr">
        <is>
          <t>14 Nov 2026</t>
        </is>
      </c>
      <c r="H2026" s="8" t="inlineStr">
        <is>
          <t>⏳ UPCOMING</t>
        </is>
      </c>
      <c r="I2026" s="11" t="inlineStr">
        <is>
          <t>Tenderdoc.pdf</t>
        </is>
      </c>
      <c r="J2026" s="13" t="inlineStr">
        <is>
          <t>📕 PDF Document</t>
        </is>
      </c>
      <c r="K2026" s="15" t="n">
        <v>17.8</v>
      </c>
      <c r="L2026" s="16">
        <f>HYPERLINK("http://127.0.0.1:8000/api/documents/download?id=1797&amp;attachment=true", "⬇ Download Tenderdoc.pdf")</f>
        <v/>
      </c>
      <c r="M2026" s="16">
        <f>HYPERLINK("http://localhost:5173/?state=Kerala&amp;keyword=ICT&amp;tender=2026_SKF_844541_5", "🚀 Open in Portal")</f>
        <v/>
      </c>
    </row>
    <row r="2027" ht="24" customHeight="1">
      <c r="A2027" s="4" t="inlineStr">
        <is>
          <t>Kerala</t>
        </is>
      </c>
      <c r="B2027" s="5" t="inlineStr">
        <is>
          <t>ICT</t>
        </is>
      </c>
      <c r="C2027" s="6" t="inlineStr">
        <is>
          <t>2026_SKF_844541_5</t>
        </is>
      </c>
      <c r="D2027" s="7" t="inlineStr">
        <is>
          <t>[One Panchayath One Playground-Development of Playground at Ayyankoickal G.H.S.S Ground in Thevalakkara Grama Panchayath in Chavara LAC, Kollam District- Plan - Retender]</t>
        </is>
      </c>
      <c r="E2027" s="7" t="inlineStr">
        <is>
          <t>Kerala Public Works &amp; Technology Department</t>
        </is>
      </c>
      <c r="F2027" s="6" t="inlineStr">
        <is>
          <t>24 Oct 2026</t>
        </is>
      </c>
      <c r="G2027" s="5" t="inlineStr">
        <is>
          <t>14 Nov 2026</t>
        </is>
      </c>
      <c r="H2027" s="8" t="inlineStr">
        <is>
          <t>⏳ UPCOMING</t>
        </is>
      </c>
      <c r="I2027" s="4" t="inlineStr">
        <is>
          <t>DWG.pdf</t>
        </is>
      </c>
      <c r="J2027" s="6" t="inlineStr">
        <is>
          <t>📕 PDF Document</t>
        </is>
      </c>
      <c r="K2027" s="9" t="n">
        <v>17.8</v>
      </c>
      <c r="L2027" s="10">
        <f>HYPERLINK("http://127.0.0.1:8000/api/documents/download?id=1798&amp;attachment=true", "⬇ Download DWG.pdf")</f>
        <v/>
      </c>
      <c r="M2027" s="10">
        <f>HYPERLINK("http://localhost:5173/?state=Kerala&amp;keyword=ICT&amp;tender=2026_SKF_844541_5", "🚀 Open in Portal")</f>
        <v/>
      </c>
    </row>
    <row r="2028" ht="24" customHeight="1">
      <c r="A2028" s="11" t="inlineStr">
        <is>
          <t>Kerala</t>
        </is>
      </c>
      <c r="B2028" s="12" t="inlineStr">
        <is>
          <t>ICT</t>
        </is>
      </c>
      <c r="C2028" s="13" t="inlineStr">
        <is>
          <t>2026_SKF_844541_5</t>
        </is>
      </c>
      <c r="D2028" s="14" t="inlineStr">
        <is>
          <t>[One Panchayath One Playground-Development of Playground at Ayyankoickal G.H.S.S Ground in Thevalakkara Grama Panchayath in Chavara LAC, Kollam District- Plan - Retender]</t>
        </is>
      </c>
      <c r="E2028" s="14" t="inlineStr">
        <is>
          <t>Kerala Public Works &amp; Technology Department</t>
        </is>
      </c>
      <c r="F2028" s="13" t="inlineStr">
        <is>
          <t>24 Oct 2026</t>
        </is>
      </c>
      <c r="G2028" s="12" t="inlineStr">
        <is>
          <t>14 Nov 2026</t>
        </is>
      </c>
      <c r="H2028" s="8" t="inlineStr">
        <is>
          <t>⏳ UPCOMING</t>
        </is>
      </c>
      <c r="I2028" s="11" t="inlineStr">
        <is>
          <t>BOQ_1494279.xls</t>
        </is>
      </c>
      <c r="J2028" s="13" t="inlineStr">
        <is>
          <t>📊 Excel BOQ</t>
        </is>
      </c>
      <c r="K2028" s="15" t="n">
        <v>2.5</v>
      </c>
      <c r="L2028" s="16">
        <f>HYPERLINK("http://127.0.0.1:8000/api/documents/download?id=1799&amp;attachment=true", "⬇ Download BOQ_1494279.xls")</f>
        <v/>
      </c>
      <c r="M2028" s="16">
        <f>HYPERLINK("http://localhost:5173/?state=Kerala&amp;keyword=ICT&amp;tender=2026_SKF_844541_5", "🚀 Open in Portal")</f>
        <v/>
      </c>
    </row>
    <row r="2029" ht="24" customHeight="1">
      <c r="A2029" s="4" t="inlineStr">
        <is>
          <t>Kerala</t>
        </is>
      </c>
      <c r="B2029" s="5" t="inlineStr">
        <is>
          <t>ICT</t>
        </is>
      </c>
      <c r="C2029" s="6" t="inlineStr">
        <is>
          <t>2026_SKF_844541_5</t>
        </is>
      </c>
      <c r="D2029" s="7" t="inlineStr">
        <is>
          <t>[One Panchayath One Playground-Development of Playground at Ayyankoickal G.H.S.S Ground in Thevalakkara Grama Panchayath in Chavara LAC, Kollam District- Plan - Retender]</t>
        </is>
      </c>
      <c r="E2029" s="7" t="inlineStr">
        <is>
          <t>Kerala Public Works &amp; Technology Department</t>
        </is>
      </c>
      <c r="F2029" s="6" t="inlineStr">
        <is>
          <t>24 Oct 2026</t>
        </is>
      </c>
      <c r="G2029" s="5" t="inlineStr">
        <is>
          <t>14 Nov 2026</t>
        </is>
      </c>
      <c r="H2029" s="8" t="inlineStr">
        <is>
          <t>⏳ UPCOMING</t>
        </is>
      </c>
      <c r="I2029" s="4" t="inlineStr">
        <is>
          <t>Tender_2026_SKF_844541_5_All_Documents.zip</t>
        </is>
      </c>
      <c r="J2029" s="6" t="inlineStr">
        <is>
          <t>📦 ZIP Package</t>
        </is>
      </c>
      <c r="K2029" s="9" t="n">
        <v>29.9</v>
      </c>
      <c r="L2029" s="10">
        <f>HYPERLINK("http://127.0.0.1:8000/api/documents/download?id=1800&amp;attachment=true", "⬇ Download Tender_2026_SKF_844541_5")</f>
        <v/>
      </c>
      <c r="M2029" s="10">
        <f>HYPERLINK("http://localhost:5173/?state=Kerala&amp;keyword=ICT&amp;tender=2026_SKF_844541_5", "🚀 Open in Portal")</f>
        <v/>
      </c>
    </row>
    <row r="2030" ht="24" customHeight="1">
      <c r="A2030" s="11" t="inlineStr">
        <is>
          <t>Kerala</t>
        </is>
      </c>
      <c r="B2030" s="12" t="inlineStr">
        <is>
          <t>Forest</t>
        </is>
      </c>
      <c r="C2030" s="13" t="inlineStr">
        <is>
          <t>2026_KER_6421468_86</t>
        </is>
      </c>
      <c r="D2030" s="14" t="inlineStr">
        <is>
          <t>Forest-Based Satellite-Based Forest Canopy Density &amp; Wildlife Corridor Spatial Monitoring</t>
        </is>
      </c>
      <c r="E2030" s="14" t="inlineStr">
        <is>
          <t>STATE FOREST &amp; ENVIRONMENT DEPARTMENT</t>
        </is>
      </c>
      <c r="F2030" s="13" t="inlineStr">
        <is>
          <t>24 Sep 2026</t>
        </is>
      </c>
      <c r="G2030" s="12" t="inlineStr">
        <is>
          <t>24 Oct 2026</t>
        </is>
      </c>
      <c r="H2030" s="17" t="inlineStr">
        <is>
          <t>🟢 LIVE ACTIVE</t>
        </is>
      </c>
      <c r="I2030" s="11" t="inlineStr">
        <is>
          <t>Tendernotice_2026_KER_6421468_86.pdf</t>
        </is>
      </c>
      <c r="J2030" s="13" t="inlineStr">
        <is>
          <t>📕 PDF Document</t>
        </is>
      </c>
      <c r="K2030" s="15" t="n">
        <v>17.9</v>
      </c>
      <c r="L2030" s="16">
        <f>HYPERLINK("http://127.0.0.1:8000/api/documents/download?id=3361&amp;attachment=true", "⬇ Download Tendernotice_2026_KER_64")</f>
        <v/>
      </c>
      <c r="M2030" s="16">
        <f>HYPERLINK("http://localhost:5173/?state=Kerala&amp;keyword=Forest&amp;tender=2026_KER_6421468_86", "🚀 Open in Portal")</f>
        <v/>
      </c>
    </row>
    <row r="2031" ht="24" customHeight="1">
      <c r="A2031" s="4" t="inlineStr">
        <is>
          <t>Kerala</t>
        </is>
      </c>
      <c r="B2031" s="5" t="inlineStr">
        <is>
          <t>Forest</t>
        </is>
      </c>
      <c r="C2031" s="6" t="inlineStr">
        <is>
          <t>2026_KER_6421468_86</t>
        </is>
      </c>
      <c r="D2031" s="7" t="inlineStr">
        <is>
          <t>Forest-Based Satellite-Based Forest Canopy Density &amp; Wildlife Corridor Spatial Monitoring</t>
        </is>
      </c>
      <c r="E2031" s="7" t="inlineStr">
        <is>
          <t>STATE FOREST &amp; ENVIRONMENT DEPARTMENT</t>
        </is>
      </c>
      <c r="F2031" s="6" t="inlineStr">
        <is>
          <t>24 Sep 2026</t>
        </is>
      </c>
      <c r="G2031" s="5" t="inlineStr">
        <is>
          <t>24 Oct 2026</t>
        </is>
      </c>
      <c r="H2031" s="17" t="inlineStr">
        <is>
          <t>🟢 LIVE ACTIVE</t>
        </is>
      </c>
      <c r="I2031" s="4" t="inlineStr">
        <is>
          <t>Technical_RFP_Specification_Forest.pdf</t>
        </is>
      </c>
      <c r="J2031" s="6" t="inlineStr">
        <is>
          <t>📕 PDF Document</t>
        </is>
      </c>
      <c r="K2031" s="9" t="n">
        <v>17.9</v>
      </c>
      <c r="L2031" s="10">
        <f>HYPERLINK("http://127.0.0.1:8000/api/documents/download?id=3362&amp;attachment=true", "⬇ Download Technical_RFP_Specificat")</f>
        <v/>
      </c>
      <c r="M2031" s="10">
        <f>HYPERLINK("http://localhost:5173/?state=Kerala&amp;keyword=Forest&amp;tender=2026_KER_6421468_86", "🚀 Open in Portal")</f>
        <v/>
      </c>
    </row>
    <row r="2032" ht="24" customHeight="1">
      <c r="A2032" s="11" t="inlineStr">
        <is>
          <t>Kerala</t>
        </is>
      </c>
      <c r="B2032" s="12" t="inlineStr">
        <is>
          <t>Forest</t>
        </is>
      </c>
      <c r="C2032" s="13" t="inlineStr">
        <is>
          <t>2026_KER_6421468_86</t>
        </is>
      </c>
      <c r="D2032" s="14" t="inlineStr">
        <is>
          <t>Forest-Based Satellite-Based Forest Canopy Density &amp; Wildlife Corridor Spatial Monitoring</t>
        </is>
      </c>
      <c r="E2032" s="14" t="inlineStr">
        <is>
          <t>STATE FOREST &amp; ENVIRONMENT DEPARTMENT</t>
        </is>
      </c>
      <c r="F2032" s="13" t="inlineStr">
        <is>
          <t>24 Sep 2026</t>
        </is>
      </c>
      <c r="G2032" s="12" t="inlineStr">
        <is>
          <t>24 Oct 2026</t>
        </is>
      </c>
      <c r="H2032" s="17" t="inlineStr">
        <is>
          <t>🟢 LIVE ACTIVE</t>
        </is>
      </c>
      <c r="I2032" s="11" t="inlineStr">
        <is>
          <t>BOQ_Financial_Schedule_2026_KER_6421468_86.xlsx</t>
        </is>
      </c>
      <c r="J2032" s="13" t="inlineStr">
        <is>
          <t>📊 Excel BOQ</t>
        </is>
      </c>
      <c r="K2032" s="15" t="n">
        <v>2.5</v>
      </c>
      <c r="L2032" s="16">
        <f>HYPERLINK("http://127.0.0.1:8000/api/documents/download?id=3363&amp;attachment=true", "⬇ Download BOQ_Financial_Schedule_2")</f>
        <v/>
      </c>
      <c r="M2032" s="16">
        <f>HYPERLINK("http://localhost:5173/?state=Kerala&amp;keyword=Forest&amp;tender=2026_KER_6421468_86", "🚀 Open in Portal")</f>
        <v/>
      </c>
    </row>
    <row r="2033" ht="24" customHeight="1">
      <c r="A2033" s="4" t="inlineStr">
        <is>
          <t>Kerala</t>
        </is>
      </c>
      <c r="B2033" s="5" t="inlineStr">
        <is>
          <t>Forest</t>
        </is>
      </c>
      <c r="C2033" s="6" t="inlineStr">
        <is>
          <t>2026_KER_6421468_86</t>
        </is>
      </c>
      <c r="D2033" s="7" t="inlineStr">
        <is>
          <t>Forest-Based Satellite-Based Forest Canopy Density &amp; Wildlife Corridor Spatial Monitoring</t>
        </is>
      </c>
      <c r="E2033" s="7" t="inlineStr">
        <is>
          <t>STATE FOREST &amp; ENVIRONMENT DEPARTMENT</t>
        </is>
      </c>
      <c r="F2033" s="6" t="inlineStr">
        <is>
          <t>24 Sep 2026</t>
        </is>
      </c>
      <c r="G2033" s="5" t="inlineStr">
        <is>
          <t>24 Oct 2026</t>
        </is>
      </c>
      <c r="H2033" s="17" t="inlineStr">
        <is>
          <t>🟢 LIVE ACTIVE</t>
        </is>
      </c>
      <c r="I2033" s="4" t="inlineStr">
        <is>
          <t>Tender_2026_KER_6421468_86_All_Documents.zip</t>
        </is>
      </c>
      <c r="J2033" s="6" t="inlineStr">
        <is>
          <t>📦 ZIP Package</t>
        </is>
      </c>
      <c r="K2033" s="9" t="n">
        <v>45</v>
      </c>
      <c r="L2033" s="10">
        <f>HYPERLINK("https://etenders.kerala.gov.in/tender/2026_KER_6421468_86", "⬇ Download Tender_2026_KER_6421468_")</f>
        <v/>
      </c>
      <c r="M2033" s="10">
        <f>HYPERLINK("http://localhost:5173/?state=Kerala&amp;keyword=Forest&amp;tender=2026_KER_6421468_86", "🚀 Open in Portal")</f>
        <v/>
      </c>
    </row>
    <row r="2034" ht="24" customHeight="1">
      <c r="A2034" s="11" t="inlineStr">
        <is>
          <t>Kerala</t>
        </is>
      </c>
      <c r="B2034" s="12" t="inlineStr">
        <is>
          <t>Mapping</t>
        </is>
      </c>
      <c r="C2034" s="13" t="inlineStr">
        <is>
          <t>2026_KER_6397864_55</t>
        </is>
      </c>
      <c r="D2034" s="14" t="inlineStr">
        <is>
          <t>Mapping-Based High Resolution Satellite Imagery Land Use &amp; Land Cover Spatial Mapping</t>
        </is>
      </c>
      <c r="E2034" s="14" t="inlineStr">
        <is>
          <t>DEPARTMENT OF SCIENCE, TECHNOLOGY &amp; REMOTE SENSING</t>
        </is>
      </c>
      <c r="F2034" s="13" t="inlineStr">
        <is>
          <t>18 Sep 2026</t>
        </is>
      </c>
      <c r="G2034" s="12" t="inlineStr">
        <is>
          <t>15 Oct 2026</t>
        </is>
      </c>
      <c r="H2034" s="8" t="inlineStr">
        <is>
          <t>⏳ UPCOMING</t>
        </is>
      </c>
      <c r="I2034" s="11" t="inlineStr">
        <is>
          <t>Tendernotice_2026_KER_6397864_55.pdf</t>
        </is>
      </c>
      <c r="J2034" s="13" t="inlineStr">
        <is>
          <t>📕 PDF Document</t>
        </is>
      </c>
      <c r="K2034" s="15" t="n">
        <v>17.9</v>
      </c>
      <c r="L2034" s="16">
        <f>HYPERLINK("http://127.0.0.1:8000/api/documents/download?id=3357&amp;attachment=true", "⬇ Download Tendernotice_2026_KER_63")</f>
        <v/>
      </c>
      <c r="M2034" s="16">
        <f>HYPERLINK("http://localhost:5173/?state=Kerala&amp;keyword=Mapping&amp;tender=2026_KER_6397864_55", "🚀 Open in Portal")</f>
        <v/>
      </c>
    </row>
    <row r="2035" ht="24" customHeight="1">
      <c r="A2035" s="4" t="inlineStr">
        <is>
          <t>Kerala</t>
        </is>
      </c>
      <c r="B2035" s="5" t="inlineStr">
        <is>
          <t>Mapping</t>
        </is>
      </c>
      <c r="C2035" s="6" t="inlineStr">
        <is>
          <t>2026_KER_6397864_55</t>
        </is>
      </c>
      <c r="D2035" s="7" t="inlineStr">
        <is>
          <t>Mapping-Based High Resolution Satellite Imagery Land Use &amp; Land Cover Spatial Mapping</t>
        </is>
      </c>
      <c r="E2035" s="7" t="inlineStr">
        <is>
          <t>DEPARTMENT OF SCIENCE, TECHNOLOGY &amp; REMOTE SENSING</t>
        </is>
      </c>
      <c r="F2035" s="6" t="inlineStr">
        <is>
          <t>18 Sep 2026</t>
        </is>
      </c>
      <c r="G2035" s="5" t="inlineStr">
        <is>
          <t>15 Oct 2026</t>
        </is>
      </c>
      <c r="H2035" s="8" t="inlineStr">
        <is>
          <t>⏳ UPCOMING</t>
        </is>
      </c>
      <c r="I2035" s="4" t="inlineStr">
        <is>
          <t>Technical_RFP_Specification_Mapping.pdf</t>
        </is>
      </c>
      <c r="J2035" s="6" t="inlineStr">
        <is>
          <t>📕 PDF Document</t>
        </is>
      </c>
      <c r="K2035" s="9" t="n">
        <v>17.9</v>
      </c>
      <c r="L2035" s="10">
        <f>HYPERLINK("http://127.0.0.1:8000/api/documents/download?id=3358&amp;attachment=true", "⬇ Download Technical_RFP_Specificat")</f>
        <v/>
      </c>
      <c r="M2035" s="10">
        <f>HYPERLINK("http://localhost:5173/?state=Kerala&amp;keyword=Mapping&amp;tender=2026_KER_6397864_55", "🚀 Open in Portal")</f>
        <v/>
      </c>
    </row>
    <row r="2036" ht="24" customHeight="1">
      <c r="A2036" s="11" t="inlineStr">
        <is>
          <t>Kerala</t>
        </is>
      </c>
      <c r="B2036" s="12" t="inlineStr">
        <is>
          <t>Mapping</t>
        </is>
      </c>
      <c r="C2036" s="13" t="inlineStr">
        <is>
          <t>2026_KER_6397864_55</t>
        </is>
      </c>
      <c r="D2036" s="14" t="inlineStr">
        <is>
          <t>Mapping-Based High Resolution Satellite Imagery Land Use &amp; Land Cover Spatial Mapping</t>
        </is>
      </c>
      <c r="E2036" s="14" t="inlineStr">
        <is>
          <t>DEPARTMENT OF SCIENCE, TECHNOLOGY &amp; REMOTE SENSING</t>
        </is>
      </c>
      <c r="F2036" s="13" t="inlineStr">
        <is>
          <t>18 Sep 2026</t>
        </is>
      </c>
      <c r="G2036" s="12" t="inlineStr">
        <is>
          <t>15 Oct 2026</t>
        </is>
      </c>
      <c r="H2036" s="8" t="inlineStr">
        <is>
          <t>⏳ UPCOMING</t>
        </is>
      </c>
      <c r="I2036" s="11" t="inlineStr">
        <is>
          <t>BOQ_Financial_Schedule_2026_KER_6397864_55.xlsx</t>
        </is>
      </c>
      <c r="J2036" s="13" t="inlineStr">
        <is>
          <t>📊 Excel BOQ</t>
        </is>
      </c>
      <c r="K2036" s="15" t="n">
        <v>2.5</v>
      </c>
      <c r="L2036" s="16">
        <f>HYPERLINK("http://127.0.0.1:8000/api/documents/download?id=3359&amp;attachment=true", "⬇ Download BOQ_Financial_Schedule_2")</f>
        <v/>
      </c>
      <c r="M2036" s="16">
        <f>HYPERLINK("http://localhost:5173/?state=Kerala&amp;keyword=Mapping&amp;tender=2026_KER_6397864_55", "🚀 Open in Portal")</f>
        <v/>
      </c>
    </row>
    <row r="2037" ht="24" customHeight="1">
      <c r="A2037" s="4" t="inlineStr">
        <is>
          <t>Kerala</t>
        </is>
      </c>
      <c r="B2037" s="5" t="inlineStr">
        <is>
          <t>Mapping</t>
        </is>
      </c>
      <c r="C2037" s="6" t="inlineStr">
        <is>
          <t>2026_KER_6397864_55</t>
        </is>
      </c>
      <c r="D2037" s="7" t="inlineStr">
        <is>
          <t>Mapping-Based High Resolution Satellite Imagery Land Use &amp; Land Cover Spatial Mapping</t>
        </is>
      </c>
      <c r="E2037" s="7" t="inlineStr">
        <is>
          <t>DEPARTMENT OF SCIENCE, TECHNOLOGY &amp; REMOTE SENSING</t>
        </is>
      </c>
      <c r="F2037" s="6" t="inlineStr">
        <is>
          <t>18 Sep 2026</t>
        </is>
      </c>
      <c r="G2037" s="5" t="inlineStr">
        <is>
          <t>15 Oct 2026</t>
        </is>
      </c>
      <c r="H2037" s="8" t="inlineStr">
        <is>
          <t>⏳ UPCOMING</t>
        </is>
      </c>
      <c r="I2037" s="4" t="inlineStr">
        <is>
          <t>Tender_2026_KER_6397864_55_All_Documents.zip</t>
        </is>
      </c>
      <c r="J2037" s="6" t="inlineStr">
        <is>
          <t>📦 ZIP Package</t>
        </is>
      </c>
      <c r="K2037" s="9" t="n">
        <v>45</v>
      </c>
      <c r="L2037" s="10">
        <f>HYPERLINK("https://etenders.kerala.gov.in/tender/2026_KER_6397864_55", "⬇ Download Tender_2026_KER_6397864_")</f>
        <v/>
      </c>
      <c r="M2037" s="10">
        <f>HYPERLINK("http://localhost:5173/?state=Kerala&amp;keyword=Mapping&amp;tender=2026_KER_6397864_55", "🚀 Open in Portal")</f>
        <v/>
      </c>
    </row>
    <row r="2038" ht="24" customHeight="1">
      <c r="A2038" s="11" t="inlineStr">
        <is>
          <t>Kerala</t>
        </is>
      </c>
      <c r="B2038" s="12" t="inlineStr">
        <is>
          <t>Mapping</t>
        </is>
      </c>
      <c r="C2038" s="13" t="inlineStr">
        <is>
          <t>2026_KER_9719049_96</t>
        </is>
      </c>
      <c r="D2038" s="14" t="inlineStr">
        <is>
          <t>Mapping-Based High Resolution Satellite Imagery Land Use &amp; Land Cover Spatial Mapping</t>
        </is>
      </c>
      <c r="E2038" s="14" t="inlineStr">
        <is>
          <t>DEPARTMENT OF SCIENCE, TECHNOLOGY &amp; REMOTE SENSING</t>
        </is>
      </c>
      <c r="F2038" s="13" t="inlineStr">
        <is>
          <t>06 Sep 2026</t>
        </is>
      </c>
      <c r="G2038" s="12" t="inlineStr">
        <is>
          <t>27 Sep 2026</t>
        </is>
      </c>
      <c r="H2038" s="8" t="inlineStr">
        <is>
          <t>⏳ UPCOMING</t>
        </is>
      </c>
      <c r="I2038" s="11" t="inlineStr">
        <is>
          <t>Tendernotice_2026_KER_9719049_96.pdf</t>
        </is>
      </c>
      <c r="J2038" s="13" t="inlineStr">
        <is>
          <t>📕 PDF Document</t>
        </is>
      </c>
      <c r="K2038" s="15" t="n">
        <v>17.9</v>
      </c>
      <c r="L2038" s="16">
        <f>HYPERLINK("http://127.0.0.1:8000/api/documents/download?id=3093&amp;attachment=true", "⬇ Download Tendernotice_2026_KER_97")</f>
        <v/>
      </c>
      <c r="M2038" s="16">
        <f>HYPERLINK("http://localhost:5173/?state=Kerala&amp;keyword=Mapping&amp;tender=2026_KER_9719049_96", "🚀 Open in Portal")</f>
        <v/>
      </c>
    </row>
    <row r="2039" ht="24" customHeight="1">
      <c r="A2039" s="4" t="inlineStr">
        <is>
          <t>Kerala</t>
        </is>
      </c>
      <c r="B2039" s="5" t="inlineStr">
        <is>
          <t>Mapping</t>
        </is>
      </c>
      <c r="C2039" s="6" t="inlineStr">
        <is>
          <t>2026_KER_9719049_96</t>
        </is>
      </c>
      <c r="D2039" s="7" t="inlineStr">
        <is>
          <t>Mapping-Based High Resolution Satellite Imagery Land Use &amp; Land Cover Spatial Mapping</t>
        </is>
      </c>
      <c r="E2039" s="7" t="inlineStr">
        <is>
          <t>DEPARTMENT OF SCIENCE, TECHNOLOGY &amp; REMOTE SENSING</t>
        </is>
      </c>
      <c r="F2039" s="6" t="inlineStr">
        <is>
          <t>06 Sep 2026</t>
        </is>
      </c>
      <c r="G2039" s="5" t="inlineStr">
        <is>
          <t>27 Sep 2026</t>
        </is>
      </c>
      <c r="H2039" s="8" t="inlineStr">
        <is>
          <t>⏳ UPCOMING</t>
        </is>
      </c>
      <c r="I2039" s="4" t="inlineStr">
        <is>
          <t>Technical_RFP_Specification_Mapping.pdf</t>
        </is>
      </c>
      <c r="J2039" s="6" t="inlineStr">
        <is>
          <t>📕 PDF Document</t>
        </is>
      </c>
      <c r="K2039" s="9" t="n">
        <v>17.9</v>
      </c>
      <c r="L2039" s="10">
        <f>HYPERLINK("http://127.0.0.1:8000/api/documents/download?id=3094&amp;attachment=true", "⬇ Download Technical_RFP_Specificat")</f>
        <v/>
      </c>
      <c r="M2039" s="10">
        <f>HYPERLINK("http://localhost:5173/?state=Kerala&amp;keyword=Mapping&amp;tender=2026_KER_9719049_96", "🚀 Open in Portal")</f>
        <v/>
      </c>
    </row>
    <row r="2040" ht="24" customHeight="1">
      <c r="A2040" s="11" t="inlineStr">
        <is>
          <t>Kerala</t>
        </is>
      </c>
      <c r="B2040" s="12" t="inlineStr">
        <is>
          <t>Mapping</t>
        </is>
      </c>
      <c r="C2040" s="13" t="inlineStr">
        <is>
          <t>2026_KER_9719049_96</t>
        </is>
      </c>
      <c r="D2040" s="14" t="inlineStr">
        <is>
          <t>Mapping-Based High Resolution Satellite Imagery Land Use &amp; Land Cover Spatial Mapping</t>
        </is>
      </c>
      <c r="E2040" s="14" t="inlineStr">
        <is>
          <t>DEPARTMENT OF SCIENCE, TECHNOLOGY &amp; REMOTE SENSING</t>
        </is>
      </c>
      <c r="F2040" s="13" t="inlineStr">
        <is>
          <t>06 Sep 2026</t>
        </is>
      </c>
      <c r="G2040" s="12" t="inlineStr">
        <is>
          <t>27 Sep 2026</t>
        </is>
      </c>
      <c r="H2040" s="8" t="inlineStr">
        <is>
          <t>⏳ UPCOMING</t>
        </is>
      </c>
      <c r="I2040" s="11" t="inlineStr">
        <is>
          <t>BOQ_Financial_Schedule_2026_KER_9719049_96.xlsx</t>
        </is>
      </c>
      <c r="J2040" s="13" t="inlineStr">
        <is>
          <t>📊 Excel BOQ</t>
        </is>
      </c>
      <c r="K2040" s="15" t="n">
        <v>2.5</v>
      </c>
      <c r="L2040" s="16">
        <f>HYPERLINK("http://127.0.0.1:8000/api/documents/download?id=3095&amp;attachment=true", "⬇ Download BOQ_Financial_Schedule_2")</f>
        <v/>
      </c>
      <c r="M2040" s="16">
        <f>HYPERLINK("http://localhost:5173/?state=Kerala&amp;keyword=Mapping&amp;tender=2026_KER_9719049_96", "🚀 Open in Portal")</f>
        <v/>
      </c>
    </row>
    <row r="2041" ht="24" customHeight="1">
      <c r="A2041" s="4" t="inlineStr">
        <is>
          <t>Kerala</t>
        </is>
      </c>
      <c r="B2041" s="5" t="inlineStr">
        <is>
          <t>Mapping</t>
        </is>
      </c>
      <c r="C2041" s="6" t="inlineStr">
        <is>
          <t>2026_KER_9719049_96</t>
        </is>
      </c>
      <c r="D2041" s="7" t="inlineStr">
        <is>
          <t>Mapping-Based High Resolution Satellite Imagery Land Use &amp; Land Cover Spatial Mapping</t>
        </is>
      </c>
      <c r="E2041" s="7" t="inlineStr">
        <is>
          <t>DEPARTMENT OF SCIENCE, TECHNOLOGY &amp; REMOTE SENSING</t>
        </is>
      </c>
      <c r="F2041" s="6" t="inlineStr">
        <is>
          <t>06 Sep 2026</t>
        </is>
      </c>
      <c r="G2041" s="5" t="inlineStr">
        <is>
          <t>27 Sep 2026</t>
        </is>
      </c>
      <c r="H2041" s="8" t="inlineStr">
        <is>
          <t>⏳ UPCOMING</t>
        </is>
      </c>
      <c r="I2041" s="4" t="inlineStr">
        <is>
          <t>Tender_2026_KER_9719049_96_All_Documents.zip</t>
        </is>
      </c>
      <c r="J2041" s="6" t="inlineStr">
        <is>
          <t>📦 ZIP Package</t>
        </is>
      </c>
      <c r="K2041" s="9" t="n">
        <v>45</v>
      </c>
      <c r="L2041" s="10">
        <f>HYPERLINK("https://etenders.kerala.gov.in/tender/2026_KER_9719049_96", "⬇ Download Tender_2026_KER_9719049_")</f>
        <v/>
      </c>
      <c r="M2041" s="10">
        <f>HYPERLINK("http://localhost:5173/?state=Kerala&amp;keyword=Mapping&amp;tender=2026_KER_9719049_96", "🚀 Open in Portal")</f>
        <v/>
      </c>
    </row>
    <row r="2042" ht="24" customHeight="1">
      <c r="A2042" s="11" t="inlineStr">
        <is>
          <t>Kerala</t>
        </is>
      </c>
      <c r="B2042" s="12" t="inlineStr">
        <is>
          <t>Development</t>
        </is>
      </c>
      <c r="C2042" s="13" t="inlineStr">
        <is>
          <t>2026_SKDP_869064_2</t>
        </is>
      </c>
      <c r="D2042" s="14" t="inlineStr">
        <is>
          <t>[DP Kannur Project No 43/2026-27 - Infrastructural Development Works at District Soil Testing Laboratory, Karimbam]</t>
        </is>
      </c>
      <c r="E2042" s="14" t="inlineStr">
        <is>
          <t>Kerala Public Works &amp; Technology Department</t>
        </is>
      </c>
      <c r="F2042" s="13" t="inlineStr">
        <is>
          <t>26 Jul 2026</t>
        </is>
      </c>
      <c r="G2042" s="12" t="inlineStr">
        <is>
          <t>24 Aug 2026</t>
        </is>
      </c>
      <c r="H2042" s="8" t="inlineStr">
        <is>
          <t>⏳ UPCOMING</t>
        </is>
      </c>
      <c r="I2042" s="11" t="inlineStr">
        <is>
          <t>Tendernotice_1.pdf</t>
        </is>
      </c>
      <c r="J2042" s="13" t="inlineStr">
        <is>
          <t>📕 PDF Document</t>
        </is>
      </c>
      <c r="K2042" s="15" t="n">
        <v>17.8</v>
      </c>
      <c r="L2042" s="16">
        <f>HYPERLINK("http://127.0.0.1:8000/api/documents/download?id=1868&amp;attachment=true", "⬇ Download Tendernotice_1.pdf")</f>
        <v/>
      </c>
      <c r="M2042" s="16">
        <f>HYPERLINK("http://localhost:5173/?state=Kerala&amp;keyword=Development&amp;tender=2026_SKDP_869064_2", "🚀 Open in Portal")</f>
        <v/>
      </c>
    </row>
    <row r="2043" ht="24" customHeight="1">
      <c r="A2043" s="4" t="inlineStr">
        <is>
          <t>Kerala</t>
        </is>
      </c>
      <c r="B2043" s="5" t="inlineStr">
        <is>
          <t>Development</t>
        </is>
      </c>
      <c r="C2043" s="6" t="inlineStr">
        <is>
          <t>2026_SKDP_869064_2</t>
        </is>
      </c>
      <c r="D2043" s="7" t="inlineStr">
        <is>
          <t>[DP Kannur Project No 43/2026-27 - Infrastructural Development Works at District Soil Testing Laboratory, Karimbam]</t>
        </is>
      </c>
      <c r="E2043" s="7" t="inlineStr">
        <is>
          <t>Kerala Public Works &amp; Technology Department</t>
        </is>
      </c>
      <c r="F2043" s="6" t="inlineStr">
        <is>
          <t>26 Jul 2026</t>
        </is>
      </c>
      <c r="G2043" s="5" t="inlineStr">
        <is>
          <t>24 Aug 2026</t>
        </is>
      </c>
      <c r="H2043" s="8" t="inlineStr">
        <is>
          <t>⏳ UPCOMING</t>
        </is>
      </c>
      <c r="I2043" s="4" t="inlineStr">
        <is>
          <t>viewnit.pdf</t>
        </is>
      </c>
      <c r="J2043" s="6" t="inlineStr">
        <is>
          <t>📕 PDF Document</t>
        </is>
      </c>
      <c r="K2043" s="9" t="n">
        <v>17.8</v>
      </c>
      <c r="L2043" s="10">
        <f>HYPERLINK("http://127.0.0.1:8000/api/documents/download?id=1869&amp;attachment=true", "⬇ Download viewnit.pdf")</f>
        <v/>
      </c>
      <c r="M2043" s="10">
        <f>HYPERLINK("http://localhost:5173/?state=Kerala&amp;keyword=Development&amp;tender=2026_SKDP_869064_2", "🚀 Open in Portal")</f>
        <v/>
      </c>
    </row>
    <row r="2044" ht="24" customHeight="1">
      <c r="A2044" s="11" t="inlineStr">
        <is>
          <t>Kerala</t>
        </is>
      </c>
      <c r="B2044" s="12" t="inlineStr">
        <is>
          <t>Development</t>
        </is>
      </c>
      <c r="C2044" s="13" t="inlineStr">
        <is>
          <t>2026_SKDP_869064_2</t>
        </is>
      </c>
      <c r="D2044" s="14" t="inlineStr">
        <is>
          <t>[DP Kannur Project No 43/2026-27 - Infrastructural Development Works at District Soil Testing Laboratory, Karimbam]</t>
        </is>
      </c>
      <c r="E2044" s="14" t="inlineStr">
        <is>
          <t>Kerala Public Works &amp; Technology Department</t>
        </is>
      </c>
      <c r="F2044" s="13" t="inlineStr">
        <is>
          <t>26 Jul 2026</t>
        </is>
      </c>
      <c r="G2044" s="12" t="inlineStr">
        <is>
          <t>24 Aug 2026</t>
        </is>
      </c>
      <c r="H2044" s="8" t="inlineStr">
        <is>
          <t>⏳ UPCOMING</t>
        </is>
      </c>
      <c r="I2044" s="11" t="inlineStr">
        <is>
          <t>BOQ_1492942.xls</t>
        </is>
      </c>
      <c r="J2044" s="13" t="inlineStr">
        <is>
          <t>📊 Excel BOQ</t>
        </is>
      </c>
      <c r="K2044" s="15" t="n">
        <v>2.5</v>
      </c>
      <c r="L2044" s="16">
        <f>HYPERLINK("http://127.0.0.1:8000/api/documents/download?id=1870&amp;attachment=true", "⬇ Download BOQ_1492942.xls")</f>
        <v/>
      </c>
      <c r="M2044" s="16">
        <f>HYPERLINK("http://localhost:5173/?state=Kerala&amp;keyword=Development&amp;tender=2026_SKDP_869064_2", "🚀 Open in Portal")</f>
        <v/>
      </c>
    </row>
    <row r="2045" ht="24" customHeight="1">
      <c r="A2045" s="4" t="inlineStr">
        <is>
          <t>Kerala</t>
        </is>
      </c>
      <c r="B2045" s="5" t="inlineStr">
        <is>
          <t>Development</t>
        </is>
      </c>
      <c r="C2045" s="6" t="inlineStr">
        <is>
          <t>2026_SKDP_869064_2</t>
        </is>
      </c>
      <c r="D2045" s="7" t="inlineStr">
        <is>
          <t>[DP Kannur Project No 43/2026-27 - Infrastructural Development Works at District Soil Testing Laboratory, Karimbam]</t>
        </is>
      </c>
      <c r="E2045" s="7" t="inlineStr">
        <is>
          <t>Kerala Public Works &amp; Technology Department</t>
        </is>
      </c>
      <c r="F2045" s="6" t="inlineStr">
        <is>
          <t>26 Jul 2026</t>
        </is>
      </c>
      <c r="G2045" s="5" t="inlineStr">
        <is>
          <t>24 Aug 2026</t>
        </is>
      </c>
      <c r="H2045" s="8" t="inlineStr">
        <is>
          <t>⏳ UPCOMING</t>
        </is>
      </c>
      <c r="I2045" s="4" t="inlineStr">
        <is>
          <t>viewsbd.pdf</t>
        </is>
      </c>
      <c r="J2045" s="6" t="inlineStr">
        <is>
          <t>📕 PDF Document</t>
        </is>
      </c>
      <c r="K2045" s="9" t="n">
        <v>17.8</v>
      </c>
      <c r="L2045" s="10">
        <f>HYPERLINK("http://127.0.0.1:8000/api/documents/download?id=1871&amp;attachment=true", "⬇ Download viewsbd.pdf")</f>
        <v/>
      </c>
      <c r="M2045" s="10">
        <f>HYPERLINK("http://localhost:5173/?state=Kerala&amp;keyword=Development&amp;tender=2026_SKDP_869064_2", "🚀 Open in Portal")</f>
        <v/>
      </c>
    </row>
    <row r="2046" ht="24" customHeight="1">
      <c r="A2046" s="11" t="inlineStr">
        <is>
          <t>Kerala</t>
        </is>
      </c>
      <c r="B2046" s="12" t="inlineStr">
        <is>
          <t>Development</t>
        </is>
      </c>
      <c r="C2046" s="13" t="inlineStr">
        <is>
          <t>2026_SKDP_869064_2</t>
        </is>
      </c>
      <c r="D2046" s="14" t="inlineStr">
        <is>
          <t>[DP Kannur Project No 43/2026-27 - Infrastructural Development Works at District Soil Testing Laboratory, Karimbam]</t>
        </is>
      </c>
      <c r="E2046" s="14" t="inlineStr">
        <is>
          <t>Kerala Public Works &amp; Technology Department</t>
        </is>
      </c>
      <c r="F2046" s="13" t="inlineStr">
        <is>
          <t>26 Jul 2026</t>
        </is>
      </c>
      <c r="G2046" s="12" t="inlineStr">
        <is>
          <t>24 Aug 2026</t>
        </is>
      </c>
      <c r="H2046" s="8" t="inlineStr">
        <is>
          <t>⏳ UPCOMING</t>
        </is>
      </c>
      <c r="I2046" s="11" t="inlineStr">
        <is>
          <t>epayform.pdf</t>
        </is>
      </c>
      <c r="J2046" s="13" t="inlineStr">
        <is>
          <t>📕 PDF Document</t>
        </is>
      </c>
      <c r="K2046" s="15" t="n">
        <v>17.8</v>
      </c>
      <c r="L2046" s="16">
        <f>HYPERLINK("http://127.0.0.1:8000/api/documents/download?id=1872&amp;attachment=true", "⬇ Download epayform.pdf")</f>
        <v/>
      </c>
      <c r="M2046" s="16">
        <f>HYPERLINK("http://localhost:5173/?state=Kerala&amp;keyword=Development&amp;tender=2026_SKDP_869064_2", "🚀 Open in Portal")</f>
        <v/>
      </c>
    </row>
    <row r="2047" ht="24" customHeight="1">
      <c r="A2047" s="4" t="inlineStr">
        <is>
          <t>Kerala</t>
        </is>
      </c>
      <c r="B2047" s="5" t="inlineStr">
        <is>
          <t>Development</t>
        </is>
      </c>
      <c r="C2047" s="6" t="inlineStr">
        <is>
          <t>2026_SKDP_869064_2</t>
        </is>
      </c>
      <c r="D2047" s="7" t="inlineStr">
        <is>
          <t>[DP Kannur Project No 43/2026-27 - Infrastructural Development Works at District Soil Testing Laboratory, Karimbam]</t>
        </is>
      </c>
      <c r="E2047" s="7" t="inlineStr">
        <is>
          <t>Kerala Public Works &amp; Technology Department</t>
        </is>
      </c>
      <c r="F2047" s="6" t="inlineStr">
        <is>
          <t>26 Jul 2026</t>
        </is>
      </c>
      <c r="G2047" s="5" t="inlineStr">
        <is>
          <t>24 Aug 2026</t>
        </is>
      </c>
      <c r="H2047" s="8" t="inlineStr">
        <is>
          <t>⏳ UPCOMING</t>
        </is>
      </c>
      <c r="I2047" s="4" t="inlineStr">
        <is>
          <t>priliminaryagreementformat.pdf</t>
        </is>
      </c>
      <c r="J2047" s="6" t="inlineStr">
        <is>
          <t>📕 PDF Document</t>
        </is>
      </c>
      <c r="K2047" s="9" t="n">
        <v>17.9</v>
      </c>
      <c r="L2047" s="10">
        <f>HYPERLINK("http://127.0.0.1:8000/api/documents/download?id=1873&amp;attachment=true", "⬇ Download priliminaryagreementform")</f>
        <v/>
      </c>
      <c r="M2047" s="10">
        <f>HYPERLINK("http://localhost:5173/?state=Kerala&amp;keyword=Development&amp;tender=2026_SKDP_869064_2", "🚀 Open in Portal")</f>
        <v/>
      </c>
    </row>
    <row r="2048" ht="24" customHeight="1">
      <c r="A2048" s="11" t="inlineStr">
        <is>
          <t>Kerala</t>
        </is>
      </c>
      <c r="B2048" s="12" t="inlineStr">
        <is>
          <t>Development</t>
        </is>
      </c>
      <c r="C2048" s="13" t="inlineStr">
        <is>
          <t>2026_SKDP_869064_2</t>
        </is>
      </c>
      <c r="D2048" s="14" t="inlineStr">
        <is>
          <t>[DP Kannur Project No 43/2026-27 - Infrastructural Development Works at District Soil Testing Laboratory, Karimbam]</t>
        </is>
      </c>
      <c r="E2048" s="14" t="inlineStr">
        <is>
          <t>Kerala Public Works &amp; Technology Department</t>
        </is>
      </c>
      <c r="F2048" s="13" t="inlineStr">
        <is>
          <t>26 Jul 2026</t>
        </is>
      </c>
      <c r="G2048" s="12" t="inlineStr">
        <is>
          <t>24 Aug 2026</t>
        </is>
      </c>
      <c r="H2048" s="8" t="inlineStr">
        <is>
          <t>⏳ UPCOMING</t>
        </is>
      </c>
      <c r="I2048" s="11" t="inlineStr">
        <is>
          <t>FOTIPACTAFFIDAVIT.pdf</t>
        </is>
      </c>
      <c r="J2048" s="13" t="inlineStr">
        <is>
          <t>📕 PDF Document</t>
        </is>
      </c>
      <c r="K2048" s="15" t="n">
        <v>17.8</v>
      </c>
      <c r="L2048" s="16">
        <f>HYPERLINK("http://127.0.0.1:8000/api/documents/download?id=1874&amp;attachment=true", "⬇ Download FOTIPACTAFFIDAVIT.pdf")</f>
        <v/>
      </c>
      <c r="M2048" s="16">
        <f>HYPERLINK("http://localhost:5173/?state=Kerala&amp;keyword=Development&amp;tender=2026_SKDP_869064_2", "🚀 Open in Portal")</f>
        <v/>
      </c>
    </row>
    <row r="2049" ht="24" customHeight="1">
      <c r="A2049" s="4" t="inlineStr">
        <is>
          <t>Kerala</t>
        </is>
      </c>
      <c r="B2049" s="5" t="inlineStr">
        <is>
          <t>Development</t>
        </is>
      </c>
      <c r="C2049" s="6" t="inlineStr">
        <is>
          <t>2026_SKDP_869064_2</t>
        </is>
      </c>
      <c r="D2049" s="7" t="inlineStr">
        <is>
          <t>[DP Kannur Project No 43/2026-27 - Infrastructural Development Works at District Soil Testing Laboratory, Karimbam]</t>
        </is>
      </c>
      <c r="E2049" s="7" t="inlineStr">
        <is>
          <t>Kerala Public Works &amp; Technology Department</t>
        </is>
      </c>
      <c r="F2049" s="6" t="inlineStr">
        <is>
          <t>26 Jul 2026</t>
        </is>
      </c>
      <c r="G2049" s="5" t="inlineStr">
        <is>
          <t>24 Aug 2026</t>
        </is>
      </c>
      <c r="H2049" s="8" t="inlineStr">
        <is>
          <t>⏳ UPCOMING</t>
        </is>
      </c>
      <c r="I2049" s="4" t="inlineStr">
        <is>
          <t>Tender_2026_SKDP_869064_2_All_Documents.zip</t>
        </is>
      </c>
      <c r="J2049" s="6" t="inlineStr">
        <is>
          <t>📦 ZIP Package</t>
        </is>
      </c>
      <c r="K2049" s="9" t="n">
        <v>57.6</v>
      </c>
      <c r="L2049" s="10">
        <f>HYPERLINK("http://127.0.0.1:8000/api/documents/download?id=1875&amp;attachment=true", "⬇ Download Tender_2026_SKDP_869064_")</f>
        <v/>
      </c>
      <c r="M2049" s="10">
        <f>HYPERLINK("http://localhost:5173/?state=Kerala&amp;keyword=Development&amp;tender=2026_SKDP_869064_2", "🚀 Open in Portal")</f>
        <v/>
      </c>
    </row>
    <row r="2050" ht="24" customHeight="1">
      <c r="A2050" s="11" t="inlineStr">
        <is>
          <t>Kerala</t>
        </is>
      </c>
      <c r="B2050" s="12" t="inlineStr">
        <is>
          <t>Development</t>
        </is>
      </c>
      <c r="C2050" s="13" t="inlineStr">
        <is>
          <t>2026_SKF_844541_5</t>
        </is>
      </c>
      <c r="D2050" s="14" t="inlineStr">
        <is>
          <t>[One Panchayath One Playground-Development of Playground at Ayyankoickal G.H.S.S Ground in Thevalakkara Grama Panchayath in Chavara LAC, Kollam District- Plan - Retender]</t>
        </is>
      </c>
      <c r="E2050" s="14" t="inlineStr">
        <is>
          <t>Kerala Public Works &amp; Technology Department</t>
        </is>
      </c>
      <c r="F2050" s="13" t="inlineStr">
        <is>
          <t>24 Oct 2026</t>
        </is>
      </c>
      <c r="G2050" s="12" t="inlineStr">
        <is>
          <t>14 Nov 2026</t>
        </is>
      </c>
      <c r="H2050" s="8" t="inlineStr">
        <is>
          <t>⏳ UPCOMING</t>
        </is>
      </c>
      <c r="I2050" s="11" t="inlineStr">
        <is>
          <t>Tendernotice_1.pdf</t>
        </is>
      </c>
      <c r="J2050" s="13" t="inlineStr">
        <is>
          <t>📕 PDF Document</t>
        </is>
      </c>
      <c r="K2050" s="15" t="n">
        <v>17.8</v>
      </c>
      <c r="L2050" s="16">
        <f>HYPERLINK("http://127.0.0.1:8000/api/documents/download?id=1796&amp;attachment=true", "⬇ Download Tendernotice_1.pdf")</f>
        <v/>
      </c>
      <c r="M2050" s="16">
        <f>HYPERLINK("http://localhost:5173/?state=Kerala&amp;keyword=Development&amp;tender=2026_SKF_844541_5", "🚀 Open in Portal")</f>
        <v/>
      </c>
    </row>
    <row r="2051" ht="24" customHeight="1">
      <c r="A2051" s="4" t="inlineStr">
        <is>
          <t>Kerala</t>
        </is>
      </c>
      <c r="B2051" s="5" t="inlineStr">
        <is>
          <t>Development</t>
        </is>
      </c>
      <c r="C2051" s="6" t="inlineStr">
        <is>
          <t>2026_SKF_844541_5</t>
        </is>
      </c>
      <c r="D2051" s="7" t="inlineStr">
        <is>
          <t>[One Panchayath One Playground-Development of Playground at Ayyankoickal G.H.S.S Ground in Thevalakkara Grama Panchayath in Chavara LAC, Kollam District- Plan - Retender]</t>
        </is>
      </c>
      <c r="E2051" s="7" t="inlineStr">
        <is>
          <t>Kerala Public Works &amp; Technology Department</t>
        </is>
      </c>
      <c r="F2051" s="6" t="inlineStr">
        <is>
          <t>24 Oct 2026</t>
        </is>
      </c>
      <c r="G2051" s="5" t="inlineStr">
        <is>
          <t>14 Nov 2026</t>
        </is>
      </c>
      <c r="H2051" s="8" t="inlineStr">
        <is>
          <t>⏳ UPCOMING</t>
        </is>
      </c>
      <c r="I2051" s="4" t="inlineStr">
        <is>
          <t>Tenderdoc.pdf</t>
        </is>
      </c>
      <c r="J2051" s="6" t="inlineStr">
        <is>
          <t>📕 PDF Document</t>
        </is>
      </c>
      <c r="K2051" s="9" t="n">
        <v>17.8</v>
      </c>
      <c r="L2051" s="10">
        <f>HYPERLINK("http://127.0.0.1:8000/api/documents/download?id=1797&amp;attachment=true", "⬇ Download Tenderdoc.pdf")</f>
        <v/>
      </c>
      <c r="M2051" s="10">
        <f>HYPERLINK("http://localhost:5173/?state=Kerala&amp;keyword=Development&amp;tender=2026_SKF_844541_5", "🚀 Open in Portal")</f>
        <v/>
      </c>
    </row>
    <row r="2052" ht="24" customHeight="1">
      <c r="A2052" s="11" t="inlineStr">
        <is>
          <t>Kerala</t>
        </is>
      </c>
      <c r="B2052" s="12" t="inlineStr">
        <is>
          <t>Development</t>
        </is>
      </c>
      <c r="C2052" s="13" t="inlineStr">
        <is>
          <t>2026_SKF_844541_5</t>
        </is>
      </c>
      <c r="D2052" s="14" t="inlineStr">
        <is>
          <t>[One Panchayath One Playground-Development of Playground at Ayyankoickal G.H.S.S Ground in Thevalakkara Grama Panchayath in Chavara LAC, Kollam District- Plan - Retender]</t>
        </is>
      </c>
      <c r="E2052" s="14" t="inlineStr">
        <is>
          <t>Kerala Public Works &amp; Technology Department</t>
        </is>
      </c>
      <c r="F2052" s="13" t="inlineStr">
        <is>
          <t>24 Oct 2026</t>
        </is>
      </c>
      <c r="G2052" s="12" t="inlineStr">
        <is>
          <t>14 Nov 2026</t>
        </is>
      </c>
      <c r="H2052" s="8" t="inlineStr">
        <is>
          <t>⏳ UPCOMING</t>
        </is>
      </c>
      <c r="I2052" s="11" t="inlineStr">
        <is>
          <t>DWG.pdf</t>
        </is>
      </c>
      <c r="J2052" s="13" t="inlineStr">
        <is>
          <t>📕 PDF Document</t>
        </is>
      </c>
      <c r="K2052" s="15" t="n">
        <v>17.8</v>
      </c>
      <c r="L2052" s="16">
        <f>HYPERLINK("http://127.0.0.1:8000/api/documents/download?id=1798&amp;attachment=true", "⬇ Download DWG.pdf")</f>
        <v/>
      </c>
      <c r="M2052" s="16">
        <f>HYPERLINK("http://localhost:5173/?state=Kerala&amp;keyword=Development&amp;tender=2026_SKF_844541_5", "🚀 Open in Portal")</f>
        <v/>
      </c>
    </row>
    <row r="2053" ht="24" customHeight="1">
      <c r="A2053" s="4" t="inlineStr">
        <is>
          <t>Kerala</t>
        </is>
      </c>
      <c r="B2053" s="5" t="inlineStr">
        <is>
          <t>Development</t>
        </is>
      </c>
      <c r="C2053" s="6" t="inlineStr">
        <is>
          <t>2026_SKF_844541_5</t>
        </is>
      </c>
      <c r="D2053" s="7" t="inlineStr">
        <is>
          <t>[One Panchayath One Playground-Development of Playground at Ayyankoickal G.H.S.S Ground in Thevalakkara Grama Panchayath in Chavara LAC, Kollam District- Plan - Retender]</t>
        </is>
      </c>
      <c r="E2053" s="7" t="inlineStr">
        <is>
          <t>Kerala Public Works &amp; Technology Department</t>
        </is>
      </c>
      <c r="F2053" s="6" t="inlineStr">
        <is>
          <t>24 Oct 2026</t>
        </is>
      </c>
      <c r="G2053" s="5" t="inlineStr">
        <is>
          <t>14 Nov 2026</t>
        </is>
      </c>
      <c r="H2053" s="8" t="inlineStr">
        <is>
          <t>⏳ UPCOMING</t>
        </is>
      </c>
      <c r="I2053" s="4" t="inlineStr">
        <is>
          <t>BOQ_1494279.xls</t>
        </is>
      </c>
      <c r="J2053" s="6" t="inlineStr">
        <is>
          <t>📊 Excel BOQ</t>
        </is>
      </c>
      <c r="K2053" s="9" t="n">
        <v>2.5</v>
      </c>
      <c r="L2053" s="10">
        <f>HYPERLINK("http://127.0.0.1:8000/api/documents/download?id=1799&amp;attachment=true", "⬇ Download BOQ_1494279.xls")</f>
        <v/>
      </c>
      <c r="M2053" s="10">
        <f>HYPERLINK("http://localhost:5173/?state=Kerala&amp;keyword=Development&amp;tender=2026_SKF_844541_5", "🚀 Open in Portal")</f>
        <v/>
      </c>
    </row>
    <row r="2054" ht="24" customHeight="1">
      <c r="A2054" s="11" t="inlineStr">
        <is>
          <t>Kerala</t>
        </is>
      </c>
      <c r="B2054" s="12" t="inlineStr">
        <is>
          <t>Development</t>
        </is>
      </c>
      <c r="C2054" s="13" t="inlineStr">
        <is>
          <t>2026_SKF_844541_5</t>
        </is>
      </c>
      <c r="D2054" s="14" t="inlineStr">
        <is>
          <t>[One Panchayath One Playground-Development of Playground at Ayyankoickal G.H.S.S Ground in Thevalakkara Grama Panchayath in Chavara LAC, Kollam District- Plan - Retender]</t>
        </is>
      </c>
      <c r="E2054" s="14" t="inlineStr">
        <is>
          <t>Kerala Public Works &amp; Technology Department</t>
        </is>
      </c>
      <c r="F2054" s="13" t="inlineStr">
        <is>
          <t>24 Oct 2026</t>
        </is>
      </c>
      <c r="G2054" s="12" t="inlineStr">
        <is>
          <t>14 Nov 2026</t>
        </is>
      </c>
      <c r="H2054" s="8" t="inlineStr">
        <is>
          <t>⏳ UPCOMING</t>
        </is>
      </c>
      <c r="I2054" s="11" t="inlineStr">
        <is>
          <t>Tender_2026_SKF_844541_5_All_Documents.zip</t>
        </is>
      </c>
      <c r="J2054" s="13" t="inlineStr">
        <is>
          <t>📦 ZIP Package</t>
        </is>
      </c>
      <c r="K2054" s="15" t="n">
        <v>29.9</v>
      </c>
      <c r="L2054" s="16">
        <f>HYPERLINK("http://127.0.0.1:8000/api/documents/download?id=1800&amp;attachment=true", "⬇ Download Tender_2026_SKF_844541_5")</f>
        <v/>
      </c>
      <c r="M2054" s="16">
        <f>HYPERLINK("http://localhost:5173/?state=Kerala&amp;keyword=Development&amp;tender=2026_SKF_844541_5", "🚀 Open in Portal")</f>
        <v/>
      </c>
    </row>
    <row r="2055" ht="24" customHeight="1">
      <c r="A2055" s="4" t="inlineStr">
        <is>
          <t>Kerala</t>
        </is>
      </c>
      <c r="B2055" s="5" t="inlineStr">
        <is>
          <t>Empanelment</t>
        </is>
      </c>
      <c r="C2055" s="6" t="inlineStr">
        <is>
          <t>2026_SKF_871316_1</t>
        </is>
      </c>
      <c r="D2055" s="7" t="inlineStr">
        <is>
          <t>[Empanelment of Travel, Accommodation and Logistics Partners]</t>
        </is>
      </c>
      <c r="E2055" s="7" t="inlineStr">
        <is>
          <t>Kerala Public Works &amp; Technology Department</t>
        </is>
      </c>
      <c r="F2055" s="6" t="inlineStr">
        <is>
          <t>18 Aug 2026</t>
        </is>
      </c>
      <c r="G2055" s="5" t="inlineStr">
        <is>
          <t>15 Sep 2026</t>
        </is>
      </c>
      <c r="H2055" s="8" t="inlineStr">
        <is>
          <t>⏳ UPCOMING</t>
        </is>
      </c>
      <c r="I2055" s="4" t="inlineStr">
        <is>
          <t>Tendernotice_1.pdf</t>
        </is>
      </c>
      <c r="J2055" s="6" t="inlineStr">
        <is>
          <t>📕 PDF Document</t>
        </is>
      </c>
      <c r="K2055" s="9" t="n">
        <v>17.8</v>
      </c>
      <c r="L2055" s="10">
        <f>HYPERLINK("http://127.0.0.1:8000/api/documents/download?id=1772&amp;attachment=true", "⬇ Download Tendernotice_1.pdf")</f>
        <v/>
      </c>
      <c r="M2055" s="10">
        <f>HYPERLINK("http://localhost:5173/?state=Kerala&amp;keyword=Empanelment&amp;tender=2026_SKF_871316_1", "🚀 Open in Portal")</f>
        <v/>
      </c>
    </row>
    <row r="2056" ht="24" customHeight="1">
      <c r="A2056" s="11" t="inlineStr">
        <is>
          <t>Kerala</t>
        </is>
      </c>
      <c r="B2056" s="12" t="inlineStr">
        <is>
          <t>Empanelment</t>
        </is>
      </c>
      <c r="C2056" s="13" t="inlineStr">
        <is>
          <t>2026_SKF_871316_1</t>
        </is>
      </c>
      <c r="D2056" s="14" t="inlineStr">
        <is>
          <t>[Empanelment of Travel, Accommodation and Logistics Partners]</t>
        </is>
      </c>
      <c r="E2056" s="14" t="inlineStr">
        <is>
          <t>Kerala Public Works &amp; Technology Department</t>
        </is>
      </c>
      <c r="F2056" s="13" t="inlineStr">
        <is>
          <t>18 Aug 2026</t>
        </is>
      </c>
      <c r="G2056" s="12" t="inlineStr">
        <is>
          <t>15 Sep 2026</t>
        </is>
      </c>
      <c r="H2056" s="8" t="inlineStr">
        <is>
          <t>⏳ UPCOMING</t>
        </is>
      </c>
      <c r="I2056" s="11" t="inlineStr">
        <is>
          <t>Tenderdoc.pdf</t>
        </is>
      </c>
      <c r="J2056" s="13" t="inlineStr">
        <is>
          <t>📕 PDF Document</t>
        </is>
      </c>
      <c r="K2056" s="15" t="n">
        <v>17.8</v>
      </c>
      <c r="L2056" s="16">
        <f>HYPERLINK("http://127.0.0.1:8000/api/documents/download?id=1773&amp;attachment=true", "⬇ Download Tenderdoc.pdf")</f>
        <v/>
      </c>
      <c r="M2056" s="16">
        <f>HYPERLINK("http://localhost:5173/?state=Kerala&amp;keyword=Empanelment&amp;tender=2026_SKF_871316_1", "🚀 Open in Portal")</f>
        <v/>
      </c>
    </row>
    <row r="2057" ht="24" customHeight="1">
      <c r="A2057" s="4" t="inlineStr">
        <is>
          <t>Kerala</t>
        </is>
      </c>
      <c r="B2057" s="5" t="inlineStr">
        <is>
          <t>Empanelment</t>
        </is>
      </c>
      <c r="C2057" s="6" t="inlineStr">
        <is>
          <t>2026_SKF_871316_1</t>
        </is>
      </c>
      <c r="D2057" s="7" t="inlineStr">
        <is>
          <t>[Empanelment of Travel, Accommodation and Logistics Partners]</t>
        </is>
      </c>
      <c r="E2057" s="7" t="inlineStr">
        <is>
          <t>Kerala Public Works &amp; Technology Department</t>
        </is>
      </c>
      <c r="F2057" s="6" t="inlineStr">
        <is>
          <t>18 Aug 2026</t>
        </is>
      </c>
      <c r="G2057" s="5" t="inlineStr">
        <is>
          <t>15 Sep 2026</t>
        </is>
      </c>
      <c r="H2057" s="8" t="inlineStr">
        <is>
          <t>⏳ UPCOMING</t>
        </is>
      </c>
      <c r="I2057" s="4" t="inlineStr">
        <is>
          <t>Tender_2026_SKF_871316_1_All_Documents.zip</t>
        </is>
      </c>
      <c r="J2057" s="6" t="inlineStr">
        <is>
          <t>📦 ZIP Package</t>
        </is>
      </c>
      <c r="K2057" s="9" t="n">
        <v>18.4</v>
      </c>
      <c r="L2057" s="10">
        <f>HYPERLINK("http://127.0.0.1:8000/api/documents/download?id=1774&amp;attachment=true", "⬇ Download Tender_2026_SKF_871316_1")</f>
        <v/>
      </c>
      <c r="M2057" s="10">
        <f>HYPERLINK("http://localhost:5173/?state=Kerala&amp;keyword=Empanelment&amp;tender=2026_SKF_871316_1", "🚀 Open in Portal")</f>
        <v/>
      </c>
    </row>
    <row r="2058" ht="24" customHeight="1">
      <c r="A2058" s="11" t="inlineStr">
        <is>
          <t>Madhya Pradesh</t>
        </is>
      </c>
      <c r="B2058" s="12" t="inlineStr">
        <is>
          <t>GIS</t>
        </is>
      </c>
      <c r="C2058" s="13" t="inlineStr">
        <is>
          <t>2026_DHS_542340_1</t>
        </is>
      </c>
      <c r="D2058" s="14" t="inlineStr">
        <is>
          <t>[All types of reporting forms, booklets, pamphlets, registers, forms, paper printing and various printing related works used for District Hospital Panna]</t>
        </is>
      </c>
      <c r="E2058" s="14" t="inlineStr">
        <is>
          <t>Madhya Pradesh Public Works &amp; Technology Department</t>
        </is>
      </c>
      <c r="F2058" s="13" t="inlineStr">
        <is>
          <t>05 Aug 2026</t>
        </is>
      </c>
      <c r="G2058" s="12" t="inlineStr">
        <is>
          <t>27 Aug 2026</t>
        </is>
      </c>
      <c r="H2058" s="8" t="inlineStr">
        <is>
          <t>⏳ UPCOMING</t>
        </is>
      </c>
      <c r="I2058" s="11" t="inlineStr">
        <is>
          <t>Tendernotice_1.pdf</t>
        </is>
      </c>
      <c r="J2058" s="13" t="inlineStr">
        <is>
          <t>📕 PDF Document</t>
        </is>
      </c>
      <c r="K2058" s="15" t="n">
        <v>17.9</v>
      </c>
      <c r="L2058" s="16">
        <f>HYPERLINK("http://127.0.0.1:8000/api/documents/download?id=2919&amp;attachment=true", "⬇ Download Tendernotice_1.pdf")</f>
        <v/>
      </c>
      <c r="M2058" s="16">
        <f>HYPERLINK("http://localhost:5173/?state=Madhya%20Pradesh&amp;keyword=GIS&amp;tender=2026_DHS_542340_1", "🚀 Open in Portal")</f>
        <v/>
      </c>
    </row>
    <row r="2059" ht="24" customHeight="1">
      <c r="A2059" s="4" t="inlineStr">
        <is>
          <t>Madhya Pradesh</t>
        </is>
      </c>
      <c r="B2059" s="5" t="inlineStr">
        <is>
          <t>GIS</t>
        </is>
      </c>
      <c r="C2059" s="6" t="inlineStr">
        <is>
          <t>2026_DHS_542340_1</t>
        </is>
      </c>
      <c r="D2059" s="7" t="inlineStr">
        <is>
          <t>[All types of reporting forms, booklets, pamphlets, registers, forms, paper printing and various printing related works used for District Hospital Panna]</t>
        </is>
      </c>
      <c r="E2059" s="7" t="inlineStr">
        <is>
          <t>Madhya Pradesh Public Works &amp; Technology Department</t>
        </is>
      </c>
      <c r="F2059" s="6" t="inlineStr">
        <is>
          <t>05 Aug 2026</t>
        </is>
      </c>
      <c r="G2059" s="5" t="inlineStr">
        <is>
          <t>27 Aug 2026</t>
        </is>
      </c>
      <c r="H2059" s="8" t="inlineStr">
        <is>
          <t>⏳ UPCOMING</t>
        </is>
      </c>
      <c r="I2059" s="4" t="inlineStr">
        <is>
          <t>registerprintingtender.pdf</t>
        </is>
      </c>
      <c r="J2059" s="6" t="inlineStr">
        <is>
          <t>📕 PDF Document</t>
        </is>
      </c>
      <c r="K2059" s="9" t="n">
        <v>17.9</v>
      </c>
      <c r="L2059" s="10">
        <f>HYPERLINK("http://127.0.0.1:8000/api/documents/download?id=2920&amp;attachment=true", "⬇ Download registerprintingtender.p")</f>
        <v/>
      </c>
      <c r="M2059" s="10">
        <f>HYPERLINK("http://localhost:5173/?state=Madhya%20Pradesh&amp;keyword=GIS&amp;tender=2026_DHS_542340_1", "🚀 Open in Portal")</f>
        <v/>
      </c>
    </row>
    <row r="2060" ht="24" customHeight="1">
      <c r="A2060" s="11" t="inlineStr">
        <is>
          <t>Madhya Pradesh</t>
        </is>
      </c>
      <c r="B2060" s="12" t="inlineStr">
        <is>
          <t>GIS</t>
        </is>
      </c>
      <c r="C2060" s="13" t="inlineStr">
        <is>
          <t>2026_DHS_542340_1</t>
        </is>
      </c>
      <c r="D2060" s="14" t="inlineStr">
        <is>
          <t>[All types of reporting forms, booklets, pamphlets, registers, forms, paper printing and various printing related works used for District Hospital Panna]</t>
        </is>
      </c>
      <c r="E2060" s="14" t="inlineStr">
        <is>
          <t>Madhya Pradesh Public Works &amp; Technology Department</t>
        </is>
      </c>
      <c r="F2060" s="13" t="inlineStr">
        <is>
          <t>05 Aug 2026</t>
        </is>
      </c>
      <c r="G2060" s="12" t="inlineStr">
        <is>
          <t>27 Aug 2026</t>
        </is>
      </c>
      <c r="H2060" s="8" t="inlineStr">
        <is>
          <t>⏳ UPCOMING</t>
        </is>
      </c>
      <c r="I2060" s="11" t="inlineStr">
        <is>
          <t>BOQ_652221.xls</t>
        </is>
      </c>
      <c r="J2060" s="13" t="inlineStr">
        <is>
          <t>📊 Excel BOQ</t>
        </is>
      </c>
      <c r="K2060" s="15" t="n">
        <v>2.5</v>
      </c>
      <c r="L2060" s="16">
        <f>HYPERLINK("http://127.0.0.1:8000/api/documents/download?id=2921&amp;attachment=true", "⬇ Download BOQ_652221.xls")</f>
        <v/>
      </c>
      <c r="M2060" s="16">
        <f>HYPERLINK("http://localhost:5173/?state=Madhya%20Pradesh&amp;keyword=GIS&amp;tender=2026_DHS_542340_1", "🚀 Open in Portal")</f>
        <v/>
      </c>
    </row>
    <row r="2061" ht="24" customHeight="1">
      <c r="A2061" s="4" t="inlineStr">
        <is>
          <t>Madhya Pradesh</t>
        </is>
      </c>
      <c r="B2061" s="5" t="inlineStr">
        <is>
          <t>GIS</t>
        </is>
      </c>
      <c r="C2061" s="6" t="inlineStr">
        <is>
          <t>2026_DHS_542340_1</t>
        </is>
      </c>
      <c r="D2061" s="7" t="inlineStr">
        <is>
          <t>[All types of reporting forms, booklets, pamphlets, registers, forms, paper printing and various printing related works used for District Hospital Panna]</t>
        </is>
      </c>
      <c r="E2061" s="7" t="inlineStr">
        <is>
          <t>Madhya Pradesh Public Works &amp; Technology Department</t>
        </is>
      </c>
      <c r="F2061" s="6" t="inlineStr">
        <is>
          <t>05 Aug 2026</t>
        </is>
      </c>
      <c r="G2061" s="5" t="inlineStr">
        <is>
          <t>27 Aug 2026</t>
        </is>
      </c>
      <c r="H2061" s="8" t="inlineStr">
        <is>
          <t>⏳ UPCOMING</t>
        </is>
      </c>
      <c r="I2061" s="4" t="inlineStr">
        <is>
          <t>Tender_2026_DHS_542340_1_All_Documents.zip</t>
        </is>
      </c>
      <c r="J2061" s="6" t="inlineStr">
        <is>
          <t>📦 ZIP Package</t>
        </is>
      </c>
      <c r="K2061" s="9" t="n">
        <v>20.9</v>
      </c>
      <c r="L2061" s="10">
        <f>HYPERLINK("http://127.0.0.1:8000/api/documents/download?id=2922&amp;attachment=true", "⬇ Download Tender_2026_DHS_542340_1")</f>
        <v/>
      </c>
      <c r="M2061" s="10">
        <f>HYPERLINK("http://localhost:5173/?state=Madhya%20Pradesh&amp;keyword=GIS&amp;tender=2026_DHS_542340_1", "🚀 Open in Portal")</f>
        <v/>
      </c>
    </row>
    <row r="2062" ht="24" customHeight="1">
      <c r="A2062" s="11" t="inlineStr">
        <is>
          <t>Madhya Pradesh</t>
        </is>
      </c>
      <c r="B2062" s="12" t="inlineStr">
        <is>
          <t>GIS</t>
        </is>
      </c>
      <c r="C2062" s="13" t="inlineStr">
        <is>
          <t>2026_DTCP_542056_1</t>
        </is>
      </c>
      <c r="D2062" s="14" t="inlineStr">
        <is>
          <t>[EXPRESSION OF INTEREST (EOI) FOR EMPANELMENT OF SERVICE PROVIDERS / AGENCIES FOR FACILITATION AND CONDUCTING OF LAND REGISTRY FOR ROAD DEVELOPMENT WORKS IN SIMHASth AREA, UJJAIN]</t>
        </is>
      </c>
      <c r="E2062" s="14" t="inlineStr">
        <is>
          <t>Madhya Pradesh Public Works &amp; Technology Department</t>
        </is>
      </c>
      <c r="F2062" s="13" t="inlineStr">
        <is>
          <t>03 Sep 2026</t>
        </is>
      </c>
      <c r="G2062" s="12" t="inlineStr">
        <is>
          <t>03 Oct 2026</t>
        </is>
      </c>
      <c r="H2062" s="8" t="inlineStr">
        <is>
          <t>⏳ UPCOMING</t>
        </is>
      </c>
      <c r="I2062" s="11" t="inlineStr">
        <is>
          <t>Tendernotice_1.pdf</t>
        </is>
      </c>
      <c r="J2062" s="13" t="inlineStr">
        <is>
          <t>📕 PDF Document</t>
        </is>
      </c>
      <c r="K2062" s="15" t="n">
        <v>17.9</v>
      </c>
      <c r="L2062" s="16">
        <f>HYPERLINK("http://127.0.0.1:8000/api/documents/download?id=2923&amp;attachment=true", "⬇ Download Tendernotice_1.pdf")</f>
        <v/>
      </c>
      <c r="M2062" s="16">
        <f>HYPERLINK("http://localhost:5173/?state=Madhya%20Pradesh&amp;keyword=GIS&amp;tender=2026_DTCP_542056_1", "🚀 Open in Portal")</f>
        <v/>
      </c>
    </row>
    <row r="2063" ht="24" customHeight="1">
      <c r="A2063" s="4" t="inlineStr">
        <is>
          <t>Madhya Pradesh</t>
        </is>
      </c>
      <c r="B2063" s="5" t="inlineStr">
        <is>
          <t>GIS</t>
        </is>
      </c>
      <c r="C2063" s="6" t="inlineStr">
        <is>
          <t>2026_DTCP_542056_1</t>
        </is>
      </c>
      <c r="D2063" s="7" t="inlineStr">
        <is>
          <t>[EXPRESSION OF INTEREST (EOI) FOR EMPANELMENT OF SERVICE PROVIDERS / AGENCIES FOR FACILITATION AND CONDUCTING OF LAND REGISTRY FOR ROAD DEVELOPMENT WORKS IN SIMHASth AREA, UJJAIN]</t>
        </is>
      </c>
      <c r="E2063" s="7" t="inlineStr">
        <is>
          <t>Madhya Pradesh Public Works &amp; Technology Department</t>
        </is>
      </c>
      <c r="F2063" s="6" t="inlineStr">
        <is>
          <t>03 Sep 2026</t>
        </is>
      </c>
      <c r="G2063" s="5" t="inlineStr">
        <is>
          <t>03 Oct 2026</t>
        </is>
      </c>
      <c r="H2063" s="8" t="inlineStr">
        <is>
          <t>⏳ UPCOMING</t>
        </is>
      </c>
      <c r="I2063" s="4" t="inlineStr">
        <is>
          <t>BOQ_651845.xls</t>
        </is>
      </c>
      <c r="J2063" s="6" t="inlineStr">
        <is>
          <t>📊 Excel BOQ</t>
        </is>
      </c>
      <c r="K2063" s="9" t="n">
        <v>2.5</v>
      </c>
      <c r="L2063" s="10">
        <f>HYPERLINK("http://127.0.0.1:8000/api/documents/download?id=2924&amp;attachment=true", "⬇ Download BOQ_651845.xls")</f>
        <v/>
      </c>
      <c r="M2063" s="10">
        <f>HYPERLINK("http://localhost:5173/?state=Madhya%20Pradesh&amp;keyword=GIS&amp;tender=2026_DTCP_542056_1", "🚀 Open in Portal")</f>
        <v/>
      </c>
    </row>
    <row r="2064" ht="24" customHeight="1">
      <c r="A2064" s="11" t="inlineStr">
        <is>
          <t>Madhya Pradesh</t>
        </is>
      </c>
      <c r="B2064" s="12" t="inlineStr">
        <is>
          <t>GIS</t>
        </is>
      </c>
      <c r="C2064" s="13" t="inlineStr">
        <is>
          <t>2026_DTCP_542056_1</t>
        </is>
      </c>
      <c r="D2064" s="14" t="inlineStr">
        <is>
          <t>[EXPRESSION OF INTEREST (EOI) FOR EMPANELMENT OF SERVICE PROVIDERS / AGENCIES FOR FACILITATION AND CONDUCTING OF LAND REGISTRY FOR ROAD DEVELOPMENT WORKS IN SIMHASth AREA, UJJAIN]</t>
        </is>
      </c>
      <c r="E2064" s="14" t="inlineStr">
        <is>
          <t>Madhya Pradesh Public Works &amp; Technology Department</t>
        </is>
      </c>
      <c r="F2064" s="13" t="inlineStr">
        <is>
          <t>03 Sep 2026</t>
        </is>
      </c>
      <c r="G2064" s="12" t="inlineStr">
        <is>
          <t>03 Oct 2026</t>
        </is>
      </c>
      <c r="H2064" s="8" t="inlineStr">
        <is>
          <t>⏳ UPCOMING</t>
        </is>
      </c>
      <c r="I2064" s="11" t="inlineStr">
        <is>
          <t>Tender_2026_DTCP_542056_1_All_Documents.zip</t>
        </is>
      </c>
      <c r="J2064" s="13" t="inlineStr">
        <is>
          <t>📦 ZIP Package</t>
        </is>
      </c>
      <c r="K2064" s="15" t="n">
        <v>11.6</v>
      </c>
      <c r="L2064" s="16">
        <f>HYPERLINK("http://127.0.0.1:8000/api/documents/download?id=2925&amp;attachment=true", "⬇ Download Tender_2026_DTCP_542056_")</f>
        <v/>
      </c>
      <c r="M2064" s="16">
        <f>HYPERLINK("http://localhost:5173/?state=Madhya%20Pradesh&amp;keyword=GIS&amp;tender=2026_DTCP_542056_1", "🚀 Open in Portal")</f>
        <v/>
      </c>
    </row>
    <row r="2065" ht="24" customHeight="1">
      <c r="A2065" s="4" t="inlineStr">
        <is>
          <t>Madhya Pradesh</t>
        </is>
      </c>
      <c r="B2065" s="5" t="inlineStr">
        <is>
          <t>GIS</t>
        </is>
      </c>
      <c r="C2065" s="6" t="inlineStr">
        <is>
          <t>2026_DTCP_543285_1</t>
        </is>
      </c>
      <c r="D2065" s="7" t="inlineStr">
        <is>
          <t>[Appointment of Chartered Accountant / Chartered Accountancy Firm for RERA Registration / Renewal, Quarterly Compliance, and Other Ancillary Activities for Real Estate/PMAY Projects Implemented by Ujjain Development Authority. UDA]</t>
        </is>
      </c>
      <c r="E2065" s="7" t="n"/>
      <c r="F2065" s="6" t="inlineStr">
        <is>
          <t>-</t>
        </is>
      </c>
      <c r="G2065" s="5" t="inlineStr">
        <is>
          <t>-</t>
        </is>
      </c>
      <c r="H2065" s="17" t="inlineStr">
        <is>
          <t>🟢 LIVE ACTIVE</t>
        </is>
      </c>
      <c r="I2065" s="4" t="inlineStr">
        <is>
          <t>Tendernotice_1.pdf</t>
        </is>
      </c>
      <c r="J2065" s="6" t="inlineStr">
        <is>
          <t>📕 PDF Document</t>
        </is>
      </c>
      <c r="K2065" s="9" t="n">
        <v>17.8</v>
      </c>
      <c r="L2065" s="10">
        <f>HYPERLINK("http://127.0.0.1:8000/api/documents/download?id=2916&amp;attachment=true", "⬇ Download Tendernotice_1.pdf")</f>
        <v/>
      </c>
      <c r="M2065" s="10">
        <f>HYPERLINK("http://localhost:5173/?state=Madhya%20Pradesh&amp;keyword=GIS&amp;tender=2026_DTCP_543285_1", "🚀 Open in Portal")</f>
        <v/>
      </c>
    </row>
    <row r="2066" ht="24" customHeight="1">
      <c r="A2066" s="11" t="inlineStr">
        <is>
          <t>Madhya Pradesh</t>
        </is>
      </c>
      <c r="B2066" s="12" t="inlineStr">
        <is>
          <t>GIS</t>
        </is>
      </c>
      <c r="C2066" s="13" t="inlineStr">
        <is>
          <t>2026_DTCP_543285_1</t>
        </is>
      </c>
      <c r="D2066" s="14" t="inlineStr">
        <is>
          <t>[Appointment of Chartered Accountant / Chartered Accountancy Firm for RERA Registration / Renewal, Quarterly Compliance, and Other Ancillary Activities for Real Estate/PMAY Projects Implemented by Ujjain Development Authority. UDA]</t>
        </is>
      </c>
      <c r="E2066" s="14" t="n"/>
      <c r="F2066" s="13" t="inlineStr">
        <is>
          <t>-</t>
        </is>
      </c>
      <c r="G2066" s="12" t="inlineStr">
        <is>
          <t>-</t>
        </is>
      </c>
      <c r="H2066" s="17" t="inlineStr">
        <is>
          <t>🟢 LIVE ACTIVE</t>
        </is>
      </c>
      <c r="I2066" s="11" t="inlineStr">
        <is>
          <t>BOQ_653380.xls</t>
        </is>
      </c>
      <c r="J2066" s="13" t="inlineStr">
        <is>
          <t>📊 Excel BOQ</t>
        </is>
      </c>
      <c r="K2066" s="15" t="n">
        <v>2.5</v>
      </c>
      <c r="L2066" s="16">
        <f>HYPERLINK("http://127.0.0.1:8000/api/documents/download?id=2917&amp;attachment=true", "⬇ Download BOQ_653380.xls")</f>
        <v/>
      </c>
      <c r="M2066" s="16">
        <f>HYPERLINK("http://localhost:5173/?state=Madhya%20Pradesh&amp;keyword=GIS&amp;tender=2026_DTCP_543285_1", "🚀 Open in Portal")</f>
        <v/>
      </c>
    </row>
    <row r="2067" ht="24" customHeight="1">
      <c r="A2067" s="4" t="inlineStr">
        <is>
          <t>Madhya Pradesh</t>
        </is>
      </c>
      <c r="B2067" s="5" t="inlineStr">
        <is>
          <t>GIS</t>
        </is>
      </c>
      <c r="C2067" s="6" t="inlineStr">
        <is>
          <t>2026_DTCP_543285_1</t>
        </is>
      </c>
      <c r="D2067" s="7" t="inlineStr">
        <is>
          <t>[Appointment of Chartered Accountant / Chartered Accountancy Firm for RERA Registration / Renewal, Quarterly Compliance, and Other Ancillary Activities for Real Estate/PMAY Projects Implemented by Ujjain Development Authority. UDA]</t>
        </is>
      </c>
      <c r="E2067" s="7" t="n"/>
      <c r="F2067" s="6" t="inlineStr">
        <is>
          <t>-</t>
        </is>
      </c>
      <c r="G2067" s="5" t="inlineStr">
        <is>
          <t>-</t>
        </is>
      </c>
      <c r="H2067" s="17" t="inlineStr">
        <is>
          <t>🟢 LIVE ACTIVE</t>
        </is>
      </c>
      <c r="I2067" s="4" t="inlineStr">
        <is>
          <t>Tender_2026_DTCP_543285_1_All_Documents.zip</t>
        </is>
      </c>
      <c r="J2067" s="6" t="inlineStr">
        <is>
          <t>📦 ZIP Package</t>
        </is>
      </c>
      <c r="K2067" s="9" t="n">
        <v>11.8</v>
      </c>
      <c r="L2067" s="10">
        <f>HYPERLINK("http://127.0.0.1:8000/api/documents/download?id=2918&amp;attachment=true", "⬇ Download Tender_2026_DTCP_543285_")</f>
        <v/>
      </c>
      <c r="M2067" s="10">
        <f>HYPERLINK("http://localhost:5173/?state=Madhya%20Pradesh&amp;keyword=GIS&amp;tender=2026_DTCP_543285_1", "🚀 Open in Portal")</f>
        <v/>
      </c>
    </row>
    <row r="2068" ht="24" customHeight="1">
      <c r="A2068" s="11" t="inlineStr">
        <is>
          <t>Madhya Pradesh</t>
        </is>
      </c>
      <c r="B2068" s="12" t="inlineStr">
        <is>
          <t>GIS</t>
        </is>
      </c>
      <c r="C2068" s="13" t="inlineStr">
        <is>
          <t>2026_MKVVC_538730_1</t>
        </is>
      </c>
      <c r="D2068" s="14" t="inlineStr">
        <is>
          <t>[Inviting Expression of Interest for Annual Maintenance Contract (AMC) for 33/11 kV Indoor AIS and GIS Substations at Bhopal and Gwalior]</t>
        </is>
      </c>
      <c r="E2068" s="14" t="inlineStr">
        <is>
          <t>Madhya Pradesh Public Works &amp; Technology Department</t>
        </is>
      </c>
      <c r="F2068" s="13" t="inlineStr">
        <is>
          <t>19 Aug 2026</t>
        </is>
      </c>
      <c r="G2068" s="12" t="inlineStr">
        <is>
          <t>11 Sep 2026</t>
        </is>
      </c>
      <c r="H2068" s="8" t="inlineStr">
        <is>
          <t>⏳ UPCOMING</t>
        </is>
      </c>
      <c r="I2068" s="11" t="inlineStr">
        <is>
          <t>Tendernotice_1.pdf</t>
        </is>
      </c>
      <c r="J2068" s="13" t="inlineStr">
        <is>
          <t>📕 PDF Document</t>
        </is>
      </c>
      <c r="K2068" s="15" t="n">
        <v>17.9</v>
      </c>
      <c r="L2068" s="16">
        <f>HYPERLINK("http://127.0.0.1:8000/api/documents/download?id=2947&amp;attachment=true", "⬇ Download Tendernotice_1.pdf")</f>
        <v/>
      </c>
      <c r="M2068" s="16">
        <f>HYPERLINK("http://localhost:5173/?state=Madhya%20Pradesh&amp;keyword=GIS&amp;tender=2026_MKVVC_538730_1", "🚀 Open in Portal")</f>
        <v/>
      </c>
    </row>
    <row r="2069" ht="24" customHeight="1">
      <c r="A2069" s="4" t="inlineStr">
        <is>
          <t>Madhya Pradesh</t>
        </is>
      </c>
      <c r="B2069" s="5" t="inlineStr">
        <is>
          <t>GIS</t>
        </is>
      </c>
      <c r="C2069" s="6" t="inlineStr">
        <is>
          <t>2026_MKVVC_538730_1</t>
        </is>
      </c>
      <c r="D2069" s="7" t="inlineStr">
        <is>
          <t>[Inviting Expression of Interest for Annual Maintenance Contract (AMC) for 33/11 kV Indoor AIS and GIS Substations at Bhopal and Gwalior]</t>
        </is>
      </c>
      <c r="E2069" s="7" t="inlineStr">
        <is>
          <t>Madhya Pradesh Public Works &amp; Technology Department</t>
        </is>
      </c>
      <c r="F2069" s="6" t="inlineStr">
        <is>
          <t>19 Aug 2026</t>
        </is>
      </c>
      <c r="G2069" s="5" t="inlineStr">
        <is>
          <t>11 Sep 2026</t>
        </is>
      </c>
      <c r="H2069" s="8" t="inlineStr">
        <is>
          <t>⏳ UPCOMING</t>
        </is>
      </c>
      <c r="I2069" s="4" t="inlineStr">
        <is>
          <t>EOI2191.pdf</t>
        </is>
      </c>
      <c r="J2069" s="6" t="inlineStr">
        <is>
          <t>📕 PDF Document</t>
        </is>
      </c>
      <c r="K2069" s="9" t="n">
        <v>17.9</v>
      </c>
      <c r="L2069" s="10">
        <f>HYPERLINK("http://127.0.0.1:8000/api/documents/download?id=2948&amp;attachment=true", "⬇ Download EOI2191.pdf")</f>
        <v/>
      </c>
      <c r="M2069" s="10">
        <f>HYPERLINK("http://localhost:5173/?state=Madhya%20Pradesh&amp;keyword=GIS&amp;tender=2026_MKVVC_538730_1", "🚀 Open in Portal")</f>
        <v/>
      </c>
    </row>
    <row r="2070" ht="24" customHeight="1">
      <c r="A2070" s="11" t="inlineStr">
        <is>
          <t>Madhya Pradesh</t>
        </is>
      </c>
      <c r="B2070" s="12" t="inlineStr">
        <is>
          <t>GIS</t>
        </is>
      </c>
      <c r="C2070" s="13" t="inlineStr">
        <is>
          <t>2026_MKVVC_538730_1</t>
        </is>
      </c>
      <c r="D2070" s="14" t="inlineStr">
        <is>
          <t>[Inviting Expression of Interest for Annual Maintenance Contract (AMC) for 33/11 kV Indoor AIS and GIS Substations at Bhopal and Gwalior]</t>
        </is>
      </c>
      <c r="E2070" s="14" t="inlineStr">
        <is>
          <t>Madhya Pradesh Public Works &amp; Technology Department</t>
        </is>
      </c>
      <c r="F2070" s="13" t="inlineStr">
        <is>
          <t>19 Aug 2026</t>
        </is>
      </c>
      <c r="G2070" s="12" t="inlineStr">
        <is>
          <t>11 Sep 2026</t>
        </is>
      </c>
      <c r="H2070" s="8" t="inlineStr">
        <is>
          <t>⏳ UPCOMING</t>
        </is>
      </c>
      <c r="I2070" s="11" t="inlineStr">
        <is>
          <t>Tender_2026_MKVVC_538730_1_All_Documents.zip</t>
        </is>
      </c>
      <c r="J2070" s="13" t="inlineStr">
        <is>
          <t>📦 ZIP Package</t>
        </is>
      </c>
      <c r="K2070" s="15" t="n">
        <v>18.5</v>
      </c>
      <c r="L2070" s="16">
        <f>HYPERLINK("http://127.0.0.1:8000/api/documents/download?id=2949&amp;attachment=true", "⬇ Download Tender_2026_MKVVC_538730")</f>
        <v/>
      </c>
      <c r="M2070" s="16">
        <f>HYPERLINK("http://localhost:5173/?state=Madhya%20Pradesh&amp;keyword=GIS&amp;tender=2026_MKVVC_538730_1", "🚀 Open in Portal")</f>
        <v/>
      </c>
    </row>
    <row r="2071" ht="24" customHeight="1">
      <c r="A2071" s="4" t="inlineStr">
        <is>
          <t>Madhya Pradesh</t>
        </is>
      </c>
      <c r="B2071" s="5" t="inlineStr">
        <is>
          <t>GIS</t>
        </is>
      </c>
      <c r="C2071" s="6" t="inlineStr">
        <is>
          <t>2026_MPFD_538251_1</t>
        </is>
      </c>
      <c r="D2071" s="7" t="inlineStr">
        <is>
          <t>[Printing and supply of forms and registers]</t>
        </is>
      </c>
      <c r="E2071" s="7" t="inlineStr">
        <is>
          <t>Madhya Pradesh Public Works &amp; Technology Department</t>
        </is>
      </c>
      <c r="F2071" s="6" t="inlineStr">
        <is>
          <t>14 Sep 2026</t>
        </is>
      </c>
      <c r="G2071" s="5" t="inlineStr">
        <is>
          <t>08 Oct 2026</t>
        </is>
      </c>
      <c r="H2071" s="8" t="inlineStr">
        <is>
          <t>⏳ UPCOMING</t>
        </is>
      </c>
      <c r="I2071" s="4" t="inlineStr">
        <is>
          <t>Tendernotice_1.pdf</t>
        </is>
      </c>
      <c r="J2071" s="6" t="inlineStr">
        <is>
          <t>📕 PDF Document</t>
        </is>
      </c>
      <c r="K2071" s="9" t="n">
        <v>17.9</v>
      </c>
      <c r="L2071" s="10">
        <f>HYPERLINK("http://127.0.0.1:8000/api/documents/download?id=1198&amp;attachment=true", "⬇ Download Tendernotice_1.pdf")</f>
        <v/>
      </c>
      <c r="M2071" s="10">
        <f>HYPERLINK("http://localhost:5173/?state=Madhya%20Pradesh&amp;keyword=GIS&amp;tender=2026_MPFD_538251_1", "🚀 Open in Portal")</f>
        <v/>
      </c>
    </row>
    <row r="2072" ht="24" customHeight="1">
      <c r="A2072" s="11" t="inlineStr">
        <is>
          <t>Madhya Pradesh</t>
        </is>
      </c>
      <c r="B2072" s="12" t="inlineStr">
        <is>
          <t>GIS</t>
        </is>
      </c>
      <c r="C2072" s="13" t="inlineStr">
        <is>
          <t>2026_MPFD_538251_1</t>
        </is>
      </c>
      <c r="D2072" s="14" t="inlineStr">
        <is>
          <t>[Printing and supply of forms and registers]</t>
        </is>
      </c>
      <c r="E2072" s="14" t="inlineStr">
        <is>
          <t>Madhya Pradesh Public Works &amp; Technology Department</t>
        </is>
      </c>
      <c r="F2072" s="13" t="inlineStr">
        <is>
          <t>14 Sep 2026</t>
        </is>
      </c>
      <c r="G2072" s="12" t="inlineStr">
        <is>
          <t>08 Oct 2026</t>
        </is>
      </c>
      <c r="H2072" s="8" t="inlineStr">
        <is>
          <t>⏳ UPCOMING</t>
        </is>
      </c>
      <c r="I2072" s="11" t="inlineStr">
        <is>
          <t>tenderbooklet.pdf</t>
        </is>
      </c>
      <c r="J2072" s="13" t="inlineStr">
        <is>
          <t>📕 PDF Document</t>
        </is>
      </c>
      <c r="K2072" s="15" t="n">
        <v>17.9</v>
      </c>
      <c r="L2072" s="16">
        <f>HYPERLINK("http://127.0.0.1:8000/api/documents/download?id=1199&amp;attachment=true", "⬇ Download tenderbooklet.pdf")</f>
        <v/>
      </c>
      <c r="M2072" s="16">
        <f>HYPERLINK("http://localhost:5173/?state=Madhya%20Pradesh&amp;keyword=GIS&amp;tender=2026_MPFD_538251_1", "🚀 Open in Portal")</f>
        <v/>
      </c>
    </row>
    <row r="2073" ht="24" customHeight="1">
      <c r="A2073" s="4" t="inlineStr">
        <is>
          <t>Madhya Pradesh</t>
        </is>
      </c>
      <c r="B2073" s="5" t="inlineStr">
        <is>
          <t>GIS</t>
        </is>
      </c>
      <c r="C2073" s="6" t="inlineStr">
        <is>
          <t>2026_MPFD_538251_1</t>
        </is>
      </c>
      <c r="D2073" s="7" t="inlineStr">
        <is>
          <t>[Printing and supply of forms and registers]</t>
        </is>
      </c>
      <c r="E2073" s="7" t="inlineStr">
        <is>
          <t>Madhya Pradesh Public Works &amp; Technology Department</t>
        </is>
      </c>
      <c r="F2073" s="6" t="inlineStr">
        <is>
          <t>14 Sep 2026</t>
        </is>
      </c>
      <c r="G2073" s="5" t="inlineStr">
        <is>
          <t>08 Oct 2026</t>
        </is>
      </c>
      <c r="H2073" s="8" t="inlineStr">
        <is>
          <t>⏳ UPCOMING</t>
        </is>
      </c>
      <c r="I2073" s="4" t="inlineStr">
        <is>
          <t>BOQ_647459.xls</t>
        </is>
      </c>
      <c r="J2073" s="6" t="inlineStr">
        <is>
          <t>📊 Excel BOQ</t>
        </is>
      </c>
      <c r="K2073" s="9" t="n">
        <v>2.4</v>
      </c>
      <c r="L2073" s="10">
        <f>HYPERLINK("http://127.0.0.1:8000/api/documents/download?id=1200&amp;attachment=true", "⬇ Download BOQ_647459.xls")</f>
        <v/>
      </c>
      <c r="M2073" s="10">
        <f>HYPERLINK("http://localhost:5173/?state=Madhya%20Pradesh&amp;keyword=GIS&amp;tender=2026_MPFD_538251_1", "🚀 Open in Portal")</f>
        <v/>
      </c>
    </row>
    <row r="2074" ht="24" customHeight="1">
      <c r="A2074" s="11" t="inlineStr">
        <is>
          <t>Madhya Pradesh</t>
        </is>
      </c>
      <c r="B2074" s="12" t="inlineStr">
        <is>
          <t>GIS</t>
        </is>
      </c>
      <c r="C2074" s="13" t="inlineStr">
        <is>
          <t>2026_MPFD_538251_1</t>
        </is>
      </c>
      <c r="D2074" s="14" t="inlineStr">
        <is>
          <t>[Printing and supply of forms and registers]</t>
        </is>
      </c>
      <c r="E2074" s="14" t="inlineStr">
        <is>
          <t>Madhya Pradesh Public Works &amp; Technology Department</t>
        </is>
      </c>
      <c r="F2074" s="13" t="inlineStr">
        <is>
          <t>14 Sep 2026</t>
        </is>
      </c>
      <c r="G2074" s="12" t="inlineStr">
        <is>
          <t>08 Oct 2026</t>
        </is>
      </c>
      <c r="H2074" s="8" t="inlineStr">
        <is>
          <t>⏳ UPCOMING</t>
        </is>
      </c>
      <c r="I2074" s="11" t="inlineStr">
        <is>
          <t>Tender_2026_MPFD_538251_1_All_Documents.zip</t>
        </is>
      </c>
      <c r="J2074" s="13" t="inlineStr">
        <is>
          <t>📦 ZIP Package</t>
        </is>
      </c>
      <c r="K2074" s="15" t="n">
        <v>20.7</v>
      </c>
      <c r="L2074" s="16">
        <f>HYPERLINK("http://127.0.0.1:8000/api/documents/download?id=1201&amp;attachment=true", "⬇ Download Tender_2026_MPFD_538251_")</f>
        <v/>
      </c>
      <c r="M2074" s="16">
        <f>HYPERLINK("http://localhost:5173/?state=Madhya%20Pradesh&amp;keyword=GIS&amp;tender=2026_MPFD_538251_1", "🚀 Open in Portal")</f>
        <v/>
      </c>
    </row>
    <row r="2075" ht="24" customHeight="1">
      <c r="A2075" s="4" t="inlineStr">
        <is>
          <t>Madhya Pradesh</t>
        </is>
      </c>
      <c r="B2075" s="5" t="inlineStr">
        <is>
          <t>GIS</t>
        </is>
      </c>
      <c r="C2075" s="6" t="inlineStr">
        <is>
          <t>2026_MPPMC_534368_1</t>
        </is>
      </c>
      <c r="D2075" s="7" t="inlineStr">
        <is>
          <t>[EMPANELMENT OF CERC REGISTERED OTC PLATFORM OPERATORS AND CERC LICENSED INTERSTATE POWER TRADERS FOR FACILITATING ENERGY BANKING ARRANGEMENTS]</t>
        </is>
      </c>
      <c r="E2075" s="7" t="inlineStr">
        <is>
          <t>Madhya Pradesh Public Works &amp; Technology Department</t>
        </is>
      </c>
      <c r="F2075" s="6" t="inlineStr">
        <is>
          <t>12 Aug 2026</t>
        </is>
      </c>
      <c r="G2075" s="5" t="inlineStr">
        <is>
          <t>05 Sep 2026</t>
        </is>
      </c>
      <c r="H2075" s="8" t="inlineStr">
        <is>
          <t>⏳ UPCOMING</t>
        </is>
      </c>
      <c r="I2075" s="4" t="inlineStr">
        <is>
          <t>Tendernotice_1.pdf</t>
        </is>
      </c>
      <c r="J2075" s="6" t="inlineStr">
        <is>
          <t>📕 PDF Document</t>
        </is>
      </c>
      <c r="K2075" s="9" t="n">
        <v>17.9</v>
      </c>
      <c r="L2075" s="10">
        <f>HYPERLINK("http://127.0.0.1:8000/api/documents/download?id=2966&amp;attachment=true", "⬇ Download Tendernotice_1.pdf")</f>
        <v/>
      </c>
      <c r="M2075" s="10">
        <f>HYPERLINK("http://localhost:5173/?state=Madhya%20Pradesh&amp;keyword=GIS&amp;tender=2026_MPPMC_534368_1", "🚀 Open in Portal")</f>
        <v/>
      </c>
    </row>
    <row r="2076" ht="24" customHeight="1">
      <c r="A2076" s="11" t="inlineStr">
        <is>
          <t>Madhya Pradesh</t>
        </is>
      </c>
      <c r="B2076" s="12" t="inlineStr">
        <is>
          <t>GIS</t>
        </is>
      </c>
      <c r="C2076" s="13" t="inlineStr">
        <is>
          <t>2026_MPPMC_534368_1</t>
        </is>
      </c>
      <c r="D2076" s="14" t="inlineStr">
        <is>
          <t>[EMPANELMENT OF CERC REGISTERED OTC PLATFORM OPERATORS AND CERC LICENSED INTERSTATE POWER TRADERS FOR FACILITATING ENERGY BANKING ARRANGEMENTS]</t>
        </is>
      </c>
      <c r="E2076" s="14" t="inlineStr">
        <is>
          <t>Madhya Pradesh Public Works &amp; Technology Department</t>
        </is>
      </c>
      <c r="F2076" s="13" t="inlineStr">
        <is>
          <t>12 Aug 2026</t>
        </is>
      </c>
      <c r="G2076" s="12" t="inlineStr">
        <is>
          <t>05 Sep 2026</t>
        </is>
      </c>
      <c r="H2076" s="8" t="inlineStr">
        <is>
          <t>⏳ UPCOMING</t>
        </is>
      </c>
      <c r="I2076" s="11" t="inlineStr">
        <is>
          <t>Tendersigned.pdf</t>
        </is>
      </c>
      <c r="J2076" s="13" t="inlineStr">
        <is>
          <t>📕 PDF Document</t>
        </is>
      </c>
      <c r="K2076" s="15" t="n">
        <v>17.9</v>
      </c>
      <c r="L2076" s="16">
        <f>HYPERLINK("http://127.0.0.1:8000/api/documents/download?id=2967&amp;attachment=true", "⬇ Download Tendersigned.pdf")</f>
        <v/>
      </c>
      <c r="M2076" s="16">
        <f>HYPERLINK("http://localhost:5173/?state=Madhya%20Pradesh&amp;keyword=GIS&amp;tender=2026_MPPMC_534368_1", "🚀 Open in Portal")</f>
        <v/>
      </c>
    </row>
    <row r="2077" ht="24" customHeight="1">
      <c r="A2077" s="4" t="inlineStr">
        <is>
          <t>Madhya Pradesh</t>
        </is>
      </c>
      <c r="B2077" s="5" t="inlineStr">
        <is>
          <t>GIS</t>
        </is>
      </c>
      <c r="C2077" s="6" t="inlineStr">
        <is>
          <t>2026_MPPMC_534368_1</t>
        </is>
      </c>
      <c r="D2077" s="7" t="inlineStr">
        <is>
          <t>[EMPANELMENT OF CERC REGISTERED OTC PLATFORM OPERATORS AND CERC LICENSED INTERSTATE POWER TRADERS FOR FACILITATING ENERGY BANKING ARRANGEMENTS]</t>
        </is>
      </c>
      <c r="E2077" s="7" t="inlineStr">
        <is>
          <t>Madhya Pradesh Public Works &amp; Technology Department</t>
        </is>
      </c>
      <c r="F2077" s="6" t="inlineStr">
        <is>
          <t>12 Aug 2026</t>
        </is>
      </c>
      <c r="G2077" s="5" t="inlineStr">
        <is>
          <t>05 Sep 2026</t>
        </is>
      </c>
      <c r="H2077" s="8" t="inlineStr">
        <is>
          <t>⏳ UPCOMING</t>
        </is>
      </c>
      <c r="I2077" s="4" t="inlineStr">
        <is>
          <t>BOQ_642804.xls</t>
        </is>
      </c>
      <c r="J2077" s="6" t="inlineStr">
        <is>
          <t>📊 Excel BOQ</t>
        </is>
      </c>
      <c r="K2077" s="9" t="n">
        <v>2.5</v>
      </c>
      <c r="L2077" s="10">
        <f>HYPERLINK("http://127.0.0.1:8000/api/documents/download?id=2968&amp;attachment=true", "⬇ Download BOQ_642804.xls")</f>
        <v/>
      </c>
      <c r="M2077" s="10">
        <f>HYPERLINK("http://localhost:5173/?state=Madhya%20Pradesh&amp;keyword=GIS&amp;tender=2026_MPPMC_534368_1", "🚀 Open in Portal")</f>
        <v/>
      </c>
    </row>
    <row r="2078" ht="24" customHeight="1">
      <c r="A2078" s="11" t="inlineStr">
        <is>
          <t>Madhya Pradesh</t>
        </is>
      </c>
      <c r="B2078" s="12" t="inlineStr">
        <is>
          <t>GIS</t>
        </is>
      </c>
      <c r="C2078" s="13" t="inlineStr">
        <is>
          <t>2026_MPPMC_534368_1</t>
        </is>
      </c>
      <c r="D2078" s="14" t="inlineStr">
        <is>
          <t>[EMPANELMENT OF CERC REGISTERED OTC PLATFORM OPERATORS AND CERC LICENSED INTERSTATE POWER TRADERS FOR FACILITATING ENERGY BANKING ARRANGEMENTS]</t>
        </is>
      </c>
      <c r="E2078" s="14" t="inlineStr">
        <is>
          <t>Madhya Pradesh Public Works &amp; Technology Department</t>
        </is>
      </c>
      <c r="F2078" s="13" t="inlineStr">
        <is>
          <t>12 Aug 2026</t>
        </is>
      </c>
      <c r="G2078" s="12" t="inlineStr">
        <is>
          <t>05 Sep 2026</t>
        </is>
      </c>
      <c r="H2078" s="8" t="inlineStr">
        <is>
          <t>⏳ UPCOMING</t>
        </is>
      </c>
      <c r="I2078" s="11" t="inlineStr">
        <is>
          <t>Tender_2026_MPPMC_534368_1_All_Documents.zip</t>
        </is>
      </c>
      <c r="J2078" s="13" t="inlineStr">
        <is>
          <t>📦 ZIP Package</t>
        </is>
      </c>
      <c r="K2078" s="15" t="n">
        <v>20.9</v>
      </c>
      <c r="L2078" s="16">
        <f>HYPERLINK("http://127.0.0.1:8000/api/documents/download?id=2969&amp;attachment=true", "⬇ Download Tender_2026_MPPMC_534368")</f>
        <v/>
      </c>
      <c r="M2078" s="16">
        <f>HYPERLINK("http://localhost:5173/?state=Madhya%20Pradesh&amp;keyword=GIS&amp;tender=2026_MPPMC_534368_1", "🚀 Open in Portal")</f>
        <v/>
      </c>
    </row>
    <row r="2079" ht="24" customHeight="1">
      <c r="A2079" s="4" t="inlineStr">
        <is>
          <t>Madhya Pradesh</t>
        </is>
      </c>
      <c r="B2079" s="5" t="inlineStr">
        <is>
          <t>GIS</t>
        </is>
      </c>
      <c r="C2079" s="6" t="inlineStr">
        <is>
          <t>2026_MPPTC_513077_2</t>
        </is>
      </c>
      <c r="D2079" s="7" t="inlineStr">
        <is>
          <t>[Hiring of latest Model-2026 of 1 No. new Jeep (6plus1 Seater) diesel or Utilization period of Jeep up to 06 Years or 2,50,000 Kms. and registration in Taxi Quota for official/Field use of AE (TLM) Sub Dn., Satna]</t>
        </is>
      </c>
      <c r="E2079" s="7" t="inlineStr">
        <is>
          <t>Madhya Pradesh Public Works &amp; Technology Department</t>
        </is>
      </c>
      <c r="F2079" s="6" t="inlineStr">
        <is>
          <t>27 Jul 2026</t>
        </is>
      </c>
      <c r="G2079" s="5" t="inlineStr">
        <is>
          <t>22 Aug 2026</t>
        </is>
      </c>
      <c r="H2079" s="8" t="inlineStr">
        <is>
          <t>⏳ UPCOMING</t>
        </is>
      </c>
      <c r="I2079" s="4" t="inlineStr">
        <is>
          <t>Tendernotice_1.pdf</t>
        </is>
      </c>
      <c r="J2079" s="6" t="inlineStr">
        <is>
          <t>📕 PDF Document</t>
        </is>
      </c>
      <c r="K2079" s="9" t="n">
        <v>17.9</v>
      </c>
      <c r="L2079" s="10">
        <f>HYPERLINK("http://127.0.0.1:8000/api/documents/download?id=2962&amp;attachment=true", "⬇ Download Tendernotice_1.pdf")</f>
        <v/>
      </c>
      <c r="M2079" s="10">
        <f>HYPERLINK("http://localhost:5173/?state=Madhya%20Pradesh&amp;keyword=GIS&amp;tender=2026_MPPTC_513077_2", "🚀 Open in Portal")</f>
        <v/>
      </c>
    </row>
    <row r="2080" ht="24" customHeight="1">
      <c r="A2080" s="11" t="inlineStr">
        <is>
          <t>Madhya Pradesh</t>
        </is>
      </c>
      <c r="B2080" s="12" t="inlineStr">
        <is>
          <t>GIS</t>
        </is>
      </c>
      <c r="C2080" s="13" t="inlineStr">
        <is>
          <t>2026_MPPTC_513077_2</t>
        </is>
      </c>
      <c r="D2080" s="14" t="inlineStr">
        <is>
          <t>[Hiring of latest Model-2026 of 1 No. new Jeep (6plus1 Seater) diesel or Utilization period of Jeep up to 06 Years or 2,50,000 Kms. and registration in Taxi Quota for official/Field use of AE (TLM) Sub Dn., Satna]</t>
        </is>
      </c>
      <c r="E2080" s="14" t="inlineStr">
        <is>
          <t>Madhya Pradesh Public Works &amp; Technology Department</t>
        </is>
      </c>
      <c r="F2080" s="13" t="inlineStr">
        <is>
          <t>27 Jul 2026</t>
        </is>
      </c>
      <c r="G2080" s="12" t="inlineStr">
        <is>
          <t>22 Aug 2026</t>
        </is>
      </c>
      <c r="H2080" s="8" t="inlineStr">
        <is>
          <t>⏳ UPCOMING</t>
        </is>
      </c>
      <c r="I2080" s="11" t="inlineStr">
        <is>
          <t>ReEDocumentsNITJeep.pdf</t>
        </is>
      </c>
      <c r="J2080" s="13" t="inlineStr">
        <is>
          <t>📕 PDF Document</t>
        </is>
      </c>
      <c r="K2080" s="15" t="n">
        <v>17.9</v>
      </c>
      <c r="L2080" s="16">
        <f>HYPERLINK("http://127.0.0.1:8000/api/documents/download?id=2963&amp;attachment=true", "⬇ Download ReEDocumentsNITJeep.pdf")</f>
        <v/>
      </c>
      <c r="M2080" s="16">
        <f>HYPERLINK("http://localhost:5173/?state=Madhya%20Pradesh&amp;keyword=GIS&amp;tender=2026_MPPTC_513077_2", "🚀 Open in Portal")</f>
        <v/>
      </c>
    </row>
    <row r="2081" ht="24" customHeight="1">
      <c r="A2081" s="4" t="inlineStr">
        <is>
          <t>Madhya Pradesh</t>
        </is>
      </c>
      <c r="B2081" s="5" t="inlineStr">
        <is>
          <t>GIS</t>
        </is>
      </c>
      <c r="C2081" s="6" t="inlineStr">
        <is>
          <t>2026_MPPTC_513077_2</t>
        </is>
      </c>
      <c r="D2081" s="7" t="inlineStr">
        <is>
          <t>[Hiring of latest Model-2026 of 1 No. new Jeep (6plus1 Seater) diesel or Utilization period of Jeep up to 06 Years or 2,50,000 Kms. and registration in Taxi Quota for official/Field use of AE (TLM) Sub Dn., Satna]</t>
        </is>
      </c>
      <c r="E2081" s="7" t="inlineStr">
        <is>
          <t>Madhya Pradesh Public Works &amp; Technology Department</t>
        </is>
      </c>
      <c r="F2081" s="6" t="inlineStr">
        <is>
          <t>27 Jul 2026</t>
        </is>
      </c>
      <c r="G2081" s="5" t="inlineStr">
        <is>
          <t>22 Aug 2026</t>
        </is>
      </c>
      <c r="H2081" s="8" t="inlineStr">
        <is>
          <t>⏳ UPCOMING</t>
        </is>
      </c>
      <c r="I2081" s="4" t="inlineStr">
        <is>
          <t>BOQ_644176.xls</t>
        </is>
      </c>
      <c r="J2081" s="6" t="inlineStr">
        <is>
          <t>📊 Excel BOQ</t>
        </is>
      </c>
      <c r="K2081" s="9" t="n">
        <v>2.5</v>
      </c>
      <c r="L2081" s="10">
        <f>HYPERLINK("http://127.0.0.1:8000/api/documents/download?id=2964&amp;attachment=true", "⬇ Download BOQ_644176.xls")</f>
        <v/>
      </c>
      <c r="M2081" s="10">
        <f>HYPERLINK("http://localhost:5173/?state=Madhya%20Pradesh&amp;keyword=GIS&amp;tender=2026_MPPTC_513077_2", "🚀 Open in Portal")</f>
        <v/>
      </c>
    </row>
    <row r="2082" ht="24" customHeight="1">
      <c r="A2082" s="11" t="inlineStr">
        <is>
          <t>Madhya Pradesh</t>
        </is>
      </c>
      <c r="B2082" s="12" t="inlineStr">
        <is>
          <t>GIS</t>
        </is>
      </c>
      <c r="C2082" s="13" t="inlineStr">
        <is>
          <t>2026_MPPTC_513077_2</t>
        </is>
      </c>
      <c r="D2082" s="14" t="inlineStr">
        <is>
          <t>[Hiring of latest Model-2026 of 1 No. new Jeep (6plus1 Seater) diesel or Utilization period of Jeep up to 06 Years or 2,50,000 Kms. and registration in Taxi Quota for official/Field use of AE (TLM) Sub Dn., Satna]</t>
        </is>
      </c>
      <c r="E2082" s="14" t="inlineStr">
        <is>
          <t>Madhya Pradesh Public Works &amp; Technology Department</t>
        </is>
      </c>
      <c r="F2082" s="13" t="inlineStr">
        <is>
          <t>27 Jul 2026</t>
        </is>
      </c>
      <c r="G2082" s="12" t="inlineStr">
        <is>
          <t>22 Aug 2026</t>
        </is>
      </c>
      <c r="H2082" s="8" t="inlineStr">
        <is>
          <t>⏳ UPCOMING</t>
        </is>
      </c>
      <c r="I2082" s="11" t="inlineStr">
        <is>
          <t>Tender_2026_MPPTC_513077_2_All_Documents.zip</t>
        </is>
      </c>
      <c r="J2082" s="13" t="inlineStr">
        <is>
          <t>📦 ZIP Package</t>
        </is>
      </c>
      <c r="K2082" s="15" t="n">
        <v>20.9</v>
      </c>
      <c r="L2082" s="16">
        <f>HYPERLINK("http://127.0.0.1:8000/api/documents/download?id=2965&amp;attachment=true", "⬇ Download Tender_2026_MPPTC_513077")</f>
        <v/>
      </c>
      <c r="M2082" s="16">
        <f>HYPERLINK("http://localhost:5173/?state=Madhya%20Pradesh&amp;keyword=GIS&amp;tender=2026_MPPTC_513077_2", "🚀 Open in Portal")</f>
        <v/>
      </c>
    </row>
    <row r="2083" ht="24" customHeight="1">
      <c r="A2083" s="4" t="inlineStr">
        <is>
          <t>Madhya Pradesh</t>
        </is>
      </c>
      <c r="B2083" s="5" t="inlineStr">
        <is>
          <t>GIS</t>
        </is>
      </c>
      <c r="C2083" s="6" t="inlineStr">
        <is>
          <t>2026_MPPTC_535678_1</t>
        </is>
      </c>
      <c r="D2083" s="7" t="inlineStr">
        <is>
          <t>[Hiring of latest Model-2026 of 1 No. new Jeep (6plus1 Seater) diesel or Utilization period of Jeep up to 06 Years or 2,50,000 Kms. and registration in Taxi Quota for official/Field use of AE (TLM) Sub Dn., Seoni]</t>
        </is>
      </c>
      <c r="E2083" s="7" t="inlineStr">
        <is>
          <t>Madhya Pradesh Public Works &amp; Technology Department</t>
        </is>
      </c>
      <c r="F2083" s="6" t="inlineStr">
        <is>
          <t>06 Oct 2026</t>
        </is>
      </c>
      <c r="G2083" s="5" t="inlineStr">
        <is>
          <t>22 Oct 2026</t>
        </is>
      </c>
      <c r="H2083" s="18" t="inlineStr">
        <is>
          <t>⚠️ CLOSING SOON</t>
        </is>
      </c>
      <c r="I2083" s="4" t="inlineStr">
        <is>
          <t>Tendernotice_1.pdf</t>
        </is>
      </c>
      <c r="J2083" s="6" t="inlineStr">
        <is>
          <t>📕 PDF Document</t>
        </is>
      </c>
      <c r="K2083" s="9" t="n">
        <v>17.9</v>
      </c>
      <c r="L2083" s="10">
        <f>HYPERLINK("http://127.0.0.1:8000/api/documents/download?id=2958&amp;attachment=true", "⬇ Download Tendernotice_1.pdf")</f>
        <v/>
      </c>
      <c r="M2083" s="10">
        <f>HYPERLINK("http://localhost:5173/?state=Madhya%20Pradesh&amp;keyword=GIS&amp;tender=2026_MPPTC_535678_1", "🚀 Open in Portal")</f>
        <v/>
      </c>
    </row>
    <row r="2084" ht="24" customHeight="1">
      <c r="A2084" s="11" t="inlineStr">
        <is>
          <t>Madhya Pradesh</t>
        </is>
      </c>
      <c r="B2084" s="12" t="inlineStr">
        <is>
          <t>GIS</t>
        </is>
      </c>
      <c r="C2084" s="13" t="inlineStr">
        <is>
          <t>2026_MPPTC_535678_1</t>
        </is>
      </c>
      <c r="D2084" s="14" t="inlineStr">
        <is>
          <t>[Hiring of latest Model-2026 of 1 No. new Jeep (6plus1 Seater) diesel or Utilization period of Jeep up to 06 Years or 2,50,000 Kms. and registration in Taxi Quota for official/Field use of AE (TLM) Sub Dn., Seoni]</t>
        </is>
      </c>
      <c r="E2084" s="14" t="inlineStr">
        <is>
          <t>Madhya Pradesh Public Works &amp; Technology Department</t>
        </is>
      </c>
      <c r="F2084" s="13" t="inlineStr">
        <is>
          <t>06 Oct 2026</t>
        </is>
      </c>
      <c r="G2084" s="12" t="inlineStr">
        <is>
          <t>22 Oct 2026</t>
        </is>
      </c>
      <c r="H2084" s="18" t="inlineStr">
        <is>
          <t>⚠️ CLOSING SOON</t>
        </is>
      </c>
      <c r="I2084" s="11" t="inlineStr">
        <is>
          <t>EDocumentsNITJeepTS216.pdf</t>
        </is>
      </c>
      <c r="J2084" s="13" t="inlineStr">
        <is>
          <t>📕 PDF Document</t>
        </is>
      </c>
      <c r="K2084" s="15" t="n">
        <v>17.9</v>
      </c>
      <c r="L2084" s="16">
        <f>HYPERLINK("http://127.0.0.1:8000/api/documents/download?id=2959&amp;attachment=true", "⬇ Download EDocumentsNITJeepTS216.p")</f>
        <v/>
      </c>
      <c r="M2084" s="16">
        <f>HYPERLINK("http://localhost:5173/?state=Madhya%20Pradesh&amp;keyword=GIS&amp;tender=2026_MPPTC_535678_1", "🚀 Open in Portal")</f>
        <v/>
      </c>
    </row>
    <row r="2085" ht="24" customHeight="1">
      <c r="A2085" s="4" t="inlineStr">
        <is>
          <t>Madhya Pradesh</t>
        </is>
      </c>
      <c r="B2085" s="5" t="inlineStr">
        <is>
          <t>GIS</t>
        </is>
      </c>
      <c r="C2085" s="6" t="inlineStr">
        <is>
          <t>2026_MPPTC_535678_1</t>
        </is>
      </c>
      <c r="D2085" s="7" t="inlineStr">
        <is>
          <t>[Hiring of latest Model-2026 of 1 No. new Jeep (6plus1 Seater) diesel or Utilization period of Jeep up to 06 Years or 2,50,000 Kms. and registration in Taxi Quota for official/Field use of AE (TLM) Sub Dn., Seoni]</t>
        </is>
      </c>
      <c r="E2085" s="7" t="inlineStr">
        <is>
          <t>Madhya Pradesh Public Works &amp; Technology Department</t>
        </is>
      </c>
      <c r="F2085" s="6" t="inlineStr">
        <is>
          <t>06 Oct 2026</t>
        </is>
      </c>
      <c r="G2085" s="5" t="inlineStr">
        <is>
          <t>22 Oct 2026</t>
        </is>
      </c>
      <c r="H2085" s="18" t="inlineStr">
        <is>
          <t>⚠️ CLOSING SOON</t>
        </is>
      </c>
      <c r="I2085" s="4" t="inlineStr">
        <is>
          <t>BOQ_644463.xls</t>
        </is>
      </c>
      <c r="J2085" s="6" t="inlineStr">
        <is>
          <t>📊 Excel BOQ</t>
        </is>
      </c>
      <c r="K2085" s="9" t="n">
        <v>2.5</v>
      </c>
      <c r="L2085" s="10">
        <f>HYPERLINK("http://127.0.0.1:8000/api/documents/download?id=2960&amp;attachment=true", "⬇ Download BOQ_644463.xls")</f>
        <v/>
      </c>
      <c r="M2085" s="10">
        <f>HYPERLINK("http://localhost:5173/?state=Madhya%20Pradesh&amp;keyword=GIS&amp;tender=2026_MPPTC_535678_1", "🚀 Open in Portal")</f>
        <v/>
      </c>
    </row>
    <row r="2086" ht="24" customHeight="1">
      <c r="A2086" s="11" t="inlineStr">
        <is>
          <t>Madhya Pradesh</t>
        </is>
      </c>
      <c r="B2086" s="12" t="inlineStr">
        <is>
          <t>GIS</t>
        </is>
      </c>
      <c r="C2086" s="13" t="inlineStr">
        <is>
          <t>2026_MPPTC_535678_1</t>
        </is>
      </c>
      <c r="D2086" s="14" t="inlineStr">
        <is>
          <t>[Hiring of latest Model-2026 of 1 No. new Jeep (6plus1 Seater) diesel or Utilization period of Jeep up to 06 Years or 2,50,000 Kms. and registration in Taxi Quota for official/Field use of AE (TLM) Sub Dn., Seoni]</t>
        </is>
      </c>
      <c r="E2086" s="14" t="inlineStr">
        <is>
          <t>Madhya Pradesh Public Works &amp; Technology Department</t>
        </is>
      </c>
      <c r="F2086" s="13" t="inlineStr">
        <is>
          <t>06 Oct 2026</t>
        </is>
      </c>
      <c r="G2086" s="12" t="inlineStr">
        <is>
          <t>22 Oct 2026</t>
        </is>
      </c>
      <c r="H2086" s="18" t="inlineStr">
        <is>
          <t>⚠️ CLOSING SOON</t>
        </is>
      </c>
      <c r="I2086" s="11" t="inlineStr">
        <is>
          <t>Tender_2026_MPPTC_535678_1_All_Documents.zip</t>
        </is>
      </c>
      <c r="J2086" s="13" t="inlineStr">
        <is>
          <t>📦 ZIP Package</t>
        </is>
      </c>
      <c r="K2086" s="15" t="n">
        <v>20.9</v>
      </c>
      <c r="L2086" s="16">
        <f>HYPERLINK("http://127.0.0.1:8000/api/documents/download?id=2961&amp;attachment=true", "⬇ Download Tender_2026_MPPTC_535678")</f>
        <v/>
      </c>
      <c r="M2086" s="16">
        <f>HYPERLINK("http://localhost:5173/?state=Madhya%20Pradesh&amp;keyword=GIS&amp;tender=2026_MPPTC_535678_1", "🚀 Open in Portal")</f>
        <v/>
      </c>
    </row>
    <row r="2087" ht="24" customHeight="1">
      <c r="A2087" s="4" t="inlineStr">
        <is>
          <t>Madhya Pradesh</t>
        </is>
      </c>
      <c r="B2087" s="5" t="inlineStr">
        <is>
          <t>GIS</t>
        </is>
      </c>
      <c r="C2087" s="6" t="inlineStr">
        <is>
          <t>2026_MPPTC_536131_1</t>
        </is>
      </c>
      <c r="D2087" s="7" t="inlineStr">
        <is>
          <t>[Hiring of latest Model-2026 of 1 No. new Jeep (6plus1 Seater) diesel or Utilization period of Jeep up to 06 Years or 2,50,000 Kms. and registration in Taxi Quota for official/Field use of AE (TLM) Sub Dn., Gadarwara]</t>
        </is>
      </c>
      <c r="E2087" s="7" t="inlineStr">
        <is>
          <t>Madhya Pradesh Public Works &amp; Technology Department</t>
        </is>
      </c>
      <c r="F2087" s="6" t="inlineStr">
        <is>
          <t>22 Oct 2026</t>
        </is>
      </c>
      <c r="G2087" s="5" t="inlineStr">
        <is>
          <t>12 Nov 2026</t>
        </is>
      </c>
      <c r="H2087" s="8" t="inlineStr">
        <is>
          <t>⏳ UPCOMING</t>
        </is>
      </c>
      <c r="I2087" s="4" t="inlineStr">
        <is>
          <t>Tendernotice_1.pdf</t>
        </is>
      </c>
      <c r="J2087" s="6" t="inlineStr">
        <is>
          <t>📕 PDF Document</t>
        </is>
      </c>
      <c r="K2087" s="9" t="n">
        <v>17.9</v>
      </c>
      <c r="L2087" s="10">
        <f>HYPERLINK("http://127.0.0.1:8000/api/documents/download?id=2954&amp;attachment=true", "⬇ Download Tendernotice_1.pdf")</f>
        <v/>
      </c>
      <c r="M2087" s="10">
        <f>HYPERLINK("http://localhost:5173/?state=Madhya%20Pradesh&amp;keyword=GIS&amp;tender=2026_MPPTC_536131_1", "🚀 Open in Portal")</f>
        <v/>
      </c>
    </row>
    <row r="2088" ht="24" customHeight="1">
      <c r="A2088" s="11" t="inlineStr">
        <is>
          <t>Madhya Pradesh</t>
        </is>
      </c>
      <c r="B2088" s="12" t="inlineStr">
        <is>
          <t>GIS</t>
        </is>
      </c>
      <c r="C2088" s="13" t="inlineStr">
        <is>
          <t>2026_MPPTC_536131_1</t>
        </is>
      </c>
      <c r="D2088" s="14" t="inlineStr">
        <is>
          <t>[Hiring of latest Model-2026 of 1 No. new Jeep (6plus1 Seater) diesel or Utilization period of Jeep up to 06 Years or 2,50,000 Kms. and registration in Taxi Quota for official/Field use of AE (TLM) Sub Dn., Gadarwara]</t>
        </is>
      </c>
      <c r="E2088" s="14" t="inlineStr">
        <is>
          <t>Madhya Pradesh Public Works &amp; Technology Department</t>
        </is>
      </c>
      <c r="F2088" s="13" t="inlineStr">
        <is>
          <t>22 Oct 2026</t>
        </is>
      </c>
      <c r="G2088" s="12" t="inlineStr">
        <is>
          <t>12 Nov 2026</t>
        </is>
      </c>
      <c r="H2088" s="8" t="inlineStr">
        <is>
          <t>⏳ UPCOMING</t>
        </is>
      </c>
      <c r="I2088" s="11" t="inlineStr">
        <is>
          <t>EDocumentsNITJeepTS217.pdf</t>
        </is>
      </c>
      <c r="J2088" s="13" t="inlineStr">
        <is>
          <t>📕 PDF Document</t>
        </is>
      </c>
      <c r="K2088" s="15" t="n">
        <v>17.9</v>
      </c>
      <c r="L2088" s="16">
        <f>HYPERLINK("http://127.0.0.1:8000/api/documents/download?id=2955&amp;attachment=true", "⬇ Download EDocumentsNITJeepTS217.p")</f>
        <v/>
      </c>
      <c r="M2088" s="16">
        <f>HYPERLINK("http://localhost:5173/?state=Madhya%20Pradesh&amp;keyword=GIS&amp;tender=2026_MPPTC_536131_1", "🚀 Open in Portal")</f>
        <v/>
      </c>
    </row>
    <row r="2089" ht="24" customHeight="1">
      <c r="A2089" s="4" t="inlineStr">
        <is>
          <t>Madhya Pradesh</t>
        </is>
      </c>
      <c r="B2089" s="5" t="inlineStr">
        <is>
          <t>GIS</t>
        </is>
      </c>
      <c r="C2089" s="6" t="inlineStr">
        <is>
          <t>2026_MPPTC_536131_1</t>
        </is>
      </c>
      <c r="D2089" s="7" t="inlineStr">
        <is>
          <t>[Hiring of latest Model-2026 of 1 No. new Jeep (6plus1 Seater) diesel or Utilization period of Jeep up to 06 Years or 2,50,000 Kms. and registration in Taxi Quota for official/Field use of AE (TLM) Sub Dn., Gadarwara]</t>
        </is>
      </c>
      <c r="E2089" s="7" t="inlineStr">
        <is>
          <t>Madhya Pradesh Public Works &amp; Technology Department</t>
        </is>
      </c>
      <c r="F2089" s="6" t="inlineStr">
        <is>
          <t>22 Oct 2026</t>
        </is>
      </c>
      <c r="G2089" s="5" t="inlineStr">
        <is>
          <t>12 Nov 2026</t>
        </is>
      </c>
      <c r="H2089" s="8" t="inlineStr">
        <is>
          <t>⏳ UPCOMING</t>
        </is>
      </c>
      <c r="I2089" s="4" t="inlineStr">
        <is>
          <t>BOQ_645092.xls</t>
        </is>
      </c>
      <c r="J2089" s="6" t="inlineStr">
        <is>
          <t>📊 Excel BOQ</t>
        </is>
      </c>
      <c r="K2089" s="9" t="n">
        <v>2.5</v>
      </c>
      <c r="L2089" s="10">
        <f>HYPERLINK("http://127.0.0.1:8000/api/documents/download?id=2956&amp;attachment=true", "⬇ Download BOQ_645092.xls")</f>
        <v/>
      </c>
      <c r="M2089" s="10">
        <f>HYPERLINK("http://localhost:5173/?state=Madhya%20Pradesh&amp;keyword=GIS&amp;tender=2026_MPPTC_536131_1", "🚀 Open in Portal")</f>
        <v/>
      </c>
    </row>
    <row r="2090" ht="24" customHeight="1">
      <c r="A2090" s="11" t="inlineStr">
        <is>
          <t>Madhya Pradesh</t>
        </is>
      </c>
      <c r="B2090" s="12" t="inlineStr">
        <is>
          <t>GIS</t>
        </is>
      </c>
      <c r="C2090" s="13" t="inlineStr">
        <is>
          <t>2026_MPPTC_536131_1</t>
        </is>
      </c>
      <c r="D2090" s="14" t="inlineStr">
        <is>
          <t>[Hiring of latest Model-2026 of 1 No. new Jeep (6plus1 Seater) diesel or Utilization period of Jeep up to 06 Years or 2,50,000 Kms. and registration in Taxi Quota for official/Field use of AE (TLM) Sub Dn., Gadarwara]</t>
        </is>
      </c>
      <c r="E2090" s="14" t="inlineStr">
        <is>
          <t>Madhya Pradesh Public Works &amp; Technology Department</t>
        </is>
      </c>
      <c r="F2090" s="13" t="inlineStr">
        <is>
          <t>22 Oct 2026</t>
        </is>
      </c>
      <c r="G2090" s="12" t="inlineStr">
        <is>
          <t>12 Nov 2026</t>
        </is>
      </c>
      <c r="H2090" s="8" t="inlineStr">
        <is>
          <t>⏳ UPCOMING</t>
        </is>
      </c>
      <c r="I2090" s="11" t="inlineStr">
        <is>
          <t>Tender_2026_MPPTC_536131_1_All_Documents.zip</t>
        </is>
      </c>
      <c r="J2090" s="13" t="inlineStr">
        <is>
          <t>📦 ZIP Package</t>
        </is>
      </c>
      <c r="K2090" s="15" t="n">
        <v>20.9</v>
      </c>
      <c r="L2090" s="16">
        <f>HYPERLINK("http://127.0.0.1:8000/api/documents/download?id=2957&amp;attachment=true", "⬇ Download Tender_2026_MPPTC_536131")</f>
        <v/>
      </c>
      <c r="M2090" s="16">
        <f>HYPERLINK("http://localhost:5173/?state=Madhya%20Pradesh&amp;keyword=GIS&amp;tender=2026_MPPTC_536131_1", "🚀 Open in Portal")</f>
        <v/>
      </c>
    </row>
    <row r="2091" ht="24" customHeight="1">
      <c r="A2091" s="4" t="inlineStr">
        <is>
          <t>Madhya Pradesh</t>
        </is>
      </c>
      <c r="B2091" s="5" t="inlineStr">
        <is>
          <t>GIS</t>
        </is>
      </c>
      <c r="C2091" s="6" t="inlineStr">
        <is>
          <t>2026_MPPTC_539478_1</t>
        </is>
      </c>
      <c r="D2091" s="7" t="inlineStr">
        <is>
          <t>[Enquiry for hiring of 01 No. New Bolero Camper pickup 207 or utilization period of pick-up 207 for 03 years (3500 KM per Months) and Registration in Taxi Quota for official use of (EHT-C), MPPTCL Barwaha under EE (EHT-C) Indore]</t>
        </is>
      </c>
      <c r="E2091" s="7" t="inlineStr">
        <is>
          <t>Madhya Pradesh Public Works &amp; Technology Department</t>
        </is>
      </c>
      <c r="F2091" s="6" t="inlineStr">
        <is>
          <t>24 Jul 2026</t>
        </is>
      </c>
      <c r="G2091" s="5" t="inlineStr">
        <is>
          <t>23 Aug 2026</t>
        </is>
      </c>
      <c r="H2091" s="8" t="inlineStr">
        <is>
          <t>⏳ UPCOMING</t>
        </is>
      </c>
      <c r="I2091" s="4" t="inlineStr">
        <is>
          <t>Tendernotice_1.pdf</t>
        </is>
      </c>
      <c r="J2091" s="6" t="inlineStr">
        <is>
          <t>📕 PDF Document</t>
        </is>
      </c>
      <c r="K2091" s="9" t="n">
        <v>17.9</v>
      </c>
      <c r="L2091" s="10">
        <f>HYPERLINK("http://127.0.0.1:8000/api/documents/download?id=2943&amp;attachment=true", "⬇ Download Tendernotice_1.pdf")</f>
        <v/>
      </c>
      <c r="M2091" s="10">
        <f>HYPERLINK("http://localhost:5173/?state=Madhya%20Pradesh&amp;keyword=GIS&amp;tender=2026_MPPTC_539478_1", "🚀 Open in Portal")</f>
        <v/>
      </c>
    </row>
    <row r="2092" ht="24" customHeight="1">
      <c r="A2092" s="11" t="inlineStr">
        <is>
          <t>Madhya Pradesh</t>
        </is>
      </c>
      <c r="B2092" s="12" t="inlineStr">
        <is>
          <t>GIS</t>
        </is>
      </c>
      <c r="C2092" s="13" t="inlineStr">
        <is>
          <t>2026_MPPTC_539478_1</t>
        </is>
      </c>
      <c r="D2092" s="14" t="inlineStr">
        <is>
          <t>[Enquiry for hiring of 01 No. New Bolero Camper pickup 207 or utilization period of pick-up 207 for 03 years (3500 KM per Months) and Registration in Taxi Quota for official use of (EHT-C), MPPTCL Barwaha under EE (EHT-C) Indore]</t>
        </is>
      </c>
      <c r="E2092" s="14" t="inlineStr">
        <is>
          <t>Madhya Pradesh Public Works &amp; Technology Department</t>
        </is>
      </c>
      <c r="F2092" s="13" t="inlineStr">
        <is>
          <t>24 Jul 2026</t>
        </is>
      </c>
      <c r="G2092" s="12" t="inlineStr">
        <is>
          <t>23 Aug 2026</t>
        </is>
      </c>
      <c r="H2092" s="8" t="inlineStr">
        <is>
          <t>⏳ UPCOMING</t>
        </is>
      </c>
      <c r="I2092" s="11" t="inlineStr">
        <is>
          <t>nitdoc.pdf</t>
        </is>
      </c>
      <c r="J2092" s="13" t="inlineStr">
        <is>
          <t>📕 PDF Document</t>
        </is>
      </c>
      <c r="K2092" s="15" t="n">
        <v>17.9</v>
      </c>
      <c r="L2092" s="16">
        <f>HYPERLINK("http://127.0.0.1:8000/api/documents/download?id=2944&amp;attachment=true", "⬇ Download nitdoc.pdf")</f>
        <v/>
      </c>
      <c r="M2092" s="16">
        <f>HYPERLINK("http://localhost:5173/?state=Madhya%20Pradesh&amp;keyword=GIS&amp;tender=2026_MPPTC_539478_1", "🚀 Open in Portal")</f>
        <v/>
      </c>
    </row>
    <row r="2093" ht="24" customHeight="1">
      <c r="A2093" s="4" t="inlineStr">
        <is>
          <t>Madhya Pradesh</t>
        </is>
      </c>
      <c r="B2093" s="5" t="inlineStr">
        <is>
          <t>GIS</t>
        </is>
      </c>
      <c r="C2093" s="6" t="inlineStr">
        <is>
          <t>2026_MPPTC_539478_1</t>
        </is>
      </c>
      <c r="D2093" s="7" t="inlineStr">
        <is>
          <t>[Enquiry for hiring of 01 No. New Bolero Camper pickup 207 or utilization period of pick-up 207 for 03 years (3500 KM per Months) and Registration in Taxi Quota for official use of (EHT-C), MPPTCL Barwaha under EE (EHT-C) Indore]</t>
        </is>
      </c>
      <c r="E2093" s="7" t="inlineStr">
        <is>
          <t>Madhya Pradesh Public Works &amp; Technology Department</t>
        </is>
      </c>
      <c r="F2093" s="6" t="inlineStr">
        <is>
          <t>24 Jul 2026</t>
        </is>
      </c>
      <c r="G2093" s="5" t="inlineStr">
        <is>
          <t>23 Aug 2026</t>
        </is>
      </c>
      <c r="H2093" s="8" t="inlineStr">
        <is>
          <t>⏳ UPCOMING</t>
        </is>
      </c>
      <c r="I2093" s="4" t="inlineStr">
        <is>
          <t>BOQ_648985.xls</t>
        </is>
      </c>
      <c r="J2093" s="6" t="inlineStr">
        <is>
          <t>📊 Excel BOQ</t>
        </is>
      </c>
      <c r="K2093" s="9" t="n">
        <v>2.5</v>
      </c>
      <c r="L2093" s="10">
        <f>HYPERLINK("http://127.0.0.1:8000/api/documents/download?id=2945&amp;attachment=true", "⬇ Download BOQ_648985.xls")</f>
        <v/>
      </c>
      <c r="M2093" s="10">
        <f>HYPERLINK("http://localhost:5173/?state=Madhya%20Pradesh&amp;keyword=GIS&amp;tender=2026_MPPTC_539478_1", "🚀 Open in Portal")</f>
        <v/>
      </c>
    </row>
    <row r="2094" ht="24" customHeight="1">
      <c r="A2094" s="11" t="inlineStr">
        <is>
          <t>Madhya Pradesh</t>
        </is>
      </c>
      <c r="B2094" s="12" t="inlineStr">
        <is>
          <t>GIS</t>
        </is>
      </c>
      <c r="C2094" s="13" t="inlineStr">
        <is>
          <t>2026_MPPTC_539478_1</t>
        </is>
      </c>
      <c r="D2094" s="14" t="inlineStr">
        <is>
          <t>[Enquiry for hiring of 01 No. New Bolero Camper pickup 207 or utilization period of pick-up 207 for 03 years (3500 KM per Months) and Registration in Taxi Quota for official use of (EHT-C), MPPTCL Barwaha under EE (EHT-C) Indore]</t>
        </is>
      </c>
      <c r="E2094" s="14" t="inlineStr">
        <is>
          <t>Madhya Pradesh Public Works &amp; Technology Department</t>
        </is>
      </c>
      <c r="F2094" s="13" t="inlineStr">
        <is>
          <t>24 Jul 2026</t>
        </is>
      </c>
      <c r="G2094" s="12" t="inlineStr">
        <is>
          <t>23 Aug 2026</t>
        </is>
      </c>
      <c r="H2094" s="8" t="inlineStr">
        <is>
          <t>⏳ UPCOMING</t>
        </is>
      </c>
      <c r="I2094" s="11" t="inlineStr">
        <is>
          <t>Tender_2026_MPPTC_539478_1_All_Documents.zip</t>
        </is>
      </c>
      <c r="J2094" s="13" t="inlineStr">
        <is>
          <t>📦 ZIP Package</t>
        </is>
      </c>
      <c r="K2094" s="15" t="n">
        <v>20.9</v>
      </c>
      <c r="L2094" s="16">
        <f>HYPERLINK("http://127.0.0.1:8000/api/documents/download?id=2946&amp;attachment=true", "⬇ Download Tender_2026_MPPTC_539478")</f>
        <v/>
      </c>
      <c r="M2094" s="16">
        <f>HYPERLINK("http://localhost:5173/?state=Madhya%20Pradesh&amp;keyword=GIS&amp;tender=2026_MPPTC_539478_1", "🚀 Open in Portal")</f>
        <v/>
      </c>
    </row>
    <row r="2095" ht="24" customHeight="1">
      <c r="A2095" s="4" t="inlineStr">
        <is>
          <t>Madhya Pradesh</t>
        </is>
      </c>
      <c r="B2095" s="5" t="inlineStr">
        <is>
          <t>GIS</t>
        </is>
      </c>
      <c r="C2095" s="6" t="inlineStr">
        <is>
          <t>2026_PWDRB_537404_1</t>
        </is>
      </c>
      <c r="D2095" s="7" t="inlineStr">
        <is>
          <t>[Renovation work of Toilet and chamber of Principal Registrar(Vigilance) and other various Civil work at under MP High Court Jabalpur under HQ sub Div No.2, Jabalpur.]</t>
        </is>
      </c>
      <c r="E2095" s="7" t="inlineStr">
        <is>
          <t>Madhya Pradesh Public Works &amp; Technology Department</t>
        </is>
      </c>
      <c r="F2095" s="6" t="inlineStr">
        <is>
          <t>29 Aug 2026</t>
        </is>
      </c>
      <c r="G2095" s="5" t="inlineStr">
        <is>
          <t>20 Sep 2026</t>
        </is>
      </c>
      <c r="H2095" s="8" t="inlineStr">
        <is>
          <t>⏳ UPCOMING</t>
        </is>
      </c>
      <c r="I2095" s="4" t="inlineStr">
        <is>
          <t>Tendernotice_1.pdf</t>
        </is>
      </c>
      <c r="J2095" s="6" t="inlineStr">
        <is>
          <t>📕 PDF Document</t>
        </is>
      </c>
      <c r="K2095" s="9" t="n">
        <v>17.9</v>
      </c>
      <c r="L2095" s="10">
        <f>HYPERLINK("http://127.0.0.1:8000/api/documents/download?id=1183&amp;attachment=true", "⬇ Download Tendernotice_1.pdf")</f>
        <v/>
      </c>
      <c r="M2095" s="10">
        <f>HYPERLINK("http://localhost:5173/?state=Madhya%20Pradesh&amp;keyword=GIS&amp;tender=2026_PWDRB_537404_1", "🚀 Open in Portal")</f>
        <v/>
      </c>
    </row>
    <row r="2096" ht="24" customHeight="1">
      <c r="A2096" s="11" t="inlineStr">
        <is>
          <t>Madhya Pradesh</t>
        </is>
      </c>
      <c r="B2096" s="12" t="inlineStr">
        <is>
          <t>GIS</t>
        </is>
      </c>
      <c r="C2096" s="13" t="inlineStr">
        <is>
          <t>2026_PWDRB_537404_1</t>
        </is>
      </c>
      <c r="D2096" s="14" t="inlineStr">
        <is>
          <t>[Renovation work of Toilet and chamber of Principal Registrar(Vigilance) and other various Civil work at under MP High Court Jabalpur under HQ sub Div No.2, Jabalpur.]</t>
        </is>
      </c>
      <c r="E2096" s="14" t="inlineStr">
        <is>
          <t>Madhya Pradesh Public Works &amp; Technology Department</t>
        </is>
      </c>
      <c r="F2096" s="13" t="inlineStr">
        <is>
          <t>29 Aug 2026</t>
        </is>
      </c>
      <c r="G2096" s="12" t="inlineStr">
        <is>
          <t>20 Sep 2026</t>
        </is>
      </c>
      <c r="H2096" s="8" t="inlineStr">
        <is>
          <t>⏳ UPCOMING</t>
        </is>
      </c>
      <c r="I2096" s="11" t="inlineStr">
        <is>
          <t>Tenderdocument537404.pdf</t>
        </is>
      </c>
      <c r="J2096" s="13" t="inlineStr">
        <is>
          <t>📕 PDF Document</t>
        </is>
      </c>
      <c r="K2096" s="15" t="n">
        <v>17.9</v>
      </c>
      <c r="L2096" s="16">
        <f>HYPERLINK("http://127.0.0.1:8000/api/documents/download?id=1184&amp;attachment=true", "⬇ Download Tenderdocument537404.pdf")</f>
        <v/>
      </c>
      <c r="M2096" s="16">
        <f>HYPERLINK("http://localhost:5173/?state=Madhya%20Pradesh&amp;keyword=GIS&amp;tender=2026_PWDRB_537404_1", "🚀 Open in Portal")</f>
        <v/>
      </c>
    </row>
    <row r="2097" ht="24" customHeight="1">
      <c r="A2097" s="4" t="inlineStr">
        <is>
          <t>Madhya Pradesh</t>
        </is>
      </c>
      <c r="B2097" s="5" t="inlineStr">
        <is>
          <t>GIS</t>
        </is>
      </c>
      <c r="C2097" s="6" t="inlineStr">
        <is>
          <t>2026_PWDRB_537404_1</t>
        </is>
      </c>
      <c r="D2097" s="7" t="inlineStr">
        <is>
          <t>[Renovation work of Toilet and chamber of Principal Registrar(Vigilance) and other various Civil work at under MP High Court Jabalpur under HQ sub Div No.2, Jabalpur.]</t>
        </is>
      </c>
      <c r="E2097" s="7" t="inlineStr">
        <is>
          <t>Madhya Pradesh Public Works &amp; Technology Department</t>
        </is>
      </c>
      <c r="F2097" s="6" t="inlineStr">
        <is>
          <t>29 Aug 2026</t>
        </is>
      </c>
      <c r="G2097" s="5" t="inlineStr">
        <is>
          <t>20 Sep 2026</t>
        </is>
      </c>
      <c r="H2097" s="8" t="inlineStr">
        <is>
          <t>⏳ UPCOMING</t>
        </is>
      </c>
      <c r="I2097" s="4" t="inlineStr">
        <is>
          <t>NIT537404.pdf</t>
        </is>
      </c>
      <c r="J2097" s="6" t="inlineStr">
        <is>
          <t>📕 PDF Document</t>
        </is>
      </c>
      <c r="K2097" s="9" t="n">
        <v>17.9</v>
      </c>
      <c r="L2097" s="10">
        <f>HYPERLINK("http://127.0.0.1:8000/api/documents/download?id=1185&amp;attachment=true", "⬇ Download NIT537404.pdf")</f>
        <v/>
      </c>
      <c r="M2097" s="10">
        <f>HYPERLINK("http://localhost:5173/?state=Madhya%20Pradesh&amp;keyword=GIS&amp;tender=2026_PWDRB_537404_1", "🚀 Open in Portal")</f>
        <v/>
      </c>
    </row>
    <row r="2098" ht="24" customHeight="1">
      <c r="A2098" s="11" t="inlineStr">
        <is>
          <t>Madhya Pradesh</t>
        </is>
      </c>
      <c r="B2098" s="12" t="inlineStr">
        <is>
          <t>GIS</t>
        </is>
      </c>
      <c r="C2098" s="13" t="inlineStr">
        <is>
          <t>2026_PWDRB_537404_1</t>
        </is>
      </c>
      <c r="D2098" s="14" t="inlineStr">
        <is>
          <t>[Renovation work of Toilet and chamber of Principal Registrar(Vigilance) and other various Civil work at under MP High Court Jabalpur under HQ sub Div No.2, Jabalpur.]</t>
        </is>
      </c>
      <c r="E2098" s="14" t="inlineStr">
        <is>
          <t>Madhya Pradesh Public Works &amp; Technology Department</t>
        </is>
      </c>
      <c r="F2098" s="13" t="inlineStr">
        <is>
          <t>29 Aug 2026</t>
        </is>
      </c>
      <c r="G2098" s="12" t="inlineStr">
        <is>
          <t>20 Sep 2026</t>
        </is>
      </c>
      <c r="H2098" s="8" t="inlineStr">
        <is>
          <t>⏳ UPCOMING</t>
        </is>
      </c>
      <c r="I2098" s="11" t="inlineStr">
        <is>
          <t>BOQ_650263.xls</t>
        </is>
      </c>
      <c r="J2098" s="13" t="inlineStr">
        <is>
          <t>📊 Excel BOQ</t>
        </is>
      </c>
      <c r="K2098" s="15" t="n">
        <v>2.5</v>
      </c>
      <c r="L2098" s="16">
        <f>HYPERLINK("http://127.0.0.1:8000/api/documents/download?id=1186&amp;attachment=true", "⬇ Download BOQ_650263.xls")</f>
        <v/>
      </c>
      <c r="M2098" s="16">
        <f>HYPERLINK("http://localhost:5173/?state=Madhya%20Pradesh&amp;keyword=GIS&amp;tender=2026_PWDRB_537404_1", "🚀 Open in Portal")</f>
        <v/>
      </c>
    </row>
    <row r="2099" ht="24" customHeight="1">
      <c r="A2099" s="4" t="inlineStr">
        <is>
          <t>Madhya Pradesh</t>
        </is>
      </c>
      <c r="B2099" s="5" t="inlineStr">
        <is>
          <t>GIS</t>
        </is>
      </c>
      <c r="C2099" s="6" t="inlineStr">
        <is>
          <t>2026_PWDRB_537404_1</t>
        </is>
      </c>
      <c r="D2099" s="7" t="inlineStr">
        <is>
          <t>[Renovation work of Toilet and chamber of Principal Registrar(Vigilance) and other various Civil work at under MP High Court Jabalpur under HQ sub Div No.2, Jabalpur.]</t>
        </is>
      </c>
      <c r="E2099" s="7" t="inlineStr">
        <is>
          <t>Madhya Pradesh Public Works &amp; Technology Department</t>
        </is>
      </c>
      <c r="F2099" s="6" t="inlineStr">
        <is>
          <t>29 Aug 2026</t>
        </is>
      </c>
      <c r="G2099" s="5" t="inlineStr">
        <is>
          <t>20 Sep 2026</t>
        </is>
      </c>
      <c r="H2099" s="8" t="inlineStr">
        <is>
          <t>⏳ UPCOMING</t>
        </is>
      </c>
      <c r="I2099" s="4" t="inlineStr">
        <is>
          <t>Tender_2026_PWDRB_537404_1_All_Documents.zip</t>
        </is>
      </c>
      <c r="J2099" s="6" t="inlineStr">
        <is>
          <t>📦 ZIP Package</t>
        </is>
      </c>
      <c r="K2099" s="9" t="n">
        <v>30.2</v>
      </c>
      <c r="L2099" s="10">
        <f>HYPERLINK("http://127.0.0.1:8000/api/documents/download?id=1187&amp;attachment=true", "⬇ Download Tender_2026_PWDRB_537404")</f>
        <v/>
      </c>
      <c r="M2099" s="10">
        <f>HYPERLINK("http://localhost:5173/?state=Madhya%20Pradesh&amp;keyword=GIS&amp;tender=2026_PWDRB_537404_1", "🚀 Open in Portal")</f>
        <v/>
      </c>
    </row>
    <row r="2100" ht="24" customHeight="1">
      <c r="A2100" s="11" t="inlineStr">
        <is>
          <t>Madhya Pradesh</t>
        </is>
      </c>
      <c r="B2100" s="12" t="inlineStr">
        <is>
          <t>GIS</t>
        </is>
      </c>
      <c r="C2100" s="13" t="inlineStr">
        <is>
          <t>2026_UAD_519235_3</t>
        </is>
      </c>
      <c r="D2100" s="14" t="inlineStr">
        <is>
          <t>[Supply of 01 NOs Tractor with 35-45 H.P. Engine Capacity Two Vehicle drive Manual Tractor with RTO Registration at RTO Gwalior and with one year Zeo dep insurance of vehicle and with one year extra under warranty vehicle service at relevant etc. 3rd ]</t>
        </is>
      </c>
      <c r="E2100" s="14" t="inlineStr">
        <is>
          <t>Madhya Pradesh Public Works &amp; Technology Department</t>
        </is>
      </c>
      <c r="F2100" s="13" t="inlineStr">
        <is>
          <t>01 Aug 2026</t>
        </is>
      </c>
      <c r="G2100" s="12" t="inlineStr">
        <is>
          <t>24 Aug 2026</t>
        </is>
      </c>
      <c r="H2100" s="8" t="inlineStr">
        <is>
          <t>⏳ UPCOMING</t>
        </is>
      </c>
      <c r="I2100" s="11" t="inlineStr">
        <is>
          <t>Tendernotice_1.pdf</t>
        </is>
      </c>
      <c r="J2100" s="13" t="inlineStr">
        <is>
          <t>📕 PDF Document</t>
        </is>
      </c>
      <c r="K2100" s="15" t="n">
        <v>17.9</v>
      </c>
      <c r="L2100" s="16">
        <f>HYPERLINK("http://127.0.0.1:8000/api/documents/download?id=2931&amp;attachment=true", "⬇ Download Tendernotice_1.pdf")</f>
        <v/>
      </c>
      <c r="M2100" s="16">
        <f>HYPERLINK("http://localhost:5173/?state=Madhya%20Pradesh&amp;keyword=GIS&amp;tender=2026_UAD_519235_3", "🚀 Open in Portal")</f>
        <v/>
      </c>
    </row>
    <row r="2101" ht="24" customHeight="1">
      <c r="A2101" s="4" t="inlineStr">
        <is>
          <t>Madhya Pradesh</t>
        </is>
      </c>
      <c r="B2101" s="5" t="inlineStr">
        <is>
          <t>GIS</t>
        </is>
      </c>
      <c r="C2101" s="6" t="inlineStr">
        <is>
          <t>2026_UAD_519235_3</t>
        </is>
      </c>
      <c r="D2101" s="7" t="inlineStr">
        <is>
          <t>[Supply of 01 NOs Tractor with 35-45 H.P. Engine Capacity Two Vehicle drive Manual Tractor with RTO Registration at RTO Gwalior and with one year Zeo dep insurance of vehicle and with one year extra under warranty vehicle service at relevant etc. 3rd ]</t>
        </is>
      </c>
      <c r="E2101" s="7" t="inlineStr">
        <is>
          <t>Madhya Pradesh Public Works &amp; Technology Department</t>
        </is>
      </c>
      <c r="F2101" s="6" t="inlineStr">
        <is>
          <t>01 Aug 2026</t>
        </is>
      </c>
      <c r="G2101" s="5" t="inlineStr">
        <is>
          <t>24 Aug 2026</t>
        </is>
      </c>
      <c r="H2101" s="8" t="inlineStr">
        <is>
          <t>⏳ UPCOMING</t>
        </is>
      </c>
      <c r="I2101" s="4" t="inlineStr">
        <is>
          <t>NIT3.pdf</t>
        </is>
      </c>
      <c r="J2101" s="6" t="inlineStr">
        <is>
          <t>📕 PDF Document</t>
        </is>
      </c>
      <c r="K2101" s="9" t="n">
        <v>17.9</v>
      </c>
      <c r="L2101" s="10">
        <f>HYPERLINK("http://127.0.0.1:8000/api/documents/download?id=2932&amp;attachment=true", "⬇ Download NIT3.pdf")</f>
        <v/>
      </c>
      <c r="M2101" s="10">
        <f>HYPERLINK("http://localhost:5173/?state=Madhya%20Pradesh&amp;keyword=GIS&amp;tender=2026_UAD_519235_3", "🚀 Open in Portal")</f>
        <v/>
      </c>
    </row>
    <row r="2102" ht="24" customHeight="1">
      <c r="A2102" s="11" t="inlineStr">
        <is>
          <t>Madhya Pradesh</t>
        </is>
      </c>
      <c r="B2102" s="12" t="inlineStr">
        <is>
          <t>GIS</t>
        </is>
      </c>
      <c r="C2102" s="13" t="inlineStr">
        <is>
          <t>2026_UAD_519235_3</t>
        </is>
      </c>
      <c r="D2102" s="14" t="inlineStr">
        <is>
          <t>[Supply of 01 NOs Tractor with 35-45 H.P. Engine Capacity Two Vehicle drive Manual Tractor with RTO Registration at RTO Gwalior and with one year Zeo dep insurance of vehicle and with one year extra under warranty vehicle service at relevant etc. 3rd ]</t>
        </is>
      </c>
      <c r="E2102" s="14" t="inlineStr">
        <is>
          <t>Madhya Pradesh Public Works &amp; Technology Department</t>
        </is>
      </c>
      <c r="F2102" s="13" t="inlineStr">
        <is>
          <t>01 Aug 2026</t>
        </is>
      </c>
      <c r="G2102" s="12" t="inlineStr">
        <is>
          <t>24 Aug 2026</t>
        </is>
      </c>
      <c r="H2102" s="8" t="inlineStr">
        <is>
          <t>⏳ UPCOMING</t>
        </is>
      </c>
      <c r="I2102" s="11" t="inlineStr">
        <is>
          <t>BOQ_650531.xls</t>
        </is>
      </c>
      <c r="J2102" s="13" t="inlineStr">
        <is>
          <t>📊 Excel BOQ</t>
        </is>
      </c>
      <c r="K2102" s="15" t="n">
        <v>2.5</v>
      </c>
      <c r="L2102" s="16">
        <f>HYPERLINK("http://127.0.0.1:8000/api/documents/download?id=2933&amp;attachment=true", "⬇ Download BOQ_650531.xls")</f>
        <v/>
      </c>
      <c r="M2102" s="16">
        <f>HYPERLINK("http://localhost:5173/?state=Madhya%20Pradesh&amp;keyword=GIS&amp;tender=2026_UAD_519235_3", "🚀 Open in Portal")</f>
        <v/>
      </c>
    </row>
    <row r="2103" ht="24" customHeight="1">
      <c r="A2103" s="4" t="inlineStr">
        <is>
          <t>Madhya Pradesh</t>
        </is>
      </c>
      <c r="B2103" s="5" t="inlineStr">
        <is>
          <t>GIS</t>
        </is>
      </c>
      <c r="C2103" s="6" t="inlineStr">
        <is>
          <t>2026_UAD_519235_3</t>
        </is>
      </c>
      <c r="D2103" s="7" t="inlineStr">
        <is>
          <t>[Supply of 01 NOs Tractor with 35-45 H.P. Engine Capacity Two Vehicle drive Manual Tractor with RTO Registration at RTO Gwalior and with one year Zeo dep insurance of vehicle and with one year extra under warranty vehicle service at relevant etc. 3rd ]</t>
        </is>
      </c>
      <c r="E2103" s="7" t="inlineStr">
        <is>
          <t>Madhya Pradesh Public Works &amp; Technology Department</t>
        </is>
      </c>
      <c r="F2103" s="6" t="inlineStr">
        <is>
          <t>01 Aug 2026</t>
        </is>
      </c>
      <c r="G2103" s="5" t="inlineStr">
        <is>
          <t>24 Aug 2026</t>
        </is>
      </c>
      <c r="H2103" s="8" t="inlineStr">
        <is>
          <t>⏳ UPCOMING</t>
        </is>
      </c>
      <c r="I2103" s="4" t="inlineStr">
        <is>
          <t>BidFormate.pdf</t>
        </is>
      </c>
      <c r="J2103" s="6" t="inlineStr">
        <is>
          <t>📕 PDF Document</t>
        </is>
      </c>
      <c r="K2103" s="9" t="n">
        <v>17.9</v>
      </c>
      <c r="L2103" s="10">
        <f>HYPERLINK("http://127.0.0.1:8000/api/documents/download?id=2934&amp;attachment=true", "⬇ Download BidFormate.pdf")</f>
        <v/>
      </c>
      <c r="M2103" s="10">
        <f>HYPERLINK("http://localhost:5173/?state=Madhya%20Pradesh&amp;keyword=GIS&amp;tender=2026_UAD_519235_3", "🚀 Open in Portal")</f>
        <v/>
      </c>
    </row>
    <row r="2104" ht="24" customHeight="1">
      <c r="A2104" s="11" t="inlineStr">
        <is>
          <t>Madhya Pradesh</t>
        </is>
      </c>
      <c r="B2104" s="12" t="inlineStr">
        <is>
          <t>GIS</t>
        </is>
      </c>
      <c r="C2104" s="13" t="inlineStr">
        <is>
          <t>2026_UAD_519235_3</t>
        </is>
      </c>
      <c r="D2104" s="14" t="inlineStr">
        <is>
          <t>[Supply of 01 NOs Tractor with 35-45 H.P. Engine Capacity Two Vehicle drive Manual Tractor with RTO Registration at RTO Gwalior and with one year Zeo dep insurance of vehicle and with one year extra under warranty vehicle service at relevant etc. 3rd ]</t>
        </is>
      </c>
      <c r="E2104" s="14" t="inlineStr">
        <is>
          <t>Madhya Pradesh Public Works &amp; Technology Department</t>
        </is>
      </c>
      <c r="F2104" s="13" t="inlineStr">
        <is>
          <t>01 Aug 2026</t>
        </is>
      </c>
      <c r="G2104" s="12" t="inlineStr">
        <is>
          <t>24 Aug 2026</t>
        </is>
      </c>
      <c r="H2104" s="8" t="inlineStr">
        <is>
          <t>⏳ UPCOMING</t>
        </is>
      </c>
      <c r="I2104" s="11" t="inlineStr">
        <is>
          <t>Annexure.pdf</t>
        </is>
      </c>
      <c r="J2104" s="13" t="inlineStr">
        <is>
          <t>📕 PDF Document</t>
        </is>
      </c>
      <c r="K2104" s="15" t="n">
        <v>17.9</v>
      </c>
      <c r="L2104" s="16">
        <f>HYPERLINK("http://127.0.0.1:8000/api/documents/download?id=2935&amp;attachment=true", "⬇ Download Annexure.pdf")</f>
        <v/>
      </c>
      <c r="M2104" s="16">
        <f>HYPERLINK("http://localhost:5173/?state=Madhya%20Pradesh&amp;keyword=GIS&amp;tender=2026_UAD_519235_3", "🚀 Open in Portal")</f>
        <v/>
      </c>
    </row>
    <row r="2105" ht="24" customHeight="1">
      <c r="A2105" s="4" t="inlineStr">
        <is>
          <t>Madhya Pradesh</t>
        </is>
      </c>
      <c r="B2105" s="5" t="inlineStr">
        <is>
          <t>GIS</t>
        </is>
      </c>
      <c r="C2105" s="6" t="inlineStr">
        <is>
          <t>2026_UAD_519235_3</t>
        </is>
      </c>
      <c r="D2105" s="7" t="inlineStr">
        <is>
          <t>[Supply of 01 NOs Tractor with 35-45 H.P. Engine Capacity Two Vehicle drive Manual Tractor with RTO Registration at RTO Gwalior and with one year Zeo dep insurance of vehicle and with one year extra under warranty vehicle service at relevant etc. 3rd ]</t>
        </is>
      </c>
      <c r="E2105" s="7" t="inlineStr">
        <is>
          <t>Madhya Pradesh Public Works &amp; Technology Department</t>
        </is>
      </c>
      <c r="F2105" s="6" t="inlineStr">
        <is>
          <t>01 Aug 2026</t>
        </is>
      </c>
      <c r="G2105" s="5" t="inlineStr">
        <is>
          <t>24 Aug 2026</t>
        </is>
      </c>
      <c r="H2105" s="8" t="inlineStr">
        <is>
          <t>⏳ UPCOMING</t>
        </is>
      </c>
      <c r="I2105" s="4" t="inlineStr">
        <is>
          <t>Estimate.pdf</t>
        </is>
      </c>
      <c r="J2105" s="6" t="inlineStr">
        <is>
          <t>📕 PDF Document</t>
        </is>
      </c>
      <c r="K2105" s="9" t="n">
        <v>17.9</v>
      </c>
      <c r="L2105" s="10">
        <f>HYPERLINK("http://127.0.0.1:8000/api/documents/download?id=2936&amp;attachment=true", "⬇ Download Estimate.pdf")</f>
        <v/>
      </c>
      <c r="M2105" s="10">
        <f>HYPERLINK("http://localhost:5173/?state=Madhya%20Pradesh&amp;keyword=GIS&amp;tender=2026_UAD_519235_3", "🚀 Open in Portal")</f>
        <v/>
      </c>
    </row>
    <row r="2106" ht="24" customHeight="1">
      <c r="A2106" s="11" t="inlineStr">
        <is>
          <t>Madhya Pradesh</t>
        </is>
      </c>
      <c r="B2106" s="12" t="inlineStr">
        <is>
          <t>GIS</t>
        </is>
      </c>
      <c r="C2106" s="13" t="inlineStr">
        <is>
          <t>2026_UAD_519235_3</t>
        </is>
      </c>
      <c r="D2106" s="14" t="inlineStr">
        <is>
          <t>[Supply of 01 NOs Tractor with 35-45 H.P. Engine Capacity Two Vehicle drive Manual Tractor with RTO Registration at RTO Gwalior and with one year Zeo dep insurance of vehicle and with one year extra under warranty vehicle service at relevant etc. 3rd ]</t>
        </is>
      </c>
      <c r="E2106" s="14" t="inlineStr">
        <is>
          <t>Madhya Pradesh Public Works &amp; Technology Department</t>
        </is>
      </c>
      <c r="F2106" s="13" t="inlineStr">
        <is>
          <t>01 Aug 2026</t>
        </is>
      </c>
      <c r="G2106" s="12" t="inlineStr">
        <is>
          <t>24 Aug 2026</t>
        </is>
      </c>
      <c r="H2106" s="8" t="inlineStr">
        <is>
          <t>⏳ UPCOMING</t>
        </is>
      </c>
      <c r="I2106" s="11" t="inlineStr">
        <is>
          <t>Condition.pdf</t>
        </is>
      </c>
      <c r="J2106" s="13" t="inlineStr">
        <is>
          <t>📕 PDF Document</t>
        </is>
      </c>
      <c r="K2106" s="15" t="n">
        <v>17.9</v>
      </c>
      <c r="L2106" s="16">
        <f>HYPERLINK("http://127.0.0.1:8000/api/documents/download?id=2937&amp;attachment=true", "⬇ Download Condition.pdf")</f>
        <v/>
      </c>
      <c r="M2106" s="16">
        <f>HYPERLINK("http://localhost:5173/?state=Madhya%20Pradesh&amp;keyword=GIS&amp;tender=2026_UAD_519235_3", "🚀 Open in Portal")</f>
        <v/>
      </c>
    </row>
    <row r="2107" ht="24" customHeight="1">
      <c r="A2107" s="4" t="inlineStr">
        <is>
          <t>Madhya Pradesh</t>
        </is>
      </c>
      <c r="B2107" s="5" t="inlineStr">
        <is>
          <t>GIS</t>
        </is>
      </c>
      <c r="C2107" s="6" t="inlineStr">
        <is>
          <t>2026_UAD_519235_3</t>
        </is>
      </c>
      <c r="D2107" s="7" t="inlineStr">
        <is>
          <t>[Supply of 01 NOs Tractor with 35-45 H.P. Engine Capacity Two Vehicle drive Manual Tractor with RTO Registration at RTO Gwalior and with one year Zeo dep insurance of vehicle and with one year extra under warranty vehicle service at relevant etc. 3rd ]</t>
        </is>
      </c>
      <c r="E2107" s="7" t="inlineStr">
        <is>
          <t>Madhya Pradesh Public Works &amp; Technology Department</t>
        </is>
      </c>
      <c r="F2107" s="6" t="inlineStr">
        <is>
          <t>01 Aug 2026</t>
        </is>
      </c>
      <c r="G2107" s="5" t="inlineStr">
        <is>
          <t>24 Aug 2026</t>
        </is>
      </c>
      <c r="H2107" s="8" t="inlineStr">
        <is>
          <t>⏳ UPCOMING</t>
        </is>
      </c>
      <c r="I2107" s="4" t="inlineStr">
        <is>
          <t>Specification.pdf</t>
        </is>
      </c>
      <c r="J2107" s="6" t="inlineStr">
        <is>
          <t>📕 PDF Document</t>
        </is>
      </c>
      <c r="K2107" s="9" t="n">
        <v>17.9</v>
      </c>
      <c r="L2107" s="10">
        <f>HYPERLINK("http://127.0.0.1:8000/api/documents/download?id=2938&amp;attachment=true", "⬇ Download Specification.pdf")</f>
        <v/>
      </c>
      <c r="M2107" s="10">
        <f>HYPERLINK("http://localhost:5173/?state=Madhya%20Pradesh&amp;keyword=GIS&amp;tender=2026_UAD_519235_3", "🚀 Open in Portal")</f>
        <v/>
      </c>
    </row>
    <row r="2108" ht="24" customHeight="1">
      <c r="A2108" s="11" t="inlineStr">
        <is>
          <t>Madhya Pradesh</t>
        </is>
      </c>
      <c r="B2108" s="12" t="inlineStr">
        <is>
          <t>GIS</t>
        </is>
      </c>
      <c r="C2108" s="13" t="inlineStr">
        <is>
          <t>2026_UAD_519235_3</t>
        </is>
      </c>
      <c r="D2108" s="14" t="inlineStr">
        <is>
          <t>[Supply of 01 NOs Tractor with 35-45 H.P. Engine Capacity Two Vehicle drive Manual Tractor with RTO Registration at RTO Gwalior and with one year Zeo dep insurance of vehicle and with one year extra under warranty vehicle service at relevant etc. 3rd ]</t>
        </is>
      </c>
      <c r="E2108" s="14" t="inlineStr">
        <is>
          <t>Madhya Pradesh Public Works &amp; Technology Department</t>
        </is>
      </c>
      <c r="F2108" s="13" t="inlineStr">
        <is>
          <t>01 Aug 2026</t>
        </is>
      </c>
      <c r="G2108" s="12" t="inlineStr">
        <is>
          <t>24 Aug 2026</t>
        </is>
      </c>
      <c r="H2108" s="8" t="inlineStr">
        <is>
          <t>⏳ UPCOMING</t>
        </is>
      </c>
      <c r="I2108" s="11" t="inlineStr">
        <is>
          <t>Tender_2026_UAD_519235_3_All_Documents.zip</t>
        </is>
      </c>
      <c r="J2108" s="13" t="inlineStr">
        <is>
          <t>📦 ZIP Package</t>
        </is>
      </c>
      <c r="K2108" s="15" t="n">
        <v>67</v>
      </c>
      <c r="L2108" s="16">
        <f>HYPERLINK("http://127.0.0.1:8000/api/documents/download?id=2939&amp;attachment=true", "⬇ Download Tender_2026_UAD_519235_3")</f>
        <v/>
      </c>
      <c r="M2108" s="16">
        <f>HYPERLINK("http://localhost:5173/?state=Madhya%20Pradesh&amp;keyword=GIS&amp;tender=2026_UAD_519235_3", "🚀 Open in Portal")</f>
        <v/>
      </c>
    </row>
    <row r="2109" ht="24" customHeight="1">
      <c r="A2109" s="4" t="inlineStr">
        <is>
          <t>Madhya Pradesh</t>
        </is>
      </c>
      <c r="B2109" s="5" t="inlineStr">
        <is>
          <t>GIS</t>
        </is>
      </c>
      <c r="C2109" s="6" t="inlineStr">
        <is>
          <t>2026_UAD_536458_1</t>
        </is>
      </c>
      <c r="D2109" s="7" t="inlineStr">
        <is>
          <t>[Construction of a CC road from Krishnakant Sharmas house to Manoj Dangis house in Ward 07, Kamdhenu Colony]</t>
        </is>
      </c>
      <c r="E2109" s="7" t="inlineStr">
        <is>
          <t>Madhya Pradesh Public Works &amp; Technology Department</t>
        </is>
      </c>
      <c r="F2109" s="6" t="inlineStr">
        <is>
          <t>21 Oct 2026</t>
        </is>
      </c>
      <c r="G2109" s="5" t="inlineStr">
        <is>
          <t>11 Nov 2026</t>
        </is>
      </c>
      <c r="H2109" s="8" t="inlineStr">
        <is>
          <t>⏳ UPCOMING</t>
        </is>
      </c>
      <c r="I2109" s="4" t="inlineStr">
        <is>
          <t>Tendernotice_1.pdf</t>
        </is>
      </c>
      <c r="J2109" s="6" t="inlineStr">
        <is>
          <t>📕 PDF Document</t>
        </is>
      </c>
      <c r="K2109" s="9" t="n">
        <v>17.9</v>
      </c>
      <c r="L2109" s="10">
        <f>HYPERLINK("http://127.0.0.1:8000/api/documents/download?id=2950&amp;attachment=true", "⬇ Download Tendernotice_1.pdf")</f>
        <v/>
      </c>
      <c r="M2109" s="10">
        <f>HYPERLINK("http://localhost:5173/?state=Madhya%20Pradesh&amp;keyword=GIS&amp;tender=2026_UAD_536458_1", "🚀 Open in Portal")</f>
        <v/>
      </c>
    </row>
    <row r="2110" ht="24" customHeight="1">
      <c r="A2110" s="11" t="inlineStr">
        <is>
          <t>Madhya Pradesh</t>
        </is>
      </c>
      <c r="B2110" s="12" t="inlineStr">
        <is>
          <t>GIS</t>
        </is>
      </c>
      <c r="C2110" s="13" t="inlineStr">
        <is>
          <t>2026_UAD_536458_1</t>
        </is>
      </c>
      <c r="D2110" s="14" t="inlineStr">
        <is>
          <t>[Construction of a CC road from Krishnakant Sharmas house to Manoj Dangis house in Ward 07, Kamdhenu Colony]</t>
        </is>
      </c>
      <c r="E2110" s="14" t="inlineStr">
        <is>
          <t>Madhya Pradesh Public Works &amp; Technology Department</t>
        </is>
      </c>
      <c r="F2110" s="13" t="inlineStr">
        <is>
          <t>21 Oct 2026</t>
        </is>
      </c>
      <c r="G2110" s="12" t="inlineStr">
        <is>
          <t>11 Nov 2026</t>
        </is>
      </c>
      <c r="H2110" s="8" t="inlineStr">
        <is>
          <t>⏳ UPCOMING</t>
        </is>
      </c>
      <c r="I2110" s="11" t="inlineStr">
        <is>
          <t>tenderdoc.pdf</t>
        </is>
      </c>
      <c r="J2110" s="13" t="inlineStr">
        <is>
          <t>📕 PDF Document</t>
        </is>
      </c>
      <c r="K2110" s="15" t="n">
        <v>17.9</v>
      </c>
      <c r="L2110" s="16">
        <f>HYPERLINK("http://127.0.0.1:8000/api/documents/download?id=2951&amp;attachment=true", "⬇ Download tenderdoc.pdf")</f>
        <v/>
      </c>
      <c r="M2110" s="16">
        <f>HYPERLINK("http://localhost:5173/?state=Madhya%20Pradesh&amp;keyword=GIS&amp;tender=2026_UAD_536458_1", "🚀 Open in Portal")</f>
        <v/>
      </c>
    </row>
    <row r="2111" ht="24" customHeight="1">
      <c r="A2111" s="4" t="inlineStr">
        <is>
          <t>Madhya Pradesh</t>
        </is>
      </c>
      <c r="B2111" s="5" t="inlineStr">
        <is>
          <t>GIS</t>
        </is>
      </c>
      <c r="C2111" s="6" t="inlineStr">
        <is>
          <t>2026_UAD_536458_1</t>
        </is>
      </c>
      <c r="D2111" s="7" t="inlineStr">
        <is>
          <t>[Construction of a CC road from Krishnakant Sharmas house to Manoj Dangis house in Ward 07, Kamdhenu Colony]</t>
        </is>
      </c>
      <c r="E2111" s="7" t="inlineStr">
        <is>
          <t>Madhya Pradesh Public Works &amp; Technology Department</t>
        </is>
      </c>
      <c r="F2111" s="6" t="inlineStr">
        <is>
          <t>21 Oct 2026</t>
        </is>
      </c>
      <c r="G2111" s="5" t="inlineStr">
        <is>
          <t>11 Nov 2026</t>
        </is>
      </c>
      <c r="H2111" s="8" t="inlineStr">
        <is>
          <t>⏳ UPCOMING</t>
        </is>
      </c>
      <c r="I2111" s="4" t="inlineStr">
        <is>
          <t>BOQ_645336.xls</t>
        </is>
      </c>
      <c r="J2111" s="6" t="inlineStr">
        <is>
          <t>📊 Excel BOQ</t>
        </is>
      </c>
      <c r="K2111" s="9" t="n">
        <v>2.5</v>
      </c>
      <c r="L2111" s="10">
        <f>HYPERLINK("http://127.0.0.1:8000/api/documents/download?id=2952&amp;attachment=true", "⬇ Download BOQ_645336.xls")</f>
        <v/>
      </c>
      <c r="M2111" s="10">
        <f>HYPERLINK("http://localhost:5173/?state=Madhya%20Pradesh&amp;keyword=GIS&amp;tender=2026_UAD_536458_1", "🚀 Open in Portal")</f>
        <v/>
      </c>
    </row>
    <row r="2112" ht="24" customHeight="1">
      <c r="A2112" s="11" t="inlineStr">
        <is>
          <t>Madhya Pradesh</t>
        </is>
      </c>
      <c r="B2112" s="12" t="inlineStr">
        <is>
          <t>GIS</t>
        </is>
      </c>
      <c r="C2112" s="13" t="inlineStr">
        <is>
          <t>2026_UAD_536458_1</t>
        </is>
      </c>
      <c r="D2112" s="14" t="inlineStr">
        <is>
          <t>[Construction of a CC road from Krishnakant Sharmas house to Manoj Dangis house in Ward 07, Kamdhenu Colony]</t>
        </is>
      </c>
      <c r="E2112" s="14" t="inlineStr">
        <is>
          <t>Madhya Pradesh Public Works &amp; Technology Department</t>
        </is>
      </c>
      <c r="F2112" s="13" t="inlineStr">
        <is>
          <t>21 Oct 2026</t>
        </is>
      </c>
      <c r="G2112" s="12" t="inlineStr">
        <is>
          <t>11 Nov 2026</t>
        </is>
      </c>
      <c r="H2112" s="8" t="inlineStr">
        <is>
          <t>⏳ UPCOMING</t>
        </is>
      </c>
      <c r="I2112" s="11" t="inlineStr">
        <is>
          <t>Tender_2026_UAD_536458_1_All_Documents.zip</t>
        </is>
      </c>
      <c r="J2112" s="13" t="inlineStr">
        <is>
          <t>📦 ZIP Package</t>
        </is>
      </c>
      <c r="K2112" s="15" t="n">
        <v>20.8</v>
      </c>
      <c r="L2112" s="16">
        <f>HYPERLINK("http://127.0.0.1:8000/api/documents/download?id=2953&amp;attachment=true", "⬇ Download Tender_2026_UAD_536458_1")</f>
        <v/>
      </c>
      <c r="M2112" s="16">
        <f>HYPERLINK("http://localhost:5173/?state=Madhya%20Pradesh&amp;keyword=GIS&amp;tender=2026_UAD_536458_1", "🚀 Open in Portal")</f>
        <v/>
      </c>
    </row>
    <row r="2113" ht="24" customHeight="1">
      <c r="A2113" s="4" t="inlineStr">
        <is>
          <t>Madhya Pradesh</t>
        </is>
      </c>
      <c r="B2113" s="5" t="inlineStr">
        <is>
          <t>GIS</t>
        </is>
      </c>
      <c r="C2113" s="6" t="inlineStr">
        <is>
          <t>2026_UAD_539919_1</t>
        </is>
      </c>
      <c r="D2113" s="7" t="inlineStr">
        <is>
          <t>[Purches Of D-Sluding Vehicle (Tractor and Tanker With Registration, Insurance) As per Attched Specification Nagar Parishad Majhauli Distt.-Sidhi (M.P.)]</t>
        </is>
      </c>
      <c r="E2113" s="7" t="inlineStr">
        <is>
          <t>Madhya Pradesh Public Works &amp; Technology Department</t>
        </is>
      </c>
      <c r="F2113" s="6" t="inlineStr">
        <is>
          <t>26 Sep 2026</t>
        </is>
      </c>
      <c r="G2113" s="5" t="inlineStr">
        <is>
          <t>26 Oct 2026</t>
        </is>
      </c>
      <c r="H2113" s="17" t="inlineStr">
        <is>
          <t>🟢 LIVE ACTIVE</t>
        </is>
      </c>
      <c r="I2113" s="4" t="inlineStr">
        <is>
          <t>Tendernotice_1.pdf</t>
        </is>
      </c>
      <c r="J2113" s="6" t="inlineStr">
        <is>
          <t>📕 PDF Document</t>
        </is>
      </c>
      <c r="K2113" s="9" t="n">
        <v>17.9</v>
      </c>
      <c r="L2113" s="10">
        <f>HYPERLINK("http://127.0.0.1:8000/api/documents/download?id=2940&amp;attachment=true", "⬇ Download Tendernotice_1.pdf")</f>
        <v/>
      </c>
      <c r="M2113" s="10">
        <f>HYPERLINK("http://localhost:5173/?state=Madhya%20Pradesh&amp;keyword=GIS&amp;tender=2026_UAD_539919_1", "🚀 Open in Portal")</f>
        <v/>
      </c>
    </row>
    <row r="2114" ht="24" customHeight="1">
      <c r="A2114" s="11" t="inlineStr">
        <is>
          <t>Madhya Pradesh</t>
        </is>
      </c>
      <c r="B2114" s="12" t="inlineStr">
        <is>
          <t>GIS</t>
        </is>
      </c>
      <c r="C2114" s="13" t="inlineStr">
        <is>
          <t>2026_UAD_539919_1</t>
        </is>
      </c>
      <c r="D2114" s="14" t="inlineStr">
        <is>
          <t>[Purches Of D-Sluding Vehicle (Tractor and Tanker With Registration, Insurance) As per Attched Specification Nagar Parishad Majhauli Distt.-Sidhi (M.P.)]</t>
        </is>
      </c>
      <c r="E2114" s="14" t="inlineStr">
        <is>
          <t>Madhya Pradesh Public Works &amp; Technology Department</t>
        </is>
      </c>
      <c r="F2114" s="13" t="inlineStr">
        <is>
          <t>26 Sep 2026</t>
        </is>
      </c>
      <c r="G2114" s="12" t="inlineStr">
        <is>
          <t>26 Oct 2026</t>
        </is>
      </c>
      <c r="H2114" s="17" t="inlineStr">
        <is>
          <t>🟢 LIVE ACTIVE</t>
        </is>
      </c>
      <c r="I2114" s="11" t="inlineStr">
        <is>
          <t>BOQ_649464.xls</t>
        </is>
      </c>
      <c r="J2114" s="13" t="inlineStr">
        <is>
          <t>📊 Excel BOQ</t>
        </is>
      </c>
      <c r="K2114" s="15" t="n">
        <v>2.5</v>
      </c>
      <c r="L2114" s="16">
        <f>HYPERLINK("http://127.0.0.1:8000/api/documents/download?id=2941&amp;attachment=true", "⬇ Download BOQ_649464.xls")</f>
        <v/>
      </c>
      <c r="M2114" s="16">
        <f>HYPERLINK("http://localhost:5173/?state=Madhya%20Pradesh&amp;keyword=GIS&amp;tender=2026_UAD_539919_1", "🚀 Open in Portal")</f>
        <v/>
      </c>
    </row>
    <row r="2115" ht="24" customHeight="1">
      <c r="A2115" s="4" t="inlineStr">
        <is>
          <t>Madhya Pradesh</t>
        </is>
      </c>
      <c r="B2115" s="5" t="inlineStr">
        <is>
          <t>GIS</t>
        </is>
      </c>
      <c r="C2115" s="6" t="inlineStr">
        <is>
          <t>2026_UAD_539919_1</t>
        </is>
      </c>
      <c r="D2115" s="7" t="inlineStr">
        <is>
          <t>[Purches Of D-Sluding Vehicle (Tractor and Tanker With Registration, Insurance) As per Attched Specification Nagar Parishad Majhauli Distt.-Sidhi (M.P.)]</t>
        </is>
      </c>
      <c r="E2115" s="7" t="inlineStr">
        <is>
          <t>Madhya Pradesh Public Works &amp; Technology Department</t>
        </is>
      </c>
      <c r="F2115" s="6" t="inlineStr">
        <is>
          <t>26 Sep 2026</t>
        </is>
      </c>
      <c r="G2115" s="5" t="inlineStr">
        <is>
          <t>26 Oct 2026</t>
        </is>
      </c>
      <c r="H2115" s="17" t="inlineStr">
        <is>
          <t>🟢 LIVE ACTIVE</t>
        </is>
      </c>
      <c r="I2115" s="4" t="inlineStr">
        <is>
          <t>Tender_2026_UAD_539919_1_All_Documents.zip</t>
        </is>
      </c>
      <c r="J2115" s="6" t="inlineStr">
        <is>
          <t>📦 ZIP Package</t>
        </is>
      </c>
      <c r="K2115" s="9" t="n">
        <v>11.6</v>
      </c>
      <c r="L2115" s="10">
        <f>HYPERLINK("http://127.0.0.1:8000/api/documents/download?id=2942&amp;attachment=true", "⬇ Download Tender_2026_UAD_539919_1")</f>
        <v/>
      </c>
      <c r="M2115" s="10">
        <f>HYPERLINK("http://localhost:5173/?state=Madhya%20Pradesh&amp;keyword=GIS&amp;tender=2026_UAD_539919_1", "🚀 Open in Portal")</f>
        <v/>
      </c>
    </row>
    <row r="2116" ht="24" customHeight="1">
      <c r="A2116" s="11" t="inlineStr">
        <is>
          <t>Madhya Pradesh</t>
        </is>
      </c>
      <c r="B2116" s="12" t="inlineStr">
        <is>
          <t>GIS</t>
        </is>
      </c>
      <c r="C2116" s="13" t="inlineStr">
        <is>
          <t>2026_UAD_541453_1</t>
        </is>
      </c>
      <c r="D2116" s="14" t="inlineStr">
        <is>
          <t>[EMPANELMENT OF AGENCIES FOR RATE CONTRACT FOR THE WORK FOR ARTISTIC PAINTING AT VARIOUS PLACES IN BHOPAL UNDER GIS 2027.]</t>
        </is>
      </c>
      <c r="E2116" s="14" t="inlineStr">
        <is>
          <t>Madhya Pradesh Public Works &amp; Technology Department</t>
        </is>
      </c>
      <c r="F2116" s="13" t="inlineStr">
        <is>
          <t>02 Oct 2026</t>
        </is>
      </c>
      <c r="G2116" s="12" t="inlineStr">
        <is>
          <t>23 Oct 2026</t>
        </is>
      </c>
      <c r="H2116" s="17" t="inlineStr">
        <is>
          <t>🟢 LIVE ACTIVE</t>
        </is>
      </c>
      <c r="I2116" s="11" t="inlineStr">
        <is>
          <t>Tendernotice_1.pdf</t>
        </is>
      </c>
      <c r="J2116" s="13" t="inlineStr">
        <is>
          <t>📕 PDF Document</t>
        </is>
      </c>
      <c r="K2116" s="15" t="n">
        <v>17.9</v>
      </c>
      <c r="L2116" s="16">
        <f>HYPERLINK("http://127.0.0.1:8000/api/documents/download?id=2926&amp;attachment=true", "⬇ Download Tendernotice_1.pdf")</f>
        <v/>
      </c>
      <c r="M2116" s="16">
        <f>HYPERLINK("http://localhost:5173/?state=Madhya%20Pradesh&amp;keyword=GIS&amp;tender=2026_UAD_541453_1", "🚀 Open in Portal")</f>
        <v/>
      </c>
    </row>
    <row r="2117" ht="24" customHeight="1">
      <c r="A2117" s="4" t="inlineStr">
        <is>
          <t>Madhya Pradesh</t>
        </is>
      </c>
      <c r="B2117" s="5" t="inlineStr">
        <is>
          <t>GIS</t>
        </is>
      </c>
      <c r="C2117" s="6" t="inlineStr">
        <is>
          <t>2026_UAD_541453_1</t>
        </is>
      </c>
      <c r="D2117" s="7" t="inlineStr">
        <is>
          <t>[EMPANELMENT OF AGENCIES FOR RATE CONTRACT FOR THE WORK FOR ARTISTIC PAINTING AT VARIOUS PLACES IN BHOPAL UNDER GIS 2027.]</t>
        </is>
      </c>
      <c r="E2117" s="7" t="inlineStr">
        <is>
          <t>Madhya Pradesh Public Works &amp; Technology Department</t>
        </is>
      </c>
      <c r="F2117" s="6" t="inlineStr">
        <is>
          <t>02 Oct 2026</t>
        </is>
      </c>
      <c r="G2117" s="5" t="inlineStr">
        <is>
          <t>23 Oct 2026</t>
        </is>
      </c>
      <c r="H2117" s="17" t="inlineStr">
        <is>
          <t>🟢 LIVE ACTIVE</t>
        </is>
      </c>
      <c r="I2117" s="4" t="inlineStr">
        <is>
          <t>2026203121BOQ.pdf</t>
        </is>
      </c>
      <c r="J2117" s="6" t="inlineStr">
        <is>
          <t>📕 PDF Document</t>
        </is>
      </c>
      <c r="K2117" s="9" t="n">
        <v>17.9</v>
      </c>
      <c r="L2117" s="10">
        <f>HYPERLINK("http://127.0.0.1:8000/api/documents/download?id=2927&amp;attachment=true", "⬇ Download 2026203121BOQ.pdf")</f>
        <v/>
      </c>
      <c r="M2117" s="10">
        <f>HYPERLINK("http://localhost:5173/?state=Madhya%20Pradesh&amp;keyword=GIS&amp;tender=2026_UAD_541453_1", "🚀 Open in Portal")</f>
        <v/>
      </c>
    </row>
    <row r="2118" ht="24" customHeight="1">
      <c r="A2118" s="11" t="inlineStr">
        <is>
          <t>Madhya Pradesh</t>
        </is>
      </c>
      <c r="B2118" s="12" t="inlineStr">
        <is>
          <t>GIS</t>
        </is>
      </c>
      <c r="C2118" s="13" t="inlineStr">
        <is>
          <t>2026_UAD_541453_1</t>
        </is>
      </c>
      <c r="D2118" s="14" t="inlineStr">
        <is>
          <t>[EMPANELMENT OF AGENCIES FOR RATE CONTRACT FOR THE WORK FOR ARTISTIC PAINTING AT VARIOUS PLACES IN BHOPAL UNDER GIS 2027.]</t>
        </is>
      </c>
      <c r="E2118" s="14" t="inlineStr">
        <is>
          <t>Madhya Pradesh Public Works &amp; Technology Department</t>
        </is>
      </c>
      <c r="F2118" s="13" t="inlineStr">
        <is>
          <t>02 Oct 2026</t>
        </is>
      </c>
      <c r="G2118" s="12" t="inlineStr">
        <is>
          <t>23 Oct 2026</t>
        </is>
      </c>
      <c r="H2118" s="17" t="inlineStr">
        <is>
          <t>🟢 LIVE ACTIVE</t>
        </is>
      </c>
      <c r="I2118" s="11" t="inlineStr">
        <is>
          <t>Artisticdoc.pdf</t>
        </is>
      </c>
      <c r="J2118" s="13" t="inlineStr">
        <is>
          <t>📕 PDF Document</t>
        </is>
      </c>
      <c r="K2118" s="15" t="n">
        <v>17.9</v>
      </c>
      <c r="L2118" s="16">
        <f>HYPERLINK("http://127.0.0.1:8000/api/documents/download?id=2928&amp;attachment=true", "⬇ Download Artisticdoc.pdf")</f>
        <v/>
      </c>
      <c r="M2118" s="16">
        <f>HYPERLINK("http://localhost:5173/?state=Madhya%20Pradesh&amp;keyword=GIS&amp;tender=2026_UAD_541453_1", "🚀 Open in Portal")</f>
        <v/>
      </c>
    </row>
    <row r="2119" ht="24" customHeight="1">
      <c r="A2119" s="4" t="inlineStr">
        <is>
          <t>Madhya Pradesh</t>
        </is>
      </c>
      <c r="B2119" s="5" t="inlineStr">
        <is>
          <t>GIS</t>
        </is>
      </c>
      <c r="C2119" s="6" t="inlineStr">
        <is>
          <t>2026_UAD_541453_1</t>
        </is>
      </c>
      <c r="D2119" s="7" t="inlineStr">
        <is>
          <t>[EMPANELMENT OF AGENCIES FOR RATE CONTRACT FOR THE WORK FOR ARTISTIC PAINTING AT VARIOUS PLACES IN BHOPAL UNDER GIS 2027.]</t>
        </is>
      </c>
      <c r="E2119" s="7" t="inlineStr">
        <is>
          <t>Madhya Pradesh Public Works &amp; Technology Department</t>
        </is>
      </c>
      <c r="F2119" s="6" t="inlineStr">
        <is>
          <t>02 Oct 2026</t>
        </is>
      </c>
      <c r="G2119" s="5" t="inlineStr">
        <is>
          <t>23 Oct 2026</t>
        </is>
      </c>
      <c r="H2119" s="17" t="inlineStr">
        <is>
          <t>🟢 LIVE ACTIVE</t>
        </is>
      </c>
      <c r="I2119" s="4" t="inlineStr">
        <is>
          <t>BOQ_651132.xls</t>
        </is>
      </c>
      <c r="J2119" s="6" t="inlineStr">
        <is>
          <t>📊 Excel BOQ</t>
        </is>
      </c>
      <c r="K2119" s="9" t="n">
        <v>2.5</v>
      </c>
      <c r="L2119" s="10">
        <f>HYPERLINK("http://127.0.0.1:8000/api/documents/download?id=2929&amp;attachment=true", "⬇ Download BOQ_651132.xls")</f>
        <v/>
      </c>
      <c r="M2119" s="10">
        <f>HYPERLINK("http://localhost:5173/?state=Madhya%20Pradesh&amp;keyword=GIS&amp;tender=2026_UAD_541453_1", "🚀 Open in Portal")</f>
        <v/>
      </c>
    </row>
    <row r="2120" ht="24" customHeight="1">
      <c r="A2120" s="11" t="inlineStr">
        <is>
          <t>Madhya Pradesh</t>
        </is>
      </c>
      <c r="B2120" s="12" t="inlineStr">
        <is>
          <t>GIS</t>
        </is>
      </c>
      <c r="C2120" s="13" t="inlineStr">
        <is>
          <t>2026_UAD_541453_1</t>
        </is>
      </c>
      <c r="D2120" s="14" t="inlineStr">
        <is>
          <t>[EMPANELMENT OF AGENCIES FOR RATE CONTRACT FOR THE WORK FOR ARTISTIC PAINTING AT VARIOUS PLACES IN BHOPAL UNDER GIS 2027.]</t>
        </is>
      </c>
      <c r="E2120" s="14" t="inlineStr">
        <is>
          <t>Madhya Pradesh Public Works &amp; Technology Department</t>
        </is>
      </c>
      <c r="F2120" s="13" t="inlineStr">
        <is>
          <t>02 Oct 2026</t>
        </is>
      </c>
      <c r="G2120" s="12" t="inlineStr">
        <is>
          <t>23 Oct 2026</t>
        </is>
      </c>
      <c r="H2120" s="17" t="inlineStr">
        <is>
          <t>🟢 LIVE ACTIVE</t>
        </is>
      </c>
      <c r="I2120" s="11" t="inlineStr">
        <is>
          <t>Tender_2026_UAD_541453_1_All_Documents.zip</t>
        </is>
      </c>
      <c r="J2120" s="13" t="inlineStr">
        <is>
          <t>📦 ZIP Package</t>
        </is>
      </c>
      <c r="K2120" s="15" t="n">
        <v>30</v>
      </c>
      <c r="L2120" s="16">
        <f>HYPERLINK("http://127.0.0.1:8000/api/documents/download?id=2930&amp;attachment=true", "⬇ Download Tender_2026_UAD_541453_1")</f>
        <v/>
      </c>
      <c r="M2120" s="16">
        <f>HYPERLINK("http://localhost:5173/?state=Madhya%20Pradesh&amp;keyword=GIS&amp;tender=2026_UAD_541453_1", "🚀 Open in Portal")</f>
        <v/>
      </c>
    </row>
    <row r="2121" ht="24" customHeight="1">
      <c r="A2121" s="4" t="inlineStr">
        <is>
          <t>Madhya Pradesh</t>
        </is>
      </c>
      <c r="B2121" s="5" t="inlineStr">
        <is>
          <t>ICT</t>
        </is>
      </c>
      <c r="C2121" s="6" t="inlineStr">
        <is>
          <t>2026_MAD_2722649_79</t>
        </is>
      </c>
      <c r="D2121" s="7" t="inlineStr">
        <is>
          <t>ICT-Based Cloud Data Center Modernization &amp; Statewide Integrated Video Command Analytics</t>
        </is>
      </c>
      <c r="E2121" s="7" t="inlineStr">
        <is>
          <t>DEPARTMENT OF INFORMATION TECHNOLOGY &amp; e-GOVERNANCE</t>
        </is>
      </c>
      <c r="F2121" s="6" t="inlineStr">
        <is>
          <t>13 Sep 2026</t>
        </is>
      </c>
      <c r="G2121" s="5" t="inlineStr">
        <is>
          <t>07 Oct 2026</t>
        </is>
      </c>
      <c r="H2121" s="8" t="inlineStr">
        <is>
          <t>⏳ UPCOMING</t>
        </is>
      </c>
      <c r="I2121" s="4" t="inlineStr">
        <is>
          <t>Tendernotice_2026_MAD_2722649_79.pdf</t>
        </is>
      </c>
      <c r="J2121" s="6" t="inlineStr">
        <is>
          <t>📕 PDF Document</t>
        </is>
      </c>
      <c r="K2121" s="9" t="n">
        <v>17.9</v>
      </c>
      <c r="L2121" s="10">
        <f>HYPERLINK("http://127.0.0.1:8000/api/documents/download?id=3105&amp;attachment=true", "⬇ Download Tendernotice_2026_MAD_27")</f>
        <v/>
      </c>
      <c r="M2121" s="10">
        <f>HYPERLINK("http://localhost:5173/?state=Madhya%20Pradesh&amp;keyword=ICT&amp;tender=2026_MAD_2722649_79", "🚀 Open in Portal")</f>
        <v/>
      </c>
    </row>
    <row r="2122" ht="24" customHeight="1">
      <c r="A2122" s="11" t="inlineStr">
        <is>
          <t>Madhya Pradesh</t>
        </is>
      </c>
      <c r="B2122" s="12" t="inlineStr">
        <is>
          <t>ICT</t>
        </is>
      </c>
      <c r="C2122" s="13" t="inlineStr">
        <is>
          <t>2026_MAD_2722649_79</t>
        </is>
      </c>
      <c r="D2122" s="14" t="inlineStr">
        <is>
          <t>ICT-Based Cloud Data Center Modernization &amp; Statewide Integrated Video Command Analytics</t>
        </is>
      </c>
      <c r="E2122" s="14" t="inlineStr">
        <is>
          <t>DEPARTMENT OF INFORMATION TECHNOLOGY &amp; e-GOVERNANCE</t>
        </is>
      </c>
      <c r="F2122" s="13" t="inlineStr">
        <is>
          <t>13 Sep 2026</t>
        </is>
      </c>
      <c r="G2122" s="12" t="inlineStr">
        <is>
          <t>07 Oct 2026</t>
        </is>
      </c>
      <c r="H2122" s="8" t="inlineStr">
        <is>
          <t>⏳ UPCOMING</t>
        </is>
      </c>
      <c r="I2122" s="11" t="inlineStr">
        <is>
          <t>Technical_RFP_Specification_ICT.pdf</t>
        </is>
      </c>
      <c r="J2122" s="13" t="inlineStr">
        <is>
          <t>📕 PDF Document</t>
        </is>
      </c>
      <c r="K2122" s="15" t="n">
        <v>17.9</v>
      </c>
      <c r="L2122" s="16">
        <f>HYPERLINK("http://127.0.0.1:8000/api/documents/download?id=3106&amp;attachment=true", "⬇ Download Technical_RFP_Specificat")</f>
        <v/>
      </c>
      <c r="M2122" s="16">
        <f>HYPERLINK("http://localhost:5173/?state=Madhya%20Pradesh&amp;keyword=ICT&amp;tender=2026_MAD_2722649_79", "🚀 Open in Portal")</f>
        <v/>
      </c>
    </row>
    <row r="2123" ht="24" customHeight="1">
      <c r="A2123" s="4" t="inlineStr">
        <is>
          <t>Madhya Pradesh</t>
        </is>
      </c>
      <c r="B2123" s="5" t="inlineStr">
        <is>
          <t>ICT</t>
        </is>
      </c>
      <c r="C2123" s="6" t="inlineStr">
        <is>
          <t>2026_MAD_2722649_79</t>
        </is>
      </c>
      <c r="D2123" s="7" t="inlineStr">
        <is>
          <t>ICT-Based Cloud Data Center Modernization &amp; Statewide Integrated Video Command Analytics</t>
        </is>
      </c>
      <c r="E2123" s="7" t="inlineStr">
        <is>
          <t>DEPARTMENT OF INFORMATION TECHNOLOGY &amp; e-GOVERNANCE</t>
        </is>
      </c>
      <c r="F2123" s="6" t="inlineStr">
        <is>
          <t>13 Sep 2026</t>
        </is>
      </c>
      <c r="G2123" s="5" t="inlineStr">
        <is>
          <t>07 Oct 2026</t>
        </is>
      </c>
      <c r="H2123" s="8" t="inlineStr">
        <is>
          <t>⏳ UPCOMING</t>
        </is>
      </c>
      <c r="I2123" s="4" t="inlineStr">
        <is>
          <t>BOQ_Financial_Schedule_2026_MAD_2722649_79.xlsx</t>
        </is>
      </c>
      <c r="J2123" s="6" t="inlineStr">
        <is>
          <t>📊 Excel BOQ</t>
        </is>
      </c>
      <c r="K2123" s="9" t="n">
        <v>2.5</v>
      </c>
      <c r="L2123" s="10">
        <f>HYPERLINK("http://127.0.0.1:8000/api/documents/download?id=3107&amp;attachment=true", "⬇ Download BOQ_Financial_Schedule_2")</f>
        <v/>
      </c>
      <c r="M2123" s="10">
        <f>HYPERLINK("http://localhost:5173/?state=Madhya%20Pradesh&amp;keyword=ICT&amp;tender=2026_MAD_2722649_79", "🚀 Open in Portal")</f>
        <v/>
      </c>
    </row>
    <row r="2124" ht="24" customHeight="1">
      <c r="A2124" s="11" t="inlineStr">
        <is>
          <t>Madhya Pradesh</t>
        </is>
      </c>
      <c r="B2124" s="12" t="inlineStr">
        <is>
          <t>ICT</t>
        </is>
      </c>
      <c r="C2124" s="13" t="inlineStr">
        <is>
          <t>2026_MAD_2722649_79</t>
        </is>
      </c>
      <c r="D2124" s="14" t="inlineStr">
        <is>
          <t>ICT-Based Cloud Data Center Modernization &amp; Statewide Integrated Video Command Analytics</t>
        </is>
      </c>
      <c r="E2124" s="14" t="inlineStr">
        <is>
          <t>DEPARTMENT OF INFORMATION TECHNOLOGY &amp; e-GOVERNANCE</t>
        </is>
      </c>
      <c r="F2124" s="13" t="inlineStr">
        <is>
          <t>13 Sep 2026</t>
        </is>
      </c>
      <c r="G2124" s="12" t="inlineStr">
        <is>
          <t>07 Oct 2026</t>
        </is>
      </c>
      <c r="H2124" s="8" t="inlineStr">
        <is>
          <t>⏳ UPCOMING</t>
        </is>
      </c>
      <c r="I2124" s="11" t="inlineStr">
        <is>
          <t>Tender_2026_MAD_2722649_79_All_Documents.zip</t>
        </is>
      </c>
      <c r="J2124" s="13" t="inlineStr">
        <is>
          <t>📦 ZIP Package</t>
        </is>
      </c>
      <c r="K2124" s="15" t="n">
        <v>45</v>
      </c>
      <c r="L2124" s="16">
        <f>HYPERLINK("https://mptenders.gov.in/tender/2026_MAD_2722649_79", "⬇ Download Tender_2026_MAD_2722649_")</f>
        <v/>
      </c>
      <c r="M2124" s="16">
        <f>HYPERLINK("http://localhost:5173/?state=Madhya%20Pradesh&amp;keyword=ICT&amp;tender=2026_MAD_2722649_79", "🚀 Open in Portal")</f>
        <v/>
      </c>
    </row>
    <row r="2125" ht="24" customHeight="1">
      <c r="A2125" s="4" t="inlineStr">
        <is>
          <t>Madhya Pradesh</t>
        </is>
      </c>
      <c r="B2125" s="5" t="inlineStr">
        <is>
          <t>ICT</t>
        </is>
      </c>
      <c r="C2125" s="6" t="inlineStr">
        <is>
          <t>2026_MAD_7918518_96</t>
        </is>
      </c>
      <c r="D2125" s="7" t="inlineStr">
        <is>
          <t>ICT-Based Cloud Data Center Modernization &amp; Statewide Integrated Video Command Analytics</t>
        </is>
      </c>
      <c r="E2125" s="7" t="inlineStr">
        <is>
          <t>DEPARTMENT OF INFORMATION TECHNOLOGY &amp; e-GOVERNANCE</t>
        </is>
      </c>
      <c r="F2125" s="6" t="inlineStr">
        <is>
          <t>01 Aug 2026</t>
        </is>
      </c>
      <c r="G2125" s="5" t="inlineStr">
        <is>
          <t>23 Aug 2026</t>
        </is>
      </c>
      <c r="H2125" s="8" t="inlineStr">
        <is>
          <t>⏳ UPCOMING</t>
        </is>
      </c>
      <c r="I2125" s="4" t="inlineStr">
        <is>
          <t>Tendernotice_2026_MAD_7918518_96.pdf</t>
        </is>
      </c>
      <c r="J2125" s="6" t="inlineStr">
        <is>
          <t>📕 PDF Document</t>
        </is>
      </c>
      <c r="K2125" s="9" t="n">
        <v>7.7</v>
      </c>
      <c r="L2125" s="10">
        <f>HYPERLINK("http://127.0.0.1:8000/api/documents/download?id=3497&amp;attachment=true", "⬇ Download Tendernotice_2026_MAD_79")</f>
        <v/>
      </c>
      <c r="M2125" s="10">
        <f>HYPERLINK("http://localhost:5173/?state=Madhya%20Pradesh&amp;keyword=ICT&amp;tender=2026_MAD_7918518_96", "🚀 Open in Portal")</f>
        <v/>
      </c>
    </row>
    <row r="2126" ht="24" customHeight="1">
      <c r="A2126" s="11" t="inlineStr">
        <is>
          <t>Madhya Pradesh</t>
        </is>
      </c>
      <c r="B2126" s="12" t="inlineStr">
        <is>
          <t>ICT</t>
        </is>
      </c>
      <c r="C2126" s="13" t="inlineStr">
        <is>
          <t>2026_MAD_7918518_96</t>
        </is>
      </c>
      <c r="D2126" s="14" t="inlineStr">
        <is>
          <t>ICT-Based Cloud Data Center Modernization &amp; Statewide Integrated Video Command Analytics</t>
        </is>
      </c>
      <c r="E2126" s="14" t="inlineStr">
        <is>
          <t>DEPARTMENT OF INFORMATION TECHNOLOGY &amp; e-GOVERNANCE</t>
        </is>
      </c>
      <c r="F2126" s="13" t="inlineStr">
        <is>
          <t>01 Aug 2026</t>
        </is>
      </c>
      <c r="G2126" s="12" t="inlineStr">
        <is>
          <t>23 Aug 2026</t>
        </is>
      </c>
      <c r="H2126" s="8" t="inlineStr">
        <is>
          <t>⏳ UPCOMING</t>
        </is>
      </c>
      <c r="I2126" s="11" t="inlineStr">
        <is>
          <t>Technical_RFP_Specification_ICT.pdf</t>
        </is>
      </c>
      <c r="J2126" s="13" t="inlineStr">
        <is>
          <t>📕 PDF Document</t>
        </is>
      </c>
      <c r="K2126" s="15" t="n">
        <v>7.7</v>
      </c>
      <c r="L2126" s="16">
        <f>HYPERLINK("http://127.0.0.1:8000/api/documents/download?id=3498&amp;attachment=true", "⬇ Download Technical_RFP_Specificat")</f>
        <v/>
      </c>
      <c r="M2126" s="16">
        <f>HYPERLINK("http://localhost:5173/?state=Madhya%20Pradesh&amp;keyword=ICT&amp;tender=2026_MAD_7918518_96", "🚀 Open in Portal")</f>
        <v/>
      </c>
    </row>
    <row r="2127" ht="24" customHeight="1">
      <c r="A2127" s="4" t="inlineStr">
        <is>
          <t>Madhya Pradesh</t>
        </is>
      </c>
      <c r="B2127" s="5" t="inlineStr">
        <is>
          <t>ICT</t>
        </is>
      </c>
      <c r="C2127" s="6" t="inlineStr">
        <is>
          <t>2026_MAD_7918518_96</t>
        </is>
      </c>
      <c r="D2127" s="7" t="inlineStr">
        <is>
          <t>ICT-Based Cloud Data Center Modernization &amp; Statewide Integrated Video Command Analytics</t>
        </is>
      </c>
      <c r="E2127" s="7" t="inlineStr">
        <is>
          <t>DEPARTMENT OF INFORMATION TECHNOLOGY &amp; e-GOVERNANCE</t>
        </is>
      </c>
      <c r="F2127" s="6" t="inlineStr">
        <is>
          <t>01 Aug 2026</t>
        </is>
      </c>
      <c r="G2127" s="5" t="inlineStr">
        <is>
          <t>23 Aug 2026</t>
        </is>
      </c>
      <c r="H2127" s="8" t="inlineStr">
        <is>
          <t>⏳ UPCOMING</t>
        </is>
      </c>
      <c r="I2127" s="4" t="inlineStr">
        <is>
          <t>BOQ_Financial_Schedule_2026_MAD_7918518_96.xlsx</t>
        </is>
      </c>
      <c r="J2127" s="6" t="inlineStr">
        <is>
          <t>📊 Excel BOQ</t>
        </is>
      </c>
      <c r="K2127" s="9" t="n">
        <v>5.9</v>
      </c>
      <c r="L2127" s="10">
        <f>HYPERLINK("http://127.0.0.1:8000/api/documents/download?id=3499&amp;attachment=true", "⬇ Download BOQ_Financial_Schedule_2")</f>
        <v/>
      </c>
      <c r="M2127" s="10">
        <f>HYPERLINK("http://localhost:5173/?state=Madhya%20Pradesh&amp;keyword=ICT&amp;tender=2026_MAD_7918518_96", "🚀 Open in Portal")</f>
        <v/>
      </c>
    </row>
    <row r="2128" ht="24" customHeight="1">
      <c r="A2128" s="11" t="inlineStr">
        <is>
          <t>Madhya Pradesh</t>
        </is>
      </c>
      <c r="B2128" s="12" t="inlineStr">
        <is>
          <t>ICT</t>
        </is>
      </c>
      <c r="C2128" s="13" t="inlineStr">
        <is>
          <t>2026_MAD_7918518_96</t>
        </is>
      </c>
      <c r="D2128" s="14" t="inlineStr">
        <is>
          <t>ICT-Based Cloud Data Center Modernization &amp; Statewide Integrated Video Command Analytics</t>
        </is>
      </c>
      <c r="E2128" s="14" t="inlineStr">
        <is>
          <t>DEPARTMENT OF INFORMATION TECHNOLOGY &amp; e-GOVERNANCE</t>
        </is>
      </c>
      <c r="F2128" s="13" t="inlineStr">
        <is>
          <t>01 Aug 2026</t>
        </is>
      </c>
      <c r="G2128" s="12" t="inlineStr">
        <is>
          <t>23 Aug 2026</t>
        </is>
      </c>
      <c r="H2128" s="8" t="inlineStr">
        <is>
          <t>⏳ UPCOMING</t>
        </is>
      </c>
      <c r="I2128" s="11" t="inlineStr">
        <is>
          <t>Tender_2026_MAD_7918518_96_All_Documents.zip</t>
        </is>
      </c>
      <c r="J2128" s="13" t="inlineStr">
        <is>
          <t>📦 ZIP Package</t>
        </is>
      </c>
      <c r="K2128" s="15" t="n">
        <v>45</v>
      </c>
      <c r="L2128" s="16">
        <f>HYPERLINK("https://mptenders.gov.in/tender/2026_MAD_7918518_96", "⬇ Download Tender_2026_MAD_7918518_")</f>
        <v/>
      </c>
      <c r="M2128" s="16">
        <f>HYPERLINK("http://localhost:5173/?state=Madhya%20Pradesh&amp;keyword=ICT&amp;tender=2026_MAD_7918518_96", "🚀 Open in Portal")</f>
        <v/>
      </c>
    </row>
    <row r="2129" ht="24" customHeight="1">
      <c r="A2129" s="4" t="inlineStr">
        <is>
          <t>Madhya Pradesh</t>
        </is>
      </c>
      <c r="B2129" s="5" t="inlineStr">
        <is>
          <t>Water Resources</t>
        </is>
      </c>
      <c r="C2129" s="6" t="inlineStr">
        <is>
          <t>2026_MAD_47033_69</t>
        </is>
      </c>
      <c r="D2129" s="7" t="inlineStr">
        <is>
          <t>Water Resources-Based River Basin Hydro-Meteorological Sensor Network &amp; GIS Flood Simulation</t>
        </is>
      </c>
      <c r="E2129" s="7" t="inlineStr">
        <is>
          <t>WATER RESOURCES &amp; IRRIGATION DEPARTMENT</t>
        </is>
      </c>
      <c r="F2129" s="6" t="inlineStr">
        <is>
          <t>15 Oct 2026</t>
        </is>
      </c>
      <c r="G2129" s="5" t="inlineStr">
        <is>
          <t>14 Nov 2026</t>
        </is>
      </c>
      <c r="H2129" s="17" t="inlineStr">
        <is>
          <t>🟢 LIVE ACTIVE</t>
        </is>
      </c>
      <c r="I2129" s="4" t="inlineStr">
        <is>
          <t>Tendernotice_2026_MAD_47033_69.pdf</t>
        </is>
      </c>
      <c r="J2129" s="6" t="inlineStr">
        <is>
          <t>📕 PDF Document</t>
        </is>
      </c>
      <c r="K2129" s="9" t="n">
        <v>7.7</v>
      </c>
      <c r="L2129" s="10">
        <f>HYPERLINK("http://127.0.0.1:8000/api/documents/download?id=3413&amp;attachment=true", "⬇ Download Tendernotice_2026_MAD_47")</f>
        <v/>
      </c>
      <c r="M2129" s="10">
        <f>HYPERLINK("http://localhost:5173/?state=Madhya%20Pradesh&amp;keyword=Water%20Resources&amp;tender=2026_MAD_47033_69", "🚀 Open in Portal")</f>
        <v/>
      </c>
    </row>
    <row r="2130" ht="24" customHeight="1">
      <c r="A2130" s="11" t="inlineStr">
        <is>
          <t>Madhya Pradesh</t>
        </is>
      </c>
      <c r="B2130" s="12" t="inlineStr">
        <is>
          <t>Water Resources</t>
        </is>
      </c>
      <c r="C2130" s="13" t="inlineStr">
        <is>
          <t>2026_MAD_47033_69</t>
        </is>
      </c>
      <c r="D2130" s="14" t="inlineStr">
        <is>
          <t>Water Resources-Based River Basin Hydro-Meteorological Sensor Network &amp; GIS Flood Simulation</t>
        </is>
      </c>
      <c r="E2130" s="14" t="inlineStr">
        <is>
          <t>WATER RESOURCES &amp; IRRIGATION DEPARTMENT</t>
        </is>
      </c>
      <c r="F2130" s="13" t="inlineStr">
        <is>
          <t>15 Oct 2026</t>
        </is>
      </c>
      <c r="G2130" s="12" t="inlineStr">
        <is>
          <t>14 Nov 2026</t>
        </is>
      </c>
      <c r="H2130" s="17" t="inlineStr">
        <is>
          <t>🟢 LIVE ACTIVE</t>
        </is>
      </c>
      <c r="I2130" s="11" t="inlineStr">
        <is>
          <t>Technical_RFP_Specification_Water Resources.pdf</t>
        </is>
      </c>
      <c r="J2130" s="13" t="inlineStr">
        <is>
          <t>📕 PDF Document</t>
        </is>
      </c>
      <c r="K2130" s="15" t="n">
        <v>7.7</v>
      </c>
      <c r="L2130" s="16">
        <f>HYPERLINK("http://127.0.0.1:8000/api/documents/download?id=3414&amp;attachment=true", "⬇ Download Technical_RFP_Specificat")</f>
        <v/>
      </c>
      <c r="M2130" s="16">
        <f>HYPERLINK("http://localhost:5173/?state=Madhya%20Pradesh&amp;keyword=Water%20Resources&amp;tender=2026_MAD_47033_69", "🚀 Open in Portal")</f>
        <v/>
      </c>
    </row>
    <row r="2131" ht="24" customHeight="1">
      <c r="A2131" s="4" t="inlineStr">
        <is>
          <t>Madhya Pradesh</t>
        </is>
      </c>
      <c r="B2131" s="5" t="inlineStr">
        <is>
          <t>Water Resources</t>
        </is>
      </c>
      <c r="C2131" s="6" t="inlineStr">
        <is>
          <t>2026_MAD_47033_69</t>
        </is>
      </c>
      <c r="D2131" s="7" t="inlineStr">
        <is>
          <t>Water Resources-Based River Basin Hydro-Meteorological Sensor Network &amp; GIS Flood Simulation</t>
        </is>
      </c>
      <c r="E2131" s="7" t="inlineStr">
        <is>
          <t>WATER RESOURCES &amp; IRRIGATION DEPARTMENT</t>
        </is>
      </c>
      <c r="F2131" s="6" t="inlineStr">
        <is>
          <t>15 Oct 2026</t>
        </is>
      </c>
      <c r="G2131" s="5" t="inlineStr">
        <is>
          <t>14 Nov 2026</t>
        </is>
      </c>
      <c r="H2131" s="17" t="inlineStr">
        <is>
          <t>🟢 LIVE ACTIVE</t>
        </is>
      </c>
      <c r="I2131" s="4" t="inlineStr">
        <is>
          <t>BOQ_Financial_Schedule_2026_MAD_47033_69.xlsx</t>
        </is>
      </c>
      <c r="J2131" s="6" t="inlineStr">
        <is>
          <t>📊 Excel BOQ</t>
        </is>
      </c>
      <c r="K2131" s="9" t="n">
        <v>5.9</v>
      </c>
      <c r="L2131" s="10">
        <f>HYPERLINK("http://127.0.0.1:8000/api/documents/download?id=3415&amp;attachment=true", "⬇ Download BOQ_Financial_Schedule_2")</f>
        <v/>
      </c>
      <c r="M2131" s="10">
        <f>HYPERLINK("http://localhost:5173/?state=Madhya%20Pradesh&amp;keyword=Water%20Resources&amp;tender=2026_MAD_47033_69", "🚀 Open in Portal")</f>
        <v/>
      </c>
    </row>
    <row r="2132" ht="24" customHeight="1">
      <c r="A2132" s="11" t="inlineStr">
        <is>
          <t>Madhya Pradesh</t>
        </is>
      </c>
      <c r="B2132" s="12" t="inlineStr">
        <is>
          <t>Water Resources</t>
        </is>
      </c>
      <c r="C2132" s="13" t="inlineStr">
        <is>
          <t>2026_MAD_47033_69</t>
        </is>
      </c>
      <c r="D2132" s="14" t="inlineStr">
        <is>
          <t>Water Resources-Based River Basin Hydro-Meteorological Sensor Network &amp; GIS Flood Simulation</t>
        </is>
      </c>
      <c r="E2132" s="14" t="inlineStr">
        <is>
          <t>WATER RESOURCES &amp; IRRIGATION DEPARTMENT</t>
        </is>
      </c>
      <c r="F2132" s="13" t="inlineStr">
        <is>
          <t>15 Oct 2026</t>
        </is>
      </c>
      <c r="G2132" s="12" t="inlineStr">
        <is>
          <t>14 Nov 2026</t>
        </is>
      </c>
      <c r="H2132" s="17" t="inlineStr">
        <is>
          <t>🟢 LIVE ACTIVE</t>
        </is>
      </c>
      <c r="I2132" s="11" t="inlineStr">
        <is>
          <t>Tender_2026_MAD_47033_69_All_Documents.zip</t>
        </is>
      </c>
      <c r="J2132" s="13" t="inlineStr">
        <is>
          <t>📦 ZIP Package</t>
        </is>
      </c>
      <c r="K2132" s="15" t="n">
        <v>45</v>
      </c>
      <c r="L2132" s="16">
        <f>HYPERLINK("https://mptenders.gov.in/tender/2026_MAD_47033_69", "⬇ Download Tender_2026_MAD_47033_69")</f>
        <v/>
      </c>
      <c r="M2132" s="16">
        <f>HYPERLINK("http://localhost:5173/?state=Madhya%20Pradesh&amp;keyword=Water%20Resources&amp;tender=2026_MAD_47033_69", "🚀 Open in Portal")</f>
        <v/>
      </c>
    </row>
    <row r="2133" ht="24" customHeight="1">
      <c r="A2133" s="4" t="inlineStr">
        <is>
          <t>Madhya Pradesh</t>
        </is>
      </c>
      <c r="B2133" s="5" t="inlineStr">
        <is>
          <t>Water Resources</t>
        </is>
      </c>
      <c r="C2133" s="6" t="inlineStr">
        <is>
          <t>2026_MAD_5235832_43</t>
        </is>
      </c>
      <c r="D2133" s="7" t="inlineStr">
        <is>
          <t>Water Resources-Based River Basin Hydro-Meteorological Sensor Network &amp; GIS Flood Simulation</t>
        </is>
      </c>
      <c r="E2133" s="7" t="inlineStr">
        <is>
          <t>WATER RESOURCES &amp; IRRIGATION DEPARTMENT</t>
        </is>
      </c>
      <c r="F2133" s="6" t="inlineStr">
        <is>
          <t>28 Aug 2026</t>
        </is>
      </c>
      <c r="G2133" s="5" t="inlineStr">
        <is>
          <t>20 Sep 2026</t>
        </is>
      </c>
      <c r="H2133" s="8" t="inlineStr">
        <is>
          <t>⏳ UPCOMING</t>
        </is>
      </c>
      <c r="I2133" s="4" t="inlineStr">
        <is>
          <t>Tendernotice_2026_MAD_5235832_43.pdf</t>
        </is>
      </c>
      <c r="J2133" s="6" t="inlineStr">
        <is>
          <t>📕 PDF Document</t>
        </is>
      </c>
      <c r="K2133" s="9" t="n">
        <v>17.9</v>
      </c>
      <c r="L2133" s="10">
        <f>HYPERLINK("http://127.0.0.1:8000/api/documents/download?id=3053&amp;attachment=true", "⬇ Download Tendernotice_2026_MAD_52")</f>
        <v/>
      </c>
      <c r="M2133" s="10">
        <f>HYPERLINK("http://localhost:5173/?state=Madhya%20Pradesh&amp;keyword=Water%20Resources&amp;tender=2026_MAD_5235832_43", "🚀 Open in Portal")</f>
        <v/>
      </c>
    </row>
    <row r="2134" ht="24" customHeight="1">
      <c r="A2134" s="11" t="inlineStr">
        <is>
          <t>Madhya Pradesh</t>
        </is>
      </c>
      <c r="B2134" s="12" t="inlineStr">
        <is>
          <t>Water Resources</t>
        </is>
      </c>
      <c r="C2134" s="13" t="inlineStr">
        <is>
          <t>2026_MAD_5235832_43</t>
        </is>
      </c>
      <c r="D2134" s="14" t="inlineStr">
        <is>
          <t>Water Resources-Based River Basin Hydro-Meteorological Sensor Network &amp; GIS Flood Simulation</t>
        </is>
      </c>
      <c r="E2134" s="14" t="inlineStr">
        <is>
          <t>WATER RESOURCES &amp; IRRIGATION DEPARTMENT</t>
        </is>
      </c>
      <c r="F2134" s="13" t="inlineStr">
        <is>
          <t>28 Aug 2026</t>
        </is>
      </c>
      <c r="G2134" s="12" t="inlineStr">
        <is>
          <t>20 Sep 2026</t>
        </is>
      </c>
      <c r="H2134" s="8" t="inlineStr">
        <is>
          <t>⏳ UPCOMING</t>
        </is>
      </c>
      <c r="I2134" s="11" t="inlineStr">
        <is>
          <t>Technical_RFP_Specification_Water Resources.pdf</t>
        </is>
      </c>
      <c r="J2134" s="13" t="inlineStr">
        <is>
          <t>📕 PDF Document</t>
        </is>
      </c>
      <c r="K2134" s="15" t="n">
        <v>18</v>
      </c>
      <c r="L2134" s="16">
        <f>HYPERLINK("http://127.0.0.1:8000/api/documents/download?id=3054&amp;attachment=true", "⬇ Download Technical_RFP_Specificat")</f>
        <v/>
      </c>
      <c r="M2134" s="16">
        <f>HYPERLINK("http://localhost:5173/?state=Madhya%20Pradesh&amp;keyword=Water%20Resources&amp;tender=2026_MAD_5235832_43", "🚀 Open in Portal")</f>
        <v/>
      </c>
    </row>
    <row r="2135" ht="24" customHeight="1">
      <c r="A2135" s="4" t="inlineStr">
        <is>
          <t>Madhya Pradesh</t>
        </is>
      </c>
      <c r="B2135" s="5" t="inlineStr">
        <is>
          <t>Water Resources</t>
        </is>
      </c>
      <c r="C2135" s="6" t="inlineStr">
        <is>
          <t>2026_MAD_5235832_43</t>
        </is>
      </c>
      <c r="D2135" s="7" t="inlineStr">
        <is>
          <t>Water Resources-Based River Basin Hydro-Meteorological Sensor Network &amp; GIS Flood Simulation</t>
        </is>
      </c>
      <c r="E2135" s="7" t="inlineStr">
        <is>
          <t>WATER RESOURCES &amp; IRRIGATION DEPARTMENT</t>
        </is>
      </c>
      <c r="F2135" s="6" t="inlineStr">
        <is>
          <t>28 Aug 2026</t>
        </is>
      </c>
      <c r="G2135" s="5" t="inlineStr">
        <is>
          <t>20 Sep 2026</t>
        </is>
      </c>
      <c r="H2135" s="8" t="inlineStr">
        <is>
          <t>⏳ UPCOMING</t>
        </is>
      </c>
      <c r="I2135" s="4" t="inlineStr">
        <is>
          <t>BOQ_Financial_Schedule_2026_MAD_5235832_43.xlsx</t>
        </is>
      </c>
      <c r="J2135" s="6" t="inlineStr">
        <is>
          <t>📊 Excel BOQ</t>
        </is>
      </c>
      <c r="K2135" s="9" t="n">
        <v>2.5</v>
      </c>
      <c r="L2135" s="10">
        <f>HYPERLINK("http://127.0.0.1:8000/api/documents/download?id=3055&amp;attachment=true", "⬇ Download BOQ_Financial_Schedule_2")</f>
        <v/>
      </c>
      <c r="M2135" s="10">
        <f>HYPERLINK("http://localhost:5173/?state=Madhya%20Pradesh&amp;keyword=Water%20Resources&amp;tender=2026_MAD_5235832_43", "🚀 Open in Portal")</f>
        <v/>
      </c>
    </row>
    <row r="2136" ht="24" customHeight="1">
      <c r="A2136" s="11" t="inlineStr">
        <is>
          <t>Madhya Pradesh</t>
        </is>
      </c>
      <c r="B2136" s="12" t="inlineStr">
        <is>
          <t>Water Resources</t>
        </is>
      </c>
      <c r="C2136" s="13" t="inlineStr">
        <is>
          <t>2026_MAD_5235832_43</t>
        </is>
      </c>
      <c r="D2136" s="14" t="inlineStr">
        <is>
          <t>Water Resources-Based River Basin Hydro-Meteorological Sensor Network &amp; GIS Flood Simulation</t>
        </is>
      </c>
      <c r="E2136" s="14" t="inlineStr">
        <is>
          <t>WATER RESOURCES &amp; IRRIGATION DEPARTMENT</t>
        </is>
      </c>
      <c r="F2136" s="13" t="inlineStr">
        <is>
          <t>28 Aug 2026</t>
        </is>
      </c>
      <c r="G2136" s="12" t="inlineStr">
        <is>
          <t>20 Sep 2026</t>
        </is>
      </c>
      <c r="H2136" s="8" t="inlineStr">
        <is>
          <t>⏳ UPCOMING</t>
        </is>
      </c>
      <c r="I2136" s="11" t="inlineStr">
        <is>
          <t>Tender_2026_MAD_5235832_43_All_Documents.zip</t>
        </is>
      </c>
      <c r="J2136" s="13" t="inlineStr">
        <is>
          <t>📦 ZIP Package</t>
        </is>
      </c>
      <c r="K2136" s="15" t="n">
        <v>45</v>
      </c>
      <c r="L2136" s="16">
        <f>HYPERLINK("https://mptenders.gov.in/tender/2026_MAD_5235832_43", "⬇ Download Tender_2026_MAD_5235832_")</f>
        <v/>
      </c>
      <c r="M2136" s="16">
        <f>HYPERLINK("http://localhost:5173/?state=Madhya%20Pradesh&amp;keyword=Water%20Resources&amp;tender=2026_MAD_5235832_43", "🚀 Open in Portal")</f>
        <v/>
      </c>
    </row>
    <row r="2137" ht="24" customHeight="1">
      <c r="A2137" s="4" t="inlineStr">
        <is>
          <t>Madhya Pradesh</t>
        </is>
      </c>
      <c r="B2137" s="5" t="inlineStr">
        <is>
          <t>Development</t>
        </is>
      </c>
      <c r="C2137" s="6" t="inlineStr">
        <is>
          <t>2026_DTCP_542056_1</t>
        </is>
      </c>
      <c r="D2137" s="7" t="inlineStr">
        <is>
          <t>[EXPRESSION OF INTEREST (EOI) FOR EMPANELMENT OF SERVICE PROVIDERS / AGENCIES FOR FACILITATION AND CONDUCTING OF LAND REGISTRY FOR ROAD DEVELOPMENT WORKS IN SIMHASth AREA, UJJAIN]</t>
        </is>
      </c>
      <c r="E2137" s="7" t="inlineStr">
        <is>
          <t>Madhya Pradesh Public Works &amp; Technology Department</t>
        </is>
      </c>
      <c r="F2137" s="6" t="inlineStr">
        <is>
          <t>03 Sep 2026</t>
        </is>
      </c>
      <c r="G2137" s="5" t="inlineStr">
        <is>
          <t>03 Oct 2026</t>
        </is>
      </c>
      <c r="H2137" s="8" t="inlineStr">
        <is>
          <t>⏳ UPCOMING</t>
        </is>
      </c>
      <c r="I2137" s="4" t="inlineStr">
        <is>
          <t>Tendernotice_1.pdf</t>
        </is>
      </c>
      <c r="J2137" s="6" t="inlineStr">
        <is>
          <t>📕 PDF Document</t>
        </is>
      </c>
      <c r="K2137" s="9" t="n">
        <v>17.9</v>
      </c>
      <c r="L2137" s="10">
        <f>HYPERLINK("http://127.0.0.1:8000/api/documents/download?id=2923&amp;attachment=true", "⬇ Download Tendernotice_1.pdf")</f>
        <v/>
      </c>
      <c r="M2137" s="10">
        <f>HYPERLINK("http://localhost:5173/?state=Madhya%20Pradesh&amp;keyword=Development&amp;tender=2026_DTCP_542056_1", "🚀 Open in Portal")</f>
        <v/>
      </c>
    </row>
    <row r="2138" ht="24" customHeight="1">
      <c r="A2138" s="11" t="inlineStr">
        <is>
          <t>Madhya Pradesh</t>
        </is>
      </c>
      <c r="B2138" s="12" t="inlineStr">
        <is>
          <t>Development</t>
        </is>
      </c>
      <c r="C2138" s="13" t="inlineStr">
        <is>
          <t>2026_DTCP_542056_1</t>
        </is>
      </c>
      <c r="D2138" s="14" t="inlineStr">
        <is>
          <t>[EXPRESSION OF INTEREST (EOI) FOR EMPANELMENT OF SERVICE PROVIDERS / AGENCIES FOR FACILITATION AND CONDUCTING OF LAND REGISTRY FOR ROAD DEVELOPMENT WORKS IN SIMHASth AREA, UJJAIN]</t>
        </is>
      </c>
      <c r="E2138" s="14" t="inlineStr">
        <is>
          <t>Madhya Pradesh Public Works &amp; Technology Department</t>
        </is>
      </c>
      <c r="F2138" s="13" t="inlineStr">
        <is>
          <t>03 Sep 2026</t>
        </is>
      </c>
      <c r="G2138" s="12" t="inlineStr">
        <is>
          <t>03 Oct 2026</t>
        </is>
      </c>
      <c r="H2138" s="8" t="inlineStr">
        <is>
          <t>⏳ UPCOMING</t>
        </is>
      </c>
      <c r="I2138" s="11" t="inlineStr">
        <is>
          <t>BOQ_651845.xls</t>
        </is>
      </c>
      <c r="J2138" s="13" t="inlineStr">
        <is>
          <t>📊 Excel BOQ</t>
        </is>
      </c>
      <c r="K2138" s="15" t="n">
        <v>2.5</v>
      </c>
      <c r="L2138" s="16">
        <f>HYPERLINK("http://127.0.0.1:8000/api/documents/download?id=2924&amp;attachment=true", "⬇ Download BOQ_651845.xls")</f>
        <v/>
      </c>
      <c r="M2138" s="16">
        <f>HYPERLINK("http://localhost:5173/?state=Madhya%20Pradesh&amp;keyword=Development&amp;tender=2026_DTCP_542056_1", "🚀 Open in Portal")</f>
        <v/>
      </c>
    </row>
    <row r="2139" ht="24" customHeight="1">
      <c r="A2139" s="4" t="inlineStr">
        <is>
          <t>Madhya Pradesh</t>
        </is>
      </c>
      <c r="B2139" s="5" t="inlineStr">
        <is>
          <t>Development</t>
        </is>
      </c>
      <c r="C2139" s="6" t="inlineStr">
        <is>
          <t>2026_DTCP_542056_1</t>
        </is>
      </c>
      <c r="D2139" s="7" t="inlineStr">
        <is>
          <t>[EXPRESSION OF INTEREST (EOI) FOR EMPANELMENT OF SERVICE PROVIDERS / AGENCIES FOR FACILITATION AND CONDUCTING OF LAND REGISTRY FOR ROAD DEVELOPMENT WORKS IN SIMHASth AREA, UJJAIN]</t>
        </is>
      </c>
      <c r="E2139" s="7" t="inlineStr">
        <is>
          <t>Madhya Pradesh Public Works &amp; Technology Department</t>
        </is>
      </c>
      <c r="F2139" s="6" t="inlineStr">
        <is>
          <t>03 Sep 2026</t>
        </is>
      </c>
      <c r="G2139" s="5" t="inlineStr">
        <is>
          <t>03 Oct 2026</t>
        </is>
      </c>
      <c r="H2139" s="8" t="inlineStr">
        <is>
          <t>⏳ UPCOMING</t>
        </is>
      </c>
      <c r="I2139" s="4" t="inlineStr">
        <is>
          <t>Tender_2026_DTCP_542056_1_All_Documents.zip</t>
        </is>
      </c>
      <c r="J2139" s="6" t="inlineStr">
        <is>
          <t>📦 ZIP Package</t>
        </is>
      </c>
      <c r="K2139" s="9" t="n">
        <v>11.6</v>
      </c>
      <c r="L2139" s="10">
        <f>HYPERLINK("http://127.0.0.1:8000/api/documents/download?id=2925&amp;attachment=true", "⬇ Download Tender_2026_DTCP_542056_")</f>
        <v/>
      </c>
      <c r="M2139" s="10">
        <f>HYPERLINK("http://localhost:5173/?state=Madhya%20Pradesh&amp;keyword=Development&amp;tender=2026_DTCP_542056_1", "🚀 Open in Portal")</f>
        <v/>
      </c>
    </row>
    <row r="2140" ht="24" customHeight="1">
      <c r="A2140" s="11" t="inlineStr">
        <is>
          <t>Madhya Pradesh</t>
        </is>
      </c>
      <c r="B2140" s="12" t="inlineStr">
        <is>
          <t>Empanelment</t>
        </is>
      </c>
      <c r="C2140" s="13" t="inlineStr">
        <is>
          <t>2026_DTCP_542056_1</t>
        </is>
      </c>
      <c r="D2140" s="14" t="inlineStr">
        <is>
          <t>[EXPRESSION OF INTEREST (EOI) FOR EMPANELMENT OF SERVICE PROVIDERS / AGENCIES FOR FACILITATION AND CONDUCTING OF LAND REGISTRY FOR ROAD DEVELOPMENT WORKS IN SIMHASth AREA, UJJAIN]</t>
        </is>
      </c>
      <c r="E2140" s="14" t="inlineStr">
        <is>
          <t>Madhya Pradesh Public Works &amp; Technology Department</t>
        </is>
      </c>
      <c r="F2140" s="13" t="inlineStr">
        <is>
          <t>03 Sep 2026</t>
        </is>
      </c>
      <c r="G2140" s="12" t="inlineStr">
        <is>
          <t>03 Oct 2026</t>
        </is>
      </c>
      <c r="H2140" s="8" t="inlineStr">
        <is>
          <t>⏳ UPCOMING</t>
        </is>
      </c>
      <c r="I2140" s="11" t="inlineStr">
        <is>
          <t>Tendernotice_1.pdf</t>
        </is>
      </c>
      <c r="J2140" s="13" t="inlineStr">
        <is>
          <t>📕 PDF Document</t>
        </is>
      </c>
      <c r="K2140" s="15" t="n">
        <v>17.9</v>
      </c>
      <c r="L2140" s="16">
        <f>HYPERLINK("http://127.0.0.1:8000/api/documents/download?id=2923&amp;attachment=true", "⬇ Download Tendernotice_1.pdf")</f>
        <v/>
      </c>
      <c r="M2140" s="16">
        <f>HYPERLINK("http://localhost:5173/?state=Madhya%20Pradesh&amp;keyword=Empanelment&amp;tender=2026_DTCP_542056_1", "🚀 Open in Portal")</f>
        <v/>
      </c>
    </row>
    <row r="2141" ht="24" customHeight="1">
      <c r="A2141" s="4" t="inlineStr">
        <is>
          <t>Madhya Pradesh</t>
        </is>
      </c>
      <c r="B2141" s="5" t="inlineStr">
        <is>
          <t>Empanelment</t>
        </is>
      </c>
      <c r="C2141" s="6" t="inlineStr">
        <is>
          <t>2026_DTCP_542056_1</t>
        </is>
      </c>
      <c r="D2141" s="7" t="inlineStr">
        <is>
          <t>[EXPRESSION OF INTEREST (EOI) FOR EMPANELMENT OF SERVICE PROVIDERS / AGENCIES FOR FACILITATION AND CONDUCTING OF LAND REGISTRY FOR ROAD DEVELOPMENT WORKS IN SIMHASth AREA, UJJAIN]</t>
        </is>
      </c>
      <c r="E2141" s="7" t="inlineStr">
        <is>
          <t>Madhya Pradesh Public Works &amp; Technology Department</t>
        </is>
      </c>
      <c r="F2141" s="6" t="inlineStr">
        <is>
          <t>03 Sep 2026</t>
        </is>
      </c>
      <c r="G2141" s="5" t="inlineStr">
        <is>
          <t>03 Oct 2026</t>
        </is>
      </c>
      <c r="H2141" s="8" t="inlineStr">
        <is>
          <t>⏳ UPCOMING</t>
        </is>
      </c>
      <c r="I2141" s="4" t="inlineStr">
        <is>
          <t>BOQ_651845.xls</t>
        </is>
      </c>
      <c r="J2141" s="6" t="inlineStr">
        <is>
          <t>📊 Excel BOQ</t>
        </is>
      </c>
      <c r="K2141" s="9" t="n">
        <v>2.5</v>
      </c>
      <c r="L2141" s="10">
        <f>HYPERLINK("http://127.0.0.1:8000/api/documents/download?id=2924&amp;attachment=true", "⬇ Download BOQ_651845.xls")</f>
        <v/>
      </c>
      <c r="M2141" s="10">
        <f>HYPERLINK("http://localhost:5173/?state=Madhya%20Pradesh&amp;keyword=Empanelment&amp;tender=2026_DTCP_542056_1", "🚀 Open in Portal")</f>
        <v/>
      </c>
    </row>
    <row r="2142" ht="24" customHeight="1">
      <c r="A2142" s="11" t="inlineStr">
        <is>
          <t>Madhya Pradesh</t>
        </is>
      </c>
      <c r="B2142" s="12" t="inlineStr">
        <is>
          <t>Empanelment</t>
        </is>
      </c>
      <c r="C2142" s="13" t="inlineStr">
        <is>
          <t>2026_DTCP_542056_1</t>
        </is>
      </c>
      <c r="D2142" s="14" t="inlineStr">
        <is>
          <t>[EXPRESSION OF INTEREST (EOI) FOR EMPANELMENT OF SERVICE PROVIDERS / AGENCIES FOR FACILITATION AND CONDUCTING OF LAND REGISTRY FOR ROAD DEVELOPMENT WORKS IN SIMHASth AREA, UJJAIN]</t>
        </is>
      </c>
      <c r="E2142" s="14" t="inlineStr">
        <is>
          <t>Madhya Pradesh Public Works &amp; Technology Department</t>
        </is>
      </c>
      <c r="F2142" s="13" t="inlineStr">
        <is>
          <t>03 Sep 2026</t>
        </is>
      </c>
      <c r="G2142" s="12" t="inlineStr">
        <is>
          <t>03 Oct 2026</t>
        </is>
      </c>
      <c r="H2142" s="8" t="inlineStr">
        <is>
          <t>⏳ UPCOMING</t>
        </is>
      </c>
      <c r="I2142" s="11" t="inlineStr">
        <is>
          <t>Tender_2026_DTCP_542056_1_All_Documents.zip</t>
        </is>
      </c>
      <c r="J2142" s="13" t="inlineStr">
        <is>
          <t>📦 ZIP Package</t>
        </is>
      </c>
      <c r="K2142" s="15" t="n">
        <v>11.6</v>
      </c>
      <c r="L2142" s="16">
        <f>HYPERLINK("http://127.0.0.1:8000/api/documents/download?id=2925&amp;attachment=true", "⬇ Download Tender_2026_DTCP_542056_")</f>
        <v/>
      </c>
      <c r="M2142" s="16">
        <f>HYPERLINK("http://localhost:5173/?state=Madhya%20Pradesh&amp;keyword=Empanelment&amp;tender=2026_DTCP_542056_1", "🚀 Open in Portal")</f>
        <v/>
      </c>
    </row>
    <row r="2143" ht="24" customHeight="1">
      <c r="A2143" s="4" t="inlineStr">
        <is>
          <t>Madhya Pradesh</t>
        </is>
      </c>
      <c r="B2143" s="5" t="inlineStr">
        <is>
          <t>Empanelment</t>
        </is>
      </c>
      <c r="C2143" s="6" t="inlineStr">
        <is>
          <t>2026_MAD_7013506_46</t>
        </is>
      </c>
      <c r="D2143" s="7" t="inlineStr">
        <is>
          <t>Empanelment-Based Empanelment of Specialized Geospatial &amp; AI Solutions Consulting Agencies</t>
        </is>
      </c>
      <c r="E2143" s="7" t="inlineStr">
        <is>
          <t>STATE ELECTRONICS DEVELOPMENT CORPORATION</t>
        </is>
      </c>
      <c r="F2143" s="6" t="inlineStr">
        <is>
          <t>29 Sep 2026</t>
        </is>
      </c>
      <c r="G2143" s="5" t="inlineStr">
        <is>
          <t>21 Oct 2026</t>
        </is>
      </c>
      <c r="H2143" s="18" t="inlineStr">
        <is>
          <t>⚠️ CLOSING SOON</t>
        </is>
      </c>
      <c r="I2143" s="4" t="inlineStr">
        <is>
          <t>Tendernotice_2026_MAD_7013506_46.pdf</t>
        </is>
      </c>
      <c r="J2143" s="6" t="inlineStr">
        <is>
          <t>📕 PDF Document</t>
        </is>
      </c>
      <c r="K2143" s="9" t="n">
        <v>17.9</v>
      </c>
      <c r="L2143" s="10">
        <f>HYPERLINK("http://127.0.0.1:8000/api/documents/download?id=3125&amp;attachment=true", "⬇ Download Tendernotice_2026_MAD_70")</f>
        <v/>
      </c>
      <c r="M2143" s="10">
        <f>HYPERLINK("http://localhost:5173/?state=Madhya%20Pradesh&amp;keyword=Empanelment&amp;tender=2026_MAD_7013506_46", "🚀 Open in Portal")</f>
        <v/>
      </c>
    </row>
    <row r="2144" ht="24" customHeight="1">
      <c r="A2144" s="11" t="inlineStr">
        <is>
          <t>Madhya Pradesh</t>
        </is>
      </c>
      <c r="B2144" s="12" t="inlineStr">
        <is>
          <t>Empanelment</t>
        </is>
      </c>
      <c r="C2144" s="13" t="inlineStr">
        <is>
          <t>2026_MAD_7013506_46</t>
        </is>
      </c>
      <c r="D2144" s="14" t="inlineStr">
        <is>
          <t>Empanelment-Based Empanelment of Specialized Geospatial &amp; AI Solutions Consulting Agencies</t>
        </is>
      </c>
      <c r="E2144" s="14" t="inlineStr">
        <is>
          <t>STATE ELECTRONICS DEVELOPMENT CORPORATION</t>
        </is>
      </c>
      <c r="F2144" s="13" t="inlineStr">
        <is>
          <t>29 Sep 2026</t>
        </is>
      </c>
      <c r="G2144" s="12" t="inlineStr">
        <is>
          <t>21 Oct 2026</t>
        </is>
      </c>
      <c r="H2144" s="18" t="inlineStr">
        <is>
          <t>⚠️ CLOSING SOON</t>
        </is>
      </c>
      <c r="I2144" s="11" t="inlineStr">
        <is>
          <t>Technical_RFP_Specification_Empanelment.pdf</t>
        </is>
      </c>
      <c r="J2144" s="13" t="inlineStr">
        <is>
          <t>📕 PDF Document</t>
        </is>
      </c>
      <c r="K2144" s="15" t="n">
        <v>18</v>
      </c>
      <c r="L2144" s="16">
        <f>HYPERLINK("http://127.0.0.1:8000/api/documents/download?id=3126&amp;attachment=true", "⬇ Download Technical_RFP_Specificat")</f>
        <v/>
      </c>
      <c r="M2144" s="16">
        <f>HYPERLINK("http://localhost:5173/?state=Madhya%20Pradesh&amp;keyword=Empanelment&amp;tender=2026_MAD_7013506_46", "🚀 Open in Portal")</f>
        <v/>
      </c>
    </row>
    <row r="2145" ht="24" customHeight="1">
      <c r="A2145" s="4" t="inlineStr">
        <is>
          <t>Madhya Pradesh</t>
        </is>
      </c>
      <c r="B2145" s="5" t="inlineStr">
        <is>
          <t>Empanelment</t>
        </is>
      </c>
      <c r="C2145" s="6" t="inlineStr">
        <is>
          <t>2026_MAD_7013506_46</t>
        </is>
      </c>
      <c r="D2145" s="7" t="inlineStr">
        <is>
          <t>Empanelment-Based Empanelment of Specialized Geospatial &amp; AI Solutions Consulting Agencies</t>
        </is>
      </c>
      <c r="E2145" s="7" t="inlineStr">
        <is>
          <t>STATE ELECTRONICS DEVELOPMENT CORPORATION</t>
        </is>
      </c>
      <c r="F2145" s="6" t="inlineStr">
        <is>
          <t>29 Sep 2026</t>
        </is>
      </c>
      <c r="G2145" s="5" t="inlineStr">
        <is>
          <t>21 Oct 2026</t>
        </is>
      </c>
      <c r="H2145" s="18" t="inlineStr">
        <is>
          <t>⚠️ CLOSING SOON</t>
        </is>
      </c>
      <c r="I2145" s="4" t="inlineStr">
        <is>
          <t>BOQ_Financial_Schedule_2026_MAD_7013506_46.xlsx</t>
        </is>
      </c>
      <c r="J2145" s="6" t="inlineStr">
        <is>
          <t>📊 Excel BOQ</t>
        </is>
      </c>
      <c r="K2145" s="9" t="n">
        <v>2.5</v>
      </c>
      <c r="L2145" s="10">
        <f>HYPERLINK("http://127.0.0.1:8000/api/documents/download?id=3127&amp;attachment=true", "⬇ Download BOQ_Financial_Schedule_2")</f>
        <v/>
      </c>
      <c r="M2145" s="10">
        <f>HYPERLINK("http://localhost:5173/?state=Madhya%20Pradesh&amp;keyword=Empanelment&amp;tender=2026_MAD_7013506_46", "🚀 Open in Portal")</f>
        <v/>
      </c>
    </row>
    <row r="2146" ht="24" customHeight="1">
      <c r="A2146" s="11" t="inlineStr">
        <is>
          <t>Madhya Pradesh</t>
        </is>
      </c>
      <c r="B2146" s="12" t="inlineStr">
        <is>
          <t>Empanelment</t>
        </is>
      </c>
      <c r="C2146" s="13" t="inlineStr">
        <is>
          <t>2026_MAD_7013506_46</t>
        </is>
      </c>
      <c r="D2146" s="14" t="inlineStr">
        <is>
          <t>Empanelment-Based Empanelment of Specialized Geospatial &amp; AI Solutions Consulting Agencies</t>
        </is>
      </c>
      <c r="E2146" s="14" t="inlineStr">
        <is>
          <t>STATE ELECTRONICS DEVELOPMENT CORPORATION</t>
        </is>
      </c>
      <c r="F2146" s="13" t="inlineStr">
        <is>
          <t>29 Sep 2026</t>
        </is>
      </c>
      <c r="G2146" s="12" t="inlineStr">
        <is>
          <t>21 Oct 2026</t>
        </is>
      </c>
      <c r="H2146" s="18" t="inlineStr">
        <is>
          <t>⚠️ CLOSING SOON</t>
        </is>
      </c>
      <c r="I2146" s="11" t="inlineStr">
        <is>
          <t>Tender_2026_MAD_7013506_46_All_Documents.zip</t>
        </is>
      </c>
      <c r="J2146" s="13" t="inlineStr">
        <is>
          <t>📦 ZIP Package</t>
        </is>
      </c>
      <c r="K2146" s="15" t="n">
        <v>45</v>
      </c>
      <c r="L2146" s="16">
        <f>HYPERLINK("https://mptenders.gov.in/tender/2026_MAD_7013506_46", "⬇ Download Tender_2026_MAD_7013506_")</f>
        <v/>
      </c>
      <c r="M2146" s="16">
        <f>HYPERLINK("http://localhost:5173/?state=Madhya%20Pradesh&amp;keyword=Empanelment&amp;tender=2026_MAD_7013506_46", "🚀 Open in Portal")</f>
        <v/>
      </c>
    </row>
    <row r="2147" ht="24" customHeight="1">
      <c r="A2147" s="4" t="inlineStr">
        <is>
          <t>Madhya Pradesh</t>
        </is>
      </c>
      <c r="B2147" s="5" t="inlineStr">
        <is>
          <t>Empanelment</t>
        </is>
      </c>
      <c r="C2147" s="6" t="inlineStr">
        <is>
          <t>2026_MPPMC_534368_1</t>
        </is>
      </c>
      <c r="D2147" s="7" t="inlineStr">
        <is>
          <t>[EMPANELMENT OF CERC REGISTERED OTC PLATFORM OPERATORS AND CERC LICENSED INTERSTATE POWER TRADERS FOR FACILITATING ENERGY BANKING ARRANGEMENTS]</t>
        </is>
      </c>
      <c r="E2147" s="7" t="inlineStr">
        <is>
          <t>Madhya Pradesh Public Works &amp; Technology Department</t>
        </is>
      </c>
      <c r="F2147" s="6" t="inlineStr">
        <is>
          <t>12 Aug 2026</t>
        </is>
      </c>
      <c r="G2147" s="5" t="inlineStr">
        <is>
          <t>05 Sep 2026</t>
        </is>
      </c>
      <c r="H2147" s="8" t="inlineStr">
        <is>
          <t>⏳ UPCOMING</t>
        </is>
      </c>
      <c r="I2147" s="4" t="inlineStr">
        <is>
          <t>Tendernotice_1.pdf</t>
        </is>
      </c>
      <c r="J2147" s="6" t="inlineStr">
        <is>
          <t>📕 PDF Document</t>
        </is>
      </c>
      <c r="K2147" s="9" t="n">
        <v>17.9</v>
      </c>
      <c r="L2147" s="10">
        <f>HYPERLINK("http://127.0.0.1:8000/api/documents/download?id=2966&amp;attachment=true", "⬇ Download Tendernotice_1.pdf")</f>
        <v/>
      </c>
      <c r="M2147" s="10">
        <f>HYPERLINK("http://localhost:5173/?state=Madhya%20Pradesh&amp;keyword=Empanelment&amp;tender=2026_MPPMC_534368_1", "🚀 Open in Portal")</f>
        <v/>
      </c>
    </row>
    <row r="2148" ht="24" customHeight="1">
      <c r="A2148" s="11" t="inlineStr">
        <is>
          <t>Madhya Pradesh</t>
        </is>
      </c>
      <c r="B2148" s="12" t="inlineStr">
        <is>
          <t>Empanelment</t>
        </is>
      </c>
      <c r="C2148" s="13" t="inlineStr">
        <is>
          <t>2026_MPPMC_534368_1</t>
        </is>
      </c>
      <c r="D2148" s="14" t="inlineStr">
        <is>
          <t>[EMPANELMENT OF CERC REGISTERED OTC PLATFORM OPERATORS AND CERC LICENSED INTERSTATE POWER TRADERS FOR FACILITATING ENERGY BANKING ARRANGEMENTS]</t>
        </is>
      </c>
      <c r="E2148" s="14" t="inlineStr">
        <is>
          <t>Madhya Pradesh Public Works &amp; Technology Department</t>
        </is>
      </c>
      <c r="F2148" s="13" t="inlineStr">
        <is>
          <t>12 Aug 2026</t>
        </is>
      </c>
      <c r="G2148" s="12" t="inlineStr">
        <is>
          <t>05 Sep 2026</t>
        </is>
      </c>
      <c r="H2148" s="8" t="inlineStr">
        <is>
          <t>⏳ UPCOMING</t>
        </is>
      </c>
      <c r="I2148" s="11" t="inlineStr">
        <is>
          <t>Tendersigned.pdf</t>
        </is>
      </c>
      <c r="J2148" s="13" t="inlineStr">
        <is>
          <t>📕 PDF Document</t>
        </is>
      </c>
      <c r="K2148" s="15" t="n">
        <v>17.9</v>
      </c>
      <c r="L2148" s="16">
        <f>HYPERLINK("http://127.0.0.1:8000/api/documents/download?id=2967&amp;attachment=true", "⬇ Download Tendersigned.pdf")</f>
        <v/>
      </c>
      <c r="M2148" s="16">
        <f>HYPERLINK("http://localhost:5173/?state=Madhya%20Pradesh&amp;keyword=Empanelment&amp;tender=2026_MPPMC_534368_1", "🚀 Open in Portal")</f>
        <v/>
      </c>
    </row>
    <row r="2149" ht="24" customHeight="1">
      <c r="A2149" s="4" t="inlineStr">
        <is>
          <t>Madhya Pradesh</t>
        </is>
      </c>
      <c r="B2149" s="5" t="inlineStr">
        <is>
          <t>Empanelment</t>
        </is>
      </c>
      <c r="C2149" s="6" t="inlineStr">
        <is>
          <t>2026_MPPMC_534368_1</t>
        </is>
      </c>
      <c r="D2149" s="7" t="inlineStr">
        <is>
          <t>[EMPANELMENT OF CERC REGISTERED OTC PLATFORM OPERATORS AND CERC LICENSED INTERSTATE POWER TRADERS FOR FACILITATING ENERGY BANKING ARRANGEMENTS]</t>
        </is>
      </c>
      <c r="E2149" s="7" t="inlineStr">
        <is>
          <t>Madhya Pradesh Public Works &amp; Technology Department</t>
        </is>
      </c>
      <c r="F2149" s="6" t="inlineStr">
        <is>
          <t>12 Aug 2026</t>
        </is>
      </c>
      <c r="G2149" s="5" t="inlineStr">
        <is>
          <t>05 Sep 2026</t>
        </is>
      </c>
      <c r="H2149" s="8" t="inlineStr">
        <is>
          <t>⏳ UPCOMING</t>
        </is>
      </c>
      <c r="I2149" s="4" t="inlineStr">
        <is>
          <t>BOQ_642804.xls</t>
        </is>
      </c>
      <c r="J2149" s="6" t="inlineStr">
        <is>
          <t>📊 Excel BOQ</t>
        </is>
      </c>
      <c r="K2149" s="9" t="n">
        <v>2.5</v>
      </c>
      <c r="L2149" s="10">
        <f>HYPERLINK("http://127.0.0.1:8000/api/documents/download?id=2968&amp;attachment=true", "⬇ Download BOQ_642804.xls")</f>
        <v/>
      </c>
      <c r="M2149" s="10">
        <f>HYPERLINK("http://localhost:5173/?state=Madhya%20Pradesh&amp;keyword=Empanelment&amp;tender=2026_MPPMC_534368_1", "🚀 Open in Portal")</f>
        <v/>
      </c>
    </row>
    <row r="2150" ht="24" customHeight="1">
      <c r="A2150" s="11" t="inlineStr">
        <is>
          <t>Madhya Pradesh</t>
        </is>
      </c>
      <c r="B2150" s="12" t="inlineStr">
        <is>
          <t>Empanelment</t>
        </is>
      </c>
      <c r="C2150" s="13" t="inlineStr">
        <is>
          <t>2026_MPPMC_534368_1</t>
        </is>
      </c>
      <c r="D2150" s="14" t="inlineStr">
        <is>
          <t>[EMPANELMENT OF CERC REGISTERED OTC PLATFORM OPERATORS AND CERC LICENSED INTERSTATE POWER TRADERS FOR FACILITATING ENERGY BANKING ARRANGEMENTS]</t>
        </is>
      </c>
      <c r="E2150" s="14" t="inlineStr">
        <is>
          <t>Madhya Pradesh Public Works &amp; Technology Department</t>
        </is>
      </c>
      <c r="F2150" s="13" t="inlineStr">
        <is>
          <t>12 Aug 2026</t>
        </is>
      </c>
      <c r="G2150" s="12" t="inlineStr">
        <is>
          <t>05 Sep 2026</t>
        </is>
      </c>
      <c r="H2150" s="8" t="inlineStr">
        <is>
          <t>⏳ UPCOMING</t>
        </is>
      </c>
      <c r="I2150" s="11" t="inlineStr">
        <is>
          <t>Tender_2026_MPPMC_534368_1_All_Documents.zip</t>
        </is>
      </c>
      <c r="J2150" s="13" t="inlineStr">
        <is>
          <t>📦 ZIP Package</t>
        </is>
      </c>
      <c r="K2150" s="15" t="n">
        <v>20.9</v>
      </c>
      <c r="L2150" s="16">
        <f>HYPERLINK("http://127.0.0.1:8000/api/documents/download?id=2969&amp;attachment=true", "⬇ Download Tender_2026_MPPMC_534368")</f>
        <v/>
      </c>
      <c r="M2150" s="16">
        <f>HYPERLINK("http://localhost:5173/?state=Madhya%20Pradesh&amp;keyword=Empanelment&amp;tender=2026_MPPMC_534368_1", "🚀 Open in Portal")</f>
        <v/>
      </c>
    </row>
    <row r="2151" ht="24" customHeight="1">
      <c r="A2151" s="4" t="inlineStr">
        <is>
          <t>Madhya Pradesh</t>
        </is>
      </c>
      <c r="B2151" s="5" t="inlineStr">
        <is>
          <t>Empanelment</t>
        </is>
      </c>
      <c r="C2151" s="6" t="inlineStr">
        <is>
          <t>2026_UAD_541453_1</t>
        </is>
      </c>
      <c r="D2151" s="7" t="inlineStr">
        <is>
          <t>[EMPANELMENT OF AGENCIES FOR RATE CONTRACT FOR THE WORK FOR ARTISTIC PAINTING AT VARIOUS PLACES IN BHOPAL UNDER GIS 2027.]</t>
        </is>
      </c>
      <c r="E2151" s="7" t="inlineStr">
        <is>
          <t>Madhya Pradesh Public Works &amp; Technology Department</t>
        </is>
      </c>
      <c r="F2151" s="6" t="inlineStr">
        <is>
          <t>02 Oct 2026</t>
        </is>
      </c>
      <c r="G2151" s="5" t="inlineStr">
        <is>
          <t>23 Oct 2026</t>
        </is>
      </c>
      <c r="H2151" s="17" t="inlineStr">
        <is>
          <t>🟢 LIVE ACTIVE</t>
        </is>
      </c>
      <c r="I2151" s="4" t="inlineStr">
        <is>
          <t>Tendernotice_1.pdf</t>
        </is>
      </c>
      <c r="J2151" s="6" t="inlineStr">
        <is>
          <t>📕 PDF Document</t>
        </is>
      </c>
      <c r="K2151" s="9" t="n">
        <v>17.9</v>
      </c>
      <c r="L2151" s="10">
        <f>HYPERLINK("http://127.0.0.1:8000/api/documents/download?id=2926&amp;attachment=true", "⬇ Download Tendernotice_1.pdf")</f>
        <v/>
      </c>
      <c r="M2151" s="10">
        <f>HYPERLINK("http://localhost:5173/?state=Madhya%20Pradesh&amp;keyword=Empanelment&amp;tender=2026_UAD_541453_1", "🚀 Open in Portal")</f>
        <v/>
      </c>
    </row>
    <row r="2152" ht="24" customHeight="1">
      <c r="A2152" s="11" t="inlineStr">
        <is>
          <t>Madhya Pradesh</t>
        </is>
      </c>
      <c r="B2152" s="12" t="inlineStr">
        <is>
          <t>Empanelment</t>
        </is>
      </c>
      <c r="C2152" s="13" t="inlineStr">
        <is>
          <t>2026_UAD_541453_1</t>
        </is>
      </c>
      <c r="D2152" s="14" t="inlineStr">
        <is>
          <t>[EMPANELMENT OF AGENCIES FOR RATE CONTRACT FOR THE WORK FOR ARTISTIC PAINTING AT VARIOUS PLACES IN BHOPAL UNDER GIS 2027.]</t>
        </is>
      </c>
      <c r="E2152" s="14" t="inlineStr">
        <is>
          <t>Madhya Pradesh Public Works &amp; Technology Department</t>
        </is>
      </c>
      <c r="F2152" s="13" t="inlineStr">
        <is>
          <t>02 Oct 2026</t>
        </is>
      </c>
      <c r="G2152" s="12" t="inlineStr">
        <is>
          <t>23 Oct 2026</t>
        </is>
      </c>
      <c r="H2152" s="17" t="inlineStr">
        <is>
          <t>🟢 LIVE ACTIVE</t>
        </is>
      </c>
      <c r="I2152" s="11" t="inlineStr">
        <is>
          <t>2026203121BOQ.pdf</t>
        </is>
      </c>
      <c r="J2152" s="13" t="inlineStr">
        <is>
          <t>📕 PDF Document</t>
        </is>
      </c>
      <c r="K2152" s="15" t="n">
        <v>17.9</v>
      </c>
      <c r="L2152" s="16">
        <f>HYPERLINK("http://127.0.0.1:8000/api/documents/download?id=2927&amp;attachment=true", "⬇ Download 2026203121BOQ.pdf")</f>
        <v/>
      </c>
      <c r="M2152" s="16">
        <f>HYPERLINK("http://localhost:5173/?state=Madhya%20Pradesh&amp;keyword=Empanelment&amp;tender=2026_UAD_541453_1", "🚀 Open in Portal")</f>
        <v/>
      </c>
    </row>
    <row r="2153" ht="24" customHeight="1">
      <c r="A2153" s="4" t="inlineStr">
        <is>
          <t>Madhya Pradesh</t>
        </is>
      </c>
      <c r="B2153" s="5" t="inlineStr">
        <is>
          <t>Empanelment</t>
        </is>
      </c>
      <c r="C2153" s="6" t="inlineStr">
        <is>
          <t>2026_UAD_541453_1</t>
        </is>
      </c>
      <c r="D2153" s="7" t="inlineStr">
        <is>
          <t>[EMPANELMENT OF AGENCIES FOR RATE CONTRACT FOR THE WORK FOR ARTISTIC PAINTING AT VARIOUS PLACES IN BHOPAL UNDER GIS 2027.]</t>
        </is>
      </c>
      <c r="E2153" s="7" t="inlineStr">
        <is>
          <t>Madhya Pradesh Public Works &amp; Technology Department</t>
        </is>
      </c>
      <c r="F2153" s="6" t="inlineStr">
        <is>
          <t>02 Oct 2026</t>
        </is>
      </c>
      <c r="G2153" s="5" t="inlineStr">
        <is>
          <t>23 Oct 2026</t>
        </is>
      </c>
      <c r="H2153" s="17" t="inlineStr">
        <is>
          <t>🟢 LIVE ACTIVE</t>
        </is>
      </c>
      <c r="I2153" s="4" t="inlineStr">
        <is>
          <t>Artisticdoc.pdf</t>
        </is>
      </c>
      <c r="J2153" s="6" t="inlineStr">
        <is>
          <t>📕 PDF Document</t>
        </is>
      </c>
      <c r="K2153" s="9" t="n">
        <v>17.9</v>
      </c>
      <c r="L2153" s="10">
        <f>HYPERLINK("http://127.0.0.1:8000/api/documents/download?id=2928&amp;attachment=true", "⬇ Download Artisticdoc.pdf")</f>
        <v/>
      </c>
      <c r="M2153" s="10">
        <f>HYPERLINK("http://localhost:5173/?state=Madhya%20Pradesh&amp;keyword=Empanelment&amp;tender=2026_UAD_541453_1", "🚀 Open in Portal")</f>
        <v/>
      </c>
    </row>
    <row r="2154" ht="24" customHeight="1">
      <c r="A2154" s="11" t="inlineStr">
        <is>
          <t>Madhya Pradesh</t>
        </is>
      </c>
      <c r="B2154" s="12" t="inlineStr">
        <is>
          <t>Empanelment</t>
        </is>
      </c>
      <c r="C2154" s="13" t="inlineStr">
        <is>
          <t>2026_UAD_541453_1</t>
        </is>
      </c>
      <c r="D2154" s="14" t="inlineStr">
        <is>
          <t>[EMPANELMENT OF AGENCIES FOR RATE CONTRACT FOR THE WORK FOR ARTISTIC PAINTING AT VARIOUS PLACES IN BHOPAL UNDER GIS 2027.]</t>
        </is>
      </c>
      <c r="E2154" s="14" t="inlineStr">
        <is>
          <t>Madhya Pradesh Public Works &amp; Technology Department</t>
        </is>
      </c>
      <c r="F2154" s="13" t="inlineStr">
        <is>
          <t>02 Oct 2026</t>
        </is>
      </c>
      <c r="G2154" s="12" t="inlineStr">
        <is>
          <t>23 Oct 2026</t>
        </is>
      </c>
      <c r="H2154" s="17" t="inlineStr">
        <is>
          <t>🟢 LIVE ACTIVE</t>
        </is>
      </c>
      <c r="I2154" s="11" t="inlineStr">
        <is>
          <t>BOQ_651132.xls</t>
        </is>
      </c>
      <c r="J2154" s="13" t="inlineStr">
        <is>
          <t>📊 Excel BOQ</t>
        </is>
      </c>
      <c r="K2154" s="15" t="n">
        <v>2.5</v>
      </c>
      <c r="L2154" s="16">
        <f>HYPERLINK("http://127.0.0.1:8000/api/documents/download?id=2929&amp;attachment=true", "⬇ Download BOQ_651132.xls")</f>
        <v/>
      </c>
      <c r="M2154" s="16">
        <f>HYPERLINK("http://localhost:5173/?state=Madhya%20Pradesh&amp;keyword=Empanelment&amp;tender=2026_UAD_541453_1", "🚀 Open in Portal")</f>
        <v/>
      </c>
    </row>
    <row r="2155" ht="24" customHeight="1">
      <c r="A2155" s="4" t="inlineStr">
        <is>
          <t>Madhya Pradesh</t>
        </is>
      </c>
      <c r="B2155" s="5" t="inlineStr">
        <is>
          <t>Empanelment</t>
        </is>
      </c>
      <c r="C2155" s="6" t="inlineStr">
        <is>
          <t>2026_UAD_541453_1</t>
        </is>
      </c>
      <c r="D2155" s="7" t="inlineStr">
        <is>
          <t>[EMPANELMENT OF AGENCIES FOR RATE CONTRACT FOR THE WORK FOR ARTISTIC PAINTING AT VARIOUS PLACES IN BHOPAL UNDER GIS 2027.]</t>
        </is>
      </c>
      <c r="E2155" s="7" t="inlineStr">
        <is>
          <t>Madhya Pradesh Public Works &amp; Technology Department</t>
        </is>
      </c>
      <c r="F2155" s="6" t="inlineStr">
        <is>
          <t>02 Oct 2026</t>
        </is>
      </c>
      <c r="G2155" s="5" t="inlineStr">
        <is>
          <t>23 Oct 2026</t>
        </is>
      </c>
      <c r="H2155" s="17" t="inlineStr">
        <is>
          <t>🟢 LIVE ACTIVE</t>
        </is>
      </c>
      <c r="I2155" s="4" t="inlineStr">
        <is>
          <t>Tender_2026_UAD_541453_1_All_Documents.zip</t>
        </is>
      </c>
      <c r="J2155" s="6" t="inlineStr">
        <is>
          <t>📦 ZIP Package</t>
        </is>
      </c>
      <c r="K2155" s="9" t="n">
        <v>30</v>
      </c>
      <c r="L2155" s="10">
        <f>HYPERLINK("http://127.0.0.1:8000/api/documents/download?id=2930&amp;attachment=true", "⬇ Download Tender_2026_UAD_541453_1")</f>
        <v/>
      </c>
      <c r="M2155" s="10">
        <f>HYPERLINK("http://localhost:5173/?state=Madhya%20Pradesh&amp;keyword=Empanelment&amp;tender=2026_UAD_541453_1", "🚀 Open in Portal")</f>
        <v/>
      </c>
    </row>
    <row r="2156" ht="24" customHeight="1">
      <c r="A2156" s="11" t="inlineStr">
        <is>
          <t>Maharashtra</t>
        </is>
      </c>
      <c r="B2156" s="12" t="inlineStr">
        <is>
          <t>GIS</t>
        </is>
      </c>
      <c r="C2156" s="13" t="inlineStr">
        <is>
          <t>2026_CIDCO_1296583_1</t>
        </is>
      </c>
      <c r="D2156" s="14" t="inlineStr">
        <is>
          <t>[Lease of 12 Nos of plots within the Integrated Logistics Park in Pushpak Node, Navi Mumbai under the Pass-Through Policy ]</t>
        </is>
      </c>
      <c r="E2156" s="14" t="inlineStr">
        <is>
          <t>Maharashtra Public Works &amp; Technology Department</t>
        </is>
      </c>
      <c r="F2156" s="13" t="inlineStr">
        <is>
          <t>26 Oct 2026</t>
        </is>
      </c>
      <c r="G2156" s="12" t="inlineStr">
        <is>
          <t>16 Nov 2026</t>
        </is>
      </c>
      <c r="H2156" s="8" t="inlineStr">
        <is>
          <t>⏳ UPCOMING</t>
        </is>
      </c>
      <c r="I2156" s="11" t="inlineStr">
        <is>
          <t>Tendernotice_1.pdf</t>
        </is>
      </c>
      <c r="J2156" s="13" t="inlineStr">
        <is>
          <t>📕 PDF Document</t>
        </is>
      </c>
      <c r="K2156" s="15" t="n">
        <v>17.9</v>
      </c>
      <c r="L2156" s="16">
        <f>HYPERLINK("http://127.0.0.1:8000/api/documents/download?id=1121&amp;attachment=true", "⬇ Download Tendernotice_1.pdf")</f>
        <v/>
      </c>
      <c r="M2156" s="16">
        <f>HYPERLINK("http://localhost:5173/?state=Maharashtra&amp;keyword=GIS&amp;tender=2026_CIDCO_1296583_1", "🚀 Open in Portal")</f>
        <v/>
      </c>
    </row>
    <row r="2157" ht="24" customHeight="1">
      <c r="A2157" s="4" t="inlineStr">
        <is>
          <t>Maharashtra</t>
        </is>
      </c>
      <c r="B2157" s="5" t="inlineStr">
        <is>
          <t>GIS</t>
        </is>
      </c>
      <c r="C2157" s="6" t="inlineStr">
        <is>
          <t>2026_CIDCO_1296583_1</t>
        </is>
      </c>
      <c r="D2157" s="7" t="inlineStr">
        <is>
          <t>[Lease of 12 Nos of plots within the Integrated Logistics Park in Pushpak Node, Navi Mumbai under the Pass-Through Policy ]</t>
        </is>
      </c>
      <c r="E2157" s="7" t="inlineStr">
        <is>
          <t>Maharashtra Public Works &amp; Technology Department</t>
        </is>
      </c>
      <c r="F2157" s="6" t="inlineStr">
        <is>
          <t>26 Oct 2026</t>
        </is>
      </c>
      <c r="G2157" s="5" t="inlineStr">
        <is>
          <t>16 Nov 2026</t>
        </is>
      </c>
      <c r="H2157" s="8" t="inlineStr">
        <is>
          <t>⏳ UPCOMING</t>
        </is>
      </c>
      <c r="I2157" s="4" t="inlineStr">
        <is>
          <t>MAINEOIDOCUMENT02MMCOMM202627.pdf</t>
        </is>
      </c>
      <c r="J2157" s="6" t="inlineStr">
        <is>
          <t>📕 PDF Document</t>
        </is>
      </c>
      <c r="K2157" s="9" t="n">
        <v>17.9</v>
      </c>
      <c r="L2157" s="10">
        <f>HYPERLINK("http://127.0.0.1:8000/api/documents/download?id=1122&amp;attachment=true", "⬇ Download MAINEOIDOCUMENT02MMCOMM2")</f>
        <v/>
      </c>
      <c r="M2157" s="10">
        <f>HYPERLINK("http://localhost:5173/?state=Maharashtra&amp;keyword=GIS&amp;tender=2026_CIDCO_1296583_1", "🚀 Open in Portal")</f>
        <v/>
      </c>
    </row>
    <row r="2158" ht="24" customHeight="1">
      <c r="A2158" s="11" t="inlineStr">
        <is>
          <t>Maharashtra</t>
        </is>
      </c>
      <c r="B2158" s="12" t="inlineStr">
        <is>
          <t>GIS</t>
        </is>
      </c>
      <c r="C2158" s="13" t="inlineStr">
        <is>
          <t>2026_CIDCO_1296583_1</t>
        </is>
      </c>
      <c r="D2158" s="14" t="inlineStr">
        <is>
          <t>[Lease of 12 Nos of plots within the Integrated Logistics Park in Pushpak Node, Navi Mumbai under the Pass-Through Policy ]</t>
        </is>
      </c>
      <c r="E2158" s="14" t="inlineStr">
        <is>
          <t>Maharashtra Public Works &amp; Technology Department</t>
        </is>
      </c>
      <c r="F2158" s="13" t="inlineStr">
        <is>
          <t>26 Oct 2026</t>
        </is>
      </c>
      <c r="G2158" s="12" t="inlineStr">
        <is>
          <t>16 Nov 2026</t>
        </is>
      </c>
      <c r="H2158" s="8" t="inlineStr">
        <is>
          <t>⏳ UPCOMING</t>
        </is>
      </c>
      <c r="I2158" s="11" t="inlineStr">
        <is>
          <t>Tender_2026_CIDCO_1296583_1_All_Documents.zip</t>
        </is>
      </c>
      <c r="J2158" s="13" t="inlineStr">
        <is>
          <t>📦 ZIP Package</t>
        </is>
      </c>
      <c r="K2158" s="15" t="n">
        <v>18.5</v>
      </c>
      <c r="L2158" s="16">
        <f>HYPERLINK("http://127.0.0.1:8000/api/documents/download?id=1123&amp;attachment=true", "⬇ Download Tender_2026_CIDCO_129658")</f>
        <v/>
      </c>
      <c r="M2158" s="16">
        <f>HYPERLINK("http://localhost:5173/?state=Maharashtra&amp;keyword=GIS&amp;tender=2026_CIDCO_1296583_1", "🚀 Open in Portal")</f>
        <v/>
      </c>
    </row>
    <row r="2159" ht="24" customHeight="1">
      <c r="A2159" s="4" t="inlineStr">
        <is>
          <t>Maharashtra</t>
        </is>
      </c>
      <c r="B2159" s="5" t="inlineStr">
        <is>
          <t>GIS</t>
        </is>
      </c>
      <c r="C2159" s="6" t="inlineStr">
        <is>
          <t>2026_CIDCO_1341071_1</t>
        </is>
      </c>
      <c r="D2159" s="7" t="inlineStr">
        <is>
          <t>[Consultancy, quarterly updation and RERA audit including other services for Kharghar Bus Depot, Kharghar Bus Terminus, Kharghar station, Kalamboli Bus Depot, Panvel Bus Terminus and Vashi Truck Terminal locations registered under MahaRERA for...]</t>
        </is>
      </c>
      <c r="E2159" s="7" t="inlineStr">
        <is>
          <t>Maharashtra Public Works &amp; Technology Department</t>
        </is>
      </c>
      <c r="F2159" s="6" t="inlineStr">
        <is>
          <t>15 Aug 2026</t>
        </is>
      </c>
      <c r="G2159" s="5" t="inlineStr">
        <is>
          <t>10 Sep 2026</t>
        </is>
      </c>
      <c r="H2159" s="8" t="inlineStr">
        <is>
          <t>⏳ UPCOMING</t>
        </is>
      </c>
      <c r="I2159" s="4" t="inlineStr">
        <is>
          <t>Tendernotice_1.pdf</t>
        </is>
      </c>
      <c r="J2159" s="6" t="inlineStr">
        <is>
          <t>📕 PDF Document</t>
        </is>
      </c>
      <c r="K2159" s="9" t="n">
        <v>17.9</v>
      </c>
      <c r="L2159" s="10">
        <f>HYPERLINK("http://127.0.0.1:8000/api/documents/download?id=1114&amp;attachment=true", "⬇ Download Tendernotice_1.pdf")</f>
        <v/>
      </c>
      <c r="M2159" s="10">
        <f>HYPERLINK("http://localhost:5173/?state=Maharashtra&amp;keyword=GIS&amp;tender=2026_CIDCO_1341071_1", "🚀 Open in Portal")</f>
        <v/>
      </c>
    </row>
    <row r="2160" ht="24" customHeight="1">
      <c r="A2160" s="11" t="inlineStr">
        <is>
          <t>Maharashtra</t>
        </is>
      </c>
      <c r="B2160" s="12" t="inlineStr">
        <is>
          <t>GIS</t>
        </is>
      </c>
      <c r="C2160" s="13" t="inlineStr">
        <is>
          <t>2026_CIDCO_1341071_1</t>
        </is>
      </c>
      <c r="D2160" s="14" t="inlineStr">
        <is>
          <t>[Consultancy, quarterly updation and RERA audit including other services for Kharghar Bus Depot, Kharghar Bus Terminus, Kharghar station, Kalamboli Bus Depot, Panvel Bus Terminus and Vashi Truck Terminal locations registered under MahaRERA for...]</t>
        </is>
      </c>
      <c r="E2160" s="14" t="inlineStr">
        <is>
          <t>Maharashtra Public Works &amp; Technology Department</t>
        </is>
      </c>
      <c r="F2160" s="13" t="inlineStr">
        <is>
          <t>15 Aug 2026</t>
        </is>
      </c>
      <c r="G2160" s="12" t="inlineStr">
        <is>
          <t>10 Sep 2026</t>
        </is>
      </c>
      <c r="H2160" s="8" t="inlineStr">
        <is>
          <t>⏳ UPCOMING</t>
        </is>
      </c>
      <c r="I2160" s="11" t="inlineStr">
        <is>
          <t>TENDERDOCUMENTCA032627MH7.pdf</t>
        </is>
      </c>
      <c r="J2160" s="13" t="inlineStr">
        <is>
          <t>📕 PDF Document</t>
        </is>
      </c>
      <c r="K2160" s="15" t="n">
        <v>17.9</v>
      </c>
      <c r="L2160" s="16">
        <f>HYPERLINK("http://127.0.0.1:8000/api/documents/download?id=1115&amp;attachment=true", "⬇ Download TENDERDOCUMENTCA032627MH")</f>
        <v/>
      </c>
      <c r="M2160" s="16">
        <f>HYPERLINK("http://localhost:5173/?state=Maharashtra&amp;keyword=GIS&amp;tender=2026_CIDCO_1341071_1", "🚀 Open in Portal")</f>
        <v/>
      </c>
    </row>
    <row r="2161" ht="24" customHeight="1">
      <c r="A2161" s="4" t="inlineStr">
        <is>
          <t>Maharashtra</t>
        </is>
      </c>
      <c r="B2161" s="5" t="inlineStr">
        <is>
          <t>GIS</t>
        </is>
      </c>
      <c r="C2161" s="6" t="inlineStr">
        <is>
          <t>2026_CIDCO_1341071_1</t>
        </is>
      </c>
      <c r="D2161" s="7" t="inlineStr">
        <is>
          <t>[Consultancy, quarterly updation and RERA audit including other services for Kharghar Bus Depot, Kharghar Bus Terminus, Kharghar station, Kalamboli Bus Depot, Panvel Bus Terminus and Vashi Truck Terminal locations registered under MahaRERA for...]</t>
        </is>
      </c>
      <c r="E2161" s="7" t="inlineStr">
        <is>
          <t>Maharashtra Public Works &amp; Technology Department</t>
        </is>
      </c>
      <c r="F2161" s="6" t="inlineStr">
        <is>
          <t>15 Aug 2026</t>
        </is>
      </c>
      <c r="G2161" s="5" t="inlineStr">
        <is>
          <t>10 Sep 2026</t>
        </is>
      </c>
      <c r="H2161" s="8" t="inlineStr">
        <is>
          <t>⏳ UPCOMING</t>
        </is>
      </c>
      <c r="I2161" s="4" t="inlineStr">
        <is>
          <t>BOQ_2292464.xls</t>
        </is>
      </c>
      <c r="J2161" s="6" t="inlineStr">
        <is>
          <t>📊 Excel BOQ</t>
        </is>
      </c>
      <c r="K2161" s="9" t="n">
        <v>2.5</v>
      </c>
      <c r="L2161" s="10">
        <f>HYPERLINK("http://127.0.0.1:8000/api/documents/download?id=1116&amp;attachment=true", "⬇ Download BOQ_2292464.xls")</f>
        <v/>
      </c>
      <c r="M2161" s="10">
        <f>HYPERLINK("http://localhost:5173/?state=Maharashtra&amp;keyword=GIS&amp;tender=2026_CIDCO_1341071_1", "🚀 Open in Portal")</f>
        <v/>
      </c>
    </row>
    <row r="2162" ht="24" customHeight="1">
      <c r="A2162" s="11" t="inlineStr">
        <is>
          <t>Maharashtra</t>
        </is>
      </c>
      <c r="B2162" s="12" t="inlineStr">
        <is>
          <t>GIS</t>
        </is>
      </c>
      <c r="C2162" s="13" t="inlineStr">
        <is>
          <t>2026_CIDCO_1341071_1</t>
        </is>
      </c>
      <c r="D2162" s="14" t="inlineStr">
        <is>
          <t>[Consultancy, quarterly updation and RERA audit including other services for Kharghar Bus Depot, Kharghar Bus Terminus, Kharghar station, Kalamboli Bus Depot, Panvel Bus Terminus and Vashi Truck Terminal locations registered under MahaRERA for...]</t>
        </is>
      </c>
      <c r="E2162" s="14" t="inlineStr">
        <is>
          <t>Maharashtra Public Works &amp; Technology Department</t>
        </is>
      </c>
      <c r="F2162" s="13" t="inlineStr">
        <is>
          <t>15 Aug 2026</t>
        </is>
      </c>
      <c r="G2162" s="12" t="inlineStr">
        <is>
          <t>10 Sep 2026</t>
        </is>
      </c>
      <c r="H2162" s="8" t="inlineStr">
        <is>
          <t>⏳ UPCOMING</t>
        </is>
      </c>
      <c r="I2162" s="11" t="inlineStr">
        <is>
          <t>Tender_2026_CIDCO_1341071_1_All_Documents.zip</t>
        </is>
      </c>
      <c r="J2162" s="13" t="inlineStr">
        <is>
          <t>📦 ZIP Package</t>
        </is>
      </c>
      <c r="K2162" s="15" t="n">
        <v>21</v>
      </c>
      <c r="L2162" s="16">
        <f>HYPERLINK("http://127.0.0.1:8000/api/documents/download?id=1117&amp;attachment=true", "⬇ Download Tender_2026_CIDCO_134107")</f>
        <v/>
      </c>
      <c r="M2162" s="16">
        <f>HYPERLINK("http://localhost:5173/?state=Maharashtra&amp;keyword=GIS&amp;tender=2026_CIDCO_1341071_1", "🚀 Open in Portal")</f>
        <v/>
      </c>
    </row>
    <row r="2163" ht="24" customHeight="1">
      <c r="A2163" s="4" t="inlineStr">
        <is>
          <t>Maharashtra</t>
        </is>
      </c>
      <c r="B2163" s="5" t="inlineStr">
        <is>
          <t>GIS</t>
        </is>
      </c>
      <c r="C2163" s="6" t="inlineStr">
        <is>
          <t>2026_CIDCO_1349102_1</t>
        </is>
      </c>
      <c r="D2163" s="7" t="inlineStr">
        <is>
          <t>Drone LiDAR Topographic Survey and GIS Spatial Database Integration for Navi Mumbai Aerocity and Smart Node Infrastructure</t>
        </is>
      </c>
      <c r="E2163" s="7" t="inlineStr">
        <is>
          <t>CITY AND INDUSTRIAL DEVELOPMENT CORPORATION OF MAHARASHTRA LIMITED</t>
        </is>
      </c>
      <c r="F2163" s="6" t="inlineStr">
        <is>
          <t>11 Aug 2026</t>
        </is>
      </c>
      <c r="G2163" s="5" t="inlineStr">
        <is>
          <t>04 Sep 2026</t>
        </is>
      </c>
      <c r="H2163" s="8" t="inlineStr">
        <is>
          <t>⏳ UPCOMING</t>
        </is>
      </c>
      <c r="I2163" s="4" t="inlineStr">
        <is>
          <t>Tendernotice_1.pdf</t>
        </is>
      </c>
      <c r="J2163" s="6" t="inlineStr">
        <is>
          <t>📕 PDF Document</t>
        </is>
      </c>
      <c r="K2163" s="9" t="n">
        <v>17.9</v>
      </c>
      <c r="L2163" s="10">
        <f>HYPERLINK("http://127.0.0.1:8000/api/documents/download?id=2905&amp;attachment=true", "⬇ Download Tendernotice_1.pdf")</f>
        <v/>
      </c>
      <c r="M2163" s="10">
        <f>HYPERLINK("http://localhost:5173/?state=Maharashtra&amp;keyword=GIS&amp;tender=2026_CIDCO_1349102_1", "🚀 Open in Portal")</f>
        <v/>
      </c>
    </row>
    <row r="2164" ht="24" customHeight="1">
      <c r="A2164" s="11" t="inlineStr">
        <is>
          <t>Maharashtra</t>
        </is>
      </c>
      <c r="B2164" s="12" t="inlineStr">
        <is>
          <t>GIS</t>
        </is>
      </c>
      <c r="C2164" s="13" t="inlineStr">
        <is>
          <t>2026_CIDCO_1349102_1</t>
        </is>
      </c>
      <c r="D2164" s="14" t="inlineStr">
        <is>
          <t>Drone LiDAR Topographic Survey and GIS Spatial Database Integration for Navi Mumbai Aerocity and Smart Node Infrastructure</t>
        </is>
      </c>
      <c r="E2164" s="14" t="inlineStr">
        <is>
          <t>CITY AND INDUSTRIAL DEVELOPMENT CORPORATION OF MAHARASHTRA LIMITED</t>
        </is>
      </c>
      <c r="F2164" s="13" t="inlineStr">
        <is>
          <t>11 Aug 2026</t>
        </is>
      </c>
      <c r="G2164" s="12" t="inlineStr">
        <is>
          <t>04 Sep 2026</t>
        </is>
      </c>
      <c r="H2164" s="8" t="inlineStr">
        <is>
          <t>⏳ UPCOMING</t>
        </is>
      </c>
      <c r="I2164" s="11" t="inlineStr">
        <is>
          <t>Technical_RFP_Specification_LiDAR.pdf</t>
        </is>
      </c>
      <c r="J2164" s="13" t="inlineStr">
        <is>
          <t>📕 PDF Document</t>
        </is>
      </c>
      <c r="K2164" s="15" t="n">
        <v>18</v>
      </c>
      <c r="L2164" s="16">
        <f>HYPERLINK("http://127.0.0.1:8000/api/documents/download?id=2906&amp;attachment=true", "⬇ Download Technical_RFP_Specificat")</f>
        <v/>
      </c>
      <c r="M2164" s="16">
        <f>HYPERLINK("http://localhost:5173/?state=Maharashtra&amp;keyword=GIS&amp;tender=2026_CIDCO_1349102_1", "🚀 Open in Portal")</f>
        <v/>
      </c>
    </row>
    <row r="2165" ht="24" customHeight="1">
      <c r="A2165" s="4" t="inlineStr">
        <is>
          <t>Maharashtra</t>
        </is>
      </c>
      <c r="B2165" s="5" t="inlineStr">
        <is>
          <t>GIS</t>
        </is>
      </c>
      <c r="C2165" s="6" t="inlineStr">
        <is>
          <t>2026_CIDCO_1349102_1</t>
        </is>
      </c>
      <c r="D2165" s="7" t="inlineStr">
        <is>
          <t>Drone LiDAR Topographic Survey and GIS Spatial Database Integration for Navi Mumbai Aerocity and Smart Node Infrastructure</t>
        </is>
      </c>
      <c r="E2165" s="7" t="inlineStr">
        <is>
          <t>CITY AND INDUSTRIAL DEVELOPMENT CORPORATION OF MAHARASHTRA LIMITED</t>
        </is>
      </c>
      <c r="F2165" s="6" t="inlineStr">
        <is>
          <t>11 Aug 2026</t>
        </is>
      </c>
      <c r="G2165" s="5" t="inlineStr">
        <is>
          <t>04 Sep 2026</t>
        </is>
      </c>
      <c r="H2165" s="8" t="inlineStr">
        <is>
          <t>⏳ UPCOMING</t>
        </is>
      </c>
      <c r="I2165" s="4" t="inlineStr">
        <is>
          <t>BOQ_2299102.xlsx</t>
        </is>
      </c>
      <c r="J2165" s="6" t="inlineStr">
        <is>
          <t>📊 Excel BOQ</t>
        </is>
      </c>
      <c r="K2165" s="9" t="n">
        <v>2.5</v>
      </c>
      <c r="L2165" s="10">
        <f>HYPERLINK("http://127.0.0.1:8000/api/documents/download?id=2907&amp;attachment=true", "⬇ Download BOQ_2299102.xlsx")</f>
        <v/>
      </c>
      <c r="M2165" s="10">
        <f>HYPERLINK("http://localhost:5173/?state=Maharashtra&amp;keyword=GIS&amp;tender=2026_CIDCO_1349102_1", "🚀 Open in Portal")</f>
        <v/>
      </c>
    </row>
    <row r="2166" ht="24" customHeight="1">
      <c r="A2166" s="11" t="inlineStr">
        <is>
          <t>Maharashtra</t>
        </is>
      </c>
      <c r="B2166" s="12" t="inlineStr">
        <is>
          <t>GIS</t>
        </is>
      </c>
      <c r="C2166" s="13" t="inlineStr">
        <is>
          <t>2026_CIDCO_1349102_1</t>
        </is>
      </c>
      <c r="D2166" s="14" t="inlineStr">
        <is>
          <t>Drone LiDAR Topographic Survey and GIS Spatial Database Integration for Navi Mumbai Aerocity and Smart Node Infrastructure</t>
        </is>
      </c>
      <c r="E2166" s="14" t="inlineStr">
        <is>
          <t>CITY AND INDUSTRIAL DEVELOPMENT CORPORATION OF MAHARASHTRA LIMITED</t>
        </is>
      </c>
      <c r="F2166" s="13" t="inlineStr">
        <is>
          <t>11 Aug 2026</t>
        </is>
      </c>
      <c r="G2166" s="12" t="inlineStr">
        <is>
          <t>04 Sep 2026</t>
        </is>
      </c>
      <c r="H2166" s="8" t="inlineStr">
        <is>
          <t>⏳ UPCOMING</t>
        </is>
      </c>
      <c r="I2166" s="11" t="inlineStr">
        <is>
          <t>Tender_2026_CIDCO_1349102_1_All_Documents.zip</t>
        </is>
      </c>
      <c r="J2166" s="13" t="inlineStr">
        <is>
          <t>📦 ZIP Package</t>
        </is>
      </c>
      <c r="K2166" s="15" t="n">
        <v>21.1</v>
      </c>
      <c r="L2166" s="16">
        <f>HYPERLINK("http://127.0.0.1:8000/api/documents/download?id=2908&amp;attachment=true", "⬇ Download Tender_2026_CIDCO_134910")</f>
        <v/>
      </c>
      <c r="M2166" s="16">
        <f>HYPERLINK("http://localhost:5173/?state=Maharashtra&amp;keyword=GIS&amp;tender=2026_CIDCO_1349102_1", "🚀 Open in Portal")</f>
        <v/>
      </c>
    </row>
    <row r="2167" ht="24" customHeight="1">
      <c r="A2167" s="4" t="inlineStr">
        <is>
          <t>Maharashtra</t>
        </is>
      </c>
      <c r="B2167" s="5" t="inlineStr">
        <is>
          <t>GIS</t>
        </is>
      </c>
      <c r="C2167" s="6" t="inlineStr">
        <is>
          <t>2026_CMTDM_1339488_1</t>
        </is>
      </c>
      <c r="D2167" s="7" t="inlineStr">
        <is>
          <t>[Land and Building Akot Urban Cooperative Bank Ltd Akot Deregistered Dist Akola A P Keshav Prerana Near Nagarpalika Akot Tal Akot Dist Akola Nazul Sheet No 19 Plot No 15 having area 629.14 Sq Mtr and Plot No 8 having area 309.94 Sq M total Area of 939]</t>
        </is>
      </c>
      <c r="E2167" s="7" t="inlineStr">
        <is>
          <t>Maharashtra Public Works &amp; Technology Department</t>
        </is>
      </c>
      <c r="F2167" s="6" t="inlineStr">
        <is>
          <t>12 Sep 2026</t>
        </is>
      </c>
      <c r="G2167" s="5" t="inlineStr">
        <is>
          <t>11 Oct 2026</t>
        </is>
      </c>
      <c r="H2167" s="8" t="inlineStr">
        <is>
          <t>⏳ UPCOMING</t>
        </is>
      </c>
      <c r="I2167" s="4" t="inlineStr">
        <is>
          <t>Tendernotice_1.pdf</t>
        </is>
      </c>
      <c r="J2167" s="6" t="inlineStr">
        <is>
          <t>📕 PDF Document</t>
        </is>
      </c>
      <c r="K2167" s="9" t="n">
        <v>17.9</v>
      </c>
      <c r="L2167" s="10">
        <f>HYPERLINK("http://127.0.0.1:8000/api/documents/download?id=1118&amp;attachment=true", "⬇ Download Tendernotice_1.pdf")</f>
        <v/>
      </c>
      <c r="M2167" s="10">
        <f>HYPERLINK("http://localhost:5173/?state=Maharashtra&amp;keyword=GIS&amp;tender=2026_CMTDM_1339488_1", "🚀 Open in Portal")</f>
        <v/>
      </c>
    </row>
    <row r="2168" ht="24" customHeight="1">
      <c r="A2168" s="11" t="inlineStr">
        <is>
          <t>Maharashtra</t>
        </is>
      </c>
      <c r="B2168" s="12" t="inlineStr">
        <is>
          <t>GIS</t>
        </is>
      </c>
      <c r="C2168" s="13" t="inlineStr">
        <is>
          <t>2026_CMTDM_1339488_1</t>
        </is>
      </c>
      <c r="D2168" s="14" t="inlineStr">
        <is>
          <t>[Land and Building Akot Urban Cooperative Bank Ltd Akot Deregistered Dist Akola A P Keshav Prerana Near Nagarpalika Akot Tal Akot Dist Akola Nazul Sheet No 19 Plot No 15 having area 629.14 Sq Mtr and Plot No 8 having area 309.94 Sq M total Area of 939]</t>
        </is>
      </c>
      <c r="E2168" s="14" t="inlineStr">
        <is>
          <t>Maharashtra Public Works &amp; Technology Department</t>
        </is>
      </c>
      <c r="F2168" s="13" t="inlineStr">
        <is>
          <t>12 Sep 2026</t>
        </is>
      </c>
      <c r="G2168" s="12" t="inlineStr">
        <is>
          <t>11 Oct 2026</t>
        </is>
      </c>
      <c r="H2168" s="8" t="inlineStr">
        <is>
          <t>⏳ UPCOMING</t>
        </is>
      </c>
      <c r="I2168" s="11" t="inlineStr">
        <is>
          <t>BOQ_2290183.xls</t>
        </is>
      </c>
      <c r="J2168" s="13" t="inlineStr">
        <is>
          <t>📊 Excel BOQ</t>
        </is>
      </c>
      <c r="K2168" s="15" t="n">
        <v>2.5</v>
      </c>
      <c r="L2168" s="16">
        <f>HYPERLINK("http://127.0.0.1:8000/api/documents/download?id=1119&amp;attachment=true", "⬇ Download BOQ_2290183.xls")</f>
        <v/>
      </c>
      <c r="M2168" s="16">
        <f>HYPERLINK("http://localhost:5173/?state=Maharashtra&amp;keyword=GIS&amp;tender=2026_CMTDM_1339488_1", "🚀 Open in Portal")</f>
        <v/>
      </c>
    </row>
    <row r="2169" ht="24" customHeight="1">
      <c r="A2169" s="4" t="inlineStr">
        <is>
          <t>Maharashtra</t>
        </is>
      </c>
      <c r="B2169" s="5" t="inlineStr">
        <is>
          <t>GIS</t>
        </is>
      </c>
      <c r="C2169" s="6" t="inlineStr">
        <is>
          <t>2026_CMTDM_1339488_1</t>
        </is>
      </c>
      <c r="D2169" s="7" t="inlineStr">
        <is>
          <t>[Land and Building Akot Urban Cooperative Bank Ltd Akot Deregistered Dist Akola A P Keshav Prerana Near Nagarpalika Akot Tal Akot Dist Akola Nazul Sheet No 19 Plot No 15 having area 629.14 Sq Mtr and Plot No 8 having area 309.94 Sq M total Area of 939]</t>
        </is>
      </c>
      <c r="E2169" s="7" t="inlineStr">
        <is>
          <t>Maharashtra Public Works &amp; Technology Department</t>
        </is>
      </c>
      <c r="F2169" s="6" t="inlineStr">
        <is>
          <t>12 Sep 2026</t>
        </is>
      </c>
      <c r="G2169" s="5" t="inlineStr">
        <is>
          <t>11 Oct 2026</t>
        </is>
      </c>
      <c r="H2169" s="8" t="inlineStr">
        <is>
          <t>⏳ UPCOMING</t>
        </is>
      </c>
      <c r="I2169" s="4" t="inlineStr">
        <is>
          <t>Tender_2026_CMTDM_1339488_1_All_Documents.zip</t>
        </is>
      </c>
      <c r="J2169" s="6" t="inlineStr">
        <is>
          <t>📦 ZIP Package</t>
        </is>
      </c>
      <c r="K2169" s="9" t="n">
        <v>11.6</v>
      </c>
      <c r="L2169" s="10">
        <f>HYPERLINK("http://127.0.0.1:8000/api/documents/download?id=1120&amp;attachment=true", "⬇ Download Tender_2026_CMTDM_133948")</f>
        <v/>
      </c>
      <c r="M2169" s="10">
        <f>HYPERLINK("http://localhost:5173/?state=Maharashtra&amp;keyword=GIS&amp;tender=2026_CMTDM_1339488_1", "🚀 Open in Portal")</f>
        <v/>
      </c>
    </row>
    <row r="2170" ht="24" customHeight="1">
      <c r="A2170" s="11" t="inlineStr">
        <is>
          <t>Maharashtra</t>
        </is>
      </c>
      <c r="B2170" s="12" t="inlineStr">
        <is>
          <t>GIS</t>
        </is>
      </c>
      <c r="C2170" s="13" t="inlineStr">
        <is>
          <t>2026_DMA_1343035_1</t>
        </is>
      </c>
      <c r="D2170" s="14" t="inlineStr">
        <is>
          <t>[Providing consultancy services to assist the Town Planning Officer (TPO) in preparing a revised development plan based on the Geographic Information System (GIS) for the area within the Savda Municipal Council limits]</t>
        </is>
      </c>
      <c r="E2170" s="14" t="inlineStr">
        <is>
          <t>Maharashtra Public Works &amp; Technology Department</t>
        </is>
      </c>
      <c r="F2170" s="13" t="inlineStr">
        <is>
          <t>19 Aug 2026</t>
        </is>
      </c>
      <c r="G2170" s="12" t="inlineStr">
        <is>
          <t>11 Sep 2026</t>
        </is>
      </c>
      <c r="H2170" s="8" t="inlineStr">
        <is>
          <t>⏳ UPCOMING</t>
        </is>
      </c>
      <c r="I2170" s="11" t="inlineStr">
        <is>
          <t>Tendernotice_1.pdf</t>
        </is>
      </c>
      <c r="J2170" s="13" t="inlineStr">
        <is>
          <t>📕 PDF Document</t>
        </is>
      </c>
      <c r="K2170" s="15" t="n">
        <v>17.8</v>
      </c>
      <c r="L2170" s="16">
        <f>HYPERLINK("http://127.0.0.1:8000/api/documents/download?id=1107&amp;attachment=true", "⬇ Download Tendernotice_1.pdf")</f>
        <v/>
      </c>
      <c r="M2170" s="16">
        <f>HYPERLINK("http://localhost:5173/?state=Maharashtra&amp;keyword=GIS&amp;tender=2026_DMA_1343035_1", "🚀 Open in Portal")</f>
        <v/>
      </c>
    </row>
    <row r="2171" ht="24" customHeight="1">
      <c r="A2171" s="4" t="inlineStr">
        <is>
          <t>Maharashtra</t>
        </is>
      </c>
      <c r="B2171" s="5" t="inlineStr">
        <is>
          <t>GIS</t>
        </is>
      </c>
      <c r="C2171" s="6" t="inlineStr">
        <is>
          <t>2026_DMA_1343035_1</t>
        </is>
      </c>
      <c r="D2171" s="7" t="inlineStr">
        <is>
          <t>[Providing consultancy services to assist the Town Planning Officer (TPO) in preparing a revised development plan based on the Geographic Information System (GIS) for the area within the Savda Municipal Council limits]</t>
        </is>
      </c>
      <c r="E2171" s="7" t="inlineStr">
        <is>
          <t>Maharashtra Public Works &amp; Technology Department</t>
        </is>
      </c>
      <c r="F2171" s="6" t="inlineStr">
        <is>
          <t>19 Aug 2026</t>
        </is>
      </c>
      <c r="G2171" s="5" t="inlineStr">
        <is>
          <t>11 Sep 2026</t>
        </is>
      </c>
      <c r="H2171" s="8" t="inlineStr">
        <is>
          <t>⏳ UPCOMING</t>
        </is>
      </c>
      <c r="I2171" s="4" t="inlineStr">
        <is>
          <t>BOQ_2295550.xls</t>
        </is>
      </c>
      <c r="J2171" s="6" t="inlineStr">
        <is>
          <t>📊 Excel BOQ</t>
        </is>
      </c>
      <c r="K2171" s="9" t="n">
        <v>2.5</v>
      </c>
      <c r="L2171" s="10">
        <f>HYPERLINK("http://127.0.0.1:8000/api/documents/download?id=1108&amp;attachment=true", "⬇ Download BOQ_2295550.xls")</f>
        <v/>
      </c>
      <c r="M2171" s="10">
        <f>HYPERLINK("http://localhost:5173/?state=Maharashtra&amp;keyword=GIS&amp;tender=2026_DMA_1343035_1", "🚀 Open in Portal")</f>
        <v/>
      </c>
    </row>
    <row r="2172" ht="24" customHeight="1">
      <c r="A2172" s="11" t="inlineStr">
        <is>
          <t>Maharashtra</t>
        </is>
      </c>
      <c r="B2172" s="12" t="inlineStr">
        <is>
          <t>GIS</t>
        </is>
      </c>
      <c r="C2172" s="13" t="inlineStr">
        <is>
          <t>2026_DMA_1343035_1</t>
        </is>
      </c>
      <c r="D2172" s="14" t="inlineStr">
        <is>
          <t>[Providing consultancy services to assist the Town Planning Officer (TPO) in preparing a revised development plan based on the Geographic Information System (GIS) for the area within the Savda Municipal Council limits]</t>
        </is>
      </c>
      <c r="E2172" s="14" t="inlineStr">
        <is>
          <t>Maharashtra Public Works &amp; Technology Department</t>
        </is>
      </c>
      <c r="F2172" s="13" t="inlineStr">
        <is>
          <t>19 Aug 2026</t>
        </is>
      </c>
      <c r="G2172" s="12" t="inlineStr">
        <is>
          <t>11 Sep 2026</t>
        </is>
      </c>
      <c r="H2172" s="8" t="inlineStr">
        <is>
          <t>⏳ UPCOMING</t>
        </is>
      </c>
      <c r="I2172" s="11" t="inlineStr">
        <is>
          <t>tenderdoc.pdf</t>
        </is>
      </c>
      <c r="J2172" s="13" t="inlineStr">
        <is>
          <t>📕 PDF Document</t>
        </is>
      </c>
      <c r="K2172" s="15" t="n">
        <v>17.8</v>
      </c>
      <c r="L2172" s="16">
        <f>HYPERLINK("http://127.0.0.1:8000/api/documents/download?id=1109&amp;attachment=true", "⬇ Download tenderdoc.pdf")</f>
        <v/>
      </c>
      <c r="M2172" s="16">
        <f>HYPERLINK("http://localhost:5173/?state=Maharashtra&amp;keyword=GIS&amp;tender=2026_DMA_1343035_1", "🚀 Open in Portal")</f>
        <v/>
      </c>
    </row>
    <row r="2173" ht="24" customHeight="1">
      <c r="A2173" s="4" t="inlineStr">
        <is>
          <t>Maharashtra</t>
        </is>
      </c>
      <c r="B2173" s="5" t="inlineStr">
        <is>
          <t>GIS</t>
        </is>
      </c>
      <c r="C2173" s="6" t="inlineStr">
        <is>
          <t>2026_DMA_1343035_1</t>
        </is>
      </c>
      <c r="D2173" s="7" t="inlineStr">
        <is>
          <t>[Providing consultancy services to assist the Town Planning Officer (TPO) in preparing a revised development plan based on the Geographic Information System (GIS) for the area within the Savda Municipal Council limits]</t>
        </is>
      </c>
      <c r="E2173" s="7" t="inlineStr">
        <is>
          <t>Maharashtra Public Works &amp; Technology Department</t>
        </is>
      </c>
      <c r="F2173" s="6" t="inlineStr">
        <is>
          <t>19 Aug 2026</t>
        </is>
      </c>
      <c r="G2173" s="5" t="inlineStr">
        <is>
          <t>11 Sep 2026</t>
        </is>
      </c>
      <c r="H2173" s="8" t="inlineStr">
        <is>
          <t>⏳ UPCOMING</t>
        </is>
      </c>
      <c r="I2173" s="4" t="inlineStr">
        <is>
          <t>Tender_2026_DMA_1343035_1_All_Documents.zip</t>
        </is>
      </c>
      <c r="J2173" s="6" t="inlineStr">
        <is>
          <t>📦 ZIP Package</t>
        </is>
      </c>
      <c r="K2173" s="9" t="n">
        <v>20.8</v>
      </c>
      <c r="L2173" s="10">
        <f>HYPERLINK("http://127.0.0.1:8000/api/documents/download?id=1110&amp;attachment=true", "⬇ Download Tender_2026_DMA_1343035_")</f>
        <v/>
      </c>
      <c r="M2173" s="10">
        <f>HYPERLINK("http://localhost:5173/?state=Maharashtra&amp;keyword=GIS&amp;tender=2026_DMA_1343035_1", "🚀 Open in Portal")</f>
        <v/>
      </c>
    </row>
    <row r="2174" ht="24" customHeight="1">
      <c r="A2174" s="11" t="inlineStr">
        <is>
          <t>Maharashtra</t>
        </is>
      </c>
      <c r="B2174" s="12" t="inlineStr">
        <is>
          <t>GIS</t>
        </is>
      </c>
      <c r="C2174" s="13" t="inlineStr">
        <is>
          <t>2026_MAH_7756774_47</t>
        </is>
      </c>
      <c r="D2174" s="14" t="inlineStr">
        <is>
          <t>GIS-Based Drone LiDAR Survey &amp; Web GIS Geodatabase Integration for Smart Infrastructure</t>
        </is>
      </c>
      <c r="E2174" s="14" t="inlineStr">
        <is>
          <t>DIRECTORATE OF MUNICIPAL URBAN INFRASTRUCTURE</t>
        </is>
      </c>
      <c r="F2174" s="13" t="inlineStr">
        <is>
          <t>13 Aug 2026</t>
        </is>
      </c>
      <c r="G2174" s="12" t="inlineStr">
        <is>
          <t>09 Sep 2026</t>
        </is>
      </c>
      <c r="H2174" s="8" t="inlineStr">
        <is>
          <t>⏳ UPCOMING</t>
        </is>
      </c>
      <c r="I2174" s="11" t="inlineStr">
        <is>
          <t>Tendernotice_2026_MAH_7756774_47.pdf</t>
        </is>
      </c>
      <c r="J2174" s="13" t="inlineStr">
        <is>
          <t>📕 PDF Document</t>
        </is>
      </c>
      <c r="K2174" s="15" t="n">
        <v>17.9</v>
      </c>
      <c r="L2174" s="16">
        <f>HYPERLINK("http://127.0.0.1:8000/api/documents/download?id=3065&amp;attachment=true", "⬇ Download Tendernotice_2026_MAH_77")</f>
        <v/>
      </c>
      <c r="M2174" s="16">
        <f>HYPERLINK("http://localhost:5173/?state=Maharashtra&amp;keyword=GIS&amp;tender=2026_MAH_7756774_47", "🚀 Open in Portal")</f>
        <v/>
      </c>
    </row>
    <row r="2175" ht="24" customHeight="1">
      <c r="A2175" s="4" t="inlineStr">
        <is>
          <t>Maharashtra</t>
        </is>
      </c>
      <c r="B2175" s="5" t="inlineStr">
        <is>
          <t>GIS</t>
        </is>
      </c>
      <c r="C2175" s="6" t="inlineStr">
        <is>
          <t>2026_MAH_7756774_47</t>
        </is>
      </c>
      <c r="D2175" s="7" t="inlineStr">
        <is>
          <t>GIS-Based Drone LiDAR Survey &amp; Web GIS Geodatabase Integration for Smart Infrastructure</t>
        </is>
      </c>
      <c r="E2175" s="7" t="inlineStr">
        <is>
          <t>DIRECTORATE OF MUNICIPAL URBAN INFRASTRUCTURE</t>
        </is>
      </c>
      <c r="F2175" s="6" t="inlineStr">
        <is>
          <t>13 Aug 2026</t>
        </is>
      </c>
      <c r="G2175" s="5" t="inlineStr">
        <is>
          <t>09 Sep 2026</t>
        </is>
      </c>
      <c r="H2175" s="8" t="inlineStr">
        <is>
          <t>⏳ UPCOMING</t>
        </is>
      </c>
      <c r="I2175" s="4" t="inlineStr">
        <is>
          <t>Technical_RFP_Specification_GIS.pdf</t>
        </is>
      </c>
      <c r="J2175" s="6" t="inlineStr">
        <is>
          <t>📕 PDF Document</t>
        </is>
      </c>
      <c r="K2175" s="9" t="n">
        <v>17.9</v>
      </c>
      <c r="L2175" s="10">
        <f>HYPERLINK("http://127.0.0.1:8000/api/documents/download?id=3066&amp;attachment=true", "⬇ Download Technical_RFP_Specificat")</f>
        <v/>
      </c>
      <c r="M2175" s="10">
        <f>HYPERLINK("http://localhost:5173/?state=Maharashtra&amp;keyword=GIS&amp;tender=2026_MAH_7756774_47", "🚀 Open in Portal")</f>
        <v/>
      </c>
    </row>
    <row r="2176" ht="24" customHeight="1">
      <c r="A2176" s="11" t="inlineStr">
        <is>
          <t>Maharashtra</t>
        </is>
      </c>
      <c r="B2176" s="12" t="inlineStr">
        <is>
          <t>GIS</t>
        </is>
      </c>
      <c r="C2176" s="13" t="inlineStr">
        <is>
          <t>2026_MAH_7756774_47</t>
        </is>
      </c>
      <c r="D2176" s="14" t="inlineStr">
        <is>
          <t>GIS-Based Drone LiDAR Survey &amp; Web GIS Geodatabase Integration for Smart Infrastructure</t>
        </is>
      </c>
      <c r="E2176" s="14" t="inlineStr">
        <is>
          <t>DIRECTORATE OF MUNICIPAL URBAN INFRASTRUCTURE</t>
        </is>
      </c>
      <c r="F2176" s="13" t="inlineStr">
        <is>
          <t>13 Aug 2026</t>
        </is>
      </c>
      <c r="G2176" s="12" t="inlineStr">
        <is>
          <t>09 Sep 2026</t>
        </is>
      </c>
      <c r="H2176" s="8" t="inlineStr">
        <is>
          <t>⏳ UPCOMING</t>
        </is>
      </c>
      <c r="I2176" s="11" t="inlineStr">
        <is>
          <t>BOQ_Financial_Schedule_2026_MAH_7756774_47.xlsx</t>
        </is>
      </c>
      <c r="J2176" s="13" t="inlineStr">
        <is>
          <t>📊 Excel BOQ</t>
        </is>
      </c>
      <c r="K2176" s="15" t="n">
        <v>2.5</v>
      </c>
      <c r="L2176" s="16">
        <f>HYPERLINK("http://127.0.0.1:8000/api/documents/download?id=3067&amp;attachment=true", "⬇ Download BOQ_Financial_Schedule_2")</f>
        <v/>
      </c>
      <c r="M2176" s="16">
        <f>HYPERLINK("http://localhost:5173/?state=Maharashtra&amp;keyword=GIS&amp;tender=2026_MAH_7756774_47", "🚀 Open in Portal")</f>
        <v/>
      </c>
    </row>
    <row r="2177" ht="24" customHeight="1">
      <c r="A2177" s="4" t="inlineStr">
        <is>
          <t>Maharashtra</t>
        </is>
      </c>
      <c r="B2177" s="5" t="inlineStr">
        <is>
          <t>GIS</t>
        </is>
      </c>
      <c r="C2177" s="6" t="inlineStr">
        <is>
          <t>2026_MAH_7756774_47</t>
        </is>
      </c>
      <c r="D2177" s="7" t="inlineStr">
        <is>
          <t>GIS-Based Drone LiDAR Survey &amp; Web GIS Geodatabase Integration for Smart Infrastructure</t>
        </is>
      </c>
      <c r="E2177" s="7" t="inlineStr">
        <is>
          <t>DIRECTORATE OF MUNICIPAL URBAN INFRASTRUCTURE</t>
        </is>
      </c>
      <c r="F2177" s="6" t="inlineStr">
        <is>
          <t>13 Aug 2026</t>
        </is>
      </c>
      <c r="G2177" s="5" t="inlineStr">
        <is>
          <t>09 Sep 2026</t>
        </is>
      </c>
      <c r="H2177" s="8" t="inlineStr">
        <is>
          <t>⏳ UPCOMING</t>
        </is>
      </c>
      <c r="I2177" s="4" t="inlineStr">
        <is>
          <t>Tender_2026_MAH_7756774_47_All_Documents.zip</t>
        </is>
      </c>
      <c r="J2177" s="6" t="inlineStr">
        <is>
          <t>📦 ZIP Package</t>
        </is>
      </c>
      <c r="K2177" s="9" t="n">
        <v>45</v>
      </c>
      <c r="L2177" s="10">
        <f>HYPERLINK("https://mahatenders.gov.in/tender/2026_MAH_7756774_47", "⬇ Download Tender_2026_MAH_7756774_")</f>
        <v/>
      </c>
      <c r="M2177" s="10">
        <f>HYPERLINK("http://localhost:5173/?state=Maharashtra&amp;keyword=GIS&amp;tender=2026_MAH_7756774_47", "🚀 Open in Portal")</f>
        <v/>
      </c>
    </row>
    <row r="2178" ht="24" customHeight="1">
      <c r="A2178" s="11" t="inlineStr">
        <is>
          <t>Maharashtra</t>
        </is>
      </c>
      <c r="B2178" s="12" t="inlineStr">
        <is>
          <t>GIS</t>
        </is>
      </c>
      <c r="C2178" s="13" t="inlineStr">
        <is>
          <t>2026_MCGM_1343426_1</t>
        </is>
      </c>
      <c r="D2178" s="14" t="inlineStr">
        <is>
          <t>[Work of dismantling, shifting, modification and reinstallation of SDFU unit with door of Registratio]</t>
        </is>
      </c>
      <c r="E2178" s="14" t="inlineStr">
        <is>
          <t>Maharashtra Public Works &amp; Technology Department</t>
        </is>
      </c>
      <c r="F2178" s="13" t="inlineStr">
        <is>
          <t>11 Aug 2026</t>
        </is>
      </c>
      <c r="G2178" s="12" t="inlineStr">
        <is>
          <t>08 Sep 2026</t>
        </is>
      </c>
      <c r="H2178" s="8" t="inlineStr">
        <is>
          <t>⏳ UPCOMING</t>
        </is>
      </c>
      <c r="I2178" s="11" t="inlineStr">
        <is>
          <t>Tendernotice_1.pdf</t>
        </is>
      </c>
      <c r="J2178" s="13" t="inlineStr">
        <is>
          <t>📕 PDF Document</t>
        </is>
      </c>
      <c r="K2178" s="15" t="n">
        <v>17.9</v>
      </c>
      <c r="L2178" s="16">
        <f>HYPERLINK("http://127.0.0.1:8000/api/documents/download?id=1096&amp;attachment=true", "⬇ Download Tendernotice_1.pdf")</f>
        <v/>
      </c>
      <c r="M2178" s="16">
        <f>HYPERLINK("http://localhost:5173/?state=Maharashtra&amp;keyword=GIS&amp;tender=2026_MCGM_1343426_1", "🚀 Open in Portal")</f>
        <v/>
      </c>
    </row>
    <row r="2179" ht="24" customHeight="1">
      <c r="A2179" s="4" t="inlineStr">
        <is>
          <t>Maharashtra</t>
        </is>
      </c>
      <c r="B2179" s="5" t="inlineStr">
        <is>
          <t>GIS</t>
        </is>
      </c>
      <c r="C2179" s="6" t="inlineStr">
        <is>
          <t>2026_MCGM_1343426_1</t>
        </is>
      </c>
      <c r="D2179" s="7" t="inlineStr">
        <is>
          <t>[Work of dismantling, shifting, modification and reinstallation of SDFU unit with door of Registratio]</t>
        </is>
      </c>
      <c r="E2179" s="7" t="inlineStr">
        <is>
          <t>Maharashtra Public Works &amp; Technology Department</t>
        </is>
      </c>
      <c r="F2179" s="6" t="inlineStr">
        <is>
          <t>11 Aug 2026</t>
        </is>
      </c>
      <c r="G2179" s="5" t="inlineStr">
        <is>
          <t>08 Sep 2026</t>
        </is>
      </c>
      <c r="H2179" s="8" t="inlineStr">
        <is>
          <t>⏳ UPCOMING</t>
        </is>
      </c>
      <c r="I2179" s="4" t="inlineStr">
        <is>
          <t>Tenderdocument.pdf</t>
        </is>
      </c>
      <c r="J2179" s="6" t="inlineStr">
        <is>
          <t>📕 PDF Document</t>
        </is>
      </c>
      <c r="K2179" s="9" t="n">
        <v>17.9</v>
      </c>
      <c r="L2179" s="10">
        <f>HYPERLINK("http://127.0.0.1:8000/api/documents/download?id=1097&amp;attachment=true", "⬇ Download Tenderdocument.pdf")</f>
        <v/>
      </c>
      <c r="M2179" s="10">
        <f>HYPERLINK("http://localhost:5173/?state=Maharashtra&amp;keyword=GIS&amp;tender=2026_MCGM_1343426_1", "🚀 Open in Portal")</f>
        <v/>
      </c>
    </row>
    <row r="2180" ht="24" customHeight="1">
      <c r="A2180" s="11" t="inlineStr">
        <is>
          <t>Maharashtra</t>
        </is>
      </c>
      <c r="B2180" s="12" t="inlineStr">
        <is>
          <t>GIS</t>
        </is>
      </c>
      <c r="C2180" s="13" t="inlineStr">
        <is>
          <t>2026_MCGM_1343426_1</t>
        </is>
      </c>
      <c r="D2180" s="14" t="inlineStr">
        <is>
          <t>[Work of dismantling, shifting, modification and reinstallation of SDFU unit with door of Registratio]</t>
        </is>
      </c>
      <c r="E2180" s="14" t="inlineStr">
        <is>
          <t>Maharashtra Public Works &amp; Technology Department</t>
        </is>
      </c>
      <c r="F2180" s="13" t="inlineStr">
        <is>
          <t>11 Aug 2026</t>
        </is>
      </c>
      <c r="G2180" s="12" t="inlineStr">
        <is>
          <t>08 Sep 2026</t>
        </is>
      </c>
      <c r="H2180" s="8" t="inlineStr">
        <is>
          <t>⏳ UPCOMING</t>
        </is>
      </c>
      <c r="I2180" s="11" t="inlineStr">
        <is>
          <t>BOQ_2296313.xls</t>
        </is>
      </c>
      <c r="J2180" s="13" t="inlineStr">
        <is>
          <t>📊 Excel BOQ</t>
        </is>
      </c>
      <c r="K2180" s="15" t="n">
        <v>2.5</v>
      </c>
      <c r="L2180" s="16">
        <f>HYPERLINK("http://127.0.0.1:8000/api/documents/download?id=1098&amp;attachment=true", "⬇ Download BOQ_2296313.xls")</f>
        <v/>
      </c>
      <c r="M2180" s="16">
        <f>HYPERLINK("http://localhost:5173/?state=Maharashtra&amp;keyword=GIS&amp;tender=2026_MCGM_1343426_1", "🚀 Open in Portal")</f>
        <v/>
      </c>
    </row>
    <row r="2181" ht="24" customHeight="1">
      <c r="A2181" s="4" t="inlineStr">
        <is>
          <t>Maharashtra</t>
        </is>
      </c>
      <c r="B2181" s="5" t="inlineStr">
        <is>
          <t>GIS</t>
        </is>
      </c>
      <c r="C2181" s="6" t="inlineStr">
        <is>
          <t>2026_MCGM_1343426_1</t>
        </is>
      </c>
      <c r="D2181" s="7" t="inlineStr">
        <is>
          <t>[Work of dismantling, shifting, modification and reinstallation of SDFU unit with door of Registratio]</t>
        </is>
      </c>
      <c r="E2181" s="7" t="inlineStr">
        <is>
          <t>Maharashtra Public Works &amp; Technology Department</t>
        </is>
      </c>
      <c r="F2181" s="6" t="inlineStr">
        <is>
          <t>11 Aug 2026</t>
        </is>
      </c>
      <c r="G2181" s="5" t="inlineStr">
        <is>
          <t>08 Sep 2026</t>
        </is>
      </c>
      <c r="H2181" s="8" t="inlineStr">
        <is>
          <t>⏳ UPCOMING</t>
        </is>
      </c>
      <c r="I2181" s="4" t="inlineStr">
        <is>
          <t>Tender_2026_MCGM_1343426_1_All_Documents.zip</t>
        </is>
      </c>
      <c r="J2181" s="6" t="inlineStr">
        <is>
          <t>📦 ZIP Package</t>
        </is>
      </c>
      <c r="K2181" s="9" t="n">
        <v>20.8</v>
      </c>
      <c r="L2181" s="10">
        <f>HYPERLINK("http://127.0.0.1:8000/api/documents/download?id=1099&amp;attachment=true", "⬇ Download Tender_2026_MCGM_1343426")</f>
        <v/>
      </c>
      <c r="M2181" s="10">
        <f>HYPERLINK("http://localhost:5173/?state=Maharashtra&amp;keyword=GIS&amp;tender=2026_MCGM_1343426_1", "🚀 Open in Portal")</f>
        <v/>
      </c>
    </row>
    <row r="2182" ht="24" customHeight="1">
      <c r="A2182" s="11" t="inlineStr">
        <is>
          <t>Maharashtra</t>
        </is>
      </c>
      <c r="B2182" s="12" t="inlineStr">
        <is>
          <t>GIS</t>
        </is>
      </c>
      <c r="C2182" s="13" t="inlineStr">
        <is>
          <t>2026_MLS_1342115_1</t>
        </is>
      </c>
      <c r="D2182" s="14" t="inlineStr">
        <is>
          <t>[Provision of drivers through outsourcing in the Maharashtra Legislature Secretariat]</t>
        </is>
      </c>
      <c r="E2182" s="14" t="inlineStr">
        <is>
          <t>Maharashtra Public Works &amp; Technology Department</t>
        </is>
      </c>
      <c r="F2182" s="13" t="inlineStr">
        <is>
          <t>16 Oct 2026</t>
        </is>
      </c>
      <c r="G2182" s="12" t="inlineStr">
        <is>
          <t>16 Nov 2026</t>
        </is>
      </c>
      <c r="H2182" s="17" t="inlineStr">
        <is>
          <t>🟢 LIVE ACTIVE</t>
        </is>
      </c>
      <c r="I2182" s="11" t="inlineStr">
        <is>
          <t>Tendernotice_1.pdf</t>
        </is>
      </c>
      <c r="J2182" s="13" t="inlineStr">
        <is>
          <t>📕 PDF Document</t>
        </is>
      </c>
      <c r="K2182" s="15" t="n">
        <v>17.9</v>
      </c>
      <c r="L2182" s="16">
        <f>HYPERLINK("http://127.0.0.1:8000/api/documents/download?id=99&amp;attachment=true", "⬇ Download Tendernotice_1.pdf")</f>
        <v/>
      </c>
      <c r="M2182" s="16">
        <f>HYPERLINK("http://localhost:5173/?state=Maharashtra&amp;keyword=GIS&amp;tender=2026_MLS_1342115_1", "🚀 Open in Portal")</f>
        <v/>
      </c>
    </row>
    <row r="2183" ht="24" customHeight="1">
      <c r="A2183" s="4" t="inlineStr">
        <is>
          <t>Maharashtra</t>
        </is>
      </c>
      <c r="B2183" s="5" t="inlineStr">
        <is>
          <t>GIS</t>
        </is>
      </c>
      <c r="C2183" s="6" t="inlineStr">
        <is>
          <t>2026_MLS_1342115_1</t>
        </is>
      </c>
      <c r="D2183" s="7" t="inlineStr">
        <is>
          <t>[Provision of drivers through outsourcing in the Maharashtra Legislature Secretariat]</t>
        </is>
      </c>
      <c r="E2183" s="7" t="inlineStr">
        <is>
          <t>Maharashtra Public Works &amp; Technology Department</t>
        </is>
      </c>
      <c r="F2183" s="6" t="inlineStr">
        <is>
          <t>16 Oct 2026</t>
        </is>
      </c>
      <c r="G2183" s="5" t="inlineStr">
        <is>
          <t>16 Nov 2026</t>
        </is>
      </c>
      <c r="H2183" s="17" t="inlineStr">
        <is>
          <t>🟢 LIVE ACTIVE</t>
        </is>
      </c>
      <c r="I2183" s="4" t="inlineStr">
        <is>
          <t>TOC.pdf</t>
        </is>
      </c>
      <c r="J2183" s="6" t="inlineStr">
        <is>
          <t>📕 PDF Document</t>
        </is>
      </c>
      <c r="K2183" s="9" t="n">
        <v>17.8</v>
      </c>
      <c r="L2183" s="10">
        <f>HYPERLINK("http://127.0.0.1:8000/api/documents/download?id=100&amp;attachment=true", "⬇ Download TOC.pdf")</f>
        <v/>
      </c>
      <c r="M2183" s="10">
        <f>HYPERLINK("http://localhost:5173/?state=Maharashtra&amp;keyword=GIS&amp;tender=2026_MLS_1342115_1", "🚀 Open in Portal")</f>
        <v/>
      </c>
    </row>
    <row r="2184" ht="24" customHeight="1">
      <c r="A2184" s="11" t="inlineStr">
        <is>
          <t>Maharashtra</t>
        </is>
      </c>
      <c r="B2184" s="12" t="inlineStr">
        <is>
          <t>GIS</t>
        </is>
      </c>
      <c r="C2184" s="13" t="inlineStr">
        <is>
          <t>2026_MLS_1342115_1</t>
        </is>
      </c>
      <c r="D2184" s="14" t="inlineStr">
        <is>
          <t>[Provision of drivers through outsourcing in the Maharashtra Legislature Secretariat]</t>
        </is>
      </c>
      <c r="E2184" s="14" t="inlineStr">
        <is>
          <t>Maharashtra Public Works &amp; Technology Department</t>
        </is>
      </c>
      <c r="F2184" s="13" t="inlineStr">
        <is>
          <t>16 Oct 2026</t>
        </is>
      </c>
      <c r="G2184" s="12" t="inlineStr">
        <is>
          <t>16 Nov 2026</t>
        </is>
      </c>
      <c r="H2184" s="17" t="inlineStr">
        <is>
          <t>🟢 LIVE ACTIVE</t>
        </is>
      </c>
      <c r="I2184" s="11" t="inlineStr">
        <is>
          <t>Tender_2026_MLS_1342115_1_All_Documents.zip</t>
        </is>
      </c>
      <c r="J2184" s="13" t="inlineStr">
        <is>
          <t>📦 ZIP Package</t>
        </is>
      </c>
      <c r="K2184" s="15" t="n">
        <v>18.5</v>
      </c>
      <c r="L2184" s="16">
        <f>HYPERLINK("http://127.0.0.1:8000/api/documents/download?id=101&amp;attachment=true", "⬇ Download Tender_2026_MLS_1342115_")</f>
        <v/>
      </c>
      <c r="M2184" s="16">
        <f>HYPERLINK("http://localhost:5173/?state=Maharashtra&amp;keyword=GIS&amp;tender=2026_MLS_1342115_1", "🚀 Open in Portal")</f>
        <v/>
      </c>
    </row>
    <row r="2185" ht="24" customHeight="1">
      <c r="A2185" s="4" t="inlineStr">
        <is>
          <t>Maharashtra</t>
        </is>
      </c>
      <c r="B2185" s="5" t="inlineStr">
        <is>
          <t>GIS</t>
        </is>
      </c>
      <c r="C2185" s="6" t="inlineStr">
        <is>
          <t>2026_PALGH_1342597_1</t>
        </is>
      </c>
      <c r="D2185" s="7" t="inlineStr">
        <is>
          <t>[Purchase of materials for ASHA workers (Register Set) (7-No.) at ]</t>
        </is>
      </c>
      <c r="E2185" s="7" t="inlineStr">
        <is>
          <t>Maharashtra Public Works &amp; Technology Department</t>
        </is>
      </c>
      <c r="F2185" s="6" t="inlineStr">
        <is>
          <t>20 Oct 2026</t>
        </is>
      </c>
      <c r="G2185" s="5" t="inlineStr">
        <is>
          <t>10 Nov 2026</t>
        </is>
      </c>
      <c r="H2185" s="8" t="inlineStr">
        <is>
          <t>⏳ UPCOMING</t>
        </is>
      </c>
      <c r="I2185" s="4" t="inlineStr">
        <is>
          <t>Tendernotice_1.pdf</t>
        </is>
      </c>
      <c r="J2185" s="6" t="inlineStr">
        <is>
          <t>📕 PDF Document</t>
        </is>
      </c>
      <c r="K2185" s="9" t="n">
        <v>17.9</v>
      </c>
      <c r="L2185" s="10">
        <f>HYPERLINK("http://127.0.0.1:8000/api/documents/download?id=1111&amp;attachment=true", "⬇ Download Tendernotice_1.pdf")</f>
        <v/>
      </c>
      <c r="M2185" s="10">
        <f>HYPERLINK("http://localhost:5173/?state=Maharashtra&amp;keyword=GIS&amp;tender=2026_PALGH_1342597_1", "🚀 Open in Portal")</f>
        <v/>
      </c>
    </row>
    <row r="2186" ht="24" customHeight="1">
      <c r="A2186" s="11" t="inlineStr">
        <is>
          <t>Maharashtra</t>
        </is>
      </c>
      <c r="B2186" s="12" t="inlineStr">
        <is>
          <t>GIS</t>
        </is>
      </c>
      <c r="C2186" s="13" t="inlineStr">
        <is>
          <t>2026_PALGH_1342597_1</t>
        </is>
      </c>
      <c r="D2186" s="14" t="inlineStr">
        <is>
          <t>[Purchase of materials for ASHA workers (Register Set) (7-No.) at ]</t>
        </is>
      </c>
      <c r="E2186" s="14" t="inlineStr">
        <is>
          <t>Maharashtra Public Works &amp; Technology Department</t>
        </is>
      </c>
      <c r="F2186" s="13" t="inlineStr">
        <is>
          <t>20 Oct 2026</t>
        </is>
      </c>
      <c r="G2186" s="12" t="inlineStr">
        <is>
          <t>10 Nov 2026</t>
        </is>
      </c>
      <c r="H2186" s="8" t="inlineStr">
        <is>
          <t>⏳ UPCOMING</t>
        </is>
      </c>
      <c r="I2186" s="11" t="inlineStr">
        <is>
          <t>BOQ_2294828.xls</t>
        </is>
      </c>
      <c r="J2186" s="13" t="inlineStr">
        <is>
          <t>📊 Excel BOQ</t>
        </is>
      </c>
      <c r="K2186" s="15" t="n">
        <v>2.4</v>
      </c>
      <c r="L2186" s="16">
        <f>HYPERLINK("http://127.0.0.1:8000/api/documents/download?id=1112&amp;attachment=true", "⬇ Download BOQ_2294828.xls")</f>
        <v/>
      </c>
      <c r="M2186" s="16">
        <f>HYPERLINK("http://localhost:5173/?state=Maharashtra&amp;keyword=GIS&amp;tender=2026_PALGH_1342597_1", "🚀 Open in Portal")</f>
        <v/>
      </c>
    </row>
    <row r="2187" ht="24" customHeight="1">
      <c r="A2187" s="4" t="inlineStr">
        <is>
          <t>Maharashtra</t>
        </is>
      </c>
      <c r="B2187" s="5" t="inlineStr">
        <is>
          <t>GIS</t>
        </is>
      </c>
      <c r="C2187" s="6" t="inlineStr">
        <is>
          <t>2026_PALGH_1342597_1</t>
        </is>
      </c>
      <c r="D2187" s="7" t="inlineStr">
        <is>
          <t>[Purchase of materials for ASHA workers (Register Set) (7-No.) at ]</t>
        </is>
      </c>
      <c r="E2187" s="7" t="inlineStr">
        <is>
          <t>Maharashtra Public Works &amp; Technology Department</t>
        </is>
      </c>
      <c r="F2187" s="6" t="inlineStr">
        <is>
          <t>20 Oct 2026</t>
        </is>
      </c>
      <c r="G2187" s="5" t="inlineStr">
        <is>
          <t>10 Nov 2026</t>
        </is>
      </c>
      <c r="H2187" s="8" t="inlineStr">
        <is>
          <t>⏳ UPCOMING</t>
        </is>
      </c>
      <c r="I2187" s="4" t="inlineStr">
        <is>
          <t>Tender_2026_PALGH_1342597_1_All_Documents.zip</t>
        </is>
      </c>
      <c r="J2187" s="6" t="inlineStr">
        <is>
          <t>📦 ZIP Package</t>
        </is>
      </c>
      <c r="K2187" s="9" t="n">
        <v>11.6</v>
      </c>
      <c r="L2187" s="10">
        <f>HYPERLINK("http://127.0.0.1:8000/api/documents/download?id=1113&amp;attachment=true", "⬇ Download Tender_2026_PALGH_134259")</f>
        <v/>
      </c>
      <c r="M2187" s="10">
        <f>HYPERLINK("http://localhost:5173/?state=Maharashtra&amp;keyword=GIS&amp;tender=2026_PALGH_1342597_1", "🚀 Open in Portal")</f>
        <v/>
      </c>
    </row>
    <row r="2188" ht="24" customHeight="1">
      <c r="A2188" s="11" t="inlineStr">
        <is>
          <t>Maharashtra</t>
        </is>
      </c>
      <c r="B2188" s="12" t="inlineStr">
        <is>
          <t>GIS</t>
        </is>
      </c>
      <c r="C2188" s="13" t="inlineStr">
        <is>
          <t>2026_PWR_1343738_1</t>
        </is>
      </c>
      <c r="D2188" s="14" t="inlineStr">
        <is>
          <t>[Appointment of NDMC Registered Architect for Architectural, Planning, Designing, Structural and MEP Consultancy Services for the Planning and Construction of Government Residential Quarters at Old Maharashtra Sadan, New Delhi.]</t>
        </is>
      </c>
      <c r="E2188" s="14" t="inlineStr">
        <is>
          <t>Maharashtra Public Works &amp; Technology Department</t>
        </is>
      </c>
      <c r="F2188" s="13" t="inlineStr">
        <is>
          <t>20 Aug 2026</t>
        </is>
      </c>
      <c r="G2188" s="12" t="inlineStr">
        <is>
          <t>11 Sep 2026</t>
        </is>
      </c>
      <c r="H2188" s="8" t="inlineStr">
        <is>
          <t>⏳ UPCOMING</t>
        </is>
      </c>
      <c r="I2188" s="11" t="inlineStr">
        <is>
          <t>Tendernotice_1.pdf</t>
        </is>
      </c>
      <c r="J2188" s="13" t="inlineStr">
        <is>
          <t>📕 PDF Document</t>
        </is>
      </c>
      <c r="K2188" s="15" t="n">
        <v>17.8</v>
      </c>
      <c r="L2188" s="16">
        <f>HYPERLINK("http://127.0.0.1:8000/api/documents/download?id=1100&amp;attachment=true", "⬇ Download Tendernotice_1.pdf")</f>
        <v/>
      </c>
      <c r="M2188" s="16">
        <f>HYPERLINK("http://localhost:5173/?state=Maharashtra&amp;keyword=GIS&amp;tender=2026_PWR_1343738_1", "🚀 Open in Portal")</f>
        <v/>
      </c>
    </row>
    <row r="2189" ht="24" customHeight="1">
      <c r="A2189" s="4" t="inlineStr">
        <is>
          <t>Maharashtra</t>
        </is>
      </c>
      <c r="B2189" s="5" t="inlineStr">
        <is>
          <t>GIS</t>
        </is>
      </c>
      <c r="C2189" s="6" t="inlineStr">
        <is>
          <t>2026_PWR_1343738_1</t>
        </is>
      </c>
      <c r="D2189" s="7" t="inlineStr">
        <is>
          <t>[Appointment of NDMC Registered Architect for Architectural, Planning, Designing, Structural and MEP Consultancy Services for the Planning and Construction of Government Residential Quarters at Old Maharashtra Sadan, New Delhi.]</t>
        </is>
      </c>
      <c r="E2189" s="7" t="inlineStr">
        <is>
          <t>Maharashtra Public Works &amp; Technology Department</t>
        </is>
      </c>
      <c r="F2189" s="6" t="inlineStr">
        <is>
          <t>20 Aug 2026</t>
        </is>
      </c>
      <c r="G2189" s="5" t="inlineStr">
        <is>
          <t>11 Sep 2026</t>
        </is>
      </c>
      <c r="H2189" s="8" t="inlineStr">
        <is>
          <t>⏳ UPCOMING</t>
        </is>
      </c>
      <c r="I2189" s="4" t="inlineStr">
        <is>
          <t>Delhi_RFP.pdf</t>
        </is>
      </c>
      <c r="J2189" s="6" t="inlineStr">
        <is>
          <t>📕 PDF Document</t>
        </is>
      </c>
      <c r="K2189" s="9" t="n">
        <v>17.8</v>
      </c>
      <c r="L2189" s="10">
        <f>HYPERLINK("http://127.0.0.1:8000/api/documents/download?id=1101&amp;attachment=true", "⬇ Download Delhi_RFP.pdf")</f>
        <v/>
      </c>
      <c r="M2189" s="10">
        <f>HYPERLINK("http://localhost:5173/?state=Maharashtra&amp;keyword=GIS&amp;tender=2026_PWR_1343738_1", "🚀 Open in Portal")</f>
        <v/>
      </c>
    </row>
    <row r="2190" ht="24" customHeight="1">
      <c r="A2190" s="11" t="inlineStr">
        <is>
          <t>Maharashtra</t>
        </is>
      </c>
      <c r="B2190" s="12" t="inlineStr">
        <is>
          <t>GIS</t>
        </is>
      </c>
      <c r="C2190" s="13" t="inlineStr">
        <is>
          <t>2026_PWR_1343738_1</t>
        </is>
      </c>
      <c r="D2190" s="14" t="inlineStr">
        <is>
          <t>[Appointment of NDMC Registered Architect for Architectural, Planning, Designing, Structural and MEP Consultancy Services for the Planning and Construction of Government Residential Quarters at Old Maharashtra Sadan, New Delhi.]</t>
        </is>
      </c>
      <c r="E2190" s="14" t="inlineStr">
        <is>
          <t>Maharashtra Public Works &amp; Technology Department</t>
        </is>
      </c>
      <c r="F2190" s="13" t="inlineStr">
        <is>
          <t>20 Aug 2026</t>
        </is>
      </c>
      <c r="G2190" s="12" t="inlineStr">
        <is>
          <t>11 Sep 2026</t>
        </is>
      </c>
      <c r="H2190" s="8" t="inlineStr">
        <is>
          <t>⏳ UPCOMING</t>
        </is>
      </c>
      <c r="I2190" s="11" t="inlineStr">
        <is>
          <t>BOQ_2296706.xls</t>
        </is>
      </c>
      <c r="J2190" s="13" t="inlineStr">
        <is>
          <t>📊 Excel BOQ</t>
        </is>
      </c>
      <c r="K2190" s="15" t="n">
        <v>2.5</v>
      </c>
      <c r="L2190" s="16">
        <f>HYPERLINK("http://127.0.0.1:8000/api/documents/download?id=1102&amp;attachment=true", "⬇ Download BOQ_2296706.xls")</f>
        <v/>
      </c>
      <c r="M2190" s="16">
        <f>HYPERLINK("http://localhost:5173/?state=Maharashtra&amp;keyword=GIS&amp;tender=2026_PWR_1343738_1", "🚀 Open in Portal")</f>
        <v/>
      </c>
    </row>
    <row r="2191" ht="24" customHeight="1">
      <c r="A2191" s="4" t="inlineStr">
        <is>
          <t>Maharashtra</t>
        </is>
      </c>
      <c r="B2191" s="5" t="inlineStr">
        <is>
          <t>GIS</t>
        </is>
      </c>
      <c r="C2191" s="6" t="inlineStr">
        <is>
          <t>2026_PWR_1343738_1</t>
        </is>
      </c>
      <c r="D2191" s="7" t="inlineStr">
        <is>
          <t>[Appointment of NDMC Registered Architect for Architectural, Planning, Designing, Structural and MEP Consultancy Services for the Planning and Construction of Government Residential Quarters at Old Maharashtra Sadan, New Delhi.]</t>
        </is>
      </c>
      <c r="E2191" s="7" t="inlineStr">
        <is>
          <t>Maharashtra Public Works &amp; Technology Department</t>
        </is>
      </c>
      <c r="F2191" s="6" t="inlineStr">
        <is>
          <t>20 Aug 2026</t>
        </is>
      </c>
      <c r="G2191" s="5" t="inlineStr">
        <is>
          <t>11 Sep 2026</t>
        </is>
      </c>
      <c r="H2191" s="8" t="inlineStr">
        <is>
          <t>⏳ UPCOMING</t>
        </is>
      </c>
      <c r="I2191" s="4" t="inlineStr">
        <is>
          <t>Tender_2026_PWR_1343738_1_All_Documents.zip</t>
        </is>
      </c>
      <c r="J2191" s="6" t="inlineStr">
        <is>
          <t>📦 ZIP Package</t>
        </is>
      </c>
      <c r="K2191" s="9" t="n">
        <v>20.8</v>
      </c>
      <c r="L2191" s="10">
        <f>HYPERLINK("http://127.0.0.1:8000/api/documents/download?id=1103&amp;attachment=true", "⬇ Download Tender_2026_PWR_1343738_")</f>
        <v/>
      </c>
      <c r="M2191" s="10">
        <f>HYPERLINK("http://localhost:5173/?state=Maharashtra&amp;keyword=GIS&amp;tender=2026_PWR_1343738_1", "🚀 Open in Portal")</f>
        <v/>
      </c>
    </row>
    <row r="2192" ht="24" customHeight="1">
      <c r="A2192" s="11" t="inlineStr">
        <is>
          <t>Maharashtra</t>
        </is>
      </c>
      <c r="B2192" s="12" t="inlineStr">
        <is>
          <t>GIS</t>
        </is>
      </c>
      <c r="C2192" s="13" t="inlineStr">
        <is>
          <t>2026_SCDLR_1343715_1</t>
        </is>
      </c>
      <c r="D2192" s="14" t="inlineStr">
        <is>
          <t>[Selection of an Agency for field-based grievance redressal facilitation for Shet Rasta and allied digital services of Revenue, Registration and Land Records]</t>
        </is>
      </c>
      <c r="E2192" s="14" t="inlineStr">
        <is>
          <t>Maharashtra Public Works &amp; Technology Department</t>
        </is>
      </c>
      <c r="F2192" s="13" t="inlineStr">
        <is>
          <t>25 Oct 2026</t>
        </is>
      </c>
      <c r="G2192" s="12" t="inlineStr">
        <is>
          <t>15 Nov 2026</t>
        </is>
      </c>
      <c r="H2192" s="8" t="inlineStr">
        <is>
          <t>⏳ UPCOMING</t>
        </is>
      </c>
      <c r="I2192" s="11" t="inlineStr">
        <is>
          <t>Tendernotice_1.pdf</t>
        </is>
      </c>
      <c r="J2192" s="13" t="inlineStr">
        <is>
          <t>📕 PDF Document</t>
        </is>
      </c>
      <c r="K2192" s="15" t="n">
        <v>17.9</v>
      </c>
      <c r="L2192" s="16">
        <f>HYPERLINK("http://127.0.0.1:8000/api/documents/download?id=1104&amp;attachment=true", "⬇ Download Tendernotice_1.pdf")</f>
        <v/>
      </c>
      <c r="M2192" s="16">
        <f>HYPERLINK("http://localhost:5173/?state=Maharashtra&amp;keyword=GIS&amp;tender=2026_SCDLR_1343715_1", "🚀 Open in Portal")</f>
        <v/>
      </c>
    </row>
    <row r="2193" ht="24" customHeight="1">
      <c r="A2193" s="4" t="inlineStr">
        <is>
          <t>Maharashtra</t>
        </is>
      </c>
      <c r="B2193" s="5" t="inlineStr">
        <is>
          <t>GIS</t>
        </is>
      </c>
      <c r="C2193" s="6" t="inlineStr">
        <is>
          <t>2026_SCDLR_1343715_1</t>
        </is>
      </c>
      <c r="D2193" s="7" t="inlineStr">
        <is>
          <t>[Selection of an Agency for field-based grievance redressal facilitation for Shet Rasta and allied digital services of Revenue, Registration and Land Records]</t>
        </is>
      </c>
      <c r="E2193" s="7" t="inlineStr">
        <is>
          <t>Maharashtra Public Works &amp; Technology Department</t>
        </is>
      </c>
      <c r="F2193" s="6" t="inlineStr">
        <is>
          <t>25 Oct 2026</t>
        </is>
      </c>
      <c r="G2193" s="5" t="inlineStr">
        <is>
          <t>15 Nov 2026</t>
        </is>
      </c>
      <c r="H2193" s="8" t="inlineStr">
        <is>
          <t>⏳ UPCOMING</t>
        </is>
      </c>
      <c r="I2193" s="4" t="inlineStr">
        <is>
          <t>EOI.pdf</t>
        </is>
      </c>
      <c r="J2193" s="6" t="inlineStr">
        <is>
          <t>📕 PDF Document</t>
        </is>
      </c>
      <c r="K2193" s="9" t="n">
        <v>17.8</v>
      </c>
      <c r="L2193" s="10">
        <f>HYPERLINK("http://127.0.0.1:8000/api/documents/download?id=1105&amp;attachment=true", "⬇ Download EOI.pdf")</f>
        <v/>
      </c>
      <c r="M2193" s="10">
        <f>HYPERLINK("http://localhost:5173/?state=Maharashtra&amp;keyword=GIS&amp;tender=2026_SCDLR_1343715_1", "🚀 Open in Portal")</f>
        <v/>
      </c>
    </row>
    <row r="2194" ht="24" customHeight="1">
      <c r="A2194" s="11" t="inlineStr">
        <is>
          <t>Maharashtra</t>
        </is>
      </c>
      <c r="B2194" s="12" t="inlineStr">
        <is>
          <t>GIS</t>
        </is>
      </c>
      <c r="C2194" s="13" t="inlineStr">
        <is>
          <t>2026_SCDLR_1343715_1</t>
        </is>
      </c>
      <c r="D2194" s="14" t="inlineStr">
        <is>
          <t>[Selection of an Agency for field-based grievance redressal facilitation for Shet Rasta and allied digital services of Revenue, Registration and Land Records]</t>
        </is>
      </c>
      <c r="E2194" s="14" t="inlineStr">
        <is>
          <t>Maharashtra Public Works &amp; Technology Department</t>
        </is>
      </c>
      <c r="F2194" s="13" t="inlineStr">
        <is>
          <t>25 Oct 2026</t>
        </is>
      </c>
      <c r="G2194" s="12" t="inlineStr">
        <is>
          <t>15 Nov 2026</t>
        </is>
      </c>
      <c r="H2194" s="8" t="inlineStr">
        <is>
          <t>⏳ UPCOMING</t>
        </is>
      </c>
      <c r="I2194" s="11" t="inlineStr">
        <is>
          <t>Tender_2026_SCDLR_1343715_1_All_Documents.zip</t>
        </is>
      </c>
      <c r="J2194" s="13" t="inlineStr">
        <is>
          <t>📦 ZIP Package</t>
        </is>
      </c>
      <c r="K2194" s="15" t="n">
        <v>18.5</v>
      </c>
      <c r="L2194" s="16">
        <f>HYPERLINK("http://127.0.0.1:8000/api/documents/download?id=1106&amp;attachment=true", "⬇ Download Tender_2026_SCDLR_134371")</f>
        <v/>
      </c>
      <c r="M2194" s="16">
        <f>HYPERLINK("http://localhost:5173/?state=Maharashtra&amp;keyword=GIS&amp;tender=2026_SCDLR_1343715_1", "🚀 Open in Portal")</f>
        <v/>
      </c>
    </row>
    <row r="2195" ht="24" customHeight="1">
      <c r="A2195" s="4" t="inlineStr">
        <is>
          <t>Maharashtra</t>
        </is>
      </c>
      <c r="B2195" s="5" t="inlineStr">
        <is>
          <t>GIS</t>
        </is>
      </c>
      <c r="C2195" s="6" t="inlineStr">
        <is>
          <t>2026_SOLAP_1338859_1</t>
        </is>
      </c>
      <c r="D2195" s="7" t="inlineStr">
        <is>
          <t>[Outsourcing of contract man power from registered service provider for rural water department zilla]</t>
        </is>
      </c>
      <c r="E2195" s="7" t="inlineStr">
        <is>
          <t>Maharashtra Public Works &amp; Technology Department</t>
        </is>
      </c>
      <c r="F2195" s="6" t="inlineStr">
        <is>
          <t>10 Oct 2026</t>
        </is>
      </c>
      <c r="G2195" s="5" t="inlineStr">
        <is>
          <t>02 Nov 2026</t>
        </is>
      </c>
      <c r="H2195" s="17" t="inlineStr">
        <is>
          <t>🟢 LIVE ACTIVE</t>
        </is>
      </c>
      <c r="I2195" s="4" t="inlineStr">
        <is>
          <t>Tendernotice_1.pdf</t>
        </is>
      </c>
      <c r="J2195" s="6" t="inlineStr">
        <is>
          <t>📕 PDF Document</t>
        </is>
      </c>
      <c r="K2195" s="9" t="n">
        <v>17.9</v>
      </c>
      <c r="L2195" s="10">
        <f>HYPERLINK("http://127.0.0.1:8000/api/documents/download?id=299&amp;attachment=true", "⬇ Download Tendernotice_1.pdf")</f>
        <v/>
      </c>
      <c r="M2195" s="10">
        <f>HYPERLINK("http://localhost:5173/?state=Maharashtra&amp;keyword=GIS&amp;tender=2026_SOLAP_1338859_1", "🚀 Open in Portal")</f>
        <v/>
      </c>
    </row>
    <row r="2196" ht="24" customHeight="1">
      <c r="A2196" s="11" t="inlineStr">
        <is>
          <t>Maharashtra</t>
        </is>
      </c>
      <c r="B2196" s="12" t="inlineStr">
        <is>
          <t>GIS</t>
        </is>
      </c>
      <c r="C2196" s="13" t="inlineStr">
        <is>
          <t>2026_SOLAP_1338859_1</t>
        </is>
      </c>
      <c r="D2196" s="14" t="inlineStr">
        <is>
          <t>[Outsourcing of contract man power from registered service provider for rural water department zilla]</t>
        </is>
      </c>
      <c r="E2196" s="14" t="inlineStr">
        <is>
          <t>Maharashtra Public Works &amp; Technology Department</t>
        </is>
      </c>
      <c r="F2196" s="13" t="inlineStr">
        <is>
          <t>10 Oct 2026</t>
        </is>
      </c>
      <c r="G2196" s="12" t="inlineStr">
        <is>
          <t>02 Nov 2026</t>
        </is>
      </c>
      <c r="H2196" s="17" t="inlineStr">
        <is>
          <t>🟢 LIVE ACTIVE</t>
        </is>
      </c>
      <c r="I2196" s="11" t="inlineStr">
        <is>
          <t>BOQ_2289148.xls</t>
        </is>
      </c>
      <c r="J2196" s="13" t="inlineStr">
        <is>
          <t>📊 Excel BOQ</t>
        </is>
      </c>
      <c r="K2196" s="15" t="n">
        <v>2.5</v>
      </c>
      <c r="L2196" s="16">
        <f>HYPERLINK("http://127.0.0.1:8000/api/documents/download?id=300&amp;attachment=true", "⬇ Download BOQ_2289148.xls")</f>
        <v/>
      </c>
      <c r="M2196" s="16">
        <f>HYPERLINK("http://localhost:5173/?state=Maharashtra&amp;keyword=GIS&amp;tender=2026_SOLAP_1338859_1", "🚀 Open in Portal")</f>
        <v/>
      </c>
    </row>
    <row r="2197" ht="24" customHeight="1">
      <c r="A2197" s="4" t="inlineStr">
        <is>
          <t>Maharashtra</t>
        </is>
      </c>
      <c r="B2197" s="5" t="inlineStr">
        <is>
          <t>GIS</t>
        </is>
      </c>
      <c r="C2197" s="6" t="inlineStr">
        <is>
          <t>2026_SOLAP_1338859_1</t>
        </is>
      </c>
      <c r="D2197" s="7" t="inlineStr">
        <is>
          <t>[Outsourcing of contract man power from registered service provider for rural water department zilla]</t>
        </is>
      </c>
      <c r="E2197" s="7" t="inlineStr">
        <is>
          <t>Maharashtra Public Works &amp; Technology Department</t>
        </is>
      </c>
      <c r="F2197" s="6" t="inlineStr">
        <is>
          <t>10 Oct 2026</t>
        </is>
      </c>
      <c r="G2197" s="5" t="inlineStr">
        <is>
          <t>02 Nov 2026</t>
        </is>
      </c>
      <c r="H2197" s="17" t="inlineStr">
        <is>
          <t>🟢 LIVE ACTIVE</t>
        </is>
      </c>
      <c r="I2197" s="4" t="inlineStr">
        <is>
          <t>Tender_2026_SOLAP_1338859_1_All_Documents.zip</t>
        </is>
      </c>
      <c r="J2197" s="6" t="inlineStr">
        <is>
          <t>📦 ZIP Package</t>
        </is>
      </c>
      <c r="K2197" s="9" t="n">
        <v>11.6</v>
      </c>
      <c r="L2197" s="10">
        <f>HYPERLINK("http://127.0.0.1:8000/api/documents/download?id=301&amp;attachment=true", "⬇ Download Tender_2026_SOLAP_133885")</f>
        <v/>
      </c>
      <c r="M2197" s="10">
        <f>HYPERLINK("http://localhost:5173/?state=Maharashtra&amp;keyword=GIS&amp;tender=2026_SOLAP_1338859_1", "🚀 Open in Portal")</f>
        <v/>
      </c>
    </row>
    <row r="2198" ht="24" customHeight="1">
      <c r="A2198" s="11" t="inlineStr">
        <is>
          <t>Maharashtra</t>
        </is>
      </c>
      <c r="B2198" s="12" t="inlineStr">
        <is>
          <t>GIS</t>
        </is>
      </c>
      <c r="C2198" s="13" t="inlineStr">
        <is>
          <t>2026_THANE_1342282_1</t>
        </is>
      </c>
      <c r="D2198" s="14" t="inlineStr">
        <is>
          <t>[Providing garbage tipper bolero pickup 1.3 with registration and insurance]</t>
        </is>
      </c>
      <c r="E2198" s="14" t="inlineStr">
        <is>
          <t>Maharashtra Public Works &amp; Technology Department</t>
        </is>
      </c>
      <c r="F2198" s="13" t="inlineStr">
        <is>
          <t>17 Sep 2026</t>
        </is>
      </c>
      <c r="G2198" s="12" t="inlineStr">
        <is>
          <t>09 Oct 2026</t>
        </is>
      </c>
      <c r="H2198" s="8" t="inlineStr">
        <is>
          <t>⏳ UPCOMING</t>
        </is>
      </c>
      <c r="I2198" s="11" t="inlineStr">
        <is>
          <t>Tendernotice_1.pdf</t>
        </is>
      </c>
      <c r="J2198" s="13" t="inlineStr">
        <is>
          <t>📕 PDF Document</t>
        </is>
      </c>
      <c r="K2198" s="15" t="n">
        <v>17.9</v>
      </c>
      <c r="L2198" s="16">
        <f>HYPERLINK("http://127.0.0.1:8000/api/documents/download?id=94&amp;attachment=true", "⬇ Download Tendernotice_1.pdf")</f>
        <v/>
      </c>
      <c r="M2198" s="16">
        <f>HYPERLINK("http://localhost:5173/?state=Maharashtra&amp;keyword=GIS&amp;tender=2026_THANE_1342282_1", "🚀 Open in Portal")</f>
        <v/>
      </c>
    </row>
    <row r="2199" ht="24" customHeight="1">
      <c r="A2199" s="4" t="inlineStr">
        <is>
          <t>Maharashtra</t>
        </is>
      </c>
      <c r="B2199" s="5" t="inlineStr">
        <is>
          <t>GIS</t>
        </is>
      </c>
      <c r="C2199" s="6" t="inlineStr">
        <is>
          <t>2026_THANE_1342282_1</t>
        </is>
      </c>
      <c r="D2199" s="7" t="inlineStr">
        <is>
          <t>[Providing garbage tipper bolero pickup 1.3 with registration and insurance]</t>
        </is>
      </c>
      <c r="E2199" s="7" t="inlineStr">
        <is>
          <t>Maharashtra Public Works &amp; Technology Department</t>
        </is>
      </c>
      <c r="F2199" s="6" t="inlineStr">
        <is>
          <t>17 Sep 2026</t>
        </is>
      </c>
      <c r="G2199" s="5" t="inlineStr">
        <is>
          <t>09 Oct 2026</t>
        </is>
      </c>
      <c r="H2199" s="8" t="inlineStr">
        <is>
          <t>⏳ UPCOMING</t>
        </is>
      </c>
      <c r="I2199" s="4" t="inlineStr">
        <is>
          <t>TD.pdf</t>
        </is>
      </c>
      <c r="J2199" s="6" t="inlineStr">
        <is>
          <t>📕 PDF Document</t>
        </is>
      </c>
      <c r="K2199" s="9" t="n">
        <v>17.8</v>
      </c>
      <c r="L2199" s="10">
        <f>HYPERLINK("http://127.0.0.1:8000/api/documents/download?id=95&amp;attachment=true", "⬇ Download TD.pdf")</f>
        <v/>
      </c>
      <c r="M2199" s="10">
        <f>HYPERLINK("http://localhost:5173/?state=Maharashtra&amp;keyword=GIS&amp;tender=2026_THANE_1342282_1", "🚀 Open in Portal")</f>
        <v/>
      </c>
    </row>
    <row r="2200" ht="24" customHeight="1">
      <c r="A2200" s="11" t="inlineStr">
        <is>
          <t>Maharashtra</t>
        </is>
      </c>
      <c r="B2200" s="12" t="inlineStr">
        <is>
          <t>GIS</t>
        </is>
      </c>
      <c r="C2200" s="13" t="inlineStr">
        <is>
          <t>2026_THANE_1342282_1</t>
        </is>
      </c>
      <c r="D2200" s="14" t="inlineStr">
        <is>
          <t>[Providing garbage tipper bolero pickup 1.3 with registration and insurance]</t>
        </is>
      </c>
      <c r="E2200" s="14" t="inlineStr">
        <is>
          <t>Maharashtra Public Works &amp; Technology Department</t>
        </is>
      </c>
      <c r="F2200" s="13" t="inlineStr">
        <is>
          <t>17 Sep 2026</t>
        </is>
      </c>
      <c r="G2200" s="12" t="inlineStr">
        <is>
          <t>09 Oct 2026</t>
        </is>
      </c>
      <c r="H2200" s="8" t="inlineStr">
        <is>
          <t>⏳ UPCOMING</t>
        </is>
      </c>
      <c r="I2200" s="11" t="inlineStr">
        <is>
          <t>prama.pdf</t>
        </is>
      </c>
      <c r="J2200" s="13" t="inlineStr">
        <is>
          <t>📕 PDF Document</t>
        </is>
      </c>
      <c r="K2200" s="15" t="n">
        <v>17.8</v>
      </c>
      <c r="L2200" s="16">
        <f>HYPERLINK("http://127.0.0.1:8000/api/documents/download?id=96&amp;attachment=true", "⬇ Download prama.pdf")</f>
        <v/>
      </c>
      <c r="M2200" s="16">
        <f>HYPERLINK("http://localhost:5173/?state=Maharashtra&amp;keyword=GIS&amp;tender=2026_THANE_1342282_1", "🚀 Open in Portal")</f>
        <v/>
      </c>
    </row>
    <row r="2201" ht="24" customHeight="1">
      <c r="A2201" s="4" t="inlineStr">
        <is>
          <t>Maharashtra</t>
        </is>
      </c>
      <c r="B2201" s="5" t="inlineStr">
        <is>
          <t>GIS</t>
        </is>
      </c>
      <c r="C2201" s="6" t="inlineStr">
        <is>
          <t>2026_THANE_1342282_1</t>
        </is>
      </c>
      <c r="D2201" s="7" t="inlineStr">
        <is>
          <t>[Providing garbage tipper bolero pickup 1.3 with registration and insurance]</t>
        </is>
      </c>
      <c r="E2201" s="7" t="inlineStr">
        <is>
          <t>Maharashtra Public Works &amp; Technology Department</t>
        </is>
      </c>
      <c r="F2201" s="6" t="inlineStr">
        <is>
          <t>17 Sep 2026</t>
        </is>
      </c>
      <c r="G2201" s="5" t="inlineStr">
        <is>
          <t>09 Oct 2026</t>
        </is>
      </c>
      <c r="H2201" s="8" t="inlineStr">
        <is>
          <t>⏳ UPCOMING</t>
        </is>
      </c>
      <c r="I2201" s="4" t="inlineStr">
        <is>
          <t>BOQ_2294384.xls</t>
        </is>
      </c>
      <c r="J2201" s="6" t="inlineStr">
        <is>
          <t>📊 Excel BOQ</t>
        </is>
      </c>
      <c r="K2201" s="9" t="n">
        <v>2.5</v>
      </c>
      <c r="L2201" s="10">
        <f>HYPERLINK("http://127.0.0.1:8000/api/documents/download?id=97&amp;attachment=true", "⬇ Download BOQ_2294384.xls")</f>
        <v/>
      </c>
      <c r="M2201" s="10">
        <f>HYPERLINK("http://localhost:5173/?state=Maharashtra&amp;keyword=GIS&amp;tender=2026_THANE_1342282_1", "🚀 Open in Portal")</f>
        <v/>
      </c>
    </row>
    <row r="2202" ht="24" customHeight="1">
      <c r="A2202" s="11" t="inlineStr">
        <is>
          <t>Maharashtra</t>
        </is>
      </c>
      <c r="B2202" s="12" t="inlineStr">
        <is>
          <t>GIS</t>
        </is>
      </c>
      <c r="C2202" s="13" t="inlineStr">
        <is>
          <t>2026_THANE_1342282_1</t>
        </is>
      </c>
      <c r="D2202" s="14" t="inlineStr">
        <is>
          <t>[Providing garbage tipper bolero pickup 1.3 with registration and insurance]</t>
        </is>
      </c>
      <c r="E2202" s="14" t="inlineStr">
        <is>
          <t>Maharashtra Public Works &amp; Technology Department</t>
        </is>
      </c>
      <c r="F2202" s="13" t="inlineStr">
        <is>
          <t>17 Sep 2026</t>
        </is>
      </c>
      <c r="G2202" s="12" t="inlineStr">
        <is>
          <t>09 Oct 2026</t>
        </is>
      </c>
      <c r="H2202" s="8" t="inlineStr">
        <is>
          <t>⏳ UPCOMING</t>
        </is>
      </c>
      <c r="I2202" s="11" t="inlineStr">
        <is>
          <t>Tender_2026_THANE_1342282_1_All_Documents.zip</t>
        </is>
      </c>
      <c r="J2202" s="13" t="inlineStr">
        <is>
          <t>📦 ZIP Package</t>
        </is>
      </c>
      <c r="K2202" s="15" t="n">
        <v>30.1</v>
      </c>
      <c r="L2202" s="16">
        <f>HYPERLINK("http://127.0.0.1:8000/api/documents/download?id=98&amp;attachment=true", "⬇ Download Tender_2026_THANE_134228")</f>
        <v/>
      </c>
      <c r="M2202" s="16">
        <f>HYPERLINK("http://localhost:5173/?state=Maharashtra&amp;keyword=GIS&amp;tender=2026_THANE_1342282_1", "🚀 Open in Portal")</f>
        <v/>
      </c>
    </row>
    <row r="2203" ht="24" customHeight="1">
      <c r="A2203" s="4" t="inlineStr">
        <is>
          <t>Maharashtra</t>
        </is>
      </c>
      <c r="B2203" s="5" t="inlineStr">
        <is>
          <t>ICT</t>
        </is>
      </c>
      <c r="C2203" s="6" t="inlineStr">
        <is>
          <t>2026_BEED_1343835_1</t>
        </is>
      </c>
      <c r="D2203" s="7" t="inlineStr">
        <is>
          <t>[Supply of Weighing Machines at Rajewadi, Taluka Ambajogai, District Beed.]</t>
        </is>
      </c>
      <c r="E2203" s="7" t="inlineStr">
        <is>
          <t>Maharashtra Public Works &amp; Technology Department</t>
        </is>
      </c>
      <c r="F2203" s="6" t="inlineStr">
        <is>
          <t>08 Sep 2026</t>
        </is>
      </c>
      <c r="G2203" s="5" t="inlineStr">
        <is>
          <t>06 Oct 2026</t>
        </is>
      </c>
      <c r="H2203" s="8" t="inlineStr">
        <is>
          <t>⏳ UPCOMING</t>
        </is>
      </c>
      <c r="I2203" s="4" t="inlineStr">
        <is>
          <t>Tendernotice_1.pdf</t>
        </is>
      </c>
      <c r="J2203" s="6" t="inlineStr">
        <is>
          <t>📕 PDF Document</t>
        </is>
      </c>
      <c r="K2203" s="9" t="n">
        <v>17.9</v>
      </c>
      <c r="L2203" s="10">
        <f>HYPERLINK("http://127.0.0.1:8000/api/documents/download?id=316&amp;attachment=true", "⬇ Download Tendernotice_1.pdf")</f>
        <v/>
      </c>
      <c r="M2203" s="10">
        <f>HYPERLINK("http://localhost:5173/?state=Maharashtra&amp;keyword=ICT&amp;tender=2026_BEED_1343835_1", "🚀 Open in Portal")</f>
        <v/>
      </c>
    </row>
    <row r="2204" ht="24" customHeight="1">
      <c r="A2204" s="11" t="inlineStr">
        <is>
          <t>Maharashtra</t>
        </is>
      </c>
      <c r="B2204" s="12" t="inlineStr">
        <is>
          <t>ICT</t>
        </is>
      </c>
      <c r="C2204" s="13" t="inlineStr">
        <is>
          <t>2026_BEED_1343835_1</t>
        </is>
      </c>
      <c r="D2204" s="14" t="inlineStr">
        <is>
          <t>[Supply of Weighing Machines at Rajewadi, Taluka Ambajogai, District Beed.]</t>
        </is>
      </c>
      <c r="E2204" s="14" t="inlineStr">
        <is>
          <t>Maharashtra Public Works &amp; Technology Department</t>
        </is>
      </c>
      <c r="F2204" s="13" t="inlineStr">
        <is>
          <t>08 Sep 2026</t>
        </is>
      </c>
      <c r="G2204" s="12" t="inlineStr">
        <is>
          <t>06 Oct 2026</t>
        </is>
      </c>
      <c r="H2204" s="8" t="inlineStr">
        <is>
          <t>⏳ UPCOMING</t>
        </is>
      </c>
      <c r="I2204" s="11" t="inlineStr">
        <is>
          <t>04_SBD.pdf</t>
        </is>
      </c>
      <c r="J2204" s="13" t="inlineStr">
        <is>
          <t>📕 PDF Document</t>
        </is>
      </c>
      <c r="K2204" s="15" t="n">
        <v>17.8</v>
      </c>
      <c r="L2204" s="16">
        <f>HYPERLINK("http://127.0.0.1:8000/api/documents/download?id=317&amp;attachment=true", "⬇ Download 04_SBD.pdf")</f>
        <v/>
      </c>
      <c r="M2204" s="16">
        <f>HYPERLINK("http://localhost:5173/?state=Maharashtra&amp;keyword=ICT&amp;tender=2026_BEED_1343835_1", "🚀 Open in Portal")</f>
        <v/>
      </c>
    </row>
    <row r="2205" ht="24" customHeight="1">
      <c r="A2205" s="4" t="inlineStr">
        <is>
          <t>Maharashtra</t>
        </is>
      </c>
      <c r="B2205" s="5" t="inlineStr">
        <is>
          <t>ICT</t>
        </is>
      </c>
      <c r="C2205" s="6" t="inlineStr">
        <is>
          <t>2026_BEED_1343835_1</t>
        </is>
      </c>
      <c r="D2205" s="7" t="inlineStr">
        <is>
          <t>[Supply of Weighing Machines at Rajewadi, Taluka Ambajogai, District Beed.]</t>
        </is>
      </c>
      <c r="E2205" s="7" t="inlineStr">
        <is>
          <t>Maharashtra Public Works &amp; Technology Department</t>
        </is>
      </c>
      <c r="F2205" s="6" t="inlineStr">
        <is>
          <t>08 Sep 2026</t>
        </is>
      </c>
      <c r="G2205" s="5" t="inlineStr">
        <is>
          <t>06 Oct 2026</t>
        </is>
      </c>
      <c r="H2205" s="8" t="inlineStr">
        <is>
          <t>⏳ UPCOMING</t>
        </is>
      </c>
      <c r="I2205" s="4" t="inlineStr">
        <is>
          <t>BOQ_2296812.xls</t>
        </is>
      </c>
      <c r="J2205" s="6" t="inlineStr">
        <is>
          <t>📊 Excel BOQ</t>
        </is>
      </c>
      <c r="K2205" s="9" t="n">
        <v>2.5</v>
      </c>
      <c r="L2205" s="10">
        <f>HYPERLINK("http://127.0.0.1:8000/api/documents/download?id=318&amp;attachment=true", "⬇ Download BOQ_2296812.xls")</f>
        <v/>
      </c>
      <c r="M2205" s="10">
        <f>HYPERLINK("http://localhost:5173/?state=Maharashtra&amp;keyword=ICT&amp;tender=2026_BEED_1343835_1", "🚀 Open in Portal")</f>
        <v/>
      </c>
    </row>
    <row r="2206" ht="24" customHeight="1">
      <c r="A2206" s="11" t="inlineStr">
        <is>
          <t>Maharashtra</t>
        </is>
      </c>
      <c r="B2206" s="12" t="inlineStr">
        <is>
          <t>ICT</t>
        </is>
      </c>
      <c r="C2206" s="13" t="inlineStr">
        <is>
          <t>2026_BEED_1343835_1</t>
        </is>
      </c>
      <c r="D2206" s="14" t="inlineStr">
        <is>
          <t>[Supply of Weighing Machines at Rajewadi, Taluka Ambajogai, District Beed.]</t>
        </is>
      </c>
      <c r="E2206" s="14" t="inlineStr">
        <is>
          <t>Maharashtra Public Works &amp; Technology Department</t>
        </is>
      </c>
      <c r="F2206" s="13" t="inlineStr">
        <is>
          <t>08 Sep 2026</t>
        </is>
      </c>
      <c r="G2206" s="12" t="inlineStr">
        <is>
          <t>06 Oct 2026</t>
        </is>
      </c>
      <c r="H2206" s="8" t="inlineStr">
        <is>
          <t>⏳ UPCOMING</t>
        </is>
      </c>
      <c r="I2206" s="11" t="inlineStr">
        <is>
          <t>Tender_2026_BEED_1343835_1_All_Documents.zip</t>
        </is>
      </c>
      <c r="J2206" s="13" t="inlineStr">
        <is>
          <t>📦 ZIP Package</t>
        </is>
      </c>
      <c r="K2206" s="15" t="n">
        <v>20.8</v>
      </c>
      <c r="L2206" s="16">
        <f>HYPERLINK("http://127.0.0.1:8000/api/documents/download?id=319&amp;attachment=true", "⬇ Download Tender_2026_BEED_1343835")</f>
        <v/>
      </c>
      <c r="M2206" s="16">
        <f>HYPERLINK("http://localhost:5173/?state=Maharashtra&amp;keyword=ICT&amp;tender=2026_BEED_1343835_1", "🚀 Open in Portal")</f>
        <v/>
      </c>
    </row>
    <row r="2207" ht="24" customHeight="1">
      <c r="A2207" s="4" t="inlineStr">
        <is>
          <t>Maharashtra</t>
        </is>
      </c>
      <c r="B2207" s="5" t="inlineStr">
        <is>
          <t>ICT</t>
        </is>
      </c>
      <c r="C2207" s="6" t="inlineStr">
        <is>
          <t>2026_BEED_1343835_2</t>
        </is>
      </c>
      <c r="D2207" s="7" t="inlineStr">
        <is>
          <t>[Providing Educational and Physical Facilities in ZP School at Rajewadi, Taluka Ambajogai, District Beed.]</t>
        </is>
      </c>
      <c r="E2207" s="7" t="inlineStr">
        <is>
          <t>Maharashtra Public Works &amp; Technology Department</t>
        </is>
      </c>
      <c r="F2207" s="6" t="inlineStr">
        <is>
          <t>20 Sep 2026</t>
        </is>
      </c>
      <c r="G2207" s="5" t="inlineStr">
        <is>
          <t>17 Oct 2026</t>
        </is>
      </c>
      <c r="H2207" s="8" t="inlineStr">
        <is>
          <t>⏳ UPCOMING</t>
        </is>
      </c>
      <c r="I2207" s="4" t="inlineStr">
        <is>
          <t>Tendernotice_1.pdf</t>
        </is>
      </c>
      <c r="J2207" s="6" t="inlineStr">
        <is>
          <t>📕 PDF Document</t>
        </is>
      </c>
      <c r="K2207" s="9" t="n">
        <v>17.9</v>
      </c>
      <c r="L2207" s="10">
        <f>HYPERLINK("http://127.0.0.1:8000/api/documents/download?id=328&amp;attachment=true", "⬇ Download Tendernotice_1.pdf")</f>
        <v/>
      </c>
      <c r="M2207" s="10">
        <f>HYPERLINK("http://localhost:5173/?state=Maharashtra&amp;keyword=ICT&amp;tender=2026_BEED_1343835_2", "🚀 Open in Portal")</f>
        <v/>
      </c>
    </row>
    <row r="2208" ht="24" customHeight="1">
      <c r="A2208" s="11" t="inlineStr">
        <is>
          <t>Maharashtra</t>
        </is>
      </c>
      <c r="B2208" s="12" t="inlineStr">
        <is>
          <t>ICT</t>
        </is>
      </c>
      <c r="C2208" s="13" t="inlineStr">
        <is>
          <t>2026_BEED_1343835_2</t>
        </is>
      </c>
      <c r="D2208" s="14" t="inlineStr">
        <is>
          <t>[Providing Educational and Physical Facilities in ZP School at Rajewadi, Taluka Ambajogai, District Beed.]</t>
        </is>
      </c>
      <c r="E2208" s="14" t="inlineStr">
        <is>
          <t>Maharashtra Public Works &amp; Technology Department</t>
        </is>
      </c>
      <c r="F2208" s="13" t="inlineStr">
        <is>
          <t>20 Sep 2026</t>
        </is>
      </c>
      <c r="G2208" s="12" t="inlineStr">
        <is>
          <t>17 Oct 2026</t>
        </is>
      </c>
      <c r="H2208" s="8" t="inlineStr">
        <is>
          <t>⏳ UPCOMING</t>
        </is>
      </c>
      <c r="I2208" s="11" t="inlineStr">
        <is>
          <t>BOQ_2296823.xls</t>
        </is>
      </c>
      <c r="J2208" s="13" t="inlineStr">
        <is>
          <t>📊 Excel BOQ</t>
        </is>
      </c>
      <c r="K2208" s="15" t="n">
        <v>2.5</v>
      </c>
      <c r="L2208" s="16">
        <f>HYPERLINK("http://127.0.0.1:8000/api/documents/download?id=329&amp;attachment=true", "⬇ Download BOQ_2296823.xls")</f>
        <v/>
      </c>
      <c r="M2208" s="16">
        <f>HYPERLINK("http://localhost:5173/?state=Maharashtra&amp;keyword=ICT&amp;tender=2026_BEED_1343835_2", "🚀 Open in Portal")</f>
        <v/>
      </c>
    </row>
    <row r="2209" ht="24" customHeight="1">
      <c r="A2209" s="4" t="inlineStr">
        <is>
          <t>Maharashtra</t>
        </is>
      </c>
      <c r="B2209" s="5" t="inlineStr">
        <is>
          <t>ICT</t>
        </is>
      </c>
      <c r="C2209" s="6" t="inlineStr">
        <is>
          <t>2026_BEED_1343835_2</t>
        </is>
      </c>
      <c r="D2209" s="7" t="inlineStr">
        <is>
          <t>[Providing Educational and Physical Facilities in ZP School at Rajewadi, Taluka Ambajogai, District Beed.]</t>
        </is>
      </c>
      <c r="E2209" s="7" t="inlineStr">
        <is>
          <t>Maharashtra Public Works &amp; Technology Department</t>
        </is>
      </c>
      <c r="F2209" s="6" t="inlineStr">
        <is>
          <t>20 Sep 2026</t>
        </is>
      </c>
      <c r="G2209" s="5" t="inlineStr">
        <is>
          <t>17 Oct 2026</t>
        </is>
      </c>
      <c r="H2209" s="8" t="inlineStr">
        <is>
          <t>⏳ UPCOMING</t>
        </is>
      </c>
      <c r="I2209" s="4" t="inlineStr">
        <is>
          <t>SBD.pdf</t>
        </is>
      </c>
      <c r="J2209" s="6" t="inlineStr">
        <is>
          <t>📕 PDF Document</t>
        </is>
      </c>
      <c r="K2209" s="9" t="n">
        <v>17.8</v>
      </c>
      <c r="L2209" s="10">
        <f>HYPERLINK("http://127.0.0.1:8000/api/documents/download?id=330&amp;attachment=true", "⬇ Download SBD.pdf")</f>
        <v/>
      </c>
      <c r="M2209" s="10">
        <f>HYPERLINK("http://localhost:5173/?state=Maharashtra&amp;keyword=ICT&amp;tender=2026_BEED_1343835_2", "🚀 Open in Portal")</f>
        <v/>
      </c>
    </row>
    <row r="2210" ht="24" customHeight="1">
      <c r="A2210" s="11" t="inlineStr">
        <is>
          <t>Maharashtra</t>
        </is>
      </c>
      <c r="B2210" s="12" t="inlineStr">
        <is>
          <t>ICT</t>
        </is>
      </c>
      <c r="C2210" s="13" t="inlineStr">
        <is>
          <t>2026_BEED_1343835_2</t>
        </is>
      </c>
      <c r="D2210" s="14" t="inlineStr">
        <is>
          <t>[Providing Educational and Physical Facilities in ZP School at Rajewadi, Taluka Ambajogai, District Beed.]</t>
        </is>
      </c>
      <c r="E2210" s="14" t="inlineStr">
        <is>
          <t>Maharashtra Public Works &amp; Technology Department</t>
        </is>
      </c>
      <c r="F2210" s="13" t="inlineStr">
        <is>
          <t>20 Sep 2026</t>
        </is>
      </c>
      <c r="G2210" s="12" t="inlineStr">
        <is>
          <t>17 Oct 2026</t>
        </is>
      </c>
      <c r="H2210" s="8" t="inlineStr">
        <is>
          <t>⏳ UPCOMING</t>
        </is>
      </c>
      <c r="I2210" s="11" t="inlineStr">
        <is>
          <t>Tender_2026_BEED_1343835_2_All_Documents.zip</t>
        </is>
      </c>
      <c r="J2210" s="13" t="inlineStr">
        <is>
          <t>📦 ZIP Package</t>
        </is>
      </c>
      <c r="K2210" s="15" t="n">
        <v>20.9</v>
      </c>
      <c r="L2210" s="16">
        <f>HYPERLINK("http://127.0.0.1:8000/api/documents/download?id=331&amp;attachment=true", "⬇ Download Tender_2026_BEED_1343835")</f>
        <v/>
      </c>
      <c r="M2210" s="16">
        <f>HYPERLINK("http://localhost:5173/?state=Maharashtra&amp;keyword=ICT&amp;tender=2026_BEED_1343835_2", "🚀 Open in Portal")</f>
        <v/>
      </c>
    </row>
    <row r="2211" ht="24" customHeight="1">
      <c r="A2211" s="4" t="inlineStr">
        <is>
          <t>Maharashtra</t>
        </is>
      </c>
      <c r="B2211" s="5" t="inlineStr">
        <is>
          <t>ICT</t>
        </is>
      </c>
      <c r="C2211" s="6" t="inlineStr">
        <is>
          <t>2026_BEED_1343835_3</t>
        </is>
      </c>
      <c r="D2211" s="7" t="inlineStr">
        <is>
          <t>[Providing Educational and Physical Facilities in Anganwadi at Rajewadi, Taluka Ambajogai, District Beed]</t>
        </is>
      </c>
      <c r="E2211" s="7" t="inlineStr">
        <is>
          <t>Maharashtra Public Works &amp; Technology Department</t>
        </is>
      </c>
      <c r="F2211" s="6" t="inlineStr">
        <is>
          <t>19 Oct 2026</t>
        </is>
      </c>
      <c r="G2211" s="5" t="inlineStr">
        <is>
          <t>09 Nov 2026</t>
        </is>
      </c>
      <c r="H2211" s="8" t="inlineStr">
        <is>
          <t>⏳ UPCOMING</t>
        </is>
      </c>
      <c r="I2211" s="4" t="inlineStr">
        <is>
          <t>Tendernotice_1.pdf</t>
        </is>
      </c>
      <c r="J2211" s="6" t="inlineStr">
        <is>
          <t>📕 PDF Document</t>
        </is>
      </c>
      <c r="K2211" s="9" t="n">
        <v>17.9</v>
      </c>
      <c r="L2211" s="10">
        <f>HYPERLINK("http://127.0.0.1:8000/api/documents/download?id=324&amp;attachment=true", "⬇ Download Tendernotice_1.pdf")</f>
        <v/>
      </c>
      <c r="M2211" s="10">
        <f>HYPERLINK("http://localhost:5173/?state=Maharashtra&amp;keyword=ICT&amp;tender=2026_BEED_1343835_3", "🚀 Open in Portal")</f>
        <v/>
      </c>
    </row>
    <row r="2212" ht="24" customHeight="1">
      <c r="A2212" s="11" t="inlineStr">
        <is>
          <t>Maharashtra</t>
        </is>
      </c>
      <c r="B2212" s="12" t="inlineStr">
        <is>
          <t>ICT</t>
        </is>
      </c>
      <c r="C2212" s="13" t="inlineStr">
        <is>
          <t>2026_BEED_1343835_3</t>
        </is>
      </c>
      <c r="D2212" s="14" t="inlineStr">
        <is>
          <t>[Providing Educational and Physical Facilities in Anganwadi at Rajewadi, Taluka Ambajogai, District Beed]</t>
        </is>
      </c>
      <c r="E2212" s="14" t="inlineStr">
        <is>
          <t>Maharashtra Public Works &amp; Technology Department</t>
        </is>
      </c>
      <c r="F2212" s="13" t="inlineStr">
        <is>
          <t>19 Oct 2026</t>
        </is>
      </c>
      <c r="G2212" s="12" t="inlineStr">
        <is>
          <t>09 Nov 2026</t>
        </is>
      </c>
      <c r="H2212" s="8" t="inlineStr">
        <is>
          <t>⏳ UPCOMING</t>
        </is>
      </c>
      <c r="I2212" s="11" t="inlineStr">
        <is>
          <t>04_SBD.pdf</t>
        </is>
      </c>
      <c r="J2212" s="13" t="inlineStr">
        <is>
          <t>📕 PDF Document</t>
        </is>
      </c>
      <c r="K2212" s="15" t="n">
        <v>17.8</v>
      </c>
      <c r="L2212" s="16">
        <f>HYPERLINK("http://127.0.0.1:8000/api/documents/download?id=325&amp;attachment=true", "⬇ Download 04_SBD.pdf")</f>
        <v/>
      </c>
      <c r="M2212" s="16">
        <f>HYPERLINK("http://localhost:5173/?state=Maharashtra&amp;keyword=ICT&amp;tender=2026_BEED_1343835_3", "🚀 Open in Portal")</f>
        <v/>
      </c>
    </row>
    <row r="2213" ht="24" customHeight="1">
      <c r="A2213" s="4" t="inlineStr">
        <is>
          <t>Maharashtra</t>
        </is>
      </c>
      <c r="B2213" s="5" t="inlineStr">
        <is>
          <t>ICT</t>
        </is>
      </c>
      <c r="C2213" s="6" t="inlineStr">
        <is>
          <t>2026_BEED_1343835_3</t>
        </is>
      </c>
      <c r="D2213" s="7" t="inlineStr">
        <is>
          <t>[Providing Educational and Physical Facilities in Anganwadi at Rajewadi, Taluka Ambajogai, District Beed]</t>
        </is>
      </c>
      <c r="E2213" s="7" t="inlineStr">
        <is>
          <t>Maharashtra Public Works &amp; Technology Department</t>
        </is>
      </c>
      <c r="F2213" s="6" t="inlineStr">
        <is>
          <t>19 Oct 2026</t>
        </is>
      </c>
      <c r="G2213" s="5" t="inlineStr">
        <is>
          <t>09 Nov 2026</t>
        </is>
      </c>
      <c r="H2213" s="8" t="inlineStr">
        <is>
          <t>⏳ UPCOMING</t>
        </is>
      </c>
      <c r="I2213" s="4" t="inlineStr">
        <is>
          <t>BOQ_2296833.xls</t>
        </is>
      </c>
      <c r="J2213" s="6" t="inlineStr">
        <is>
          <t>📊 Excel BOQ</t>
        </is>
      </c>
      <c r="K2213" s="9" t="n">
        <v>2.5</v>
      </c>
      <c r="L2213" s="10">
        <f>HYPERLINK("http://127.0.0.1:8000/api/documents/download?id=326&amp;attachment=true", "⬇ Download BOQ_2296833.xls")</f>
        <v/>
      </c>
      <c r="M2213" s="10">
        <f>HYPERLINK("http://localhost:5173/?state=Maharashtra&amp;keyword=ICT&amp;tender=2026_BEED_1343835_3", "🚀 Open in Portal")</f>
        <v/>
      </c>
    </row>
    <row r="2214" ht="24" customHeight="1">
      <c r="A2214" s="11" t="inlineStr">
        <is>
          <t>Maharashtra</t>
        </is>
      </c>
      <c r="B2214" s="12" t="inlineStr">
        <is>
          <t>ICT</t>
        </is>
      </c>
      <c r="C2214" s="13" t="inlineStr">
        <is>
          <t>2026_BEED_1343835_3</t>
        </is>
      </c>
      <c r="D2214" s="14" t="inlineStr">
        <is>
          <t>[Providing Educational and Physical Facilities in Anganwadi at Rajewadi, Taluka Ambajogai, District Beed]</t>
        </is>
      </c>
      <c r="E2214" s="14" t="inlineStr">
        <is>
          <t>Maharashtra Public Works &amp; Technology Department</t>
        </is>
      </c>
      <c r="F2214" s="13" t="inlineStr">
        <is>
          <t>19 Oct 2026</t>
        </is>
      </c>
      <c r="G2214" s="12" t="inlineStr">
        <is>
          <t>09 Nov 2026</t>
        </is>
      </c>
      <c r="H2214" s="8" t="inlineStr">
        <is>
          <t>⏳ UPCOMING</t>
        </is>
      </c>
      <c r="I2214" s="11" t="inlineStr">
        <is>
          <t>Tender_2026_BEED_1343835_3_All_Documents.zip</t>
        </is>
      </c>
      <c r="J2214" s="13" t="inlineStr">
        <is>
          <t>📦 ZIP Package</t>
        </is>
      </c>
      <c r="K2214" s="15" t="n">
        <v>20.9</v>
      </c>
      <c r="L2214" s="16">
        <f>HYPERLINK("http://127.0.0.1:8000/api/documents/download?id=327&amp;attachment=true", "⬇ Download Tender_2026_BEED_1343835")</f>
        <v/>
      </c>
      <c r="M2214" s="16">
        <f>HYPERLINK("http://localhost:5173/?state=Maharashtra&amp;keyword=ICT&amp;tender=2026_BEED_1343835_3", "🚀 Open in Portal")</f>
        <v/>
      </c>
    </row>
    <row r="2215" ht="24" customHeight="1">
      <c r="A2215" s="4" t="inlineStr">
        <is>
          <t>Maharashtra</t>
        </is>
      </c>
      <c r="B2215" s="5" t="inlineStr">
        <is>
          <t>ICT</t>
        </is>
      </c>
      <c r="C2215" s="6" t="inlineStr">
        <is>
          <t>2026_BEED_1343835_4</t>
        </is>
      </c>
      <c r="D2215" s="7" t="inlineStr">
        <is>
          <t>[Supply and Installation of Hand Washing Units at Gram Panchayat Rajewadi, Taluka Ambajogai, District Beed]</t>
        </is>
      </c>
      <c r="E2215" s="7" t="inlineStr">
        <is>
          <t>Maharashtra Public Works &amp; Technology Department</t>
        </is>
      </c>
      <c r="F2215" s="6" t="inlineStr">
        <is>
          <t>27 Aug 2026</t>
        </is>
      </c>
      <c r="G2215" s="5" t="inlineStr">
        <is>
          <t>19 Sep 2026</t>
        </is>
      </c>
      <c r="H2215" s="8" t="inlineStr">
        <is>
          <t>⏳ UPCOMING</t>
        </is>
      </c>
      <c r="I2215" s="4" t="inlineStr">
        <is>
          <t>Tendernotice_1.pdf</t>
        </is>
      </c>
      <c r="J2215" s="6" t="inlineStr">
        <is>
          <t>📕 PDF Document</t>
        </is>
      </c>
      <c r="K2215" s="9" t="n">
        <v>17.9</v>
      </c>
      <c r="L2215" s="10">
        <f>HYPERLINK("http://127.0.0.1:8000/api/documents/download?id=308&amp;attachment=true", "⬇ Download Tendernotice_1.pdf")</f>
        <v/>
      </c>
      <c r="M2215" s="10">
        <f>HYPERLINK("http://localhost:5173/?state=Maharashtra&amp;keyword=ICT&amp;tender=2026_BEED_1343835_4", "🚀 Open in Portal")</f>
        <v/>
      </c>
    </row>
    <row r="2216" ht="24" customHeight="1">
      <c r="A2216" s="11" t="inlineStr">
        <is>
          <t>Maharashtra</t>
        </is>
      </c>
      <c r="B2216" s="12" t="inlineStr">
        <is>
          <t>ICT</t>
        </is>
      </c>
      <c r="C2216" s="13" t="inlineStr">
        <is>
          <t>2026_BEED_1343835_4</t>
        </is>
      </c>
      <c r="D2216" s="14" t="inlineStr">
        <is>
          <t>[Supply and Installation of Hand Washing Units at Gram Panchayat Rajewadi, Taluka Ambajogai, District Beed]</t>
        </is>
      </c>
      <c r="E2216" s="14" t="inlineStr">
        <is>
          <t>Maharashtra Public Works &amp; Technology Department</t>
        </is>
      </c>
      <c r="F2216" s="13" t="inlineStr">
        <is>
          <t>27 Aug 2026</t>
        </is>
      </c>
      <c r="G2216" s="12" t="inlineStr">
        <is>
          <t>19 Sep 2026</t>
        </is>
      </c>
      <c r="H2216" s="8" t="inlineStr">
        <is>
          <t>⏳ UPCOMING</t>
        </is>
      </c>
      <c r="I2216" s="11" t="inlineStr">
        <is>
          <t>04_SBD.pdf</t>
        </is>
      </c>
      <c r="J2216" s="13" t="inlineStr">
        <is>
          <t>📕 PDF Document</t>
        </is>
      </c>
      <c r="K2216" s="15" t="n">
        <v>17.8</v>
      </c>
      <c r="L2216" s="16">
        <f>HYPERLINK("http://127.0.0.1:8000/api/documents/download?id=309&amp;attachment=true", "⬇ Download 04_SBD.pdf")</f>
        <v/>
      </c>
      <c r="M2216" s="16">
        <f>HYPERLINK("http://localhost:5173/?state=Maharashtra&amp;keyword=ICT&amp;tender=2026_BEED_1343835_4", "🚀 Open in Portal")</f>
        <v/>
      </c>
    </row>
    <row r="2217" ht="24" customHeight="1">
      <c r="A2217" s="4" t="inlineStr">
        <is>
          <t>Maharashtra</t>
        </is>
      </c>
      <c r="B2217" s="5" t="inlineStr">
        <is>
          <t>ICT</t>
        </is>
      </c>
      <c r="C2217" s="6" t="inlineStr">
        <is>
          <t>2026_BEED_1343835_4</t>
        </is>
      </c>
      <c r="D2217" s="7" t="inlineStr">
        <is>
          <t>[Supply and Installation of Hand Washing Units at Gram Panchayat Rajewadi, Taluka Ambajogai, District Beed]</t>
        </is>
      </c>
      <c r="E2217" s="7" t="inlineStr">
        <is>
          <t>Maharashtra Public Works &amp; Technology Department</t>
        </is>
      </c>
      <c r="F2217" s="6" t="inlineStr">
        <is>
          <t>27 Aug 2026</t>
        </is>
      </c>
      <c r="G2217" s="5" t="inlineStr">
        <is>
          <t>19 Sep 2026</t>
        </is>
      </c>
      <c r="H2217" s="8" t="inlineStr">
        <is>
          <t>⏳ UPCOMING</t>
        </is>
      </c>
      <c r="I2217" s="4" t="inlineStr">
        <is>
          <t>BOQ_2296841.xls</t>
        </is>
      </c>
      <c r="J2217" s="6" t="inlineStr">
        <is>
          <t>📊 Excel BOQ</t>
        </is>
      </c>
      <c r="K2217" s="9" t="n">
        <v>2.5</v>
      </c>
      <c r="L2217" s="10">
        <f>HYPERLINK("http://127.0.0.1:8000/api/documents/download?id=310&amp;attachment=true", "⬇ Download BOQ_2296841.xls")</f>
        <v/>
      </c>
      <c r="M2217" s="10">
        <f>HYPERLINK("http://localhost:5173/?state=Maharashtra&amp;keyword=ICT&amp;tender=2026_BEED_1343835_4", "🚀 Open in Portal")</f>
        <v/>
      </c>
    </row>
    <row r="2218" ht="24" customHeight="1">
      <c r="A2218" s="11" t="inlineStr">
        <is>
          <t>Maharashtra</t>
        </is>
      </c>
      <c r="B2218" s="12" t="inlineStr">
        <is>
          <t>ICT</t>
        </is>
      </c>
      <c r="C2218" s="13" t="inlineStr">
        <is>
          <t>2026_BEED_1343835_4</t>
        </is>
      </c>
      <c r="D2218" s="14" t="inlineStr">
        <is>
          <t>[Supply and Installation of Hand Washing Units at Gram Panchayat Rajewadi, Taluka Ambajogai, District Beed]</t>
        </is>
      </c>
      <c r="E2218" s="14" t="inlineStr">
        <is>
          <t>Maharashtra Public Works &amp; Technology Department</t>
        </is>
      </c>
      <c r="F2218" s="13" t="inlineStr">
        <is>
          <t>27 Aug 2026</t>
        </is>
      </c>
      <c r="G2218" s="12" t="inlineStr">
        <is>
          <t>19 Sep 2026</t>
        </is>
      </c>
      <c r="H2218" s="8" t="inlineStr">
        <is>
          <t>⏳ UPCOMING</t>
        </is>
      </c>
      <c r="I2218" s="11" t="inlineStr">
        <is>
          <t>Tender_2026_BEED_1343835_4_All_Documents.zip</t>
        </is>
      </c>
      <c r="J2218" s="13" t="inlineStr">
        <is>
          <t>📦 ZIP Package</t>
        </is>
      </c>
      <c r="K2218" s="15" t="n">
        <v>20.8</v>
      </c>
      <c r="L2218" s="16">
        <f>HYPERLINK("http://127.0.0.1:8000/api/documents/download?id=311&amp;attachment=true", "⬇ Download Tender_2026_BEED_1343835")</f>
        <v/>
      </c>
      <c r="M2218" s="16">
        <f>HYPERLINK("http://localhost:5173/?state=Maharashtra&amp;keyword=ICT&amp;tender=2026_BEED_1343835_4", "🚀 Open in Portal")</f>
        <v/>
      </c>
    </row>
    <row r="2219" ht="24" customHeight="1">
      <c r="A2219" s="4" t="inlineStr">
        <is>
          <t>Maharashtra</t>
        </is>
      </c>
      <c r="B2219" s="5" t="inlineStr">
        <is>
          <t>ICT</t>
        </is>
      </c>
      <c r="C2219" s="6" t="inlineStr">
        <is>
          <t>2026_BEED_1343835_5</t>
        </is>
      </c>
      <c r="D2219" s="7" t="inlineStr">
        <is>
          <t>[Supply of Dustbins for Public Places at Rajewadi, Taluka Ambajogai, District Beed]</t>
        </is>
      </c>
      <c r="E2219" s="7" t="inlineStr">
        <is>
          <t>Maharashtra Public Works &amp; Technology Department</t>
        </is>
      </c>
      <c r="F2219" s="6" t="inlineStr">
        <is>
          <t>02 Sep 2026</t>
        </is>
      </c>
      <c r="G2219" s="5" t="inlineStr">
        <is>
          <t>27 Sep 2026</t>
        </is>
      </c>
      <c r="H2219" s="8" t="inlineStr">
        <is>
          <t>⏳ UPCOMING</t>
        </is>
      </c>
      <c r="I2219" s="4" t="inlineStr">
        <is>
          <t>Tendernotice_1.pdf</t>
        </is>
      </c>
      <c r="J2219" s="6" t="inlineStr">
        <is>
          <t>📕 PDF Document</t>
        </is>
      </c>
      <c r="K2219" s="9" t="n">
        <v>17.9</v>
      </c>
      <c r="L2219" s="10">
        <f>HYPERLINK("http://127.0.0.1:8000/api/documents/download?id=312&amp;attachment=true", "⬇ Download Tendernotice_1.pdf")</f>
        <v/>
      </c>
      <c r="M2219" s="10">
        <f>HYPERLINK("http://localhost:5173/?state=Maharashtra&amp;keyword=ICT&amp;tender=2026_BEED_1343835_5", "🚀 Open in Portal")</f>
        <v/>
      </c>
    </row>
    <row r="2220" ht="24" customHeight="1">
      <c r="A2220" s="11" t="inlineStr">
        <is>
          <t>Maharashtra</t>
        </is>
      </c>
      <c r="B2220" s="12" t="inlineStr">
        <is>
          <t>ICT</t>
        </is>
      </c>
      <c r="C2220" s="13" t="inlineStr">
        <is>
          <t>2026_BEED_1343835_5</t>
        </is>
      </c>
      <c r="D2220" s="14" t="inlineStr">
        <is>
          <t>[Supply of Dustbins for Public Places at Rajewadi, Taluka Ambajogai, District Beed]</t>
        </is>
      </c>
      <c r="E2220" s="14" t="inlineStr">
        <is>
          <t>Maharashtra Public Works &amp; Technology Department</t>
        </is>
      </c>
      <c r="F2220" s="13" t="inlineStr">
        <is>
          <t>02 Sep 2026</t>
        </is>
      </c>
      <c r="G2220" s="12" t="inlineStr">
        <is>
          <t>27 Sep 2026</t>
        </is>
      </c>
      <c r="H2220" s="8" t="inlineStr">
        <is>
          <t>⏳ UPCOMING</t>
        </is>
      </c>
      <c r="I2220" s="11" t="inlineStr">
        <is>
          <t>04_SBD.pdf</t>
        </is>
      </c>
      <c r="J2220" s="13" t="inlineStr">
        <is>
          <t>📕 PDF Document</t>
        </is>
      </c>
      <c r="K2220" s="15" t="n">
        <v>17.8</v>
      </c>
      <c r="L2220" s="16">
        <f>HYPERLINK("http://127.0.0.1:8000/api/documents/download?id=313&amp;attachment=true", "⬇ Download 04_SBD.pdf")</f>
        <v/>
      </c>
      <c r="M2220" s="16">
        <f>HYPERLINK("http://localhost:5173/?state=Maharashtra&amp;keyword=ICT&amp;tender=2026_BEED_1343835_5", "🚀 Open in Portal")</f>
        <v/>
      </c>
    </row>
    <row r="2221" ht="24" customHeight="1">
      <c r="A2221" s="4" t="inlineStr">
        <is>
          <t>Maharashtra</t>
        </is>
      </c>
      <c r="B2221" s="5" t="inlineStr">
        <is>
          <t>ICT</t>
        </is>
      </c>
      <c r="C2221" s="6" t="inlineStr">
        <is>
          <t>2026_BEED_1343835_5</t>
        </is>
      </c>
      <c r="D2221" s="7" t="inlineStr">
        <is>
          <t>[Supply of Dustbins for Public Places at Rajewadi, Taluka Ambajogai, District Beed]</t>
        </is>
      </c>
      <c r="E2221" s="7" t="inlineStr">
        <is>
          <t>Maharashtra Public Works &amp; Technology Department</t>
        </is>
      </c>
      <c r="F2221" s="6" t="inlineStr">
        <is>
          <t>02 Sep 2026</t>
        </is>
      </c>
      <c r="G2221" s="5" t="inlineStr">
        <is>
          <t>27 Sep 2026</t>
        </is>
      </c>
      <c r="H2221" s="8" t="inlineStr">
        <is>
          <t>⏳ UPCOMING</t>
        </is>
      </c>
      <c r="I2221" s="4" t="inlineStr">
        <is>
          <t>BOQ_2296860.xls</t>
        </is>
      </c>
      <c r="J2221" s="6" t="inlineStr">
        <is>
          <t>📊 Excel BOQ</t>
        </is>
      </c>
      <c r="K2221" s="9" t="n">
        <v>2.5</v>
      </c>
      <c r="L2221" s="10">
        <f>HYPERLINK("http://127.0.0.1:8000/api/documents/download?id=314&amp;attachment=true", "⬇ Download BOQ_2296860.xls")</f>
        <v/>
      </c>
      <c r="M2221" s="10">
        <f>HYPERLINK("http://localhost:5173/?state=Maharashtra&amp;keyword=ICT&amp;tender=2026_BEED_1343835_5", "🚀 Open in Portal")</f>
        <v/>
      </c>
    </row>
    <row r="2222" ht="24" customHeight="1">
      <c r="A2222" s="11" t="inlineStr">
        <is>
          <t>Maharashtra</t>
        </is>
      </c>
      <c r="B2222" s="12" t="inlineStr">
        <is>
          <t>ICT</t>
        </is>
      </c>
      <c r="C2222" s="13" t="inlineStr">
        <is>
          <t>2026_BEED_1343835_5</t>
        </is>
      </c>
      <c r="D2222" s="14" t="inlineStr">
        <is>
          <t>[Supply of Dustbins for Public Places at Rajewadi, Taluka Ambajogai, District Beed]</t>
        </is>
      </c>
      <c r="E2222" s="14" t="inlineStr">
        <is>
          <t>Maharashtra Public Works &amp; Technology Department</t>
        </is>
      </c>
      <c r="F2222" s="13" t="inlineStr">
        <is>
          <t>02 Sep 2026</t>
        </is>
      </c>
      <c r="G2222" s="12" t="inlineStr">
        <is>
          <t>27 Sep 2026</t>
        </is>
      </c>
      <c r="H2222" s="8" t="inlineStr">
        <is>
          <t>⏳ UPCOMING</t>
        </is>
      </c>
      <c r="I2222" s="11" t="inlineStr">
        <is>
          <t>Tender_2026_BEED_1343835_5_All_Documents.zip</t>
        </is>
      </c>
      <c r="J2222" s="13" t="inlineStr">
        <is>
          <t>📦 ZIP Package</t>
        </is>
      </c>
      <c r="K2222" s="15" t="n">
        <v>20.9</v>
      </c>
      <c r="L2222" s="16">
        <f>HYPERLINK("http://127.0.0.1:8000/api/documents/download?id=315&amp;attachment=true", "⬇ Download Tender_2026_BEED_1343835")</f>
        <v/>
      </c>
      <c r="M2222" s="16">
        <f>HYPERLINK("http://localhost:5173/?state=Maharashtra&amp;keyword=ICT&amp;tender=2026_BEED_1343835_5", "🚀 Open in Portal")</f>
        <v/>
      </c>
    </row>
    <row r="2223" ht="24" customHeight="1">
      <c r="A2223" s="4" t="inlineStr">
        <is>
          <t>Maharashtra</t>
        </is>
      </c>
      <c r="B2223" s="5" t="inlineStr">
        <is>
          <t>ICT</t>
        </is>
      </c>
      <c r="C2223" s="6" t="inlineStr">
        <is>
          <t>2026_BEED_1343881_1</t>
        </is>
      </c>
      <c r="D2223" s="7" t="inlineStr">
        <is>
          <t>[Supply, Installation, Testing and Commissioning of CCTV Cameras at Hatola, Taluka Ambajogai, District Beed]</t>
        </is>
      </c>
      <c r="E2223" s="7" t="inlineStr">
        <is>
          <t>Maharashtra Public Works &amp; Technology Department</t>
        </is>
      </c>
      <c r="F2223" s="6" t="inlineStr">
        <is>
          <t>14 Sep 2026</t>
        </is>
      </c>
      <c r="G2223" s="5" t="inlineStr">
        <is>
          <t>10 Oct 2026</t>
        </is>
      </c>
      <c r="H2223" s="8" t="inlineStr">
        <is>
          <t>⏳ UPCOMING</t>
        </is>
      </c>
      <c r="I2223" s="4" t="inlineStr">
        <is>
          <t>Tendernotice_1.pdf</t>
        </is>
      </c>
      <c r="J2223" s="6" t="inlineStr">
        <is>
          <t>📕 PDF Document</t>
        </is>
      </c>
      <c r="K2223" s="9" t="n">
        <v>17.8</v>
      </c>
      <c r="L2223" s="10">
        <f>HYPERLINK("http://127.0.0.1:8000/api/documents/download?id=320&amp;attachment=true", "⬇ Download Tendernotice_1.pdf")</f>
        <v/>
      </c>
      <c r="M2223" s="10">
        <f>HYPERLINK("http://localhost:5173/?state=Maharashtra&amp;keyword=ICT&amp;tender=2026_BEED_1343881_1", "🚀 Open in Portal")</f>
        <v/>
      </c>
    </row>
    <row r="2224" ht="24" customHeight="1">
      <c r="A2224" s="11" t="inlineStr">
        <is>
          <t>Maharashtra</t>
        </is>
      </c>
      <c r="B2224" s="12" t="inlineStr">
        <is>
          <t>ICT</t>
        </is>
      </c>
      <c r="C2224" s="13" t="inlineStr">
        <is>
          <t>2026_BEED_1343881_1</t>
        </is>
      </c>
      <c r="D2224" s="14" t="inlineStr">
        <is>
          <t>[Supply, Installation, Testing and Commissioning of CCTV Cameras at Hatola, Taluka Ambajogai, District Beed]</t>
        </is>
      </c>
      <c r="E2224" s="14" t="inlineStr">
        <is>
          <t>Maharashtra Public Works &amp; Technology Department</t>
        </is>
      </c>
      <c r="F2224" s="13" t="inlineStr">
        <is>
          <t>14 Sep 2026</t>
        </is>
      </c>
      <c r="G2224" s="12" t="inlineStr">
        <is>
          <t>10 Oct 2026</t>
        </is>
      </c>
      <c r="H2224" s="8" t="inlineStr">
        <is>
          <t>⏳ UPCOMING</t>
        </is>
      </c>
      <c r="I2224" s="11" t="inlineStr">
        <is>
          <t>BOQ_2296886.xls</t>
        </is>
      </c>
      <c r="J2224" s="13" t="inlineStr">
        <is>
          <t>📊 Excel BOQ</t>
        </is>
      </c>
      <c r="K2224" s="15" t="n">
        <v>2.5</v>
      </c>
      <c r="L2224" s="16">
        <f>HYPERLINK("http://127.0.0.1:8000/api/documents/download?id=321&amp;attachment=true", "⬇ Download BOQ_2296886.xls")</f>
        <v/>
      </c>
      <c r="M2224" s="16">
        <f>HYPERLINK("http://localhost:5173/?state=Maharashtra&amp;keyword=ICT&amp;tender=2026_BEED_1343881_1", "🚀 Open in Portal")</f>
        <v/>
      </c>
    </row>
    <row r="2225" ht="24" customHeight="1">
      <c r="A2225" s="4" t="inlineStr">
        <is>
          <t>Maharashtra</t>
        </is>
      </c>
      <c r="B2225" s="5" t="inlineStr">
        <is>
          <t>ICT</t>
        </is>
      </c>
      <c r="C2225" s="6" t="inlineStr">
        <is>
          <t>2026_BEED_1343881_1</t>
        </is>
      </c>
      <c r="D2225" s="7" t="inlineStr">
        <is>
          <t>[Supply, Installation, Testing and Commissioning of CCTV Cameras at Hatola, Taluka Ambajogai, District Beed]</t>
        </is>
      </c>
      <c r="E2225" s="7" t="inlineStr">
        <is>
          <t>Maharashtra Public Works &amp; Technology Department</t>
        </is>
      </c>
      <c r="F2225" s="6" t="inlineStr">
        <is>
          <t>14 Sep 2026</t>
        </is>
      </c>
      <c r="G2225" s="5" t="inlineStr">
        <is>
          <t>10 Oct 2026</t>
        </is>
      </c>
      <c r="H2225" s="8" t="inlineStr">
        <is>
          <t>⏳ UPCOMING</t>
        </is>
      </c>
      <c r="I2225" s="4" t="inlineStr">
        <is>
          <t>04_SBD.pdf</t>
        </is>
      </c>
      <c r="J2225" s="6" t="inlineStr">
        <is>
          <t>📕 PDF Document</t>
        </is>
      </c>
      <c r="K2225" s="9" t="n">
        <v>17.8</v>
      </c>
      <c r="L2225" s="10">
        <f>HYPERLINK("http://127.0.0.1:8000/api/documents/download?id=322&amp;attachment=true", "⬇ Download 04_SBD.pdf")</f>
        <v/>
      </c>
      <c r="M2225" s="10">
        <f>HYPERLINK("http://localhost:5173/?state=Maharashtra&amp;keyword=ICT&amp;tender=2026_BEED_1343881_1", "🚀 Open in Portal")</f>
        <v/>
      </c>
    </row>
    <row r="2226" ht="24" customHeight="1">
      <c r="A2226" s="11" t="inlineStr">
        <is>
          <t>Maharashtra</t>
        </is>
      </c>
      <c r="B2226" s="12" t="inlineStr">
        <is>
          <t>ICT</t>
        </is>
      </c>
      <c r="C2226" s="13" t="inlineStr">
        <is>
          <t>2026_BEED_1343881_1</t>
        </is>
      </c>
      <c r="D2226" s="14" t="inlineStr">
        <is>
          <t>[Supply, Installation, Testing and Commissioning of CCTV Cameras at Hatola, Taluka Ambajogai, District Beed]</t>
        </is>
      </c>
      <c r="E2226" s="14" t="inlineStr">
        <is>
          <t>Maharashtra Public Works &amp; Technology Department</t>
        </is>
      </c>
      <c r="F2226" s="13" t="inlineStr">
        <is>
          <t>14 Sep 2026</t>
        </is>
      </c>
      <c r="G2226" s="12" t="inlineStr">
        <is>
          <t>10 Oct 2026</t>
        </is>
      </c>
      <c r="H2226" s="8" t="inlineStr">
        <is>
          <t>⏳ UPCOMING</t>
        </is>
      </c>
      <c r="I2226" s="11" t="inlineStr">
        <is>
          <t>Tender_2026_BEED_1343881_1_All_Documents.zip</t>
        </is>
      </c>
      <c r="J2226" s="13" t="inlineStr">
        <is>
          <t>📦 ZIP Package</t>
        </is>
      </c>
      <c r="K2226" s="15" t="n">
        <v>20.9</v>
      </c>
      <c r="L2226" s="16">
        <f>HYPERLINK("http://127.0.0.1:8000/api/documents/download?id=323&amp;attachment=true", "⬇ Download Tender_2026_BEED_1343881")</f>
        <v/>
      </c>
      <c r="M2226" s="16">
        <f>HYPERLINK("http://localhost:5173/?state=Maharashtra&amp;keyword=ICT&amp;tender=2026_BEED_1343881_1", "🚀 Open in Portal")</f>
        <v/>
      </c>
    </row>
    <row r="2227" ht="24" customHeight="1">
      <c r="A2227" s="4" t="inlineStr">
        <is>
          <t>Maharashtra</t>
        </is>
      </c>
      <c r="B2227" s="5" t="inlineStr">
        <is>
          <t>ICT</t>
        </is>
      </c>
      <c r="C2227" s="6" t="inlineStr">
        <is>
          <t>2026_BHCMU_1343197_1</t>
        </is>
      </c>
      <c r="D2227" s="7" t="inlineStr">
        <is>
          <t>[PROVIDING CLEANING SERVICES FACILITY IN ALL THE BUILDING OF DISTRICT AND SESSIONS COURT, RATNAGIRI AND ALL TALUKA COURTS THROUGH OUTSOURCING FOR THE PERIOD OF TWO YEARS]</t>
        </is>
      </c>
      <c r="E2227" s="7" t="inlineStr">
        <is>
          <t>Maharashtra Public Works &amp; Technology Department</t>
        </is>
      </c>
      <c r="F2227" s="6" t="inlineStr">
        <is>
          <t>24 Sep 2026</t>
        </is>
      </c>
      <c r="G2227" s="5" t="inlineStr">
        <is>
          <t>08 Nov 2026</t>
        </is>
      </c>
      <c r="H2227" s="17" t="inlineStr">
        <is>
          <t>🟢 LIVE ACTIVE</t>
        </is>
      </c>
      <c r="I2227" s="4" t="inlineStr">
        <is>
          <t>Tendernotice_1.pdf</t>
        </is>
      </c>
      <c r="J2227" s="6" t="inlineStr">
        <is>
          <t>📕 PDF Document</t>
        </is>
      </c>
      <c r="K2227" s="9" t="n">
        <v>17.9</v>
      </c>
      <c r="L2227" s="10">
        <f>HYPERLINK("http://127.0.0.1:8000/api/documents/download?id=381&amp;attachment=true", "⬇ Download Tendernotice_1.pdf")</f>
        <v/>
      </c>
      <c r="M2227" s="10">
        <f>HYPERLINK("http://localhost:5173/?state=Maharashtra&amp;keyword=ICT&amp;tender=2026_BHCMU_1343197_1", "🚀 Open in Portal")</f>
        <v/>
      </c>
    </row>
    <row r="2228" ht="24" customHeight="1">
      <c r="A2228" s="11" t="inlineStr">
        <is>
          <t>Maharashtra</t>
        </is>
      </c>
      <c r="B2228" s="12" t="inlineStr">
        <is>
          <t>ICT</t>
        </is>
      </c>
      <c r="C2228" s="13" t="inlineStr">
        <is>
          <t>2026_BHCMU_1343197_1</t>
        </is>
      </c>
      <c r="D2228" s="14" t="inlineStr">
        <is>
          <t>[PROVIDING CLEANING SERVICES FACILITY IN ALL THE BUILDING OF DISTRICT AND SESSIONS COURT, RATNAGIRI AND ALL TALUKA COURTS THROUGH OUTSOURCING FOR THE PERIOD OF TWO YEARS]</t>
        </is>
      </c>
      <c r="E2228" s="14" t="inlineStr">
        <is>
          <t>Maharashtra Public Works &amp; Technology Department</t>
        </is>
      </c>
      <c r="F2228" s="13" t="inlineStr">
        <is>
          <t>24 Sep 2026</t>
        </is>
      </c>
      <c r="G2228" s="12" t="inlineStr">
        <is>
          <t>08 Nov 2026</t>
        </is>
      </c>
      <c r="H2228" s="17" t="inlineStr">
        <is>
          <t>🟢 LIVE ACTIVE</t>
        </is>
      </c>
      <c r="I2228" s="11" t="inlineStr">
        <is>
          <t>FinalETender.pdf</t>
        </is>
      </c>
      <c r="J2228" s="13" t="inlineStr">
        <is>
          <t>📕 PDF Document</t>
        </is>
      </c>
      <c r="K2228" s="15" t="n">
        <v>17.9</v>
      </c>
      <c r="L2228" s="16">
        <f>HYPERLINK("http://127.0.0.1:8000/api/documents/download?id=382&amp;attachment=true", "⬇ Download FinalETender.pdf")</f>
        <v/>
      </c>
      <c r="M2228" s="16">
        <f>HYPERLINK("http://localhost:5173/?state=Maharashtra&amp;keyword=ICT&amp;tender=2026_BHCMU_1343197_1", "🚀 Open in Portal")</f>
        <v/>
      </c>
    </row>
    <row r="2229" ht="24" customHeight="1">
      <c r="A2229" s="4" t="inlineStr">
        <is>
          <t>Maharashtra</t>
        </is>
      </c>
      <c r="B2229" s="5" t="inlineStr">
        <is>
          <t>ICT</t>
        </is>
      </c>
      <c r="C2229" s="6" t="inlineStr">
        <is>
          <t>2026_BHCMU_1343197_1</t>
        </is>
      </c>
      <c r="D2229" s="7" t="inlineStr">
        <is>
          <t>[PROVIDING CLEANING SERVICES FACILITY IN ALL THE BUILDING OF DISTRICT AND SESSIONS COURT, RATNAGIRI AND ALL TALUKA COURTS THROUGH OUTSOURCING FOR THE PERIOD OF TWO YEARS]</t>
        </is>
      </c>
      <c r="E2229" s="7" t="inlineStr">
        <is>
          <t>Maharashtra Public Works &amp; Technology Department</t>
        </is>
      </c>
      <c r="F2229" s="6" t="inlineStr">
        <is>
          <t>24 Sep 2026</t>
        </is>
      </c>
      <c r="G2229" s="5" t="inlineStr">
        <is>
          <t>08 Nov 2026</t>
        </is>
      </c>
      <c r="H2229" s="17" t="inlineStr">
        <is>
          <t>🟢 LIVE ACTIVE</t>
        </is>
      </c>
      <c r="I2229" s="4" t="inlineStr">
        <is>
          <t>BOQ_2295800.xls</t>
        </is>
      </c>
      <c r="J2229" s="6" t="inlineStr">
        <is>
          <t>📊 Excel BOQ</t>
        </is>
      </c>
      <c r="K2229" s="9" t="n">
        <v>2.5</v>
      </c>
      <c r="L2229" s="10">
        <f>HYPERLINK("http://127.0.0.1:8000/api/documents/download?id=383&amp;attachment=true", "⬇ Download BOQ_2295800.xls")</f>
        <v/>
      </c>
      <c r="M2229" s="10">
        <f>HYPERLINK("http://localhost:5173/?state=Maharashtra&amp;keyword=ICT&amp;tender=2026_BHCMU_1343197_1", "🚀 Open in Portal")</f>
        <v/>
      </c>
    </row>
    <row r="2230" ht="24" customHeight="1">
      <c r="A2230" s="11" t="inlineStr">
        <is>
          <t>Maharashtra</t>
        </is>
      </c>
      <c r="B2230" s="12" t="inlineStr">
        <is>
          <t>ICT</t>
        </is>
      </c>
      <c r="C2230" s="13" t="inlineStr">
        <is>
          <t>2026_BHCMU_1343197_1</t>
        </is>
      </c>
      <c r="D2230" s="14" t="inlineStr">
        <is>
          <t>[PROVIDING CLEANING SERVICES FACILITY IN ALL THE BUILDING OF DISTRICT AND SESSIONS COURT, RATNAGIRI AND ALL TALUKA COURTS THROUGH OUTSOURCING FOR THE PERIOD OF TWO YEARS]</t>
        </is>
      </c>
      <c r="E2230" s="14" t="inlineStr">
        <is>
          <t>Maharashtra Public Works &amp; Technology Department</t>
        </is>
      </c>
      <c r="F2230" s="13" t="inlineStr">
        <is>
          <t>24 Sep 2026</t>
        </is>
      </c>
      <c r="G2230" s="12" t="inlineStr">
        <is>
          <t>08 Nov 2026</t>
        </is>
      </c>
      <c r="H2230" s="17" t="inlineStr">
        <is>
          <t>🟢 LIVE ACTIVE</t>
        </is>
      </c>
      <c r="I2230" s="11" t="inlineStr">
        <is>
          <t>Profarma.pdf</t>
        </is>
      </c>
      <c r="J2230" s="13" t="inlineStr">
        <is>
          <t>📕 PDF Document</t>
        </is>
      </c>
      <c r="K2230" s="15" t="n">
        <v>17.8</v>
      </c>
      <c r="L2230" s="16">
        <f>HYPERLINK("http://127.0.0.1:8000/api/documents/download?id=384&amp;attachment=true", "⬇ Download Profarma.pdf")</f>
        <v/>
      </c>
      <c r="M2230" s="16">
        <f>HYPERLINK("http://localhost:5173/?state=Maharashtra&amp;keyword=ICT&amp;tender=2026_BHCMU_1343197_1", "🚀 Open in Portal")</f>
        <v/>
      </c>
    </row>
    <row r="2231" ht="24" customHeight="1">
      <c r="A2231" s="4" t="inlineStr">
        <is>
          <t>Maharashtra</t>
        </is>
      </c>
      <c r="B2231" s="5" t="inlineStr">
        <is>
          <t>ICT</t>
        </is>
      </c>
      <c r="C2231" s="6" t="inlineStr">
        <is>
          <t>2026_BHCMU_1343197_1</t>
        </is>
      </c>
      <c r="D2231" s="7" t="inlineStr">
        <is>
          <t>[PROVIDING CLEANING SERVICES FACILITY IN ALL THE BUILDING OF DISTRICT AND SESSIONS COURT, RATNAGIRI AND ALL TALUKA COURTS THROUGH OUTSOURCING FOR THE PERIOD OF TWO YEARS]</t>
        </is>
      </c>
      <c r="E2231" s="7" t="inlineStr">
        <is>
          <t>Maharashtra Public Works &amp; Technology Department</t>
        </is>
      </c>
      <c r="F2231" s="6" t="inlineStr">
        <is>
          <t>24 Sep 2026</t>
        </is>
      </c>
      <c r="G2231" s="5" t="inlineStr">
        <is>
          <t>08 Nov 2026</t>
        </is>
      </c>
      <c r="H2231" s="17" t="inlineStr">
        <is>
          <t>🟢 LIVE ACTIVE</t>
        </is>
      </c>
      <c r="I2231" s="4" t="inlineStr">
        <is>
          <t>Tender_2026_BHCMU_1343197_1_All_Documents.zip</t>
        </is>
      </c>
      <c r="J2231" s="6" t="inlineStr">
        <is>
          <t>📦 ZIP Package</t>
        </is>
      </c>
      <c r="K2231" s="9" t="n">
        <v>30.2</v>
      </c>
      <c r="L2231" s="10">
        <f>HYPERLINK("http://127.0.0.1:8000/api/documents/download?id=385&amp;attachment=true", "⬇ Download Tender_2026_BHCMU_134319")</f>
        <v/>
      </c>
      <c r="M2231" s="10">
        <f>HYPERLINK("http://localhost:5173/?state=Maharashtra&amp;keyword=ICT&amp;tender=2026_BHCMU_1343197_1", "🚀 Open in Portal")</f>
        <v/>
      </c>
    </row>
    <row r="2232" ht="24" customHeight="1">
      <c r="A2232" s="11" t="inlineStr">
        <is>
          <t>Maharashtra</t>
        </is>
      </c>
      <c r="B2232" s="12" t="inlineStr">
        <is>
          <t>ICT</t>
        </is>
      </c>
      <c r="C2232" s="13" t="inlineStr">
        <is>
          <t>2026_DMA_1343458_1</t>
        </is>
      </c>
      <c r="D2232" s="14" t="inlineStr">
        <is>
          <t>[Electrification of various cremation grounds under the Hinduhrudaysamrat Balasaheb Thackeray Nagari Lok Kalyan Abhiyan scheme.]</t>
        </is>
      </c>
      <c r="E2232" s="14" t="inlineStr">
        <is>
          <t>Maharashtra Public Works &amp; Technology Department</t>
        </is>
      </c>
      <c r="F2232" s="13" t="inlineStr">
        <is>
          <t>06 Aug 2026</t>
        </is>
      </c>
      <c r="G2232" s="12" t="inlineStr">
        <is>
          <t>28 Aug 2026</t>
        </is>
      </c>
      <c r="H2232" s="8" t="inlineStr">
        <is>
          <t>⏳ UPCOMING</t>
        </is>
      </c>
      <c r="I2232" s="11" t="inlineStr">
        <is>
          <t>Tendernotice_1.pdf</t>
        </is>
      </c>
      <c r="J2232" s="13" t="inlineStr">
        <is>
          <t>📕 PDF Document</t>
        </is>
      </c>
      <c r="K2232" s="15" t="n">
        <v>17.8</v>
      </c>
      <c r="L2232" s="16">
        <f>HYPERLINK("http://127.0.0.1:8000/api/documents/download?id=372&amp;attachment=true", "⬇ Download Tendernotice_1.pdf")</f>
        <v/>
      </c>
      <c r="M2232" s="16">
        <f>HYPERLINK("http://localhost:5173/?state=Maharashtra&amp;keyword=ICT&amp;tender=2026_DMA_1343458_1", "🚀 Open in Portal")</f>
        <v/>
      </c>
    </row>
    <row r="2233" ht="24" customHeight="1">
      <c r="A2233" s="4" t="inlineStr">
        <is>
          <t>Maharashtra</t>
        </is>
      </c>
      <c r="B2233" s="5" t="inlineStr">
        <is>
          <t>ICT</t>
        </is>
      </c>
      <c r="C2233" s="6" t="inlineStr">
        <is>
          <t>2026_DMA_1343458_1</t>
        </is>
      </c>
      <c r="D2233" s="7" t="inlineStr">
        <is>
          <t>[Electrification of various cremation grounds under the Hinduhrudaysamrat Balasaheb Thackeray Nagari Lok Kalyan Abhiyan scheme.]</t>
        </is>
      </c>
      <c r="E2233" s="7" t="inlineStr">
        <is>
          <t>Maharashtra Public Works &amp; Technology Department</t>
        </is>
      </c>
      <c r="F2233" s="6" t="inlineStr">
        <is>
          <t>06 Aug 2026</t>
        </is>
      </c>
      <c r="G2233" s="5" t="inlineStr">
        <is>
          <t>28 Aug 2026</t>
        </is>
      </c>
      <c r="H2233" s="8" t="inlineStr">
        <is>
          <t>⏳ UPCOMING</t>
        </is>
      </c>
      <c r="I2233" s="4" t="inlineStr">
        <is>
          <t>BOQ_2296287.xls</t>
        </is>
      </c>
      <c r="J2233" s="6" t="inlineStr">
        <is>
          <t>📊 Excel BOQ</t>
        </is>
      </c>
      <c r="K2233" s="9" t="n">
        <v>2.5</v>
      </c>
      <c r="L2233" s="10">
        <f>HYPERLINK("http://127.0.0.1:8000/api/documents/download?id=373&amp;attachment=true", "⬇ Download BOQ_2296287.xls")</f>
        <v/>
      </c>
      <c r="M2233" s="10">
        <f>HYPERLINK("http://localhost:5173/?state=Maharashtra&amp;keyword=ICT&amp;tender=2026_DMA_1343458_1", "🚀 Open in Portal")</f>
        <v/>
      </c>
    </row>
    <row r="2234" ht="24" customHeight="1">
      <c r="A2234" s="11" t="inlineStr">
        <is>
          <t>Maharashtra</t>
        </is>
      </c>
      <c r="B2234" s="12" t="inlineStr">
        <is>
          <t>ICT</t>
        </is>
      </c>
      <c r="C2234" s="13" t="inlineStr">
        <is>
          <t>2026_DMA_1343458_1</t>
        </is>
      </c>
      <c r="D2234" s="14" t="inlineStr">
        <is>
          <t>[Electrification of various cremation grounds under the Hinduhrudaysamrat Balasaheb Thackeray Nagari Lok Kalyan Abhiyan scheme.]</t>
        </is>
      </c>
      <c r="E2234" s="14" t="inlineStr">
        <is>
          <t>Maharashtra Public Works &amp; Technology Department</t>
        </is>
      </c>
      <c r="F2234" s="13" t="inlineStr">
        <is>
          <t>06 Aug 2026</t>
        </is>
      </c>
      <c r="G2234" s="12" t="inlineStr">
        <is>
          <t>28 Aug 2026</t>
        </is>
      </c>
      <c r="H2234" s="8" t="inlineStr">
        <is>
          <t>⏳ UPCOMING</t>
        </is>
      </c>
      <c r="I2234" s="11" t="inlineStr">
        <is>
          <t>ElectrificationNIT.pdf</t>
        </is>
      </c>
      <c r="J2234" s="13" t="inlineStr">
        <is>
          <t>📕 PDF Document</t>
        </is>
      </c>
      <c r="K2234" s="15" t="n">
        <v>17.9</v>
      </c>
      <c r="L2234" s="16">
        <f>HYPERLINK("http://127.0.0.1:8000/api/documents/download?id=374&amp;attachment=true", "⬇ Download ElectrificationNIT.pdf")</f>
        <v/>
      </c>
      <c r="M2234" s="16">
        <f>HYPERLINK("http://localhost:5173/?state=Maharashtra&amp;keyword=ICT&amp;tender=2026_DMA_1343458_1", "🚀 Open in Portal")</f>
        <v/>
      </c>
    </row>
    <row r="2235" ht="24" customHeight="1">
      <c r="A2235" s="4" t="inlineStr">
        <is>
          <t>Maharashtra</t>
        </is>
      </c>
      <c r="B2235" s="5" t="inlineStr">
        <is>
          <t>ICT</t>
        </is>
      </c>
      <c r="C2235" s="6" t="inlineStr">
        <is>
          <t>2026_DMA_1343458_1</t>
        </is>
      </c>
      <c r="D2235" s="7" t="inlineStr">
        <is>
          <t>[Electrification of various cremation grounds under the Hinduhrudaysamrat Balasaheb Thackeray Nagari Lok Kalyan Abhiyan scheme.]</t>
        </is>
      </c>
      <c r="E2235" s="7" t="inlineStr">
        <is>
          <t>Maharashtra Public Works &amp; Technology Department</t>
        </is>
      </c>
      <c r="F2235" s="6" t="inlineStr">
        <is>
          <t>06 Aug 2026</t>
        </is>
      </c>
      <c r="G2235" s="5" t="inlineStr">
        <is>
          <t>28 Aug 2026</t>
        </is>
      </c>
      <c r="H2235" s="8" t="inlineStr">
        <is>
          <t>⏳ UPCOMING</t>
        </is>
      </c>
      <c r="I2235" s="4" t="inlineStr">
        <is>
          <t>ELECTRIFICATIONSMASHANBHUMIEst.pdf</t>
        </is>
      </c>
      <c r="J2235" s="6" t="inlineStr">
        <is>
          <t>📕 PDF Document</t>
        </is>
      </c>
      <c r="K2235" s="9" t="n">
        <v>17.9</v>
      </c>
      <c r="L2235" s="10">
        <f>HYPERLINK("http://127.0.0.1:8000/api/documents/download?id=375&amp;attachment=true", "⬇ Download ELECTRIFICATIONSMASHANBH")</f>
        <v/>
      </c>
      <c r="M2235" s="10">
        <f>HYPERLINK("http://localhost:5173/?state=Maharashtra&amp;keyword=ICT&amp;tender=2026_DMA_1343458_1", "🚀 Open in Portal")</f>
        <v/>
      </c>
    </row>
    <row r="2236" ht="24" customHeight="1">
      <c r="A2236" s="11" t="inlineStr">
        <is>
          <t>Maharashtra</t>
        </is>
      </c>
      <c r="B2236" s="12" t="inlineStr">
        <is>
          <t>ICT</t>
        </is>
      </c>
      <c r="C2236" s="13" t="inlineStr">
        <is>
          <t>2026_DMA_1343458_1</t>
        </is>
      </c>
      <c r="D2236" s="14" t="inlineStr">
        <is>
          <t>[Electrification of various cremation grounds under the Hinduhrudaysamrat Balasaheb Thackeray Nagari Lok Kalyan Abhiyan scheme.]</t>
        </is>
      </c>
      <c r="E2236" s="14" t="inlineStr">
        <is>
          <t>Maharashtra Public Works &amp; Technology Department</t>
        </is>
      </c>
      <c r="F2236" s="13" t="inlineStr">
        <is>
          <t>06 Aug 2026</t>
        </is>
      </c>
      <c r="G2236" s="12" t="inlineStr">
        <is>
          <t>28 Aug 2026</t>
        </is>
      </c>
      <c r="H2236" s="8" t="inlineStr">
        <is>
          <t>⏳ UPCOMING</t>
        </is>
      </c>
      <c r="I2236" s="11" t="inlineStr">
        <is>
          <t>Tender_2026_DMA_1343458_1_All_Documents.zip</t>
        </is>
      </c>
      <c r="J2236" s="13" t="inlineStr">
        <is>
          <t>📦 ZIP Package</t>
        </is>
      </c>
      <c r="K2236" s="15" t="n">
        <v>30.1</v>
      </c>
      <c r="L2236" s="16">
        <f>HYPERLINK("http://127.0.0.1:8000/api/documents/download?id=376&amp;attachment=true", "⬇ Download Tender_2026_DMA_1343458_")</f>
        <v/>
      </c>
      <c r="M2236" s="16">
        <f>HYPERLINK("http://localhost:5173/?state=Maharashtra&amp;keyword=ICT&amp;tender=2026_DMA_1343458_1", "🚀 Open in Portal")</f>
        <v/>
      </c>
    </row>
    <row r="2237" ht="24" customHeight="1">
      <c r="A2237" s="4" t="inlineStr">
        <is>
          <t>Maharashtra</t>
        </is>
      </c>
      <c r="B2237" s="5" t="inlineStr">
        <is>
          <t>ICT</t>
        </is>
      </c>
      <c r="C2237" s="6" t="inlineStr">
        <is>
          <t>2026_DMA_1343531_1</t>
        </is>
      </c>
      <c r="D2237" s="7" t="inlineStr">
        <is>
          <t>[Manmad Municipal Council at Dahegaon Compost Depot, the work of processing approximately 25 tons of collected waste daily and daily monitoring at the compost depot.MANMAD TALUKA-NANDGAON, DISTRICT NASHIK]</t>
        </is>
      </c>
      <c r="E2237" s="7" t="inlineStr">
        <is>
          <t>Maharashtra Public Works &amp; Technology Department</t>
        </is>
      </c>
      <c r="F2237" s="6" t="inlineStr">
        <is>
          <t>11 Oct 2026</t>
        </is>
      </c>
      <c r="G2237" s="5" t="inlineStr">
        <is>
          <t>23 Oct 2026</t>
        </is>
      </c>
      <c r="H2237" s="17" t="inlineStr">
        <is>
          <t>🟢 LIVE ACTIVE</t>
        </is>
      </c>
      <c r="I2237" s="4" t="inlineStr">
        <is>
          <t>Tendernotice_1.pdf</t>
        </is>
      </c>
      <c r="J2237" s="6" t="inlineStr">
        <is>
          <t>📕 PDF Document</t>
        </is>
      </c>
      <c r="K2237" s="9" t="n">
        <v>17.8</v>
      </c>
      <c r="L2237" s="10">
        <f>HYPERLINK("http://127.0.0.1:8000/api/documents/download?id=344&amp;attachment=true", "⬇ Download Tendernotice_1.pdf")</f>
        <v/>
      </c>
      <c r="M2237" s="10">
        <f>HYPERLINK("http://localhost:5173/?state=Maharashtra&amp;keyword=ICT&amp;tender=2026_DMA_1343531_1", "🚀 Open in Portal")</f>
        <v/>
      </c>
    </row>
    <row r="2238" ht="24" customHeight="1">
      <c r="A2238" s="11" t="inlineStr">
        <is>
          <t>Maharashtra</t>
        </is>
      </c>
      <c r="B2238" s="12" t="inlineStr">
        <is>
          <t>ICT</t>
        </is>
      </c>
      <c r="C2238" s="13" t="inlineStr">
        <is>
          <t>2026_DMA_1343531_1</t>
        </is>
      </c>
      <c r="D2238" s="14" t="inlineStr">
        <is>
          <t>[Manmad Municipal Council at Dahegaon Compost Depot, the work of processing approximately 25 tons of collected waste daily and daily monitoring at the compost depot.MANMAD TALUKA-NANDGAON, DISTRICT NASHIK]</t>
        </is>
      </c>
      <c r="E2238" s="14" t="inlineStr">
        <is>
          <t>Maharashtra Public Works &amp; Technology Department</t>
        </is>
      </c>
      <c r="F2238" s="13" t="inlineStr">
        <is>
          <t>11 Oct 2026</t>
        </is>
      </c>
      <c r="G2238" s="12" t="inlineStr">
        <is>
          <t>23 Oct 2026</t>
        </is>
      </c>
      <c r="H2238" s="17" t="inlineStr">
        <is>
          <t>🟢 LIVE ACTIVE</t>
        </is>
      </c>
      <c r="I2238" s="11" t="inlineStr">
        <is>
          <t>TR24202627.pdf</t>
        </is>
      </c>
      <c r="J2238" s="13" t="inlineStr">
        <is>
          <t>📕 PDF Document</t>
        </is>
      </c>
      <c r="K2238" s="15" t="n">
        <v>17.8</v>
      </c>
      <c r="L2238" s="16">
        <f>HYPERLINK("http://127.0.0.1:8000/api/documents/download?id=345&amp;attachment=true", "⬇ Download TR24202627.pdf")</f>
        <v/>
      </c>
      <c r="M2238" s="16">
        <f>HYPERLINK("http://localhost:5173/?state=Maharashtra&amp;keyword=ICT&amp;tender=2026_DMA_1343531_1", "🚀 Open in Portal")</f>
        <v/>
      </c>
    </row>
    <row r="2239" ht="24" customHeight="1">
      <c r="A2239" s="4" t="inlineStr">
        <is>
          <t>Maharashtra</t>
        </is>
      </c>
      <c r="B2239" s="5" t="inlineStr">
        <is>
          <t>ICT</t>
        </is>
      </c>
      <c r="C2239" s="6" t="inlineStr">
        <is>
          <t>2026_DMA_1343531_1</t>
        </is>
      </c>
      <c r="D2239" s="7" t="inlineStr">
        <is>
          <t>[Manmad Municipal Council at Dahegaon Compost Depot, the work of processing approximately 25 tons of collected waste daily and daily monitoring at the compost depot.MANMAD TALUKA-NANDGAON, DISTRICT NASHIK]</t>
        </is>
      </c>
      <c r="E2239" s="7" t="inlineStr">
        <is>
          <t>Maharashtra Public Works &amp; Technology Department</t>
        </is>
      </c>
      <c r="F2239" s="6" t="inlineStr">
        <is>
          <t>11 Oct 2026</t>
        </is>
      </c>
      <c r="G2239" s="5" t="inlineStr">
        <is>
          <t>23 Oct 2026</t>
        </is>
      </c>
      <c r="H2239" s="17" t="inlineStr">
        <is>
          <t>🟢 LIVE ACTIVE</t>
        </is>
      </c>
      <c r="I2239" s="4" t="inlineStr">
        <is>
          <t>BOQ_2296423.xls</t>
        </is>
      </c>
      <c r="J2239" s="6" t="inlineStr">
        <is>
          <t>📊 Excel BOQ</t>
        </is>
      </c>
      <c r="K2239" s="9" t="n">
        <v>2.5</v>
      </c>
      <c r="L2239" s="10">
        <f>HYPERLINK("http://127.0.0.1:8000/api/documents/download?id=346&amp;attachment=true", "⬇ Download BOQ_2296423.xls")</f>
        <v/>
      </c>
      <c r="M2239" s="10">
        <f>HYPERLINK("http://localhost:5173/?state=Maharashtra&amp;keyword=ICT&amp;tender=2026_DMA_1343531_1", "🚀 Open in Portal")</f>
        <v/>
      </c>
    </row>
    <row r="2240" ht="24" customHeight="1">
      <c r="A2240" s="11" t="inlineStr">
        <is>
          <t>Maharashtra</t>
        </is>
      </c>
      <c r="B2240" s="12" t="inlineStr">
        <is>
          <t>ICT</t>
        </is>
      </c>
      <c r="C2240" s="13" t="inlineStr">
        <is>
          <t>2026_DMA_1343531_1</t>
        </is>
      </c>
      <c r="D2240" s="14" t="inlineStr">
        <is>
          <t>[Manmad Municipal Council at Dahegaon Compost Depot, the work of processing approximately 25 tons of collected waste daily and daily monitoring at the compost depot.MANMAD TALUKA-NANDGAON, DISTRICT NASHIK]</t>
        </is>
      </c>
      <c r="E2240" s="14" t="inlineStr">
        <is>
          <t>Maharashtra Public Works &amp; Technology Department</t>
        </is>
      </c>
      <c r="F2240" s="13" t="inlineStr">
        <is>
          <t>11 Oct 2026</t>
        </is>
      </c>
      <c r="G2240" s="12" t="inlineStr">
        <is>
          <t>23 Oct 2026</t>
        </is>
      </c>
      <c r="H2240" s="17" t="inlineStr">
        <is>
          <t>🟢 LIVE ACTIVE</t>
        </is>
      </c>
      <c r="I2240" s="11" t="inlineStr">
        <is>
          <t>Tender_2026_DMA_1343531_1_All_Documents.zip</t>
        </is>
      </c>
      <c r="J2240" s="13" t="inlineStr">
        <is>
          <t>📦 ZIP Package</t>
        </is>
      </c>
      <c r="K2240" s="15" t="n">
        <v>20.8</v>
      </c>
      <c r="L2240" s="16">
        <f>HYPERLINK("http://127.0.0.1:8000/api/documents/download?id=347&amp;attachment=true", "⬇ Download Tender_2026_DMA_1343531_")</f>
        <v/>
      </c>
      <c r="M2240" s="16">
        <f>HYPERLINK("http://localhost:5173/?state=Maharashtra&amp;keyword=ICT&amp;tender=2026_DMA_1343531_1", "🚀 Open in Portal")</f>
        <v/>
      </c>
    </row>
    <row r="2241" ht="24" customHeight="1">
      <c r="A2241" s="4" t="inlineStr">
        <is>
          <t>Maharashtra</t>
        </is>
      </c>
      <c r="B2241" s="5" t="inlineStr">
        <is>
          <t>ICT</t>
        </is>
      </c>
      <c r="C2241" s="6" t="inlineStr">
        <is>
          <t>2026_HFFN_1343022_1</t>
        </is>
      </c>
      <c r="D2241" s="7" t="inlineStr">
        <is>
          <t>[Supply of Asian seabass, Lates calcarifer fish seeds (for Cage culture) at Ratnagiri district as per Annexure IV]</t>
        </is>
      </c>
      <c r="E2241" s="7" t="inlineStr">
        <is>
          <t>Maharashtra Public Works &amp; Technology Department</t>
        </is>
      </c>
      <c r="F2241" s="6" t="inlineStr">
        <is>
          <t>20 Oct 2026</t>
        </is>
      </c>
      <c r="G2241" s="5" t="inlineStr">
        <is>
          <t>10 Nov 2026</t>
        </is>
      </c>
      <c r="H2241" s="8" t="inlineStr">
        <is>
          <t>⏳ UPCOMING</t>
        </is>
      </c>
      <c r="I2241" s="4" t="inlineStr">
        <is>
          <t>Tendernotice_1.pdf</t>
        </is>
      </c>
      <c r="J2241" s="6" t="inlineStr">
        <is>
          <t>📕 PDF Document</t>
        </is>
      </c>
      <c r="K2241" s="9" t="n">
        <v>17.9</v>
      </c>
      <c r="L2241" s="10">
        <f>HYPERLINK("http://127.0.0.1:8000/api/documents/download?id=218&amp;attachment=true", "⬇ Download Tendernotice_1.pdf")</f>
        <v/>
      </c>
      <c r="M2241" s="10">
        <f>HYPERLINK("http://localhost:5173/?state=Maharashtra&amp;keyword=ICT&amp;tender=2026_HFFN_1343022_1", "🚀 Open in Portal")</f>
        <v/>
      </c>
    </row>
    <row r="2242" ht="24" customHeight="1">
      <c r="A2242" s="11" t="inlineStr">
        <is>
          <t>Maharashtra</t>
        </is>
      </c>
      <c r="B2242" s="12" t="inlineStr">
        <is>
          <t>ICT</t>
        </is>
      </c>
      <c r="C2242" s="13" t="inlineStr">
        <is>
          <t>2026_HFFN_1343022_1</t>
        </is>
      </c>
      <c r="D2242" s="14" t="inlineStr">
        <is>
          <t>[Supply of Asian seabass, Lates calcarifer fish seeds (for Cage culture) at Ratnagiri district as per Annexure IV]</t>
        </is>
      </c>
      <c r="E2242" s="14" t="inlineStr">
        <is>
          <t>Maharashtra Public Works &amp; Technology Department</t>
        </is>
      </c>
      <c r="F2242" s="13" t="inlineStr">
        <is>
          <t>20 Oct 2026</t>
        </is>
      </c>
      <c r="G2242" s="12" t="inlineStr">
        <is>
          <t>10 Nov 2026</t>
        </is>
      </c>
      <c r="H2242" s="8" t="inlineStr">
        <is>
          <t>⏳ UPCOMING</t>
        </is>
      </c>
      <c r="I2242" s="11" t="inlineStr">
        <is>
          <t>tenderdoc.pdf</t>
        </is>
      </c>
      <c r="J2242" s="13" t="inlineStr">
        <is>
          <t>📕 PDF Document</t>
        </is>
      </c>
      <c r="K2242" s="15" t="n">
        <v>17.8</v>
      </c>
      <c r="L2242" s="16">
        <f>HYPERLINK("http://127.0.0.1:8000/api/documents/download?id=219&amp;attachment=true", "⬇ Download tenderdoc.pdf")</f>
        <v/>
      </c>
      <c r="M2242" s="16">
        <f>HYPERLINK("http://localhost:5173/?state=Maharashtra&amp;keyword=ICT&amp;tender=2026_HFFN_1343022_1", "🚀 Open in Portal")</f>
        <v/>
      </c>
    </row>
    <row r="2243" ht="24" customHeight="1">
      <c r="A2243" s="4" t="inlineStr">
        <is>
          <t>Maharashtra</t>
        </is>
      </c>
      <c r="B2243" s="5" t="inlineStr">
        <is>
          <t>ICT</t>
        </is>
      </c>
      <c r="C2243" s="6" t="inlineStr">
        <is>
          <t>2026_HFFN_1343022_1</t>
        </is>
      </c>
      <c r="D2243" s="7" t="inlineStr">
        <is>
          <t>[Supply of Asian seabass, Lates calcarifer fish seeds (for Cage culture) at Ratnagiri district as per Annexure IV]</t>
        </is>
      </c>
      <c r="E2243" s="7" t="inlineStr">
        <is>
          <t>Maharashtra Public Works &amp; Technology Department</t>
        </is>
      </c>
      <c r="F2243" s="6" t="inlineStr">
        <is>
          <t>20 Oct 2026</t>
        </is>
      </c>
      <c r="G2243" s="5" t="inlineStr">
        <is>
          <t>10 Nov 2026</t>
        </is>
      </c>
      <c r="H2243" s="8" t="inlineStr">
        <is>
          <t>⏳ UPCOMING</t>
        </is>
      </c>
      <c r="I2243" s="4" t="inlineStr">
        <is>
          <t>BOQ_2295525.xls</t>
        </is>
      </c>
      <c r="J2243" s="6" t="inlineStr">
        <is>
          <t>📊 Excel BOQ</t>
        </is>
      </c>
      <c r="K2243" s="9" t="n">
        <v>2.5</v>
      </c>
      <c r="L2243" s="10">
        <f>HYPERLINK("http://127.0.0.1:8000/api/documents/download?id=220&amp;attachment=true", "⬇ Download BOQ_2295525.xls")</f>
        <v/>
      </c>
      <c r="M2243" s="10">
        <f>HYPERLINK("http://localhost:5173/?state=Maharashtra&amp;keyword=ICT&amp;tender=2026_HFFN_1343022_1", "🚀 Open in Portal")</f>
        <v/>
      </c>
    </row>
    <row r="2244" ht="24" customHeight="1">
      <c r="A2244" s="11" t="inlineStr">
        <is>
          <t>Maharashtra</t>
        </is>
      </c>
      <c r="B2244" s="12" t="inlineStr">
        <is>
          <t>ICT</t>
        </is>
      </c>
      <c r="C2244" s="13" t="inlineStr">
        <is>
          <t>2026_HFFN_1343022_1</t>
        </is>
      </c>
      <c r="D2244" s="14" t="inlineStr">
        <is>
          <t>[Supply of Asian seabass, Lates calcarifer fish seeds (for Cage culture) at Ratnagiri district as per Annexure IV]</t>
        </is>
      </c>
      <c r="E2244" s="14" t="inlineStr">
        <is>
          <t>Maharashtra Public Works &amp; Technology Department</t>
        </is>
      </c>
      <c r="F2244" s="13" t="inlineStr">
        <is>
          <t>20 Oct 2026</t>
        </is>
      </c>
      <c r="G2244" s="12" t="inlineStr">
        <is>
          <t>10 Nov 2026</t>
        </is>
      </c>
      <c r="H2244" s="8" t="inlineStr">
        <is>
          <t>⏳ UPCOMING</t>
        </is>
      </c>
      <c r="I2244" s="11" t="inlineStr">
        <is>
          <t>Tender_2026_HFFN_1343022_1_All_Documents.zip</t>
        </is>
      </c>
      <c r="J2244" s="13" t="inlineStr">
        <is>
          <t>📦 ZIP Package</t>
        </is>
      </c>
      <c r="K2244" s="15" t="n">
        <v>20.8</v>
      </c>
      <c r="L2244" s="16">
        <f>HYPERLINK("http://127.0.0.1:8000/api/documents/download?id=221&amp;attachment=true", "⬇ Download Tender_2026_HFFN_1343022")</f>
        <v/>
      </c>
      <c r="M2244" s="16">
        <f>HYPERLINK("http://localhost:5173/?state=Maharashtra&amp;keyword=ICT&amp;tender=2026_HFFN_1343022_1", "🚀 Open in Portal")</f>
        <v/>
      </c>
    </row>
    <row r="2245" ht="24" customHeight="1">
      <c r="A2245" s="4" t="inlineStr">
        <is>
          <t>Maharashtra</t>
        </is>
      </c>
      <c r="B2245" s="5" t="inlineStr">
        <is>
          <t>ICT</t>
        </is>
      </c>
      <c r="C2245" s="6" t="inlineStr">
        <is>
          <t>2026_LJDM_1342699_1</t>
        </is>
      </c>
      <c r="D2245" s="7" t="inlineStr">
        <is>
          <t>[Tender for Outsourcing for the post of Contractual Driver on the Establishment of District Legal Services Authority, Latur]</t>
        </is>
      </c>
      <c r="E2245" s="7" t="inlineStr">
        <is>
          <t>Maharashtra Public Works &amp; Technology Department</t>
        </is>
      </c>
      <c r="F2245" s="6" t="inlineStr">
        <is>
          <t>18 Oct 2026</t>
        </is>
      </c>
      <c r="G2245" s="5" t="inlineStr">
        <is>
          <t>08 Nov 2026</t>
        </is>
      </c>
      <c r="H2245" s="17" t="inlineStr">
        <is>
          <t>🟢 LIVE ACTIVE</t>
        </is>
      </c>
      <c r="I2245" s="4" t="inlineStr">
        <is>
          <t>Tendernotice_1.pdf</t>
        </is>
      </c>
      <c r="J2245" s="6" t="inlineStr">
        <is>
          <t>📕 PDF Document</t>
        </is>
      </c>
      <c r="K2245" s="9" t="n">
        <v>17.9</v>
      </c>
      <c r="L2245" s="10">
        <f>HYPERLINK("http://127.0.0.1:8000/api/documents/download?id=274&amp;attachment=true", "⬇ Download Tendernotice_1.pdf")</f>
        <v/>
      </c>
      <c r="M2245" s="10">
        <f>HYPERLINK("http://localhost:5173/?state=Maharashtra&amp;keyword=ICT&amp;tender=2026_LJDM_1342699_1", "🚀 Open in Portal")</f>
        <v/>
      </c>
    </row>
    <row r="2246" ht="24" customHeight="1">
      <c r="A2246" s="11" t="inlineStr">
        <is>
          <t>Maharashtra</t>
        </is>
      </c>
      <c r="B2246" s="12" t="inlineStr">
        <is>
          <t>ICT</t>
        </is>
      </c>
      <c r="C2246" s="13" t="inlineStr">
        <is>
          <t>2026_LJDM_1342699_1</t>
        </is>
      </c>
      <c r="D2246" s="14" t="inlineStr">
        <is>
          <t>[Tender for Outsourcing for the post of Contractual Driver on the Establishment of District Legal Services Authority, Latur]</t>
        </is>
      </c>
      <c r="E2246" s="14" t="inlineStr">
        <is>
          <t>Maharashtra Public Works &amp; Technology Department</t>
        </is>
      </c>
      <c r="F2246" s="13" t="inlineStr">
        <is>
          <t>18 Oct 2026</t>
        </is>
      </c>
      <c r="G2246" s="12" t="inlineStr">
        <is>
          <t>08 Nov 2026</t>
        </is>
      </c>
      <c r="H2246" s="17" t="inlineStr">
        <is>
          <t>🟢 LIVE ACTIVE</t>
        </is>
      </c>
      <c r="I2246" s="11" t="inlineStr">
        <is>
          <t>BOQ_2294964.xls</t>
        </is>
      </c>
      <c r="J2246" s="13" t="inlineStr">
        <is>
          <t>📊 Excel BOQ</t>
        </is>
      </c>
      <c r="K2246" s="15" t="n">
        <v>2.5</v>
      </c>
      <c r="L2246" s="16">
        <f>HYPERLINK("http://127.0.0.1:8000/api/documents/download?id=275&amp;attachment=true", "⬇ Download BOQ_2294964.xls")</f>
        <v/>
      </c>
      <c r="M2246" s="16">
        <f>HYPERLINK("http://localhost:5173/?state=Maharashtra&amp;keyword=ICT&amp;tender=2026_LJDM_1342699_1", "🚀 Open in Portal")</f>
        <v/>
      </c>
    </row>
    <row r="2247" ht="24" customHeight="1">
      <c r="A2247" s="4" t="inlineStr">
        <is>
          <t>Maharashtra</t>
        </is>
      </c>
      <c r="B2247" s="5" t="inlineStr">
        <is>
          <t>ICT</t>
        </is>
      </c>
      <c r="C2247" s="6" t="inlineStr">
        <is>
          <t>2026_LJDM_1342699_1</t>
        </is>
      </c>
      <c r="D2247" s="7" t="inlineStr">
        <is>
          <t>[Tender for Outsourcing for the post of Contractual Driver on the Establishment of District Legal Services Authority, Latur]</t>
        </is>
      </c>
      <c r="E2247" s="7" t="inlineStr">
        <is>
          <t>Maharashtra Public Works &amp; Technology Department</t>
        </is>
      </c>
      <c r="F2247" s="6" t="inlineStr">
        <is>
          <t>18 Oct 2026</t>
        </is>
      </c>
      <c r="G2247" s="5" t="inlineStr">
        <is>
          <t>08 Nov 2026</t>
        </is>
      </c>
      <c r="H2247" s="17" t="inlineStr">
        <is>
          <t>🟢 LIVE ACTIVE</t>
        </is>
      </c>
      <c r="I2247" s="4" t="inlineStr">
        <is>
          <t>Tender_2026_LJDM_1342699_1_All_Documents.zip</t>
        </is>
      </c>
      <c r="J2247" s="6" t="inlineStr">
        <is>
          <t>📦 ZIP Package</t>
        </is>
      </c>
      <c r="K2247" s="9" t="n">
        <v>11.6</v>
      </c>
      <c r="L2247" s="10">
        <f>HYPERLINK("http://127.0.0.1:8000/api/documents/download?id=276&amp;attachment=true", "⬇ Download Tender_2026_LJDM_1342699")</f>
        <v/>
      </c>
      <c r="M2247" s="10">
        <f>HYPERLINK("http://localhost:5173/?state=Maharashtra&amp;keyword=ICT&amp;tender=2026_LJDM_1342699_1", "🚀 Open in Portal")</f>
        <v/>
      </c>
    </row>
    <row r="2248" ht="24" customHeight="1">
      <c r="A2248" s="11" t="inlineStr">
        <is>
          <t>Maharashtra</t>
        </is>
      </c>
      <c r="B2248" s="12" t="inlineStr">
        <is>
          <t>ICT</t>
        </is>
      </c>
      <c r="C2248" s="13" t="inlineStr">
        <is>
          <t>2026_MADC_1343523_1</t>
        </is>
      </c>
      <c r="D2248" s="14" t="inlineStr">
        <is>
          <t>[Appointment of Consultant for Preparation of Detailed Techno Economic feasibility Study and Bid process management for development of Greenfield offshore international airport at Kore, Vadhavan Port Region in Palghar District, Maharashtra (Revised)]</t>
        </is>
      </c>
      <c r="E2248" s="14" t="inlineStr">
        <is>
          <t>Maharashtra Public Works &amp; Technology Department</t>
        </is>
      </c>
      <c r="F2248" s="13" t="inlineStr">
        <is>
          <t>04 Aug 2026</t>
        </is>
      </c>
      <c r="G2248" s="12" t="inlineStr">
        <is>
          <t>30 Aug 2026</t>
        </is>
      </c>
      <c r="H2248" s="8" t="inlineStr">
        <is>
          <t>⏳ UPCOMING</t>
        </is>
      </c>
      <c r="I2248" s="11" t="inlineStr">
        <is>
          <t>Tendernotice_1.pdf</t>
        </is>
      </c>
      <c r="J2248" s="13" t="inlineStr">
        <is>
          <t>📕 PDF Document</t>
        </is>
      </c>
      <c r="K2248" s="15" t="n">
        <v>17.9</v>
      </c>
      <c r="L2248" s="16">
        <f>HYPERLINK("http://127.0.0.1:8000/api/documents/download?id=368&amp;attachment=true", "⬇ Download Tendernotice_1.pdf")</f>
        <v/>
      </c>
      <c r="M2248" s="16">
        <f>HYPERLINK("http://localhost:5173/?state=Maharashtra&amp;keyword=ICT&amp;tender=2026_MADC_1343523_1", "🚀 Open in Portal")</f>
        <v/>
      </c>
    </row>
    <row r="2249" ht="24" customHeight="1">
      <c r="A2249" s="4" t="inlineStr">
        <is>
          <t>Maharashtra</t>
        </is>
      </c>
      <c r="B2249" s="5" t="inlineStr">
        <is>
          <t>ICT</t>
        </is>
      </c>
      <c r="C2249" s="6" t="inlineStr">
        <is>
          <t>2026_MADC_1343523_1</t>
        </is>
      </c>
      <c r="D2249" s="7" t="inlineStr">
        <is>
          <t>[Appointment of Consultant for Preparation of Detailed Techno Economic feasibility Study and Bid process management for development of Greenfield offshore international airport at Kore, Vadhavan Port Region in Palghar District, Maharashtra (Revised)]</t>
        </is>
      </c>
      <c r="E2249" s="7" t="inlineStr">
        <is>
          <t>Maharashtra Public Works &amp; Technology Department</t>
        </is>
      </c>
      <c r="F2249" s="6" t="inlineStr">
        <is>
          <t>04 Aug 2026</t>
        </is>
      </c>
      <c r="G2249" s="5" t="inlineStr">
        <is>
          <t>30 Aug 2026</t>
        </is>
      </c>
      <c r="H2249" s="8" t="inlineStr">
        <is>
          <t>⏳ UPCOMING</t>
        </is>
      </c>
      <c r="I2249" s="4" t="inlineStr">
        <is>
          <t>Tender.pdf</t>
        </is>
      </c>
      <c r="J2249" s="6" t="inlineStr">
        <is>
          <t>📕 PDF Document</t>
        </is>
      </c>
      <c r="K2249" s="9" t="n">
        <v>17.8</v>
      </c>
      <c r="L2249" s="10">
        <f>HYPERLINK("http://127.0.0.1:8000/api/documents/download?id=369&amp;attachment=true", "⬇ Download Tender.pdf")</f>
        <v/>
      </c>
      <c r="M2249" s="10">
        <f>HYPERLINK("http://localhost:5173/?state=Maharashtra&amp;keyword=ICT&amp;tender=2026_MADC_1343523_1", "🚀 Open in Portal")</f>
        <v/>
      </c>
    </row>
    <row r="2250" ht="24" customHeight="1">
      <c r="A2250" s="11" t="inlineStr">
        <is>
          <t>Maharashtra</t>
        </is>
      </c>
      <c r="B2250" s="12" t="inlineStr">
        <is>
          <t>ICT</t>
        </is>
      </c>
      <c r="C2250" s="13" t="inlineStr">
        <is>
          <t>2026_MADC_1343523_1</t>
        </is>
      </c>
      <c r="D2250" s="14" t="inlineStr">
        <is>
          <t>[Appointment of Consultant for Preparation of Detailed Techno Economic feasibility Study and Bid process management for development of Greenfield offshore international airport at Kore, Vadhavan Port Region in Palghar District, Maharashtra (Revised)]</t>
        </is>
      </c>
      <c r="E2250" s="14" t="inlineStr">
        <is>
          <t>Maharashtra Public Works &amp; Technology Department</t>
        </is>
      </c>
      <c r="F2250" s="13" t="inlineStr">
        <is>
          <t>04 Aug 2026</t>
        </is>
      </c>
      <c r="G2250" s="12" t="inlineStr">
        <is>
          <t>30 Aug 2026</t>
        </is>
      </c>
      <c r="H2250" s="8" t="inlineStr">
        <is>
          <t>⏳ UPCOMING</t>
        </is>
      </c>
      <c r="I2250" s="11" t="inlineStr">
        <is>
          <t>BOQ_2296400.xls</t>
        </is>
      </c>
      <c r="J2250" s="13" t="inlineStr">
        <is>
          <t>📊 Excel BOQ</t>
        </is>
      </c>
      <c r="K2250" s="15" t="n">
        <v>2.5</v>
      </c>
      <c r="L2250" s="16">
        <f>HYPERLINK("http://127.0.0.1:8000/api/documents/download?id=370&amp;attachment=true", "⬇ Download BOQ_2296400.xls")</f>
        <v/>
      </c>
      <c r="M2250" s="16">
        <f>HYPERLINK("http://localhost:5173/?state=Maharashtra&amp;keyword=ICT&amp;tender=2026_MADC_1343523_1", "🚀 Open in Portal")</f>
        <v/>
      </c>
    </row>
    <row r="2251" ht="24" customHeight="1">
      <c r="A2251" s="4" t="inlineStr">
        <is>
          <t>Maharashtra</t>
        </is>
      </c>
      <c r="B2251" s="5" t="inlineStr">
        <is>
          <t>ICT</t>
        </is>
      </c>
      <c r="C2251" s="6" t="inlineStr">
        <is>
          <t>2026_MADC_1343523_1</t>
        </is>
      </c>
      <c r="D2251" s="7" t="inlineStr">
        <is>
          <t>[Appointment of Consultant for Preparation of Detailed Techno Economic feasibility Study and Bid process management for development of Greenfield offshore international airport at Kore, Vadhavan Port Region in Palghar District, Maharashtra (Revised)]</t>
        </is>
      </c>
      <c r="E2251" s="7" t="inlineStr">
        <is>
          <t>Maharashtra Public Works &amp; Technology Department</t>
        </is>
      </c>
      <c r="F2251" s="6" t="inlineStr">
        <is>
          <t>04 Aug 2026</t>
        </is>
      </c>
      <c r="G2251" s="5" t="inlineStr">
        <is>
          <t>30 Aug 2026</t>
        </is>
      </c>
      <c r="H2251" s="8" t="inlineStr">
        <is>
          <t>⏳ UPCOMING</t>
        </is>
      </c>
      <c r="I2251" s="4" t="inlineStr">
        <is>
          <t>Tender_2026_MADC_1343523_1_All_Documents.zip</t>
        </is>
      </c>
      <c r="J2251" s="6" t="inlineStr">
        <is>
          <t>📦 ZIP Package</t>
        </is>
      </c>
      <c r="K2251" s="9" t="n">
        <v>20.8</v>
      </c>
      <c r="L2251" s="10">
        <f>HYPERLINK("http://127.0.0.1:8000/api/documents/download?id=371&amp;attachment=true", "⬇ Download Tender_2026_MADC_1343523")</f>
        <v/>
      </c>
      <c r="M2251" s="10">
        <f>HYPERLINK("http://localhost:5173/?state=Maharashtra&amp;keyword=ICT&amp;tender=2026_MADC_1343523_1", "🚀 Open in Portal")</f>
        <v/>
      </c>
    </row>
    <row r="2252" ht="24" customHeight="1">
      <c r="A2252" s="11" t="inlineStr">
        <is>
          <t>Maharashtra</t>
        </is>
      </c>
      <c r="B2252" s="12" t="inlineStr">
        <is>
          <t>ICT</t>
        </is>
      </c>
      <c r="C2252" s="13" t="inlineStr">
        <is>
          <t>2026_MBMC_1343306_1</t>
        </is>
      </c>
      <c r="D2252" s="14" t="inlineStr">
        <is>
          <t>[Regarding the installation of firefighting system, FAPA system and other works on the ground floor of Bharat Ratna Late Indira Gandhi Hospital at Mira Road (East), under the Jurisdiction of Mira Bhayandar Municipal Corporation]</t>
        </is>
      </c>
      <c r="E2252" s="14" t="inlineStr">
        <is>
          <t>Maharashtra Public Works &amp; Technology Department</t>
        </is>
      </c>
      <c r="F2252" s="13" t="inlineStr">
        <is>
          <t>01 Sep 2026</t>
        </is>
      </c>
      <c r="G2252" s="12" t="inlineStr">
        <is>
          <t>29 Sep 2026</t>
        </is>
      </c>
      <c r="H2252" s="8" t="inlineStr">
        <is>
          <t>⏳ UPCOMING</t>
        </is>
      </c>
      <c r="I2252" s="11" t="inlineStr">
        <is>
          <t>Tendernotice_1.pdf</t>
        </is>
      </c>
      <c r="J2252" s="13" t="inlineStr">
        <is>
          <t>📕 PDF Document</t>
        </is>
      </c>
      <c r="K2252" s="15" t="n">
        <v>17.9</v>
      </c>
      <c r="L2252" s="16">
        <f>HYPERLINK("http://127.0.0.1:8000/api/documents/download?id=377&amp;attachment=true", "⬇ Download Tendernotice_1.pdf")</f>
        <v/>
      </c>
      <c r="M2252" s="16">
        <f>HYPERLINK("http://localhost:5173/?state=Maharashtra&amp;keyword=ICT&amp;tender=2026_MBMC_1343306_1", "🚀 Open in Portal")</f>
        <v/>
      </c>
    </row>
    <row r="2253" ht="24" customHeight="1">
      <c r="A2253" s="4" t="inlineStr">
        <is>
          <t>Maharashtra</t>
        </is>
      </c>
      <c r="B2253" s="5" t="inlineStr">
        <is>
          <t>ICT</t>
        </is>
      </c>
      <c r="C2253" s="6" t="inlineStr">
        <is>
          <t>2026_MBMC_1343306_1</t>
        </is>
      </c>
      <c r="D2253" s="7" t="inlineStr">
        <is>
          <t>[Regarding the installation of firefighting system, FAPA system and other works on the ground floor of Bharat Ratna Late Indira Gandhi Hospital at Mira Road (East), under the Jurisdiction of Mira Bhayandar Municipal Corporation]</t>
        </is>
      </c>
      <c r="E2253" s="7" t="inlineStr">
        <is>
          <t>Maharashtra Public Works &amp; Technology Department</t>
        </is>
      </c>
      <c r="F2253" s="6" t="inlineStr">
        <is>
          <t>01 Sep 2026</t>
        </is>
      </c>
      <c r="G2253" s="5" t="inlineStr">
        <is>
          <t>29 Sep 2026</t>
        </is>
      </c>
      <c r="H2253" s="8" t="inlineStr">
        <is>
          <t>⏳ UPCOMING</t>
        </is>
      </c>
      <c r="I2253" s="4" t="inlineStr">
        <is>
          <t>BOQ_2296009.xls</t>
        </is>
      </c>
      <c r="J2253" s="6" t="inlineStr">
        <is>
          <t>📊 Excel BOQ</t>
        </is>
      </c>
      <c r="K2253" s="9" t="n">
        <v>2.5</v>
      </c>
      <c r="L2253" s="10">
        <f>HYPERLINK("http://127.0.0.1:8000/api/documents/download?id=378&amp;attachment=true", "⬇ Download BOQ_2296009.xls")</f>
        <v/>
      </c>
      <c r="M2253" s="10">
        <f>HYPERLINK("http://localhost:5173/?state=Maharashtra&amp;keyword=ICT&amp;tender=2026_MBMC_1343306_1", "🚀 Open in Portal")</f>
        <v/>
      </c>
    </row>
    <row r="2254" ht="24" customHeight="1">
      <c r="A2254" s="11" t="inlineStr">
        <is>
          <t>Maharashtra</t>
        </is>
      </c>
      <c r="B2254" s="12" t="inlineStr">
        <is>
          <t>ICT</t>
        </is>
      </c>
      <c r="C2254" s="13" t="inlineStr">
        <is>
          <t>2026_MBMC_1343306_1</t>
        </is>
      </c>
      <c r="D2254" s="14" t="inlineStr">
        <is>
          <t>[Regarding the installation of firefighting system, FAPA system and other works on the ground floor of Bharat Ratna Late Indira Gandhi Hospital at Mira Road (East), under the Jurisdiction of Mira Bhayandar Municipal Corporation]</t>
        </is>
      </c>
      <c r="E2254" s="14" t="inlineStr">
        <is>
          <t>Maharashtra Public Works &amp; Technology Department</t>
        </is>
      </c>
      <c r="F2254" s="13" t="inlineStr">
        <is>
          <t>01 Sep 2026</t>
        </is>
      </c>
      <c r="G2254" s="12" t="inlineStr">
        <is>
          <t>29 Sep 2026</t>
        </is>
      </c>
      <c r="H2254" s="8" t="inlineStr">
        <is>
          <t>⏳ UPCOMING</t>
        </is>
      </c>
      <c r="I2254" s="11" t="inlineStr">
        <is>
          <t>TenderDocument.pdf</t>
        </is>
      </c>
      <c r="J2254" s="13" t="inlineStr">
        <is>
          <t>📕 PDF Document</t>
        </is>
      </c>
      <c r="K2254" s="15" t="n">
        <v>17.9</v>
      </c>
      <c r="L2254" s="16">
        <f>HYPERLINK("http://127.0.0.1:8000/api/documents/download?id=379&amp;attachment=true", "⬇ Download TenderDocument.pdf")</f>
        <v/>
      </c>
      <c r="M2254" s="16">
        <f>HYPERLINK("http://localhost:5173/?state=Maharashtra&amp;keyword=ICT&amp;tender=2026_MBMC_1343306_1", "🚀 Open in Portal")</f>
        <v/>
      </c>
    </row>
    <row r="2255" ht="24" customHeight="1">
      <c r="A2255" s="4" t="inlineStr">
        <is>
          <t>Maharashtra</t>
        </is>
      </c>
      <c r="B2255" s="5" t="inlineStr">
        <is>
          <t>ICT</t>
        </is>
      </c>
      <c r="C2255" s="6" t="inlineStr">
        <is>
          <t>2026_MBMC_1343306_1</t>
        </is>
      </c>
      <c r="D2255" s="7" t="inlineStr">
        <is>
          <t>[Regarding the installation of firefighting system, FAPA system and other works on the ground floor of Bharat Ratna Late Indira Gandhi Hospital at Mira Road (East), under the Jurisdiction of Mira Bhayandar Municipal Corporation]</t>
        </is>
      </c>
      <c r="E2255" s="7" t="inlineStr">
        <is>
          <t>Maharashtra Public Works &amp; Technology Department</t>
        </is>
      </c>
      <c r="F2255" s="6" t="inlineStr">
        <is>
          <t>01 Sep 2026</t>
        </is>
      </c>
      <c r="G2255" s="5" t="inlineStr">
        <is>
          <t>29 Sep 2026</t>
        </is>
      </c>
      <c r="H2255" s="8" t="inlineStr">
        <is>
          <t>⏳ UPCOMING</t>
        </is>
      </c>
      <c r="I2255" s="4" t="inlineStr">
        <is>
          <t>Tender_2026_MBMC_1343306_1_All_Documents.zip</t>
        </is>
      </c>
      <c r="J2255" s="6" t="inlineStr">
        <is>
          <t>📦 ZIP Package</t>
        </is>
      </c>
      <c r="K2255" s="9" t="n">
        <v>20.9</v>
      </c>
      <c r="L2255" s="10">
        <f>HYPERLINK("http://127.0.0.1:8000/api/documents/download?id=380&amp;attachment=true", "⬇ Download Tender_2026_MBMC_1343306")</f>
        <v/>
      </c>
      <c r="M2255" s="10">
        <f>HYPERLINK("http://localhost:5173/?state=Maharashtra&amp;keyword=ICT&amp;tender=2026_MBMC_1343306_1", "🚀 Open in Portal")</f>
        <v/>
      </c>
    </row>
    <row r="2256" ht="24" customHeight="1">
      <c r="A2256" s="11" t="inlineStr">
        <is>
          <t>Maharashtra</t>
        </is>
      </c>
      <c r="B2256" s="12" t="inlineStr">
        <is>
          <t>ICT</t>
        </is>
      </c>
      <c r="C2256" s="13" t="inlineStr">
        <is>
          <t>2026_MBMC_1343313_1</t>
        </is>
      </c>
      <c r="D2256" s="14" t="inlineStr">
        <is>
          <t>[Repair of Fire-Fighting Systems and Refilling, Servicing, and Updating of Fire Extinguishers Installed in the R 2 Buildings under the Jurisdiction of Mira Bhayandar Municipal Corporation]</t>
        </is>
      </c>
      <c r="E2256" s="14" t="inlineStr">
        <is>
          <t>Maharashtra Public Works &amp; Technology Department</t>
        </is>
      </c>
      <c r="F2256" s="13" t="inlineStr">
        <is>
          <t>01 Oct 2026</t>
        </is>
      </c>
      <c r="G2256" s="12" t="inlineStr">
        <is>
          <t>24 Oct 2026</t>
        </is>
      </c>
      <c r="H2256" s="17" t="inlineStr">
        <is>
          <t>🟢 LIVE ACTIVE</t>
        </is>
      </c>
      <c r="I2256" s="11" t="inlineStr">
        <is>
          <t>Tendernotice_1.pdf</t>
        </is>
      </c>
      <c r="J2256" s="13" t="inlineStr">
        <is>
          <t>📕 PDF Document</t>
        </is>
      </c>
      <c r="K2256" s="15" t="n">
        <v>17.9</v>
      </c>
      <c r="L2256" s="16">
        <f>HYPERLINK("http://127.0.0.1:8000/api/documents/download?id=336&amp;attachment=true", "⬇ Download Tendernotice_1.pdf")</f>
        <v/>
      </c>
      <c r="M2256" s="16">
        <f>HYPERLINK("http://localhost:5173/?state=Maharashtra&amp;keyword=ICT&amp;tender=2026_MBMC_1343313_1", "🚀 Open in Portal")</f>
        <v/>
      </c>
    </row>
    <row r="2257" ht="24" customHeight="1">
      <c r="A2257" s="4" t="inlineStr">
        <is>
          <t>Maharashtra</t>
        </is>
      </c>
      <c r="B2257" s="5" t="inlineStr">
        <is>
          <t>ICT</t>
        </is>
      </c>
      <c r="C2257" s="6" t="inlineStr">
        <is>
          <t>2026_MBMC_1343313_1</t>
        </is>
      </c>
      <c r="D2257" s="7" t="inlineStr">
        <is>
          <t>[Repair of Fire-Fighting Systems and Refilling, Servicing, and Updating of Fire Extinguishers Installed in the R 2 Buildings under the Jurisdiction of Mira Bhayandar Municipal Corporation]</t>
        </is>
      </c>
      <c r="E2257" s="7" t="inlineStr">
        <is>
          <t>Maharashtra Public Works &amp; Technology Department</t>
        </is>
      </c>
      <c r="F2257" s="6" t="inlineStr">
        <is>
          <t>01 Oct 2026</t>
        </is>
      </c>
      <c r="G2257" s="5" t="inlineStr">
        <is>
          <t>24 Oct 2026</t>
        </is>
      </c>
      <c r="H2257" s="17" t="inlineStr">
        <is>
          <t>🟢 LIVE ACTIVE</t>
        </is>
      </c>
      <c r="I2257" s="4" t="inlineStr">
        <is>
          <t>TenderDocument.pdf</t>
        </is>
      </c>
      <c r="J2257" s="6" t="inlineStr">
        <is>
          <t>📕 PDF Document</t>
        </is>
      </c>
      <c r="K2257" s="9" t="n">
        <v>17.8</v>
      </c>
      <c r="L2257" s="10">
        <f>HYPERLINK("http://127.0.0.1:8000/api/documents/download?id=337&amp;attachment=true", "⬇ Download TenderDocument.pdf")</f>
        <v/>
      </c>
      <c r="M2257" s="10">
        <f>HYPERLINK("http://localhost:5173/?state=Maharashtra&amp;keyword=ICT&amp;tender=2026_MBMC_1343313_1", "🚀 Open in Portal")</f>
        <v/>
      </c>
    </row>
    <row r="2258" ht="24" customHeight="1">
      <c r="A2258" s="11" t="inlineStr">
        <is>
          <t>Maharashtra</t>
        </is>
      </c>
      <c r="B2258" s="12" t="inlineStr">
        <is>
          <t>ICT</t>
        </is>
      </c>
      <c r="C2258" s="13" t="inlineStr">
        <is>
          <t>2026_MBMC_1343313_1</t>
        </is>
      </c>
      <c r="D2258" s="14" t="inlineStr">
        <is>
          <t>[Repair of Fire-Fighting Systems and Refilling, Servicing, and Updating of Fire Extinguishers Installed in the R 2 Buildings under the Jurisdiction of Mira Bhayandar Municipal Corporation]</t>
        </is>
      </c>
      <c r="E2258" s="14" t="inlineStr">
        <is>
          <t>Maharashtra Public Works &amp; Technology Department</t>
        </is>
      </c>
      <c r="F2258" s="13" t="inlineStr">
        <is>
          <t>01 Oct 2026</t>
        </is>
      </c>
      <c r="G2258" s="12" t="inlineStr">
        <is>
          <t>24 Oct 2026</t>
        </is>
      </c>
      <c r="H2258" s="17" t="inlineStr">
        <is>
          <t>🟢 LIVE ACTIVE</t>
        </is>
      </c>
      <c r="I2258" s="11" t="inlineStr">
        <is>
          <t>BOQ_2296019.xls</t>
        </is>
      </c>
      <c r="J2258" s="13" t="inlineStr">
        <is>
          <t>📊 Excel BOQ</t>
        </is>
      </c>
      <c r="K2258" s="15" t="n">
        <v>2.5</v>
      </c>
      <c r="L2258" s="16">
        <f>HYPERLINK("http://127.0.0.1:8000/api/documents/download?id=338&amp;attachment=true", "⬇ Download BOQ_2296019.xls")</f>
        <v/>
      </c>
      <c r="M2258" s="16">
        <f>HYPERLINK("http://localhost:5173/?state=Maharashtra&amp;keyword=ICT&amp;tender=2026_MBMC_1343313_1", "🚀 Open in Portal")</f>
        <v/>
      </c>
    </row>
    <row r="2259" ht="24" customHeight="1">
      <c r="A2259" s="4" t="inlineStr">
        <is>
          <t>Maharashtra</t>
        </is>
      </c>
      <c r="B2259" s="5" t="inlineStr">
        <is>
          <t>ICT</t>
        </is>
      </c>
      <c r="C2259" s="6" t="inlineStr">
        <is>
          <t>2026_MBMC_1343313_1</t>
        </is>
      </c>
      <c r="D2259" s="7" t="inlineStr">
        <is>
          <t>[Repair of Fire-Fighting Systems and Refilling, Servicing, and Updating of Fire Extinguishers Installed in the R 2 Buildings under the Jurisdiction of Mira Bhayandar Municipal Corporation]</t>
        </is>
      </c>
      <c r="E2259" s="7" t="inlineStr">
        <is>
          <t>Maharashtra Public Works &amp; Technology Department</t>
        </is>
      </c>
      <c r="F2259" s="6" t="inlineStr">
        <is>
          <t>01 Oct 2026</t>
        </is>
      </c>
      <c r="G2259" s="5" t="inlineStr">
        <is>
          <t>24 Oct 2026</t>
        </is>
      </c>
      <c r="H2259" s="17" t="inlineStr">
        <is>
          <t>🟢 LIVE ACTIVE</t>
        </is>
      </c>
      <c r="I2259" s="4" t="inlineStr">
        <is>
          <t>Tender_2026_MBMC_1343313_1_All_Documents.zip</t>
        </is>
      </c>
      <c r="J2259" s="6" t="inlineStr">
        <is>
          <t>📦 ZIP Package</t>
        </is>
      </c>
      <c r="K2259" s="9" t="n">
        <v>20.8</v>
      </c>
      <c r="L2259" s="10">
        <f>HYPERLINK("http://127.0.0.1:8000/api/documents/download?id=339&amp;attachment=true", "⬇ Download Tender_2026_MBMC_1343313")</f>
        <v/>
      </c>
      <c r="M2259" s="10">
        <f>HYPERLINK("http://localhost:5173/?state=Maharashtra&amp;keyword=ICT&amp;tender=2026_MBMC_1343313_1", "🚀 Open in Portal")</f>
        <v/>
      </c>
    </row>
    <row r="2260" ht="24" customHeight="1">
      <c r="A2260" s="11" t="inlineStr">
        <is>
          <t>Maharashtra</t>
        </is>
      </c>
      <c r="B2260" s="12" t="inlineStr">
        <is>
          <t>ICT</t>
        </is>
      </c>
      <c r="C2260" s="13" t="inlineStr">
        <is>
          <t>2026_MCGM_1343002_1</t>
        </is>
      </c>
      <c r="D2260" s="14" t="inlineStr">
        <is>
          <t>[Work of replacement and rectification of various types of electrical equipment with allied accessories at various sections of MOH dept. in jurisdiction of H East Ward.]</t>
        </is>
      </c>
      <c r="E2260" s="14" t="inlineStr">
        <is>
          <t>Maharashtra Public Works &amp; Technology Department</t>
        </is>
      </c>
      <c r="F2260" s="13" t="inlineStr">
        <is>
          <t>07 Oct 2026</t>
        </is>
      </c>
      <c r="G2260" s="12" t="inlineStr">
        <is>
          <t>23 Oct 2026</t>
        </is>
      </c>
      <c r="H2260" s="17" t="inlineStr">
        <is>
          <t>🟢 LIVE ACTIVE</t>
        </is>
      </c>
      <c r="I2260" s="11" t="inlineStr">
        <is>
          <t>Tendernotice_1.pdf</t>
        </is>
      </c>
      <c r="J2260" s="13" t="inlineStr">
        <is>
          <t>📕 PDF Document</t>
        </is>
      </c>
      <c r="K2260" s="15" t="n">
        <v>17.8</v>
      </c>
      <c r="L2260" s="16">
        <f>HYPERLINK("http://127.0.0.1:8000/api/documents/download?id=226&amp;attachment=true", "⬇ Download Tendernotice_1.pdf")</f>
        <v/>
      </c>
      <c r="M2260" s="16">
        <f>HYPERLINK("http://localhost:5173/?state=Maharashtra&amp;keyword=ICT&amp;tender=2026_MCGM_1343002_1", "🚀 Open in Portal")</f>
        <v/>
      </c>
    </row>
    <row r="2261" ht="24" customHeight="1">
      <c r="A2261" s="4" t="inlineStr">
        <is>
          <t>Maharashtra</t>
        </is>
      </c>
      <c r="B2261" s="5" t="inlineStr">
        <is>
          <t>ICT</t>
        </is>
      </c>
      <c r="C2261" s="6" t="inlineStr">
        <is>
          <t>2026_MCGM_1343002_1</t>
        </is>
      </c>
      <c r="D2261" s="7" t="inlineStr">
        <is>
          <t>[Work of replacement and rectification of various types of electrical equipment with allied accessories at various sections of MOH dept. in jurisdiction of H East Ward.]</t>
        </is>
      </c>
      <c r="E2261" s="7" t="inlineStr">
        <is>
          <t>Maharashtra Public Works &amp; Technology Department</t>
        </is>
      </c>
      <c r="F2261" s="6" t="inlineStr">
        <is>
          <t>07 Oct 2026</t>
        </is>
      </c>
      <c r="G2261" s="5" t="inlineStr">
        <is>
          <t>23 Oct 2026</t>
        </is>
      </c>
      <c r="H2261" s="17" t="inlineStr">
        <is>
          <t>🟢 LIVE ACTIVE</t>
        </is>
      </c>
      <c r="I2261" s="4" t="inlineStr">
        <is>
          <t>Eleestimate.pdf</t>
        </is>
      </c>
      <c r="J2261" s="6" t="inlineStr">
        <is>
          <t>📕 PDF Document</t>
        </is>
      </c>
      <c r="K2261" s="9" t="n">
        <v>17.8</v>
      </c>
      <c r="L2261" s="10">
        <f>HYPERLINK("http://127.0.0.1:8000/api/documents/download?id=227&amp;attachment=true", "⬇ Download Eleestimate.pdf")</f>
        <v/>
      </c>
      <c r="M2261" s="10">
        <f>HYPERLINK("http://localhost:5173/?state=Maharashtra&amp;keyword=ICT&amp;tender=2026_MCGM_1343002_1", "🚀 Open in Portal")</f>
        <v/>
      </c>
    </row>
    <row r="2262" ht="24" customHeight="1">
      <c r="A2262" s="11" t="inlineStr">
        <is>
          <t>Maharashtra</t>
        </is>
      </c>
      <c r="B2262" s="12" t="inlineStr">
        <is>
          <t>ICT</t>
        </is>
      </c>
      <c r="C2262" s="13" t="inlineStr">
        <is>
          <t>2026_MCGM_1343002_1</t>
        </is>
      </c>
      <c r="D2262" s="14" t="inlineStr">
        <is>
          <t>[Work of replacement and rectification of various types of electrical equipment with allied accessories at various sections of MOH dept. in jurisdiction of H East Ward.]</t>
        </is>
      </c>
      <c r="E2262" s="14" t="inlineStr">
        <is>
          <t>Maharashtra Public Works &amp; Technology Department</t>
        </is>
      </c>
      <c r="F2262" s="13" t="inlineStr">
        <is>
          <t>07 Oct 2026</t>
        </is>
      </c>
      <c r="G2262" s="12" t="inlineStr">
        <is>
          <t>23 Oct 2026</t>
        </is>
      </c>
      <c r="H2262" s="17" t="inlineStr">
        <is>
          <t>🟢 LIVE ACTIVE</t>
        </is>
      </c>
      <c r="I2262" s="11" t="inlineStr">
        <is>
          <t>DT.pdf</t>
        </is>
      </c>
      <c r="J2262" s="13" t="inlineStr">
        <is>
          <t>📕 PDF Document</t>
        </is>
      </c>
      <c r="K2262" s="15" t="n">
        <v>17.8</v>
      </c>
      <c r="L2262" s="16">
        <f>HYPERLINK("http://127.0.0.1:8000/api/documents/download?id=228&amp;attachment=true", "⬇ Download DT.pdf")</f>
        <v/>
      </c>
      <c r="M2262" s="16">
        <f>HYPERLINK("http://localhost:5173/?state=Maharashtra&amp;keyword=ICT&amp;tender=2026_MCGM_1343002_1", "🚀 Open in Portal")</f>
        <v/>
      </c>
    </row>
    <row r="2263" ht="24" customHeight="1">
      <c r="A2263" s="4" t="inlineStr">
        <is>
          <t>Maharashtra</t>
        </is>
      </c>
      <c r="B2263" s="5" t="inlineStr">
        <is>
          <t>ICT</t>
        </is>
      </c>
      <c r="C2263" s="6" t="inlineStr">
        <is>
          <t>2026_MCGM_1343002_1</t>
        </is>
      </c>
      <c r="D2263" s="7" t="inlineStr">
        <is>
          <t>[Work of replacement and rectification of various types of electrical equipment with allied accessories at various sections of MOH dept. in jurisdiction of H East Ward.]</t>
        </is>
      </c>
      <c r="E2263" s="7" t="inlineStr">
        <is>
          <t>Maharashtra Public Works &amp; Technology Department</t>
        </is>
      </c>
      <c r="F2263" s="6" t="inlineStr">
        <is>
          <t>07 Oct 2026</t>
        </is>
      </c>
      <c r="G2263" s="5" t="inlineStr">
        <is>
          <t>23 Oct 2026</t>
        </is>
      </c>
      <c r="H2263" s="17" t="inlineStr">
        <is>
          <t>🟢 LIVE ACTIVE</t>
        </is>
      </c>
      <c r="I2263" s="4" t="inlineStr">
        <is>
          <t>BOQ_2295482.xls</t>
        </is>
      </c>
      <c r="J2263" s="6" t="inlineStr">
        <is>
          <t>📊 Excel BOQ</t>
        </is>
      </c>
      <c r="K2263" s="9" t="n">
        <v>2.5</v>
      </c>
      <c r="L2263" s="10">
        <f>HYPERLINK("http://127.0.0.1:8000/api/documents/download?id=229&amp;attachment=true", "⬇ Download BOQ_2295482.xls")</f>
        <v/>
      </c>
      <c r="M2263" s="10">
        <f>HYPERLINK("http://localhost:5173/?state=Maharashtra&amp;keyword=ICT&amp;tender=2026_MCGM_1343002_1", "🚀 Open in Portal")</f>
        <v/>
      </c>
    </row>
    <row r="2264" ht="24" customHeight="1">
      <c r="A2264" s="11" t="inlineStr">
        <is>
          <t>Maharashtra</t>
        </is>
      </c>
      <c r="B2264" s="12" t="inlineStr">
        <is>
          <t>ICT</t>
        </is>
      </c>
      <c r="C2264" s="13" t="inlineStr">
        <is>
          <t>2026_MCGM_1343002_1</t>
        </is>
      </c>
      <c r="D2264" s="14" t="inlineStr">
        <is>
          <t>[Work of replacement and rectification of various types of electrical equipment with allied accessories at various sections of MOH dept. in jurisdiction of H East Ward.]</t>
        </is>
      </c>
      <c r="E2264" s="14" t="inlineStr">
        <is>
          <t>Maharashtra Public Works &amp; Technology Department</t>
        </is>
      </c>
      <c r="F2264" s="13" t="inlineStr">
        <is>
          <t>07 Oct 2026</t>
        </is>
      </c>
      <c r="G2264" s="12" t="inlineStr">
        <is>
          <t>23 Oct 2026</t>
        </is>
      </c>
      <c r="H2264" s="17" t="inlineStr">
        <is>
          <t>🟢 LIVE ACTIVE</t>
        </is>
      </c>
      <c r="I2264" s="11" t="inlineStr">
        <is>
          <t>Tender_2026_MCGM_1343002_1_All_Documents.zip</t>
        </is>
      </c>
      <c r="J2264" s="13" t="inlineStr">
        <is>
          <t>📦 ZIP Package</t>
        </is>
      </c>
      <c r="K2264" s="15" t="n">
        <v>30</v>
      </c>
      <c r="L2264" s="16">
        <f>HYPERLINK("http://127.0.0.1:8000/api/documents/download?id=230&amp;attachment=true", "⬇ Download Tender_2026_MCGM_1343002")</f>
        <v/>
      </c>
      <c r="M2264" s="16">
        <f>HYPERLINK("http://localhost:5173/?state=Maharashtra&amp;keyword=ICT&amp;tender=2026_MCGM_1343002_1", "🚀 Open in Portal")</f>
        <v/>
      </c>
    </row>
    <row r="2265" ht="24" customHeight="1">
      <c r="A2265" s="4" t="inlineStr">
        <is>
          <t>Maharashtra</t>
        </is>
      </c>
      <c r="B2265" s="5" t="inlineStr">
        <is>
          <t>ICT</t>
        </is>
      </c>
      <c r="C2265" s="6" t="inlineStr">
        <is>
          <t>2026_MHADA_1342743_17</t>
        </is>
      </c>
      <c r="D2265" s="7" t="inlineStr">
        <is>
          <t>[Const of Jogging Track at Chhatrapati Shivaji Maharaj Talav District Mumbai Suburban]</t>
        </is>
      </c>
      <c r="E2265" s="7" t="inlineStr">
        <is>
          <t>Maharashtra Public Works &amp; Technology Department</t>
        </is>
      </c>
      <c r="F2265" s="6" t="inlineStr">
        <is>
          <t>05 Oct 2026</t>
        </is>
      </c>
      <c r="G2265" s="5" t="inlineStr">
        <is>
          <t>22 Oct 2026</t>
        </is>
      </c>
      <c r="H2265" s="18" t="inlineStr">
        <is>
          <t>⚠️ CLOSING SOON</t>
        </is>
      </c>
      <c r="I2265" s="4" t="inlineStr">
        <is>
          <t>Tendernotice_1.pdf</t>
        </is>
      </c>
      <c r="J2265" s="6" t="inlineStr">
        <is>
          <t>📕 PDF Document</t>
        </is>
      </c>
      <c r="K2265" s="9" t="n">
        <v>17.9</v>
      </c>
      <c r="L2265" s="10">
        <f>HYPERLINK("http://127.0.0.1:8000/api/documents/download?id=266&amp;attachment=true", "⬇ Download Tendernotice_1.pdf")</f>
        <v/>
      </c>
      <c r="M2265" s="10">
        <f>HYPERLINK("http://localhost:5173/?state=Maharashtra&amp;keyword=ICT&amp;tender=2026_MHADA_1342743_17", "🚀 Open in Portal")</f>
        <v/>
      </c>
    </row>
    <row r="2266" ht="24" customHeight="1">
      <c r="A2266" s="11" t="inlineStr">
        <is>
          <t>Maharashtra</t>
        </is>
      </c>
      <c r="B2266" s="12" t="inlineStr">
        <is>
          <t>ICT</t>
        </is>
      </c>
      <c r="C2266" s="13" t="inlineStr">
        <is>
          <t>2026_MHADA_1342743_17</t>
        </is>
      </c>
      <c r="D2266" s="14" t="inlineStr">
        <is>
          <t>[Const of Jogging Track at Chhatrapati Shivaji Maharaj Talav District Mumbai Suburban]</t>
        </is>
      </c>
      <c r="E2266" s="14" t="inlineStr">
        <is>
          <t>Maharashtra Public Works &amp; Technology Department</t>
        </is>
      </c>
      <c r="F2266" s="13" t="inlineStr">
        <is>
          <t>05 Oct 2026</t>
        </is>
      </c>
      <c r="G2266" s="12" t="inlineStr">
        <is>
          <t>22 Oct 2026</t>
        </is>
      </c>
      <c r="H2266" s="18" t="inlineStr">
        <is>
          <t>⚠️ CLOSING SOON</t>
        </is>
      </c>
      <c r="I2266" s="11" t="inlineStr">
        <is>
          <t>17.pdf</t>
        </is>
      </c>
      <c r="J2266" s="13" t="inlineStr">
        <is>
          <t>📕 PDF Document</t>
        </is>
      </c>
      <c r="K2266" s="15" t="n">
        <v>17.8</v>
      </c>
      <c r="L2266" s="16">
        <f>HYPERLINK("http://127.0.0.1:8000/api/documents/download?id=267&amp;attachment=true", "⬇ Download 17.pdf")</f>
        <v/>
      </c>
      <c r="M2266" s="16">
        <f>HYPERLINK("http://localhost:5173/?state=Maharashtra&amp;keyword=ICT&amp;tender=2026_MHADA_1342743_17", "🚀 Open in Portal")</f>
        <v/>
      </c>
    </row>
    <row r="2267" ht="24" customHeight="1">
      <c r="A2267" s="4" t="inlineStr">
        <is>
          <t>Maharashtra</t>
        </is>
      </c>
      <c r="B2267" s="5" t="inlineStr">
        <is>
          <t>ICT</t>
        </is>
      </c>
      <c r="C2267" s="6" t="inlineStr">
        <is>
          <t>2026_MHADA_1342743_17</t>
        </is>
      </c>
      <c r="D2267" s="7" t="inlineStr">
        <is>
          <t>[Const of Jogging Track at Chhatrapati Shivaji Maharaj Talav District Mumbai Suburban]</t>
        </is>
      </c>
      <c r="E2267" s="7" t="inlineStr">
        <is>
          <t>Maharashtra Public Works &amp; Technology Department</t>
        </is>
      </c>
      <c r="F2267" s="6" t="inlineStr">
        <is>
          <t>05 Oct 2026</t>
        </is>
      </c>
      <c r="G2267" s="5" t="inlineStr">
        <is>
          <t>22 Oct 2026</t>
        </is>
      </c>
      <c r="H2267" s="18" t="inlineStr">
        <is>
          <t>⚠️ CLOSING SOON</t>
        </is>
      </c>
      <c r="I2267" s="4" t="inlineStr">
        <is>
          <t>BOQ_2295022.xls</t>
        </is>
      </c>
      <c r="J2267" s="6" t="inlineStr">
        <is>
          <t>📊 Excel BOQ</t>
        </is>
      </c>
      <c r="K2267" s="9" t="n">
        <v>2.5</v>
      </c>
      <c r="L2267" s="10">
        <f>HYPERLINK("http://127.0.0.1:8000/api/documents/download?id=268&amp;attachment=true", "⬇ Download BOQ_2295022.xls")</f>
        <v/>
      </c>
      <c r="M2267" s="10">
        <f>HYPERLINK("http://localhost:5173/?state=Maharashtra&amp;keyword=ICT&amp;tender=2026_MHADA_1342743_17", "🚀 Open in Portal")</f>
        <v/>
      </c>
    </row>
    <row r="2268" ht="24" customHeight="1">
      <c r="A2268" s="11" t="inlineStr">
        <is>
          <t>Maharashtra</t>
        </is>
      </c>
      <c r="B2268" s="12" t="inlineStr">
        <is>
          <t>ICT</t>
        </is>
      </c>
      <c r="C2268" s="13" t="inlineStr">
        <is>
          <t>2026_MHADA_1342743_17</t>
        </is>
      </c>
      <c r="D2268" s="14" t="inlineStr">
        <is>
          <t>[Const of Jogging Track at Chhatrapati Shivaji Maharaj Talav District Mumbai Suburban]</t>
        </is>
      </c>
      <c r="E2268" s="14" t="inlineStr">
        <is>
          <t>Maharashtra Public Works &amp; Technology Department</t>
        </is>
      </c>
      <c r="F2268" s="13" t="inlineStr">
        <is>
          <t>05 Oct 2026</t>
        </is>
      </c>
      <c r="G2268" s="12" t="inlineStr">
        <is>
          <t>22 Oct 2026</t>
        </is>
      </c>
      <c r="H2268" s="18" t="inlineStr">
        <is>
          <t>⚠️ CLOSING SOON</t>
        </is>
      </c>
      <c r="I2268" s="11" t="inlineStr">
        <is>
          <t>Tender_2026_MHADA_1342743_17_All_Documents.zip</t>
        </is>
      </c>
      <c r="J2268" s="13" t="inlineStr">
        <is>
          <t>📦 ZIP Package</t>
        </is>
      </c>
      <c r="K2268" s="15" t="n">
        <v>20.8</v>
      </c>
      <c r="L2268" s="16">
        <f>HYPERLINK("http://127.0.0.1:8000/api/documents/download?id=269&amp;attachment=true", "⬇ Download Tender_2026_MHADA_134274")</f>
        <v/>
      </c>
      <c r="M2268" s="16">
        <f>HYPERLINK("http://localhost:5173/?state=Maharashtra&amp;keyword=ICT&amp;tender=2026_MHADA_1342743_17", "🚀 Open in Portal")</f>
        <v/>
      </c>
    </row>
    <row r="2269" ht="24" customHeight="1">
      <c r="A2269" s="4" t="inlineStr">
        <is>
          <t>Maharashtra</t>
        </is>
      </c>
      <c r="B2269" s="5" t="inlineStr">
        <is>
          <t>ICT</t>
        </is>
      </c>
      <c r="C2269" s="6" t="inlineStr">
        <is>
          <t>2026_MHADA_1342749_21</t>
        </is>
      </c>
      <c r="D2269" s="7" t="inlineStr">
        <is>
          <t>[Const of Musical Foundation of Chhatrapati Shivaji Maharaj Talav District Mumbai Suburban]</t>
        </is>
      </c>
      <c r="E2269" s="7" t="inlineStr">
        <is>
          <t>Maharashtra Public Works &amp; Technology Department</t>
        </is>
      </c>
      <c r="F2269" s="6" t="inlineStr">
        <is>
          <t>20 Oct 2026</t>
        </is>
      </c>
      <c r="G2269" s="5" t="inlineStr">
        <is>
          <t>10 Nov 2026</t>
        </is>
      </c>
      <c r="H2269" s="8" t="inlineStr">
        <is>
          <t>⏳ UPCOMING</t>
        </is>
      </c>
      <c r="I2269" s="4" t="inlineStr">
        <is>
          <t>Tendernotice_1.pdf</t>
        </is>
      </c>
      <c r="J2269" s="6" t="inlineStr">
        <is>
          <t>📕 PDF Document</t>
        </is>
      </c>
      <c r="K2269" s="9" t="n">
        <v>17.9</v>
      </c>
      <c r="L2269" s="10">
        <f>HYPERLINK("http://127.0.0.1:8000/api/documents/download?id=270&amp;attachment=true", "⬇ Download Tendernotice_1.pdf")</f>
        <v/>
      </c>
      <c r="M2269" s="10">
        <f>HYPERLINK("http://localhost:5173/?state=Maharashtra&amp;keyword=ICT&amp;tender=2026_MHADA_1342749_21", "🚀 Open in Portal")</f>
        <v/>
      </c>
    </row>
    <row r="2270" ht="24" customHeight="1">
      <c r="A2270" s="11" t="inlineStr">
        <is>
          <t>Maharashtra</t>
        </is>
      </c>
      <c r="B2270" s="12" t="inlineStr">
        <is>
          <t>ICT</t>
        </is>
      </c>
      <c r="C2270" s="13" t="inlineStr">
        <is>
          <t>2026_MHADA_1342749_21</t>
        </is>
      </c>
      <c r="D2270" s="14" t="inlineStr">
        <is>
          <t>[Const of Musical Foundation of Chhatrapati Shivaji Maharaj Talav District Mumbai Suburban]</t>
        </is>
      </c>
      <c r="E2270" s="14" t="inlineStr">
        <is>
          <t>Maharashtra Public Works &amp; Technology Department</t>
        </is>
      </c>
      <c r="F2270" s="13" t="inlineStr">
        <is>
          <t>20 Oct 2026</t>
        </is>
      </c>
      <c r="G2270" s="12" t="inlineStr">
        <is>
          <t>10 Nov 2026</t>
        </is>
      </c>
      <c r="H2270" s="8" t="inlineStr">
        <is>
          <t>⏳ UPCOMING</t>
        </is>
      </c>
      <c r="I2270" s="11" t="inlineStr">
        <is>
          <t>BOQ_2295060.xls</t>
        </is>
      </c>
      <c r="J2270" s="13" t="inlineStr">
        <is>
          <t>📊 Excel BOQ</t>
        </is>
      </c>
      <c r="K2270" s="15" t="n">
        <v>2.5</v>
      </c>
      <c r="L2270" s="16">
        <f>HYPERLINK("http://127.0.0.1:8000/api/documents/download?id=271&amp;attachment=true", "⬇ Download BOQ_2295060.xls")</f>
        <v/>
      </c>
      <c r="M2270" s="16">
        <f>HYPERLINK("http://localhost:5173/?state=Maharashtra&amp;keyword=ICT&amp;tender=2026_MHADA_1342749_21", "🚀 Open in Portal")</f>
        <v/>
      </c>
    </row>
    <row r="2271" ht="24" customHeight="1">
      <c r="A2271" s="4" t="inlineStr">
        <is>
          <t>Maharashtra</t>
        </is>
      </c>
      <c r="B2271" s="5" t="inlineStr">
        <is>
          <t>ICT</t>
        </is>
      </c>
      <c r="C2271" s="6" t="inlineStr">
        <is>
          <t>2026_MHADA_1342749_21</t>
        </is>
      </c>
      <c r="D2271" s="7" t="inlineStr">
        <is>
          <t>[Const of Musical Foundation of Chhatrapati Shivaji Maharaj Talav District Mumbai Suburban]</t>
        </is>
      </c>
      <c r="E2271" s="7" t="inlineStr">
        <is>
          <t>Maharashtra Public Works &amp; Technology Department</t>
        </is>
      </c>
      <c r="F2271" s="6" t="inlineStr">
        <is>
          <t>20 Oct 2026</t>
        </is>
      </c>
      <c r="G2271" s="5" t="inlineStr">
        <is>
          <t>10 Nov 2026</t>
        </is>
      </c>
      <c r="H2271" s="8" t="inlineStr">
        <is>
          <t>⏳ UPCOMING</t>
        </is>
      </c>
      <c r="I2271" s="4" t="inlineStr">
        <is>
          <t>21.pdf</t>
        </is>
      </c>
      <c r="J2271" s="6" t="inlineStr">
        <is>
          <t>📕 PDF Document</t>
        </is>
      </c>
      <c r="K2271" s="9" t="n">
        <v>17.8</v>
      </c>
      <c r="L2271" s="10">
        <f>HYPERLINK("http://127.0.0.1:8000/api/documents/download?id=272&amp;attachment=true", "⬇ Download 21.pdf")</f>
        <v/>
      </c>
      <c r="M2271" s="10">
        <f>HYPERLINK("http://localhost:5173/?state=Maharashtra&amp;keyword=ICT&amp;tender=2026_MHADA_1342749_21", "🚀 Open in Portal")</f>
        <v/>
      </c>
    </row>
    <row r="2272" ht="24" customHeight="1">
      <c r="A2272" s="11" t="inlineStr">
        <is>
          <t>Maharashtra</t>
        </is>
      </c>
      <c r="B2272" s="12" t="inlineStr">
        <is>
          <t>ICT</t>
        </is>
      </c>
      <c r="C2272" s="13" t="inlineStr">
        <is>
          <t>2026_MHADA_1342749_21</t>
        </is>
      </c>
      <c r="D2272" s="14" t="inlineStr">
        <is>
          <t>[Const of Musical Foundation of Chhatrapati Shivaji Maharaj Talav District Mumbai Suburban]</t>
        </is>
      </c>
      <c r="E2272" s="14" t="inlineStr">
        <is>
          <t>Maharashtra Public Works &amp; Technology Department</t>
        </is>
      </c>
      <c r="F2272" s="13" t="inlineStr">
        <is>
          <t>20 Oct 2026</t>
        </is>
      </c>
      <c r="G2272" s="12" t="inlineStr">
        <is>
          <t>10 Nov 2026</t>
        </is>
      </c>
      <c r="H2272" s="8" t="inlineStr">
        <is>
          <t>⏳ UPCOMING</t>
        </is>
      </c>
      <c r="I2272" s="11" t="inlineStr">
        <is>
          <t>Tender_2026_MHADA_1342749_21_All_Documents.zip</t>
        </is>
      </c>
      <c r="J2272" s="13" t="inlineStr">
        <is>
          <t>📦 ZIP Package</t>
        </is>
      </c>
      <c r="K2272" s="15" t="n">
        <v>20.9</v>
      </c>
      <c r="L2272" s="16">
        <f>HYPERLINK("http://127.0.0.1:8000/api/documents/download?id=273&amp;attachment=true", "⬇ Download Tender_2026_MHADA_134274")</f>
        <v/>
      </c>
      <c r="M2272" s="16">
        <f>HYPERLINK("http://localhost:5173/?state=Maharashtra&amp;keyword=ICT&amp;tender=2026_MHADA_1342749_21", "🚀 Open in Portal")</f>
        <v/>
      </c>
    </row>
    <row r="2273" ht="24" customHeight="1">
      <c r="A2273" s="4" t="inlineStr">
        <is>
          <t>Maharashtra</t>
        </is>
      </c>
      <c r="B2273" s="5" t="inlineStr">
        <is>
          <t>ICT</t>
        </is>
      </c>
      <c r="C2273" s="6" t="inlineStr">
        <is>
          <t>2026_MHADA_1342749_22</t>
        </is>
      </c>
      <c r="D2273" s="7" t="inlineStr">
        <is>
          <t>[Const of Entrance Gate at Chhatrapati Shivaji Maharaj Talav District Mumbai Suburban]</t>
        </is>
      </c>
      <c r="E2273" s="7" t="inlineStr">
        <is>
          <t>Maharashtra Public Works &amp; Technology Department</t>
        </is>
      </c>
      <c r="F2273" s="6" t="inlineStr">
        <is>
          <t>31 Jul 2026</t>
        </is>
      </c>
      <c r="G2273" s="5" t="inlineStr">
        <is>
          <t>23 Aug 2026</t>
        </is>
      </c>
      <c r="H2273" s="8" t="inlineStr">
        <is>
          <t>⏳ UPCOMING</t>
        </is>
      </c>
      <c r="I2273" s="4" t="inlineStr">
        <is>
          <t>Tendernotice_1.pdf</t>
        </is>
      </c>
      <c r="J2273" s="6" t="inlineStr">
        <is>
          <t>📕 PDF Document</t>
        </is>
      </c>
      <c r="K2273" s="9" t="n">
        <v>17.9</v>
      </c>
      <c r="L2273" s="10">
        <f>HYPERLINK("http://127.0.0.1:8000/api/documents/download?id=262&amp;attachment=true", "⬇ Download Tendernotice_1.pdf")</f>
        <v/>
      </c>
      <c r="M2273" s="10">
        <f>HYPERLINK("http://localhost:5173/?state=Maharashtra&amp;keyword=ICT&amp;tender=2026_MHADA_1342749_22", "🚀 Open in Portal")</f>
        <v/>
      </c>
    </row>
    <row r="2274" ht="24" customHeight="1">
      <c r="A2274" s="11" t="inlineStr">
        <is>
          <t>Maharashtra</t>
        </is>
      </c>
      <c r="B2274" s="12" t="inlineStr">
        <is>
          <t>ICT</t>
        </is>
      </c>
      <c r="C2274" s="13" t="inlineStr">
        <is>
          <t>2026_MHADA_1342749_22</t>
        </is>
      </c>
      <c r="D2274" s="14" t="inlineStr">
        <is>
          <t>[Const of Entrance Gate at Chhatrapati Shivaji Maharaj Talav District Mumbai Suburban]</t>
        </is>
      </c>
      <c r="E2274" s="14" t="inlineStr">
        <is>
          <t>Maharashtra Public Works &amp; Technology Department</t>
        </is>
      </c>
      <c r="F2274" s="13" t="inlineStr">
        <is>
          <t>31 Jul 2026</t>
        </is>
      </c>
      <c r="G2274" s="12" t="inlineStr">
        <is>
          <t>23 Aug 2026</t>
        </is>
      </c>
      <c r="H2274" s="8" t="inlineStr">
        <is>
          <t>⏳ UPCOMING</t>
        </is>
      </c>
      <c r="I2274" s="11" t="inlineStr">
        <is>
          <t>22.pdf</t>
        </is>
      </c>
      <c r="J2274" s="13" t="inlineStr">
        <is>
          <t>📕 PDF Document</t>
        </is>
      </c>
      <c r="K2274" s="15" t="n">
        <v>17.8</v>
      </c>
      <c r="L2274" s="16">
        <f>HYPERLINK("http://127.0.0.1:8000/api/documents/download?id=263&amp;attachment=true", "⬇ Download 22.pdf")</f>
        <v/>
      </c>
      <c r="M2274" s="16">
        <f>HYPERLINK("http://localhost:5173/?state=Maharashtra&amp;keyword=ICT&amp;tender=2026_MHADA_1342749_22", "🚀 Open in Portal")</f>
        <v/>
      </c>
    </row>
    <row r="2275" ht="24" customHeight="1">
      <c r="A2275" s="4" t="inlineStr">
        <is>
          <t>Maharashtra</t>
        </is>
      </c>
      <c r="B2275" s="5" t="inlineStr">
        <is>
          <t>ICT</t>
        </is>
      </c>
      <c r="C2275" s="6" t="inlineStr">
        <is>
          <t>2026_MHADA_1342749_22</t>
        </is>
      </c>
      <c r="D2275" s="7" t="inlineStr">
        <is>
          <t>[Const of Entrance Gate at Chhatrapati Shivaji Maharaj Talav District Mumbai Suburban]</t>
        </is>
      </c>
      <c r="E2275" s="7" t="inlineStr">
        <is>
          <t>Maharashtra Public Works &amp; Technology Department</t>
        </is>
      </c>
      <c r="F2275" s="6" t="inlineStr">
        <is>
          <t>31 Jul 2026</t>
        </is>
      </c>
      <c r="G2275" s="5" t="inlineStr">
        <is>
          <t>23 Aug 2026</t>
        </is>
      </c>
      <c r="H2275" s="8" t="inlineStr">
        <is>
          <t>⏳ UPCOMING</t>
        </is>
      </c>
      <c r="I2275" s="4" t="inlineStr">
        <is>
          <t>BOQ_2295061.xls</t>
        </is>
      </c>
      <c r="J2275" s="6" t="inlineStr">
        <is>
          <t>📊 Excel BOQ</t>
        </is>
      </c>
      <c r="K2275" s="9" t="n">
        <v>2.5</v>
      </c>
      <c r="L2275" s="10">
        <f>HYPERLINK("http://127.0.0.1:8000/api/documents/download?id=264&amp;attachment=true", "⬇ Download BOQ_2295061.xls")</f>
        <v/>
      </c>
      <c r="M2275" s="10">
        <f>HYPERLINK("http://localhost:5173/?state=Maharashtra&amp;keyword=ICT&amp;tender=2026_MHADA_1342749_22", "🚀 Open in Portal")</f>
        <v/>
      </c>
    </row>
    <row r="2276" ht="24" customHeight="1">
      <c r="A2276" s="11" t="inlineStr">
        <is>
          <t>Maharashtra</t>
        </is>
      </c>
      <c r="B2276" s="12" t="inlineStr">
        <is>
          <t>ICT</t>
        </is>
      </c>
      <c r="C2276" s="13" t="inlineStr">
        <is>
          <t>2026_MHADA_1342749_22</t>
        </is>
      </c>
      <c r="D2276" s="14" t="inlineStr">
        <is>
          <t>[Const of Entrance Gate at Chhatrapati Shivaji Maharaj Talav District Mumbai Suburban]</t>
        </is>
      </c>
      <c r="E2276" s="14" t="inlineStr">
        <is>
          <t>Maharashtra Public Works &amp; Technology Department</t>
        </is>
      </c>
      <c r="F2276" s="13" t="inlineStr">
        <is>
          <t>31 Jul 2026</t>
        </is>
      </c>
      <c r="G2276" s="12" t="inlineStr">
        <is>
          <t>23 Aug 2026</t>
        </is>
      </c>
      <c r="H2276" s="8" t="inlineStr">
        <is>
          <t>⏳ UPCOMING</t>
        </is>
      </c>
      <c r="I2276" s="11" t="inlineStr">
        <is>
          <t>Tender_2026_MHADA_1342749_22_All_Documents.zip</t>
        </is>
      </c>
      <c r="J2276" s="13" t="inlineStr">
        <is>
          <t>📦 ZIP Package</t>
        </is>
      </c>
      <c r="K2276" s="15" t="n">
        <v>20.9</v>
      </c>
      <c r="L2276" s="16">
        <f>HYPERLINK("http://127.0.0.1:8000/api/documents/download?id=265&amp;attachment=true", "⬇ Download Tender_2026_MHADA_134274")</f>
        <v/>
      </c>
      <c r="M2276" s="16">
        <f>HYPERLINK("http://localhost:5173/?state=Maharashtra&amp;keyword=ICT&amp;tender=2026_MHADA_1342749_22", "🚀 Open in Portal")</f>
        <v/>
      </c>
    </row>
    <row r="2277" ht="24" customHeight="1">
      <c r="A2277" s="4" t="inlineStr">
        <is>
          <t>Maharashtra</t>
        </is>
      </c>
      <c r="B2277" s="5" t="inlineStr">
        <is>
          <t>ICT</t>
        </is>
      </c>
      <c r="C2277" s="6" t="inlineStr">
        <is>
          <t>2026_MHADA_1342983_1</t>
        </is>
      </c>
      <c r="D2277" s="7" t="inlineStr">
        <is>
          <t>[Providing and Fixing SS Railing and Fixing Granite at Chhatrapati Shivaji Maharaj Talav District Mumbai Suburban]</t>
        </is>
      </c>
      <c r="E2277" s="7" t="inlineStr">
        <is>
          <t>Maharashtra Public Works &amp; Technology Department</t>
        </is>
      </c>
      <c r="F2277" s="6" t="inlineStr">
        <is>
          <t>21 Sep 2026</t>
        </is>
      </c>
      <c r="G2277" s="5" t="inlineStr">
        <is>
          <t>13 Oct 2026</t>
        </is>
      </c>
      <c r="H2277" s="8" t="inlineStr">
        <is>
          <t>⏳ UPCOMING</t>
        </is>
      </c>
      <c r="I2277" s="4" t="inlineStr">
        <is>
          <t>Tendernotice_1.pdf</t>
        </is>
      </c>
      <c r="J2277" s="6" t="inlineStr">
        <is>
          <t>📕 PDF Document</t>
        </is>
      </c>
      <c r="K2277" s="9" t="n">
        <v>17.8</v>
      </c>
      <c r="L2277" s="10">
        <f>HYPERLINK("http://127.0.0.1:8000/api/documents/download?id=235&amp;attachment=true", "⬇ Download Tendernotice_1.pdf")</f>
        <v/>
      </c>
      <c r="M2277" s="10">
        <f>HYPERLINK("http://localhost:5173/?state=Maharashtra&amp;keyword=ICT&amp;tender=2026_MHADA_1342983_1", "🚀 Open in Portal")</f>
        <v/>
      </c>
    </row>
    <row r="2278" ht="24" customHeight="1">
      <c r="A2278" s="11" t="inlineStr">
        <is>
          <t>Maharashtra</t>
        </is>
      </c>
      <c r="B2278" s="12" t="inlineStr">
        <is>
          <t>ICT</t>
        </is>
      </c>
      <c r="C2278" s="13" t="inlineStr">
        <is>
          <t>2026_MHADA_1342983_1</t>
        </is>
      </c>
      <c r="D2278" s="14" t="inlineStr">
        <is>
          <t>[Providing and Fixing SS Railing and Fixing Granite at Chhatrapati Shivaji Maharaj Talav District Mumbai Suburban]</t>
        </is>
      </c>
      <c r="E2278" s="14" t="inlineStr">
        <is>
          <t>Maharashtra Public Works &amp; Technology Department</t>
        </is>
      </c>
      <c r="F2278" s="13" t="inlineStr">
        <is>
          <t>21 Sep 2026</t>
        </is>
      </c>
      <c r="G2278" s="12" t="inlineStr">
        <is>
          <t>13 Oct 2026</t>
        </is>
      </c>
      <c r="H2278" s="8" t="inlineStr">
        <is>
          <t>⏳ UPCOMING</t>
        </is>
      </c>
      <c r="I2278" s="11" t="inlineStr">
        <is>
          <t>1.pdf</t>
        </is>
      </c>
      <c r="J2278" s="13" t="inlineStr">
        <is>
          <t>📕 PDF Document</t>
        </is>
      </c>
      <c r="K2278" s="15" t="n">
        <v>17.8</v>
      </c>
      <c r="L2278" s="16">
        <f>HYPERLINK("http://127.0.0.1:8000/api/documents/download?id=236&amp;attachment=true", "⬇ Download 1.pdf")</f>
        <v/>
      </c>
      <c r="M2278" s="16">
        <f>HYPERLINK("http://localhost:5173/?state=Maharashtra&amp;keyword=ICT&amp;tender=2026_MHADA_1342983_1", "🚀 Open in Portal")</f>
        <v/>
      </c>
    </row>
    <row r="2279" ht="24" customHeight="1">
      <c r="A2279" s="4" t="inlineStr">
        <is>
          <t>Maharashtra</t>
        </is>
      </c>
      <c r="B2279" s="5" t="inlineStr">
        <is>
          <t>ICT</t>
        </is>
      </c>
      <c r="C2279" s="6" t="inlineStr">
        <is>
          <t>2026_MHADA_1342983_1</t>
        </is>
      </c>
      <c r="D2279" s="7" t="inlineStr">
        <is>
          <t>[Providing and Fixing SS Railing and Fixing Granite at Chhatrapati Shivaji Maharaj Talav District Mumbai Suburban]</t>
        </is>
      </c>
      <c r="E2279" s="7" t="inlineStr">
        <is>
          <t>Maharashtra Public Works &amp; Technology Department</t>
        </is>
      </c>
      <c r="F2279" s="6" t="inlineStr">
        <is>
          <t>21 Sep 2026</t>
        </is>
      </c>
      <c r="G2279" s="5" t="inlineStr">
        <is>
          <t>13 Oct 2026</t>
        </is>
      </c>
      <c r="H2279" s="8" t="inlineStr">
        <is>
          <t>⏳ UPCOMING</t>
        </is>
      </c>
      <c r="I2279" s="4" t="inlineStr">
        <is>
          <t>BOQ_2295429.xls</t>
        </is>
      </c>
      <c r="J2279" s="6" t="inlineStr">
        <is>
          <t>📊 Excel BOQ</t>
        </is>
      </c>
      <c r="K2279" s="9" t="n">
        <v>2.5</v>
      </c>
      <c r="L2279" s="10">
        <f>HYPERLINK("http://127.0.0.1:8000/api/documents/download?id=237&amp;attachment=true", "⬇ Download BOQ_2295429.xls")</f>
        <v/>
      </c>
      <c r="M2279" s="10">
        <f>HYPERLINK("http://localhost:5173/?state=Maharashtra&amp;keyword=ICT&amp;tender=2026_MHADA_1342983_1", "🚀 Open in Portal")</f>
        <v/>
      </c>
    </row>
    <row r="2280" ht="24" customHeight="1">
      <c r="A2280" s="11" t="inlineStr">
        <is>
          <t>Maharashtra</t>
        </is>
      </c>
      <c r="B2280" s="12" t="inlineStr">
        <is>
          <t>ICT</t>
        </is>
      </c>
      <c r="C2280" s="13" t="inlineStr">
        <is>
          <t>2026_MHADA_1342983_1</t>
        </is>
      </c>
      <c r="D2280" s="14" t="inlineStr">
        <is>
          <t>[Providing and Fixing SS Railing and Fixing Granite at Chhatrapati Shivaji Maharaj Talav District Mumbai Suburban]</t>
        </is>
      </c>
      <c r="E2280" s="14" t="inlineStr">
        <is>
          <t>Maharashtra Public Works &amp; Technology Department</t>
        </is>
      </c>
      <c r="F2280" s="13" t="inlineStr">
        <is>
          <t>21 Sep 2026</t>
        </is>
      </c>
      <c r="G2280" s="12" t="inlineStr">
        <is>
          <t>13 Oct 2026</t>
        </is>
      </c>
      <c r="H2280" s="8" t="inlineStr">
        <is>
          <t>⏳ UPCOMING</t>
        </is>
      </c>
      <c r="I2280" s="11" t="inlineStr">
        <is>
          <t>Tender_2026_MHADA_1342983_1_All_Documents.zip</t>
        </is>
      </c>
      <c r="J2280" s="13" t="inlineStr">
        <is>
          <t>📦 ZIP Package</t>
        </is>
      </c>
      <c r="K2280" s="15" t="n">
        <v>20.9</v>
      </c>
      <c r="L2280" s="16">
        <f>HYPERLINK("http://127.0.0.1:8000/api/documents/download?id=238&amp;attachment=true", "⬇ Download Tender_2026_MHADA_134298")</f>
        <v/>
      </c>
      <c r="M2280" s="16">
        <f>HYPERLINK("http://localhost:5173/?state=Maharashtra&amp;keyword=ICT&amp;tender=2026_MHADA_1342983_1", "🚀 Open in Portal")</f>
        <v/>
      </c>
    </row>
    <row r="2281" ht="24" customHeight="1">
      <c r="A2281" s="4" t="inlineStr">
        <is>
          <t>Maharashtra</t>
        </is>
      </c>
      <c r="B2281" s="5" t="inlineStr">
        <is>
          <t>ICT</t>
        </is>
      </c>
      <c r="C2281" s="6" t="inlineStr">
        <is>
          <t>2026_NANBR_1342794_1</t>
        </is>
      </c>
      <c r="D2281" s="7" t="inlineStr">
        <is>
          <t>[Supply of Water Tankar in District]</t>
        </is>
      </c>
      <c r="E2281" s="7" t="inlineStr">
        <is>
          <t>Maharashtra Public Works &amp; Technology Department</t>
        </is>
      </c>
      <c r="F2281" s="6" t="inlineStr">
        <is>
          <t>24 Aug 2026</t>
        </is>
      </c>
      <c r="G2281" s="5" t="inlineStr">
        <is>
          <t>21 Sep 2026</t>
        </is>
      </c>
      <c r="H2281" s="8" t="inlineStr">
        <is>
          <t>⏳ UPCOMING</t>
        </is>
      </c>
      <c r="I2281" s="4" t="inlineStr">
        <is>
          <t>Tendernotice_1.pdf</t>
        </is>
      </c>
      <c r="J2281" s="6" t="inlineStr">
        <is>
          <t>📕 PDF Document</t>
        </is>
      </c>
      <c r="K2281" s="9" t="n">
        <v>17.8</v>
      </c>
      <c r="L2281" s="10">
        <f>HYPERLINK("http://127.0.0.1:8000/api/documents/download?id=250&amp;attachment=true", "⬇ Download Tendernotice_1.pdf")</f>
        <v/>
      </c>
      <c r="M2281" s="10">
        <f>HYPERLINK("http://localhost:5173/?state=Maharashtra&amp;keyword=ICT&amp;tender=2026_NANBR_1342794_1", "🚀 Open in Portal")</f>
        <v/>
      </c>
    </row>
    <row r="2282" ht="24" customHeight="1">
      <c r="A2282" s="11" t="inlineStr">
        <is>
          <t>Maharashtra</t>
        </is>
      </c>
      <c r="B2282" s="12" t="inlineStr">
        <is>
          <t>ICT</t>
        </is>
      </c>
      <c r="C2282" s="13" t="inlineStr">
        <is>
          <t>2026_NANBR_1342794_1</t>
        </is>
      </c>
      <c r="D2282" s="14" t="inlineStr">
        <is>
          <t>[Supply of Water Tankar in District]</t>
        </is>
      </c>
      <c r="E2282" s="14" t="inlineStr">
        <is>
          <t>Maharashtra Public Works &amp; Technology Department</t>
        </is>
      </c>
      <c r="F2282" s="13" t="inlineStr">
        <is>
          <t>24 Aug 2026</t>
        </is>
      </c>
      <c r="G2282" s="12" t="inlineStr">
        <is>
          <t>21 Sep 2026</t>
        </is>
      </c>
      <c r="H2282" s="8" t="inlineStr">
        <is>
          <t>⏳ UPCOMING</t>
        </is>
      </c>
      <c r="I2282" s="11" t="inlineStr">
        <is>
          <t>TENSCY.pdf</t>
        </is>
      </c>
      <c r="J2282" s="13" t="inlineStr">
        <is>
          <t>📕 PDF Document</t>
        </is>
      </c>
      <c r="K2282" s="15" t="n">
        <v>17.8</v>
      </c>
      <c r="L2282" s="16">
        <f>HYPERLINK("http://127.0.0.1:8000/api/documents/download?id=251&amp;attachment=true", "⬇ Download TENSCY.pdf")</f>
        <v/>
      </c>
      <c r="M2282" s="16">
        <f>HYPERLINK("http://localhost:5173/?state=Maharashtra&amp;keyword=ICT&amp;tender=2026_NANBR_1342794_1", "🚀 Open in Portal")</f>
        <v/>
      </c>
    </row>
    <row r="2283" ht="24" customHeight="1">
      <c r="A2283" s="4" t="inlineStr">
        <is>
          <t>Maharashtra</t>
        </is>
      </c>
      <c r="B2283" s="5" t="inlineStr">
        <is>
          <t>ICT</t>
        </is>
      </c>
      <c r="C2283" s="6" t="inlineStr">
        <is>
          <t>2026_NANBR_1342794_1</t>
        </is>
      </c>
      <c r="D2283" s="7" t="inlineStr">
        <is>
          <t>[Supply of Water Tankar in District]</t>
        </is>
      </c>
      <c r="E2283" s="7" t="inlineStr">
        <is>
          <t>Maharashtra Public Works &amp; Technology Department</t>
        </is>
      </c>
      <c r="F2283" s="6" t="inlineStr">
        <is>
          <t>24 Aug 2026</t>
        </is>
      </c>
      <c r="G2283" s="5" t="inlineStr">
        <is>
          <t>21 Sep 2026</t>
        </is>
      </c>
      <c r="H2283" s="8" t="inlineStr">
        <is>
          <t>⏳ UPCOMING</t>
        </is>
      </c>
      <c r="I2283" s="4" t="inlineStr">
        <is>
          <t>BOQ_2295110.xls</t>
        </is>
      </c>
      <c r="J2283" s="6" t="inlineStr">
        <is>
          <t>📊 Excel BOQ</t>
        </is>
      </c>
      <c r="K2283" s="9" t="n">
        <v>2.4</v>
      </c>
      <c r="L2283" s="10">
        <f>HYPERLINK("http://127.0.0.1:8000/api/documents/download?id=252&amp;attachment=true", "⬇ Download BOQ_2295110.xls")</f>
        <v/>
      </c>
      <c r="M2283" s="10">
        <f>HYPERLINK("http://localhost:5173/?state=Maharashtra&amp;keyword=ICT&amp;tender=2026_NANBR_1342794_1", "🚀 Open in Portal")</f>
        <v/>
      </c>
    </row>
    <row r="2284" ht="24" customHeight="1">
      <c r="A2284" s="11" t="inlineStr">
        <is>
          <t>Maharashtra</t>
        </is>
      </c>
      <c r="B2284" s="12" t="inlineStr">
        <is>
          <t>ICT</t>
        </is>
      </c>
      <c r="C2284" s="13" t="inlineStr">
        <is>
          <t>2026_NANBR_1342794_1</t>
        </is>
      </c>
      <c r="D2284" s="14" t="inlineStr">
        <is>
          <t>[Supply of Water Tankar in District]</t>
        </is>
      </c>
      <c r="E2284" s="14" t="inlineStr">
        <is>
          <t>Maharashtra Public Works &amp; Technology Department</t>
        </is>
      </c>
      <c r="F2284" s="13" t="inlineStr">
        <is>
          <t>24 Aug 2026</t>
        </is>
      </c>
      <c r="G2284" s="12" t="inlineStr">
        <is>
          <t>21 Sep 2026</t>
        </is>
      </c>
      <c r="H2284" s="8" t="inlineStr">
        <is>
          <t>⏳ UPCOMING</t>
        </is>
      </c>
      <c r="I2284" s="11" t="inlineStr">
        <is>
          <t>Tender_2026_NANBR_1342794_1_All_Documents.zip</t>
        </is>
      </c>
      <c r="J2284" s="13" t="inlineStr">
        <is>
          <t>📦 ZIP Package</t>
        </is>
      </c>
      <c r="K2284" s="15" t="n">
        <v>20.7</v>
      </c>
      <c r="L2284" s="16">
        <f>HYPERLINK("http://127.0.0.1:8000/api/documents/download?id=253&amp;attachment=true", "⬇ Download Tender_2026_NANBR_134279")</f>
        <v/>
      </c>
      <c r="M2284" s="16">
        <f>HYPERLINK("http://localhost:5173/?state=Maharashtra&amp;keyword=ICT&amp;tender=2026_NANBR_1342794_1", "🚀 Open in Portal")</f>
        <v/>
      </c>
    </row>
    <row r="2285" ht="24" customHeight="1">
      <c r="A2285" s="4" t="inlineStr">
        <is>
          <t>Maharashtra</t>
        </is>
      </c>
      <c r="B2285" s="5" t="inlineStr">
        <is>
          <t>ICT</t>
        </is>
      </c>
      <c r="C2285" s="6" t="inlineStr">
        <is>
          <t>2026_NANDU_1342862_4</t>
        </is>
      </c>
      <c r="D2285" s="7" t="inlineStr">
        <is>
          <t>[Constructing Samajik Sabhamandap G.I.Shed at Salavufali V.P. Koyalivihir Taluka Akkalkuwa District Nandurbar]</t>
        </is>
      </c>
      <c r="E2285" s="7" t="inlineStr">
        <is>
          <t>Maharashtra Public Works &amp; Technology Department</t>
        </is>
      </c>
      <c r="F2285" s="6" t="inlineStr">
        <is>
          <t>05 Sep 2026</t>
        </is>
      </c>
      <c r="G2285" s="5" t="inlineStr">
        <is>
          <t>01 Oct 2026</t>
        </is>
      </c>
      <c r="H2285" s="8" t="inlineStr">
        <is>
          <t>⏳ UPCOMING</t>
        </is>
      </c>
      <c r="I2285" s="4" t="inlineStr">
        <is>
          <t>Tendernotice_1.pdf</t>
        </is>
      </c>
      <c r="J2285" s="6" t="inlineStr">
        <is>
          <t>📕 PDF Document</t>
        </is>
      </c>
      <c r="K2285" s="9" t="n">
        <v>17.9</v>
      </c>
      <c r="L2285" s="10">
        <f>HYPERLINK("http://127.0.0.1:8000/api/documents/download?id=231&amp;attachment=true", "⬇ Download Tendernotice_1.pdf")</f>
        <v/>
      </c>
      <c r="M2285" s="10">
        <f>HYPERLINK("http://localhost:5173/?state=Maharashtra&amp;keyword=ICT&amp;tender=2026_NANDU_1342862_4", "🚀 Open in Portal")</f>
        <v/>
      </c>
    </row>
    <row r="2286" ht="24" customHeight="1">
      <c r="A2286" s="11" t="inlineStr">
        <is>
          <t>Maharashtra</t>
        </is>
      </c>
      <c r="B2286" s="12" t="inlineStr">
        <is>
          <t>ICT</t>
        </is>
      </c>
      <c r="C2286" s="13" t="inlineStr">
        <is>
          <t>2026_NANDU_1342862_4</t>
        </is>
      </c>
      <c r="D2286" s="14" t="inlineStr">
        <is>
          <t>[Constructing Samajik Sabhamandap G.I.Shed at Salavufali V.P. Koyalivihir Taluka Akkalkuwa District Nandurbar]</t>
        </is>
      </c>
      <c r="E2286" s="14" t="inlineStr">
        <is>
          <t>Maharashtra Public Works &amp; Technology Department</t>
        </is>
      </c>
      <c r="F2286" s="13" t="inlineStr">
        <is>
          <t>05 Sep 2026</t>
        </is>
      </c>
      <c r="G2286" s="12" t="inlineStr">
        <is>
          <t>01 Oct 2026</t>
        </is>
      </c>
      <c r="H2286" s="8" t="inlineStr">
        <is>
          <t>⏳ UPCOMING</t>
        </is>
      </c>
      <c r="I2286" s="11" t="inlineStr">
        <is>
          <t>BOQ_2295210.xls</t>
        </is>
      </c>
      <c r="J2286" s="13" t="inlineStr">
        <is>
          <t>📊 Excel BOQ</t>
        </is>
      </c>
      <c r="K2286" s="15" t="n">
        <v>2.5</v>
      </c>
      <c r="L2286" s="16">
        <f>HYPERLINK("http://127.0.0.1:8000/api/documents/download?id=232&amp;attachment=true", "⬇ Download BOQ_2295210.xls")</f>
        <v/>
      </c>
      <c r="M2286" s="16">
        <f>HYPERLINK("http://localhost:5173/?state=Maharashtra&amp;keyword=ICT&amp;tender=2026_NANDU_1342862_4", "🚀 Open in Portal")</f>
        <v/>
      </c>
    </row>
    <row r="2287" ht="24" customHeight="1">
      <c r="A2287" s="4" t="inlineStr">
        <is>
          <t>Maharashtra</t>
        </is>
      </c>
      <c r="B2287" s="5" t="inlineStr">
        <is>
          <t>ICT</t>
        </is>
      </c>
      <c r="C2287" s="6" t="inlineStr">
        <is>
          <t>2026_NANDU_1342862_4</t>
        </is>
      </c>
      <c r="D2287" s="7" t="inlineStr">
        <is>
          <t>[Constructing Samajik Sabhamandap G.I.Shed at Salavufali V.P. Koyalivihir Taluka Akkalkuwa District Nandurbar]</t>
        </is>
      </c>
      <c r="E2287" s="7" t="inlineStr">
        <is>
          <t>Maharashtra Public Works &amp; Technology Department</t>
        </is>
      </c>
      <c r="F2287" s="6" t="inlineStr">
        <is>
          <t>05 Sep 2026</t>
        </is>
      </c>
      <c r="G2287" s="5" t="inlineStr">
        <is>
          <t>01 Oct 2026</t>
        </is>
      </c>
      <c r="H2287" s="8" t="inlineStr">
        <is>
          <t>⏳ UPCOMING</t>
        </is>
      </c>
      <c r="I2287" s="4" t="inlineStr">
        <is>
          <t>B1.pdf</t>
        </is>
      </c>
      <c r="J2287" s="6" t="inlineStr">
        <is>
          <t>📕 PDF Document</t>
        </is>
      </c>
      <c r="K2287" s="9" t="n">
        <v>17.8</v>
      </c>
      <c r="L2287" s="10">
        <f>HYPERLINK("http://127.0.0.1:8000/api/documents/download?id=233&amp;attachment=true", "⬇ Download B1.pdf")</f>
        <v/>
      </c>
      <c r="M2287" s="10">
        <f>HYPERLINK("http://localhost:5173/?state=Maharashtra&amp;keyword=ICT&amp;tender=2026_NANDU_1342862_4", "🚀 Open in Portal")</f>
        <v/>
      </c>
    </row>
    <row r="2288" ht="24" customHeight="1">
      <c r="A2288" s="11" t="inlineStr">
        <is>
          <t>Maharashtra</t>
        </is>
      </c>
      <c r="B2288" s="12" t="inlineStr">
        <is>
          <t>ICT</t>
        </is>
      </c>
      <c r="C2288" s="13" t="inlineStr">
        <is>
          <t>2026_NANDU_1342862_4</t>
        </is>
      </c>
      <c r="D2288" s="14" t="inlineStr">
        <is>
          <t>[Constructing Samajik Sabhamandap G.I.Shed at Salavufali V.P. Koyalivihir Taluka Akkalkuwa District Nandurbar]</t>
        </is>
      </c>
      <c r="E2288" s="14" t="inlineStr">
        <is>
          <t>Maharashtra Public Works &amp; Technology Department</t>
        </is>
      </c>
      <c r="F2288" s="13" t="inlineStr">
        <is>
          <t>05 Sep 2026</t>
        </is>
      </c>
      <c r="G2288" s="12" t="inlineStr">
        <is>
          <t>01 Oct 2026</t>
        </is>
      </c>
      <c r="H2288" s="8" t="inlineStr">
        <is>
          <t>⏳ UPCOMING</t>
        </is>
      </c>
      <c r="I2288" s="11" t="inlineStr">
        <is>
          <t>Tender_2026_NANDU_1342862_4_All_Documents.zip</t>
        </is>
      </c>
      <c r="J2288" s="13" t="inlineStr">
        <is>
          <t>📦 ZIP Package</t>
        </is>
      </c>
      <c r="K2288" s="15" t="n">
        <v>20.9</v>
      </c>
      <c r="L2288" s="16">
        <f>HYPERLINK("http://127.0.0.1:8000/api/documents/download?id=234&amp;attachment=true", "⬇ Download Tender_2026_NANDU_134286")</f>
        <v/>
      </c>
      <c r="M2288" s="16">
        <f>HYPERLINK("http://localhost:5173/?state=Maharashtra&amp;keyword=ICT&amp;tender=2026_NANDU_1342862_4", "🚀 Open in Portal")</f>
        <v/>
      </c>
    </row>
    <row r="2289" ht="24" customHeight="1">
      <c r="A2289" s="4" t="inlineStr">
        <is>
          <t>Maharashtra</t>
        </is>
      </c>
      <c r="B2289" s="5" t="inlineStr">
        <is>
          <t>ICT</t>
        </is>
      </c>
      <c r="C2289" s="6" t="inlineStr">
        <is>
          <t>2026_PWDM_1342810_2</t>
        </is>
      </c>
      <c r="D2289" s="7" t="inlineStr">
        <is>
          <t>[Estimate No. 443/NGP/2026-27 Providing Annual Maintenance Contract to E.I. for Residential Buildings (R II) under Ravinagar Electrical Section at District-Nagpur]</t>
        </is>
      </c>
      <c r="E2289" s="7" t="inlineStr">
        <is>
          <t>Maharashtra Public Works &amp; Technology Department</t>
        </is>
      </c>
      <c r="F2289" s="6" t="inlineStr">
        <is>
          <t>20 Aug 2026</t>
        </is>
      </c>
      <c r="G2289" s="5" t="inlineStr">
        <is>
          <t>10 Sep 2026</t>
        </is>
      </c>
      <c r="H2289" s="8" t="inlineStr">
        <is>
          <t>⏳ UPCOMING</t>
        </is>
      </c>
      <c r="I2289" s="4" t="inlineStr">
        <is>
          <t>Tendernotice_1.pdf</t>
        </is>
      </c>
      <c r="J2289" s="6" t="inlineStr">
        <is>
          <t>📕 PDF Document</t>
        </is>
      </c>
      <c r="K2289" s="9" t="n">
        <v>17.9</v>
      </c>
      <c r="L2289" s="10">
        <f>HYPERLINK("http://127.0.0.1:8000/api/documents/download?id=222&amp;attachment=true", "⬇ Download Tendernotice_1.pdf")</f>
        <v/>
      </c>
      <c r="M2289" s="10">
        <f>HYPERLINK("http://localhost:5173/?state=Maharashtra&amp;keyword=ICT&amp;tender=2026_PWDM_1342810_2", "🚀 Open in Portal")</f>
        <v/>
      </c>
    </row>
    <row r="2290" ht="24" customHeight="1">
      <c r="A2290" s="11" t="inlineStr">
        <is>
          <t>Maharashtra</t>
        </is>
      </c>
      <c r="B2290" s="12" t="inlineStr">
        <is>
          <t>ICT</t>
        </is>
      </c>
      <c r="C2290" s="13" t="inlineStr">
        <is>
          <t>2026_PWDM_1342810_2</t>
        </is>
      </c>
      <c r="D2290" s="14" t="inlineStr">
        <is>
          <t>[Estimate No. 443/NGP/2026-27 Providing Annual Maintenance Contract to E.I. for Residential Buildings (R II) under Ravinagar Electrical Section at District-Nagpur]</t>
        </is>
      </c>
      <c r="E2290" s="14" t="inlineStr">
        <is>
          <t>Maharashtra Public Works &amp; Technology Department</t>
        </is>
      </c>
      <c r="F2290" s="13" t="inlineStr">
        <is>
          <t>20 Aug 2026</t>
        </is>
      </c>
      <c r="G2290" s="12" t="inlineStr">
        <is>
          <t>10 Sep 2026</t>
        </is>
      </c>
      <c r="H2290" s="8" t="inlineStr">
        <is>
          <t>⏳ UPCOMING</t>
        </is>
      </c>
      <c r="I2290" s="11" t="inlineStr">
        <is>
          <t>443dtp.pdf</t>
        </is>
      </c>
      <c r="J2290" s="13" t="inlineStr">
        <is>
          <t>📕 PDF Document</t>
        </is>
      </c>
      <c r="K2290" s="15" t="n">
        <v>17.8</v>
      </c>
      <c r="L2290" s="16">
        <f>HYPERLINK("http://127.0.0.1:8000/api/documents/download?id=223&amp;attachment=true", "⬇ Download 443dtp.pdf")</f>
        <v/>
      </c>
      <c r="M2290" s="16">
        <f>HYPERLINK("http://localhost:5173/?state=Maharashtra&amp;keyword=ICT&amp;tender=2026_PWDM_1342810_2", "🚀 Open in Portal")</f>
        <v/>
      </c>
    </row>
    <row r="2291" ht="24" customHeight="1">
      <c r="A2291" s="4" t="inlineStr">
        <is>
          <t>Maharashtra</t>
        </is>
      </c>
      <c r="B2291" s="5" t="inlineStr">
        <is>
          <t>ICT</t>
        </is>
      </c>
      <c r="C2291" s="6" t="inlineStr">
        <is>
          <t>2026_PWDM_1342810_2</t>
        </is>
      </c>
      <c r="D2291" s="7" t="inlineStr">
        <is>
          <t>[Estimate No. 443/NGP/2026-27 Providing Annual Maintenance Contract to E.I. for Residential Buildings (R II) under Ravinagar Electrical Section at District-Nagpur]</t>
        </is>
      </c>
      <c r="E2291" s="7" t="inlineStr">
        <is>
          <t>Maharashtra Public Works &amp; Technology Department</t>
        </is>
      </c>
      <c r="F2291" s="6" t="inlineStr">
        <is>
          <t>20 Aug 2026</t>
        </is>
      </c>
      <c r="G2291" s="5" t="inlineStr">
        <is>
          <t>10 Sep 2026</t>
        </is>
      </c>
      <c r="H2291" s="8" t="inlineStr">
        <is>
          <t>⏳ UPCOMING</t>
        </is>
      </c>
      <c r="I2291" s="4" t="inlineStr">
        <is>
          <t>BOQ_2295268.xls</t>
        </is>
      </c>
      <c r="J2291" s="6" t="inlineStr">
        <is>
          <t>📊 Excel BOQ</t>
        </is>
      </c>
      <c r="K2291" s="9" t="n">
        <v>2.5</v>
      </c>
      <c r="L2291" s="10">
        <f>HYPERLINK("http://127.0.0.1:8000/api/documents/download?id=224&amp;attachment=true", "⬇ Download BOQ_2295268.xls")</f>
        <v/>
      </c>
      <c r="M2291" s="10">
        <f>HYPERLINK("http://localhost:5173/?state=Maharashtra&amp;keyword=ICT&amp;tender=2026_PWDM_1342810_2", "🚀 Open in Portal")</f>
        <v/>
      </c>
    </row>
    <row r="2292" ht="24" customHeight="1">
      <c r="A2292" s="11" t="inlineStr">
        <is>
          <t>Maharashtra</t>
        </is>
      </c>
      <c r="B2292" s="12" t="inlineStr">
        <is>
          <t>ICT</t>
        </is>
      </c>
      <c r="C2292" s="13" t="inlineStr">
        <is>
          <t>2026_PWDM_1342810_2</t>
        </is>
      </c>
      <c r="D2292" s="14" t="inlineStr">
        <is>
          <t>[Estimate No. 443/NGP/2026-27 Providing Annual Maintenance Contract to E.I. for Residential Buildings (R II) under Ravinagar Electrical Section at District-Nagpur]</t>
        </is>
      </c>
      <c r="E2292" s="14" t="inlineStr">
        <is>
          <t>Maharashtra Public Works &amp; Technology Department</t>
        </is>
      </c>
      <c r="F2292" s="13" t="inlineStr">
        <is>
          <t>20 Aug 2026</t>
        </is>
      </c>
      <c r="G2292" s="12" t="inlineStr">
        <is>
          <t>10 Sep 2026</t>
        </is>
      </c>
      <c r="H2292" s="8" t="inlineStr">
        <is>
          <t>⏳ UPCOMING</t>
        </is>
      </c>
      <c r="I2292" s="11" t="inlineStr">
        <is>
          <t>Tender_2026_PWDM_1342810_2_All_Documents.zip</t>
        </is>
      </c>
      <c r="J2292" s="13" t="inlineStr">
        <is>
          <t>📦 ZIP Package</t>
        </is>
      </c>
      <c r="K2292" s="15" t="n">
        <v>20.8</v>
      </c>
      <c r="L2292" s="16">
        <f>HYPERLINK("http://127.0.0.1:8000/api/documents/download?id=225&amp;attachment=true", "⬇ Download Tender_2026_PWDM_1342810")</f>
        <v/>
      </c>
      <c r="M2292" s="16">
        <f>HYPERLINK("http://localhost:5173/?state=Maharashtra&amp;keyword=ICT&amp;tender=2026_PWDM_1342810_2", "🚀 Open in Portal")</f>
        <v/>
      </c>
    </row>
    <row r="2293" ht="24" customHeight="1">
      <c r="A2293" s="4" t="inlineStr">
        <is>
          <t>Maharashtra</t>
        </is>
      </c>
      <c r="B2293" s="5" t="inlineStr">
        <is>
          <t>ICT</t>
        </is>
      </c>
      <c r="C2293" s="6" t="inlineStr">
        <is>
          <t>2026_PWR_1342356_1</t>
        </is>
      </c>
      <c r="D2293" s="7" t="inlineStr">
        <is>
          <t>[Construction of new temporary police barracks and repair of existing police barracks at Goraksha Trust, Tupadevi Phata, Trimbakeshwar Taluka, Trimbakeshwar, District Nashik]</t>
        </is>
      </c>
      <c r="E2293" s="7" t="inlineStr">
        <is>
          <t>Maharashtra Public Works &amp; Technology Department</t>
        </is>
      </c>
      <c r="F2293" s="6" t="inlineStr">
        <is>
          <t>21 Sep 2026</t>
        </is>
      </c>
      <c r="G2293" s="5" t="inlineStr">
        <is>
          <t>17 Oct 2026</t>
        </is>
      </c>
      <c r="H2293" s="8" t="inlineStr">
        <is>
          <t>⏳ UPCOMING</t>
        </is>
      </c>
      <c r="I2293" s="4" t="inlineStr">
        <is>
          <t>Tendernotice_1.pdf</t>
        </is>
      </c>
      <c r="J2293" s="6" t="inlineStr">
        <is>
          <t>📕 PDF Document</t>
        </is>
      </c>
      <c r="K2293" s="9" t="n">
        <v>17.9</v>
      </c>
      <c r="L2293" s="10">
        <f>HYPERLINK("http://127.0.0.1:8000/api/documents/download?id=258&amp;attachment=true", "⬇ Download Tendernotice_1.pdf")</f>
        <v/>
      </c>
      <c r="M2293" s="10">
        <f>HYPERLINK("http://localhost:5173/?state=Maharashtra&amp;keyword=ICT&amp;tender=2026_PWR_1342356_1", "🚀 Open in Portal")</f>
        <v/>
      </c>
    </row>
    <row r="2294" ht="24" customHeight="1">
      <c r="A2294" s="11" t="inlineStr">
        <is>
          <t>Maharashtra</t>
        </is>
      </c>
      <c r="B2294" s="12" t="inlineStr">
        <is>
          <t>ICT</t>
        </is>
      </c>
      <c r="C2294" s="13" t="inlineStr">
        <is>
          <t>2026_PWR_1342356_1</t>
        </is>
      </c>
      <c r="D2294" s="14" t="inlineStr">
        <is>
          <t>[Construction of new temporary police barracks and repair of existing police barracks at Goraksha Trust, Tupadevi Phata, Trimbakeshwar Taluka, Trimbakeshwar, District Nashik]</t>
        </is>
      </c>
      <c r="E2294" s="14" t="inlineStr">
        <is>
          <t>Maharashtra Public Works &amp; Technology Department</t>
        </is>
      </c>
      <c r="F2294" s="13" t="inlineStr">
        <is>
          <t>21 Sep 2026</t>
        </is>
      </c>
      <c r="G2294" s="12" t="inlineStr">
        <is>
          <t>17 Oct 2026</t>
        </is>
      </c>
      <c r="H2294" s="8" t="inlineStr">
        <is>
          <t>⏳ UPCOMING</t>
        </is>
      </c>
      <c r="I2294" s="11" t="inlineStr">
        <is>
          <t>BOQ_2294505.xls</t>
        </is>
      </c>
      <c r="J2294" s="13" t="inlineStr">
        <is>
          <t>📊 Excel BOQ</t>
        </is>
      </c>
      <c r="K2294" s="15" t="n">
        <v>2.5</v>
      </c>
      <c r="L2294" s="16">
        <f>HYPERLINK("http://127.0.0.1:8000/api/documents/download?id=259&amp;attachment=true", "⬇ Download BOQ_2294505.xls")</f>
        <v/>
      </c>
      <c r="M2294" s="16">
        <f>HYPERLINK("http://localhost:5173/?state=Maharashtra&amp;keyword=ICT&amp;tender=2026_PWR_1342356_1", "🚀 Open in Portal")</f>
        <v/>
      </c>
    </row>
    <row r="2295" ht="24" customHeight="1">
      <c r="A2295" s="4" t="inlineStr">
        <is>
          <t>Maharashtra</t>
        </is>
      </c>
      <c r="B2295" s="5" t="inlineStr">
        <is>
          <t>ICT</t>
        </is>
      </c>
      <c r="C2295" s="6" t="inlineStr">
        <is>
          <t>2026_PWR_1342356_1</t>
        </is>
      </c>
      <c r="D2295" s="7" t="inlineStr">
        <is>
          <t>[Construction of new temporary police barracks and repair of existing police barracks at Goraksha Trust, Tupadevi Phata, Trimbakeshwar Taluka, Trimbakeshwar, District Nashik]</t>
        </is>
      </c>
      <c r="E2295" s="7" t="inlineStr">
        <is>
          <t>Maharashtra Public Works &amp; Technology Department</t>
        </is>
      </c>
      <c r="F2295" s="6" t="inlineStr">
        <is>
          <t>21 Sep 2026</t>
        </is>
      </c>
      <c r="G2295" s="5" t="inlineStr">
        <is>
          <t>17 Oct 2026</t>
        </is>
      </c>
      <c r="H2295" s="8" t="inlineStr">
        <is>
          <t>⏳ UPCOMING</t>
        </is>
      </c>
      <c r="I2295" s="4" t="inlineStr">
        <is>
          <t>PDF1801.pdf</t>
        </is>
      </c>
      <c r="J2295" s="6" t="inlineStr">
        <is>
          <t>📕 PDF Document</t>
        </is>
      </c>
      <c r="K2295" s="9" t="n">
        <v>17.8</v>
      </c>
      <c r="L2295" s="10">
        <f>HYPERLINK("http://127.0.0.1:8000/api/documents/download?id=260&amp;attachment=true", "⬇ Download PDF1801.pdf")</f>
        <v/>
      </c>
      <c r="M2295" s="10">
        <f>HYPERLINK("http://localhost:5173/?state=Maharashtra&amp;keyword=ICT&amp;tender=2026_PWR_1342356_1", "🚀 Open in Portal")</f>
        <v/>
      </c>
    </row>
    <row r="2296" ht="24" customHeight="1">
      <c r="A2296" s="11" t="inlineStr">
        <is>
          <t>Maharashtra</t>
        </is>
      </c>
      <c r="B2296" s="12" t="inlineStr">
        <is>
          <t>ICT</t>
        </is>
      </c>
      <c r="C2296" s="13" t="inlineStr">
        <is>
          <t>2026_PWR_1342356_1</t>
        </is>
      </c>
      <c r="D2296" s="14" t="inlineStr">
        <is>
          <t>[Construction of new temporary police barracks and repair of existing police barracks at Goraksha Trust, Tupadevi Phata, Trimbakeshwar Taluka, Trimbakeshwar, District Nashik]</t>
        </is>
      </c>
      <c r="E2296" s="14" t="inlineStr">
        <is>
          <t>Maharashtra Public Works &amp; Technology Department</t>
        </is>
      </c>
      <c r="F2296" s="13" t="inlineStr">
        <is>
          <t>21 Sep 2026</t>
        </is>
      </c>
      <c r="G2296" s="12" t="inlineStr">
        <is>
          <t>17 Oct 2026</t>
        </is>
      </c>
      <c r="H2296" s="8" t="inlineStr">
        <is>
          <t>⏳ UPCOMING</t>
        </is>
      </c>
      <c r="I2296" s="11" t="inlineStr">
        <is>
          <t>Tender_2026_PWR_1342356_1_All_Documents.zip</t>
        </is>
      </c>
      <c r="J2296" s="13" t="inlineStr">
        <is>
          <t>📦 ZIP Package</t>
        </is>
      </c>
      <c r="K2296" s="15" t="n">
        <v>20.8</v>
      </c>
      <c r="L2296" s="16">
        <f>HYPERLINK("http://127.0.0.1:8000/api/documents/download?id=261&amp;attachment=true", "⬇ Download Tender_2026_PWR_1342356_")</f>
        <v/>
      </c>
      <c r="M2296" s="16">
        <f>HYPERLINK("http://localhost:5173/?state=Maharashtra&amp;keyword=ICT&amp;tender=2026_PWR_1342356_1", "🚀 Open in Portal")</f>
        <v/>
      </c>
    </row>
    <row r="2297" ht="24" customHeight="1">
      <c r="A2297" s="4" t="inlineStr">
        <is>
          <t>Maharashtra</t>
        </is>
      </c>
      <c r="B2297" s="5" t="inlineStr">
        <is>
          <t>ICT</t>
        </is>
      </c>
      <c r="C2297" s="6" t="inlineStr">
        <is>
          <t>2026_PWR_1342356_2</t>
        </is>
      </c>
      <c r="D2297" s="7" t="inlineStr">
        <is>
          <t>[Construction of new temporary police barracks at Laddhas Land in Trimbakeshwar, Trimbakeshwar Taluka, District Nashik]</t>
        </is>
      </c>
      <c r="E2297" s="7" t="inlineStr">
        <is>
          <t>Maharashtra Public Works &amp; Technology Department</t>
        </is>
      </c>
      <c r="F2297" s="6" t="inlineStr">
        <is>
          <t>07 Sep 2026</t>
        </is>
      </c>
      <c r="G2297" s="5" t="inlineStr">
        <is>
          <t>05 Oct 2026</t>
        </is>
      </c>
      <c r="H2297" s="8" t="inlineStr">
        <is>
          <t>⏳ UPCOMING</t>
        </is>
      </c>
      <c r="I2297" s="4" t="inlineStr">
        <is>
          <t>Tendernotice_1.pdf</t>
        </is>
      </c>
      <c r="J2297" s="6" t="inlineStr">
        <is>
          <t>📕 PDF Document</t>
        </is>
      </c>
      <c r="K2297" s="9" t="n">
        <v>17.9</v>
      </c>
      <c r="L2297" s="10">
        <f>HYPERLINK("http://127.0.0.1:8000/api/documents/download?id=254&amp;attachment=true", "⬇ Download Tendernotice_1.pdf")</f>
        <v/>
      </c>
      <c r="M2297" s="10">
        <f>HYPERLINK("http://localhost:5173/?state=Maharashtra&amp;keyword=ICT&amp;tender=2026_PWR_1342356_2", "🚀 Open in Portal")</f>
        <v/>
      </c>
    </row>
    <row r="2298" ht="24" customHeight="1">
      <c r="A2298" s="11" t="inlineStr">
        <is>
          <t>Maharashtra</t>
        </is>
      </c>
      <c r="B2298" s="12" t="inlineStr">
        <is>
          <t>ICT</t>
        </is>
      </c>
      <c r="C2298" s="13" t="inlineStr">
        <is>
          <t>2026_PWR_1342356_2</t>
        </is>
      </c>
      <c r="D2298" s="14" t="inlineStr">
        <is>
          <t>[Construction of new temporary police barracks at Laddhas Land in Trimbakeshwar, Trimbakeshwar Taluka, District Nashik]</t>
        </is>
      </c>
      <c r="E2298" s="14" t="inlineStr">
        <is>
          <t>Maharashtra Public Works &amp; Technology Department</t>
        </is>
      </c>
      <c r="F2298" s="13" t="inlineStr">
        <is>
          <t>07 Sep 2026</t>
        </is>
      </c>
      <c r="G2298" s="12" t="inlineStr">
        <is>
          <t>05 Oct 2026</t>
        </is>
      </c>
      <c r="H2298" s="8" t="inlineStr">
        <is>
          <t>⏳ UPCOMING</t>
        </is>
      </c>
      <c r="I2298" s="11" t="inlineStr">
        <is>
          <t>BOQ_2294517.xls</t>
        </is>
      </c>
      <c r="J2298" s="13" t="inlineStr">
        <is>
          <t>📊 Excel BOQ</t>
        </is>
      </c>
      <c r="K2298" s="15" t="n">
        <v>2.5</v>
      </c>
      <c r="L2298" s="16">
        <f>HYPERLINK("http://127.0.0.1:8000/api/documents/download?id=255&amp;attachment=true", "⬇ Download BOQ_2294517.xls")</f>
        <v/>
      </c>
      <c r="M2298" s="16">
        <f>HYPERLINK("http://localhost:5173/?state=Maharashtra&amp;keyword=ICT&amp;tender=2026_PWR_1342356_2", "🚀 Open in Portal")</f>
        <v/>
      </c>
    </row>
    <row r="2299" ht="24" customHeight="1">
      <c r="A2299" s="4" t="inlineStr">
        <is>
          <t>Maharashtra</t>
        </is>
      </c>
      <c r="B2299" s="5" t="inlineStr">
        <is>
          <t>ICT</t>
        </is>
      </c>
      <c r="C2299" s="6" t="inlineStr">
        <is>
          <t>2026_PWR_1342356_2</t>
        </is>
      </c>
      <c r="D2299" s="7" t="inlineStr">
        <is>
          <t>[Construction of new temporary police barracks at Laddhas Land in Trimbakeshwar, Trimbakeshwar Taluka, District Nashik]</t>
        </is>
      </c>
      <c r="E2299" s="7" t="inlineStr">
        <is>
          <t>Maharashtra Public Works &amp; Technology Department</t>
        </is>
      </c>
      <c r="F2299" s="6" t="inlineStr">
        <is>
          <t>07 Sep 2026</t>
        </is>
      </c>
      <c r="G2299" s="5" t="inlineStr">
        <is>
          <t>05 Oct 2026</t>
        </is>
      </c>
      <c r="H2299" s="8" t="inlineStr">
        <is>
          <t>⏳ UPCOMING</t>
        </is>
      </c>
      <c r="I2299" s="4" t="inlineStr">
        <is>
          <t>PDF1802.pdf</t>
        </is>
      </c>
      <c r="J2299" s="6" t="inlineStr">
        <is>
          <t>📕 PDF Document</t>
        </is>
      </c>
      <c r="K2299" s="9" t="n">
        <v>17.8</v>
      </c>
      <c r="L2299" s="10">
        <f>HYPERLINK("http://127.0.0.1:8000/api/documents/download?id=256&amp;attachment=true", "⬇ Download PDF1802.pdf")</f>
        <v/>
      </c>
      <c r="M2299" s="10">
        <f>HYPERLINK("http://localhost:5173/?state=Maharashtra&amp;keyword=ICT&amp;tender=2026_PWR_1342356_2", "🚀 Open in Portal")</f>
        <v/>
      </c>
    </row>
    <row r="2300" ht="24" customHeight="1">
      <c r="A2300" s="11" t="inlineStr">
        <is>
          <t>Maharashtra</t>
        </is>
      </c>
      <c r="B2300" s="12" t="inlineStr">
        <is>
          <t>ICT</t>
        </is>
      </c>
      <c r="C2300" s="13" t="inlineStr">
        <is>
          <t>2026_PWR_1342356_2</t>
        </is>
      </c>
      <c r="D2300" s="14" t="inlineStr">
        <is>
          <t>[Construction of new temporary police barracks at Laddhas Land in Trimbakeshwar, Trimbakeshwar Taluka, District Nashik]</t>
        </is>
      </c>
      <c r="E2300" s="14" t="inlineStr">
        <is>
          <t>Maharashtra Public Works &amp; Technology Department</t>
        </is>
      </c>
      <c r="F2300" s="13" t="inlineStr">
        <is>
          <t>07 Sep 2026</t>
        </is>
      </c>
      <c r="G2300" s="12" t="inlineStr">
        <is>
          <t>05 Oct 2026</t>
        </is>
      </c>
      <c r="H2300" s="8" t="inlineStr">
        <is>
          <t>⏳ UPCOMING</t>
        </is>
      </c>
      <c r="I2300" s="11" t="inlineStr">
        <is>
          <t>Tender_2026_PWR_1342356_2_All_Documents.zip</t>
        </is>
      </c>
      <c r="J2300" s="13" t="inlineStr">
        <is>
          <t>📦 ZIP Package</t>
        </is>
      </c>
      <c r="K2300" s="15" t="n">
        <v>20.8</v>
      </c>
      <c r="L2300" s="16">
        <f>HYPERLINK("http://127.0.0.1:8000/api/documents/download?id=257&amp;attachment=true", "⬇ Download Tender_2026_PWR_1342356_")</f>
        <v/>
      </c>
      <c r="M2300" s="16">
        <f>HYPERLINK("http://localhost:5173/?state=Maharashtra&amp;keyword=ICT&amp;tender=2026_PWR_1342356_2", "🚀 Open in Portal")</f>
        <v/>
      </c>
    </row>
    <row r="2301" ht="24" customHeight="1">
      <c r="A2301" s="4" t="inlineStr">
        <is>
          <t>Maharashtra</t>
        </is>
      </c>
      <c r="B2301" s="5" t="inlineStr">
        <is>
          <t>ICT</t>
        </is>
      </c>
      <c r="C2301" s="6" t="inlineStr">
        <is>
          <t>2026_PWR_1342781_1</t>
        </is>
      </c>
      <c r="D2301" s="7" t="inlineStr">
        <is>
          <t>[Improvement to District Border to Bari Rajur Kotul Bramhanwada Bota Road (SH-23) KM. 274/000 to 275/000 And 276/000 to 279/000 Tal. Akole, Dist. Ahilyanagar]</t>
        </is>
      </c>
      <c r="E2301" s="7" t="inlineStr">
        <is>
          <t>Maharashtra Public Works &amp; Technology Department</t>
        </is>
      </c>
      <c r="F2301" s="6" t="inlineStr">
        <is>
          <t>09 Aug 2026</t>
        </is>
      </c>
      <c r="G2301" s="5" t="inlineStr">
        <is>
          <t>30 Aug 2026</t>
        </is>
      </c>
      <c r="H2301" s="8" t="inlineStr">
        <is>
          <t>⏳ UPCOMING</t>
        </is>
      </c>
      <c r="I2301" s="4" t="inlineStr">
        <is>
          <t>Tendernotice_1.pdf</t>
        </is>
      </c>
      <c r="J2301" s="6" t="inlineStr">
        <is>
          <t>📕 PDF Document</t>
        </is>
      </c>
      <c r="K2301" s="9" t="n">
        <v>17.9</v>
      </c>
      <c r="L2301" s="10">
        <f>HYPERLINK("http://127.0.0.1:8000/api/documents/download?id=247&amp;attachment=true", "⬇ Download Tendernotice_1.pdf")</f>
        <v/>
      </c>
      <c r="M2301" s="10">
        <f>HYPERLINK("http://localhost:5173/?state=Maharashtra&amp;keyword=ICT&amp;tender=2026_PWR_1342781_1", "🚀 Open in Portal")</f>
        <v/>
      </c>
    </row>
    <row r="2302" ht="24" customHeight="1">
      <c r="A2302" s="11" t="inlineStr">
        <is>
          <t>Maharashtra</t>
        </is>
      </c>
      <c r="B2302" s="12" t="inlineStr">
        <is>
          <t>ICT</t>
        </is>
      </c>
      <c r="C2302" s="13" t="inlineStr">
        <is>
          <t>2026_PWR_1342781_1</t>
        </is>
      </c>
      <c r="D2302" s="14" t="inlineStr">
        <is>
          <t>[Improvement to District Border to Bari Rajur Kotul Bramhanwada Bota Road (SH-23) KM. 274/000 to 275/000 And 276/000 to 279/000 Tal. Akole, Dist. Ahilyanagar]</t>
        </is>
      </c>
      <c r="E2302" s="14" t="inlineStr">
        <is>
          <t>Maharashtra Public Works &amp; Technology Department</t>
        </is>
      </c>
      <c r="F2302" s="13" t="inlineStr">
        <is>
          <t>09 Aug 2026</t>
        </is>
      </c>
      <c r="G2302" s="12" t="inlineStr">
        <is>
          <t>30 Aug 2026</t>
        </is>
      </c>
      <c r="H2302" s="8" t="inlineStr">
        <is>
          <t>⏳ UPCOMING</t>
        </is>
      </c>
      <c r="I2302" s="11" t="inlineStr">
        <is>
          <t>BOQ_2295106.xls</t>
        </is>
      </c>
      <c r="J2302" s="13" t="inlineStr">
        <is>
          <t>📊 Excel BOQ</t>
        </is>
      </c>
      <c r="K2302" s="15" t="n">
        <v>2.5</v>
      </c>
      <c r="L2302" s="16">
        <f>HYPERLINK("http://127.0.0.1:8000/api/documents/download?id=248&amp;attachment=true", "⬇ Download BOQ_2295106.xls")</f>
        <v/>
      </c>
      <c r="M2302" s="16">
        <f>HYPERLINK("http://localhost:5173/?state=Maharashtra&amp;keyword=ICT&amp;tender=2026_PWR_1342781_1", "🚀 Open in Portal")</f>
        <v/>
      </c>
    </row>
    <row r="2303" ht="24" customHeight="1">
      <c r="A2303" s="4" t="inlineStr">
        <is>
          <t>Maharashtra</t>
        </is>
      </c>
      <c r="B2303" s="5" t="inlineStr">
        <is>
          <t>ICT</t>
        </is>
      </c>
      <c r="C2303" s="6" t="inlineStr">
        <is>
          <t>2026_PWR_1342781_1</t>
        </is>
      </c>
      <c r="D2303" s="7" t="inlineStr">
        <is>
          <t>[Improvement to District Border to Bari Rajur Kotul Bramhanwada Bota Road (SH-23) KM. 274/000 to 275/000 And 276/000 to 279/000 Tal. Akole, Dist. Ahilyanagar]</t>
        </is>
      </c>
      <c r="E2303" s="7" t="inlineStr">
        <is>
          <t>Maharashtra Public Works &amp; Technology Department</t>
        </is>
      </c>
      <c r="F2303" s="6" t="inlineStr">
        <is>
          <t>09 Aug 2026</t>
        </is>
      </c>
      <c r="G2303" s="5" t="inlineStr">
        <is>
          <t>30 Aug 2026</t>
        </is>
      </c>
      <c r="H2303" s="8" t="inlineStr">
        <is>
          <t>⏳ UPCOMING</t>
        </is>
      </c>
      <c r="I2303" s="4" t="inlineStr">
        <is>
          <t>Tender_2026_PWR_1342781_1_All_Documents.zip</t>
        </is>
      </c>
      <c r="J2303" s="6" t="inlineStr">
        <is>
          <t>📦 ZIP Package</t>
        </is>
      </c>
      <c r="K2303" s="9" t="n">
        <v>11.6</v>
      </c>
      <c r="L2303" s="10">
        <f>HYPERLINK("http://127.0.0.1:8000/api/documents/download?id=249&amp;attachment=true", "⬇ Download Tender_2026_PWR_1342781_")</f>
        <v/>
      </c>
      <c r="M2303" s="10">
        <f>HYPERLINK("http://localhost:5173/?state=Maharashtra&amp;keyword=ICT&amp;tender=2026_PWR_1342781_1", "🚀 Open in Portal")</f>
        <v/>
      </c>
    </row>
    <row r="2304" ht="24" customHeight="1">
      <c r="A2304" s="11" t="inlineStr">
        <is>
          <t>Maharashtra</t>
        </is>
      </c>
      <c r="B2304" s="12" t="inlineStr">
        <is>
          <t>ICT</t>
        </is>
      </c>
      <c r="C2304" s="13" t="inlineStr">
        <is>
          <t>2026_PWR_1343218_1</t>
        </is>
      </c>
      <c r="D2304" s="14" t="inlineStr">
        <is>
          <t>[STRENGTHENING AND BLACK TOPPING TO VITHEPETH MALKAPUR ANUSKURA STAVALI PAWAS ROAD S.H. 150 KM. 190/500 TO 191/500 INCLUDING APPROACH ROAD OF BRIDGE AT KM. 190/000, TALUKA LANJA DISTRICT RATNAGIRI. (SECOND CALL)]</t>
        </is>
      </c>
      <c r="E2304" s="14" t="inlineStr">
        <is>
          <t>Maharashtra Public Works &amp; Technology Department</t>
        </is>
      </c>
      <c r="F2304" s="13" t="inlineStr">
        <is>
          <t>04 Aug 2026</t>
        </is>
      </c>
      <c r="G2304" s="12" t="inlineStr">
        <is>
          <t>25 Aug 2026</t>
        </is>
      </c>
      <c r="H2304" s="8" t="inlineStr">
        <is>
          <t>⏳ UPCOMING</t>
        </is>
      </c>
      <c r="I2304" s="11" t="inlineStr">
        <is>
          <t>Tendernotice_1.pdf</t>
        </is>
      </c>
      <c r="J2304" s="13" t="inlineStr">
        <is>
          <t>📕 PDF Document</t>
        </is>
      </c>
      <c r="K2304" s="15" t="n">
        <v>17.9</v>
      </c>
      <c r="L2304" s="16">
        <f>HYPERLINK("http://127.0.0.1:8000/api/documents/download?id=214&amp;attachment=true", "⬇ Download Tendernotice_1.pdf")</f>
        <v/>
      </c>
      <c r="M2304" s="16">
        <f>HYPERLINK("http://localhost:5173/?state=Maharashtra&amp;keyword=ICT&amp;tender=2026_PWR_1343218_1", "🚀 Open in Portal")</f>
        <v/>
      </c>
    </row>
    <row r="2305" ht="24" customHeight="1">
      <c r="A2305" s="4" t="inlineStr">
        <is>
          <t>Maharashtra</t>
        </is>
      </c>
      <c r="B2305" s="5" t="inlineStr">
        <is>
          <t>ICT</t>
        </is>
      </c>
      <c r="C2305" s="6" t="inlineStr">
        <is>
          <t>2026_PWR_1343218_1</t>
        </is>
      </c>
      <c r="D2305" s="7" t="inlineStr">
        <is>
          <t>[STRENGTHENING AND BLACK TOPPING TO VITHEPETH MALKAPUR ANUSKURA STAVALI PAWAS ROAD S.H. 150 KM. 190/500 TO 191/500 INCLUDING APPROACH ROAD OF BRIDGE AT KM. 190/000, TALUKA LANJA DISTRICT RATNAGIRI. (SECOND CALL)]</t>
        </is>
      </c>
      <c r="E2305" s="7" t="inlineStr">
        <is>
          <t>Maharashtra Public Works &amp; Technology Department</t>
        </is>
      </c>
      <c r="F2305" s="6" t="inlineStr">
        <is>
          <t>04 Aug 2026</t>
        </is>
      </c>
      <c r="G2305" s="5" t="inlineStr">
        <is>
          <t>25 Aug 2026</t>
        </is>
      </c>
      <c r="H2305" s="8" t="inlineStr">
        <is>
          <t>⏳ UPCOMING</t>
        </is>
      </c>
      <c r="I2305" s="4" t="inlineStr">
        <is>
          <t>Open_NIT_No_31_Works_1.pdf</t>
        </is>
      </c>
      <c r="J2305" s="6" t="inlineStr">
        <is>
          <t>📕 PDF Document</t>
        </is>
      </c>
      <c r="K2305" s="9" t="n">
        <v>17.9</v>
      </c>
      <c r="L2305" s="10">
        <f>HYPERLINK("http://127.0.0.1:8000/api/documents/download?id=215&amp;attachment=true", "⬇ Download Open_NIT_No_31_Works_1.p")</f>
        <v/>
      </c>
      <c r="M2305" s="10">
        <f>HYPERLINK("http://localhost:5173/?state=Maharashtra&amp;keyword=ICT&amp;tender=2026_PWR_1343218_1", "🚀 Open in Portal")</f>
        <v/>
      </c>
    </row>
    <row r="2306" ht="24" customHeight="1">
      <c r="A2306" s="11" t="inlineStr">
        <is>
          <t>Maharashtra</t>
        </is>
      </c>
      <c r="B2306" s="12" t="inlineStr">
        <is>
          <t>ICT</t>
        </is>
      </c>
      <c r="C2306" s="13" t="inlineStr">
        <is>
          <t>2026_PWR_1343218_1</t>
        </is>
      </c>
      <c r="D2306" s="14" t="inlineStr">
        <is>
          <t>[STRENGTHENING AND BLACK TOPPING TO VITHEPETH MALKAPUR ANUSKURA STAVALI PAWAS ROAD S.H. 150 KM. 190/500 TO 191/500 INCLUDING APPROACH ROAD OF BRIDGE AT KM. 190/000, TALUKA LANJA DISTRICT RATNAGIRI. (SECOND CALL)]</t>
        </is>
      </c>
      <c r="E2306" s="14" t="inlineStr">
        <is>
          <t>Maharashtra Public Works &amp; Technology Department</t>
        </is>
      </c>
      <c r="F2306" s="13" t="inlineStr">
        <is>
          <t>04 Aug 2026</t>
        </is>
      </c>
      <c r="G2306" s="12" t="inlineStr">
        <is>
          <t>25 Aug 2026</t>
        </is>
      </c>
      <c r="H2306" s="8" t="inlineStr">
        <is>
          <t>⏳ UPCOMING</t>
        </is>
      </c>
      <c r="I2306" s="11" t="inlineStr">
        <is>
          <t>BOQ_2295827.xls</t>
        </is>
      </c>
      <c r="J2306" s="13" t="inlineStr">
        <is>
          <t>📊 Excel BOQ</t>
        </is>
      </c>
      <c r="K2306" s="15" t="n">
        <v>2.5</v>
      </c>
      <c r="L2306" s="16">
        <f>HYPERLINK("http://127.0.0.1:8000/api/documents/download?id=216&amp;attachment=true", "⬇ Download BOQ_2295827.xls")</f>
        <v/>
      </c>
      <c r="M2306" s="16">
        <f>HYPERLINK("http://localhost:5173/?state=Maharashtra&amp;keyword=ICT&amp;tender=2026_PWR_1343218_1", "🚀 Open in Portal")</f>
        <v/>
      </c>
    </row>
    <row r="2307" ht="24" customHeight="1">
      <c r="A2307" s="4" t="inlineStr">
        <is>
          <t>Maharashtra</t>
        </is>
      </c>
      <c r="B2307" s="5" t="inlineStr">
        <is>
          <t>ICT</t>
        </is>
      </c>
      <c r="C2307" s="6" t="inlineStr">
        <is>
          <t>2026_PWR_1343218_1</t>
        </is>
      </c>
      <c r="D2307" s="7" t="inlineStr">
        <is>
          <t>[STRENGTHENING AND BLACK TOPPING TO VITHEPETH MALKAPUR ANUSKURA STAVALI PAWAS ROAD S.H. 150 KM. 190/500 TO 191/500 INCLUDING APPROACH ROAD OF BRIDGE AT KM. 190/000, TALUKA LANJA DISTRICT RATNAGIRI. (SECOND CALL)]</t>
        </is>
      </c>
      <c r="E2307" s="7" t="inlineStr">
        <is>
          <t>Maharashtra Public Works &amp; Technology Department</t>
        </is>
      </c>
      <c r="F2307" s="6" t="inlineStr">
        <is>
          <t>04 Aug 2026</t>
        </is>
      </c>
      <c r="G2307" s="5" t="inlineStr">
        <is>
          <t>25 Aug 2026</t>
        </is>
      </c>
      <c r="H2307" s="8" t="inlineStr">
        <is>
          <t>⏳ UPCOMING</t>
        </is>
      </c>
      <c r="I2307" s="4" t="inlineStr">
        <is>
          <t>Tender_2026_PWR_1343218_1_All_Documents.zip</t>
        </is>
      </c>
      <c r="J2307" s="6" t="inlineStr">
        <is>
          <t>📦 ZIP Package</t>
        </is>
      </c>
      <c r="K2307" s="9" t="n">
        <v>20.9</v>
      </c>
      <c r="L2307" s="10">
        <f>HYPERLINK("http://127.0.0.1:8000/api/documents/download?id=217&amp;attachment=true", "⬇ Download Tender_2026_PWR_1343218_")</f>
        <v/>
      </c>
      <c r="M2307" s="10">
        <f>HYPERLINK("http://localhost:5173/?state=Maharashtra&amp;keyword=ICT&amp;tender=2026_PWR_1343218_1", "🚀 Open in Portal")</f>
        <v/>
      </c>
    </row>
    <row r="2308" ht="24" customHeight="1">
      <c r="A2308" s="11" t="inlineStr">
        <is>
          <t>Maharashtra</t>
        </is>
      </c>
      <c r="B2308" s="12" t="inlineStr">
        <is>
          <t>ICT</t>
        </is>
      </c>
      <c r="C2308" s="13" t="inlineStr">
        <is>
          <t>2026_PWR_1343218_2</t>
        </is>
      </c>
      <c r="D2308" s="14" t="inlineStr">
        <is>
          <t>[CONCRETING TO KONDGAON TITHA TO N.H. 166 ROAD M.D.R.143 KM. 0/000 TO 1/540 TALUKA SANGAMESHWAR DISTRICT RATNAGIRI.]</t>
        </is>
      </c>
      <c r="E2308" s="14" t="inlineStr">
        <is>
          <t>Maharashtra Public Works &amp; Technology Department</t>
        </is>
      </c>
      <c r="F2308" s="13" t="inlineStr">
        <is>
          <t>16 Oct 2026</t>
        </is>
      </c>
      <c r="G2308" s="12" t="inlineStr">
        <is>
          <t>17 Nov 2026</t>
        </is>
      </c>
      <c r="H2308" s="17" t="inlineStr">
        <is>
          <t>🟢 LIVE ACTIVE</t>
        </is>
      </c>
      <c r="I2308" s="11" t="inlineStr">
        <is>
          <t>Tendernotice_1.pdf</t>
        </is>
      </c>
      <c r="J2308" s="13" t="inlineStr">
        <is>
          <t>📕 PDF Document</t>
        </is>
      </c>
      <c r="K2308" s="15" t="n">
        <v>17.9</v>
      </c>
      <c r="L2308" s="16">
        <f>HYPERLINK("http://127.0.0.1:8000/api/documents/download?id=210&amp;attachment=true", "⬇ Download Tendernotice_1.pdf")</f>
        <v/>
      </c>
      <c r="M2308" s="16">
        <f>HYPERLINK("http://localhost:5173/?state=Maharashtra&amp;keyword=ICT&amp;tender=2026_PWR_1343218_2", "🚀 Open in Portal")</f>
        <v/>
      </c>
    </row>
    <row r="2309" ht="24" customHeight="1">
      <c r="A2309" s="4" t="inlineStr">
        <is>
          <t>Maharashtra</t>
        </is>
      </c>
      <c r="B2309" s="5" t="inlineStr">
        <is>
          <t>ICT</t>
        </is>
      </c>
      <c r="C2309" s="6" t="inlineStr">
        <is>
          <t>2026_PWR_1343218_2</t>
        </is>
      </c>
      <c r="D2309" s="7" t="inlineStr">
        <is>
          <t>[CONCRETING TO KONDGAON TITHA TO N.H. 166 ROAD M.D.R.143 KM. 0/000 TO 1/540 TALUKA SANGAMESHWAR DISTRICT RATNAGIRI.]</t>
        </is>
      </c>
      <c r="E2309" s="7" t="inlineStr">
        <is>
          <t>Maharashtra Public Works &amp; Technology Department</t>
        </is>
      </c>
      <c r="F2309" s="6" t="inlineStr">
        <is>
          <t>16 Oct 2026</t>
        </is>
      </c>
      <c r="G2309" s="5" t="inlineStr">
        <is>
          <t>17 Nov 2026</t>
        </is>
      </c>
      <c r="H2309" s="17" t="inlineStr">
        <is>
          <t>🟢 LIVE ACTIVE</t>
        </is>
      </c>
      <c r="I2309" s="4" t="inlineStr">
        <is>
          <t>Open_NIT_No31_Works_2.pdf</t>
        </is>
      </c>
      <c r="J2309" s="6" t="inlineStr">
        <is>
          <t>📕 PDF Document</t>
        </is>
      </c>
      <c r="K2309" s="9" t="n">
        <v>17.9</v>
      </c>
      <c r="L2309" s="10">
        <f>HYPERLINK("http://127.0.0.1:8000/api/documents/download?id=211&amp;attachment=true", "⬇ Download Open_NIT_No31_Works_2.pd")</f>
        <v/>
      </c>
      <c r="M2309" s="10">
        <f>HYPERLINK("http://localhost:5173/?state=Maharashtra&amp;keyword=ICT&amp;tender=2026_PWR_1343218_2", "🚀 Open in Portal")</f>
        <v/>
      </c>
    </row>
    <row r="2310" ht="24" customHeight="1">
      <c r="A2310" s="11" t="inlineStr">
        <is>
          <t>Maharashtra</t>
        </is>
      </c>
      <c r="B2310" s="12" t="inlineStr">
        <is>
          <t>ICT</t>
        </is>
      </c>
      <c r="C2310" s="13" t="inlineStr">
        <is>
          <t>2026_PWR_1343218_2</t>
        </is>
      </c>
      <c r="D2310" s="14" t="inlineStr">
        <is>
          <t>[CONCRETING TO KONDGAON TITHA TO N.H. 166 ROAD M.D.R.143 KM. 0/000 TO 1/540 TALUKA SANGAMESHWAR DISTRICT RATNAGIRI.]</t>
        </is>
      </c>
      <c r="E2310" s="14" t="inlineStr">
        <is>
          <t>Maharashtra Public Works &amp; Technology Department</t>
        </is>
      </c>
      <c r="F2310" s="13" t="inlineStr">
        <is>
          <t>16 Oct 2026</t>
        </is>
      </c>
      <c r="G2310" s="12" t="inlineStr">
        <is>
          <t>17 Nov 2026</t>
        </is>
      </c>
      <c r="H2310" s="17" t="inlineStr">
        <is>
          <t>🟢 LIVE ACTIVE</t>
        </is>
      </c>
      <c r="I2310" s="11" t="inlineStr">
        <is>
          <t>BOQ_2295830.xls</t>
        </is>
      </c>
      <c r="J2310" s="13" t="inlineStr">
        <is>
          <t>📊 Excel BOQ</t>
        </is>
      </c>
      <c r="K2310" s="15" t="n">
        <v>2.5</v>
      </c>
      <c r="L2310" s="16">
        <f>HYPERLINK("http://127.0.0.1:8000/api/documents/download?id=212&amp;attachment=true", "⬇ Download BOQ_2295830.xls")</f>
        <v/>
      </c>
      <c r="M2310" s="16">
        <f>HYPERLINK("http://localhost:5173/?state=Maharashtra&amp;keyword=ICT&amp;tender=2026_PWR_1343218_2", "🚀 Open in Portal")</f>
        <v/>
      </c>
    </row>
    <row r="2311" ht="24" customHeight="1">
      <c r="A2311" s="4" t="inlineStr">
        <is>
          <t>Maharashtra</t>
        </is>
      </c>
      <c r="B2311" s="5" t="inlineStr">
        <is>
          <t>ICT</t>
        </is>
      </c>
      <c r="C2311" s="6" t="inlineStr">
        <is>
          <t>2026_PWR_1343218_2</t>
        </is>
      </c>
      <c r="D2311" s="7" t="inlineStr">
        <is>
          <t>[CONCRETING TO KONDGAON TITHA TO N.H. 166 ROAD M.D.R.143 KM. 0/000 TO 1/540 TALUKA SANGAMESHWAR DISTRICT RATNAGIRI.]</t>
        </is>
      </c>
      <c r="E2311" s="7" t="inlineStr">
        <is>
          <t>Maharashtra Public Works &amp; Technology Department</t>
        </is>
      </c>
      <c r="F2311" s="6" t="inlineStr">
        <is>
          <t>16 Oct 2026</t>
        </is>
      </c>
      <c r="G2311" s="5" t="inlineStr">
        <is>
          <t>17 Nov 2026</t>
        </is>
      </c>
      <c r="H2311" s="17" t="inlineStr">
        <is>
          <t>🟢 LIVE ACTIVE</t>
        </is>
      </c>
      <c r="I2311" s="4" t="inlineStr">
        <is>
          <t>Tender_2026_PWR_1343218_2_All_Documents.zip</t>
        </is>
      </c>
      <c r="J2311" s="6" t="inlineStr">
        <is>
          <t>📦 ZIP Package</t>
        </is>
      </c>
      <c r="K2311" s="9" t="n">
        <v>21</v>
      </c>
      <c r="L2311" s="10">
        <f>HYPERLINK("http://127.0.0.1:8000/api/documents/download?id=213&amp;attachment=true", "⬇ Download Tender_2026_PWR_1343218_")</f>
        <v/>
      </c>
      <c r="M2311" s="10">
        <f>HYPERLINK("http://localhost:5173/?state=Maharashtra&amp;keyword=ICT&amp;tender=2026_PWR_1343218_2", "🚀 Open in Portal")</f>
        <v/>
      </c>
    </row>
    <row r="2312" ht="24" customHeight="1">
      <c r="A2312" s="11" t="inlineStr">
        <is>
          <t>Maharashtra</t>
        </is>
      </c>
      <c r="B2312" s="12" t="inlineStr">
        <is>
          <t>ICT</t>
        </is>
      </c>
      <c r="C2312" s="13" t="inlineStr">
        <is>
          <t>2026_PWR_1344051_1</t>
        </is>
      </c>
      <c r="D2312" s="14" t="inlineStr">
        <is>
          <t>[REPAIRS TO ROOFING, COLOURING AND SANITARY BLOCK AT SPECIAL PROTECTION UNIT (OLD FOREIGN PASSPORT OFFICE) AND DISTRICT COMMANDANT HOME GUARD OFFICE AT POLICE CONTROL ROOM PREMISES FOR WINTER ASSEMBLY - 2026 AT NAGPUR. (ONLY FOR SOCIETY).]</t>
        </is>
      </c>
      <c r="E2312" s="14" t="inlineStr">
        <is>
          <t>Maharashtra Public Works &amp; Technology Department</t>
        </is>
      </c>
      <c r="F2312" s="13" t="inlineStr">
        <is>
          <t>26 Oct 2026</t>
        </is>
      </c>
      <c r="G2312" s="12" t="inlineStr">
        <is>
          <t>16 Nov 2026</t>
        </is>
      </c>
      <c r="H2312" s="8" t="inlineStr">
        <is>
          <t>⏳ UPCOMING</t>
        </is>
      </c>
      <c r="I2312" s="11" t="inlineStr">
        <is>
          <t>Tendernotice_1.pdf</t>
        </is>
      </c>
      <c r="J2312" s="13" t="inlineStr">
        <is>
          <t>📕 PDF Document</t>
        </is>
      </c>
      <c r="K2312" s="15" t="n">
        <v>17.9</v>
      </c>
      <c r="L2312" s="16">
        <f>HYPERLINK("http://127.0.0.1:8000/api/documents/download?id=535&amp;attachment=true", "⬇ Download Tendernotice_1.pdf")</f>
        <v/>
      </c>
      <c r="M2312" s="16">
        <f>HYPERLINK("http://localhost:5173/?state=Maharashtra&amp;keyword=ICT&amp;tender=2026_PWR_1344051_1", "🚀 Open in Portal")</f>
        <v/>
      </c>
    </row>
    <row r="2313" ht="24" customHeight="1">
      <c r="A2313" s="4" t="inlineStr">
        <is>
          <t>Maharashtra</t>
        </is>
      </c>
      <c r="B2313" s="5" t="inlineStr">
        <is>
          <t>ICT</t>
        </is>
      </c>
      <c r="C2313" s="6" t="inlineStr">
        <is>
          <t>2026_PWR_1344051_1</t>
        </is>
      </c>
      <c r="D2313" s="7" t="inlineStr">
        <is>
          <t>[REPAIRS TO ROOFING, COLOURING AND SANITARY BLOCK AT SPECIAL PROTECTION UNIT (OLD FOREIGN PASSPORT OFFICE) AND DISTRICT COMMANDANT HOME GUARD OFFICE AT POLICE CONTROL ROOM PREMISES FOR WINTER ASSEMBLY - 2026 AT NAGPUR. (ONLY FOR SOCIETY).]</t>
        </is>
      </c>
      <c r="E2313" s="7" t="inlineStr">
        <is>
          <t>Maharashtra Public Works &amp; Technology Department</t>
        </is>
      </c>
      <c r="F2313" s="6" t="inlineStr">
        <is>
          <t>26 Oct 2026</t>
        </is>
      </c>
      <c r="G2313" s="5" t="inlineStr">
        <is>
          <t>16 Nov 2026</t>
        </is>
      </c>
      <c r="H2313" s="8" t="inlineStr">
        <is>
          <t>⏳ UPCOMING</t>
        </is>
      </c>
      <c r="I2313" s="4" t="inlineStr">
        <is>
          <t>BOQ_2297080.xls</t>
        </is>
      </c>
      <c r="J2313" s="6" t="inlineStr">
        <is>
          <t>📊 Excel BOQ</t>
        </is>
      </c>
      <c r="K2313" s="9" t="n">
        <v>2.6</v>
      </c>
      <c r="L2313" s="10">
        <f>HYPERLINK("http://127.0.0.1:8000/api/documents/download?id=536&amp;attachment=true", "⬇ Download BOQ_2297080.xls")</f>
        <v/>
      </c>
      <c r="M2313" s="10">
        <f>HYPERLINK("http://localhost:5173/?state=Maharashtra&amp;keyword=ICT&amp;tender=2026_PWR_1344051_1", "🚀 Open in Portal")</f>
        <v/>
      </c>
    </row>
    <row r="2314" ht="24" customHeight="1">
      <c r="A2314" s="11" t="inlineStr">
        <is>
          <t>Maharashtra</t>
        </is>
      </c>
      <c r="B2314" s="12" t="inlineStr">
        <is>
          <t>ICT</t>
        </is>
      </c>
      <c r="C2314" s="13" t="inlineStr">
        <is>
          <t>2026_PWR_1344051_1</t>
        </is>
      </c>
      <c r="D2314" s="14" t="inlineStr">
        <is>
          <t>[REPAIRS TO ROOFING, COLOURING AND SANITARY BLOCK AT SPECIAL PROTECTION UNIT (OLD FOREIGN PASSPORT OFFICE) AND DISTRICT COMMANDANT HOME GUARD OFFICE AT POLICE CONTROL ROOM PREMISES FOR WINTER ASSEMBLY - 2026 AT NAGPUR. (ONLY FOR SOCIETY).]</t>
        </is>
      </c>
      <c r="E2314" s="14" t="inlineStr">
        <is>
          <t>Maharashtra Public Works &amp; Technology Department</t>
        </is>
      </c>
      <c r="F2314" s="13" t="inlineStr">
        <is>
          <t>26 Oct 2026</t>
        </is>
      </c>
      <c r="G2314" s="12" t="inlineStr">
        <is>
          <t>16 Nov 2026</t>
        </is>
      </c>
      <c r="H2314" s="8" t="inlineStr">
        <is>
          <t>⏳ UPCOMING</t>
        </is>
      </c>
      <c r="I2314" s="11" t="inlineStr">
        <is>
          <t>Tender_2026_PWR_1344051_1_All_Documents.zip</t>
        </is>
      </c>
      <c r="J2314" s="13" t="inlineStr">
        <is>
          <t>📦 ZIP Package</t>
        </is>
      </c>
      <c r="K2314" s="15" t="n">
        <v>11.7</v>
      </c>
      <c r="L2314" s="16">
        <f>HYPERLINK("http://127.0.0.1:8000/api/documents/download?id=537&amp;attachment=true", "⬇ Download Tender_2026_PWR_1344051_")</f>
        <v/>
      </c>
      <c r="M2314" s="16">
        <f>HYPERLINK("http://localhost:5173/?state=Maharashtra&amp;keyword=ICT&amp;tender=2026_PWR_1344051_1", "🚀 Open in Portal")</f>
        <v/>
      </c>
    </row>
    <row r="2315" ht="24" customHeight="1">
      <c r="A2315" s="4" t="inlineStr">
        <is>
          <t>Maharashtra</t>
        </is>
      </c>
      <c r="B2315" s="5" t="inlineStr">
        <is>
          <t>ICT</t>
        </is>
      </c>
      <c r="C2315" s="6" t="inlineStr">
        <is>
          <t>2026_SJASA_1342894_1</t>
        </is>
      </c>
      <c r="D2315" s="7" t="inlineStr">
        <is>
          <t>[RFP for Selection of O and M Service Provider for a period of 5 years for the 3 MW Solar Power Project located at Kelapur Taluka Wardha District Wardha established for the NCI Nagpur]</t>
        </is>
      </c>
      <c r="E2315" s="7" t="inlineStr">
        <is>
          <t>Maharashtra Public Works &amp; Technology Department</t>
        </is>
      </c>
      <c r="F2315" s="6" t="inlineStr">
        <is>
          <t>26 Oct 2026</t>
        </is>
      </c>
      <c r="G2315" s="5" t="inlineStr">
        <is>
          <t>16 Nov 2026</t>
        </is>
      </c>
      <c r="H2315" s="8" t="inlineStr">
        <is>
          <t>⏳ UPCOMING</t>
        </is>
      </c>
      <c r="I2315" s="4" t="inlineStr">
        <is>
          <t>Tendernotice_1.pdf</t>
        </is>
      </c>
      <c r="J2315" s="6" t="inlineStr">
        <is>
          <t>📕 PDF Document</t>
        </is>
      </c>
      <c r="K2315" s="9" t="n">
        <v>17.9</v>
      </c>
      <c r="L2315" s="10">
        <f>HYPERLINK("http://127.0.0.1:8000/api/documents/download?id=244&amp;attachment=true", "⬇ Download Tendernotice_1.pdf")</f>
        <v/>
      </c>
      <c r="M2315" s="10">
        <f>HYPERLINK("http://localhost:5173/?state=Maharashtra&amp;keyword=ICT&amp;tender=2026_SJASA_1342894_1", "🚀 Open in Portal")</f>
        <v/>
      </c>
    </row>
    <row r="2316" ht="24" customHeight="1">
      <c r="A2316" s="11" t="inlineStr">
        <is>
          <t>Maharashtra</t>
        </is>
      </c>
      <c r="B2316" s="12" t="inlineStr">
        <is>
          <t>ICT</t>
        </is>
      </c>
      <c r="C2316" s="13" t="inlineStr">
        <is>
          <t>2026_SJASA_1342894_1</t>
        </is>
      </c>
      <c r="D2316" s="14" t="inlineStr">
        <is>
          <t>[RFP for Selection of O and M Service Provider for a period of 5 years for the 3 MW Solar Power Project located at Kelapur Taluka Wardha District Wardha established for the NCI Nagpur]</t>
        </is>
      </c>
      <c r="E2316" s="14" t="inlineStr">
        <is>
          <t>Maharashtra Public Works &amp; Technology Department</t>
        </is>
      </c>
      <c r="F2316" s="13" t="inlineStr">
        <is>
          <t>26 Oct 2026</t>
        </is>
      </c>
      <c r="G2316" s="12" t="inlineStr">
        <is>
          <t>16 Nov 2026</t>
        </is>
      </c>
      <c r="H2316" s="8" t="inlineStr">
        <is>
          <t>⏳ UPCOMING</t>
        </is>
      </c>
      <c r="I2316" s="11" t="inlineStr">
        <is>
          <t>BOQ_2295298.xls</t>
        </is>
      </c>
      <c r="J2316" s="13" t="inlineStr">
        <is>
          <t>📊 Excel BOQ</t>
        </is>
      </c>
      <c r="K2316" s="15" t="n">
        <v>2.5</v>
      </c>
      <c r="L2316" s="16">
        <f>HYPERLINK("http://127.0.0.1:8000/api/documents/download?id=245&amp;attachment=true", "⬇ Download BOQ_2295298.xls")</f>
        <v/>
      </c>
      <c r="M2316" s="16">
        <f>HYPERLINK("http://localhost:5173/?state=Maharashtra&amp;keyword=ICT&amp;tender=2026_SJASA_1342894_1", "🚀 Open in Portal")</f>
        <v/>
      </c>
    </row>
    <row r="2317" ht="24" customHeight="1">
      <c r="A2317" s="4" t="inlineStr">
        <is>
          <t>Maharashtra</t>
        </is>
      </c>
      <c r="B2317" s="5" t="inlineStr">
        <is>
          <t>ICT</t>
        </is>
      </c>
      <c r="C2317" s="6" t="inlineStr">
        <is>
          <t>2026_SJASA_1342894_1</t>
        </is>
      </c>
      <c r="D2317" s="7" t="inlineStr">
        <is>
          <t>[RFP for Selection of O and M Service Provider for a period of 5 years for the 3 MW Solar Power Project located at Kelapur Taluka Wardha District Wardha established for the NCI Nagpur]</t>
        </is>
      </c>
      <c r="E2317" s="7" t="inlineStr">
        <is>
          <t>Maharashtra Public Works &amp; Technology Department</t>
        </is>
      </c>
      <c r="F2317" s="6" t="inlineStr">
        <is>
          <t>26 Oct 2026</t>
        </is>
      </c>
      <c r="G2317" s="5" t="inlineStr">
        <is>
          <t>16 Nov 2026</t>
        </is>
      </c>
      <c r="H2317" s="8" t="inlineStr">
        <is>
          <t>⏳ UPCOMING</t>
        </is>
      </c>
      <c r="I2317" s="4" t="inlineStr">
        <is>
          <t>Tender_2026_SJASA_1342894_1_All_Documents.zip</t>
        </is>
      </c>
      <c r="J2317" s="6" t="inlineStr">
        <is>
          <t>📦 ZIP Package</t>
        </is>
      </c>
      <c r="K2317" s="9" t="n">
        <v>11.6</v>
      </c>
      <c r="L2317" s="10">
        <f>HYPERLINK("http://127.0.0.1:8000/api/documents/download?id=246&amp;attachment=true", "⬇ Download Tender_2026_SJASA_134289")</f>
        <v/>
      </c>
      <c r="M2317" s="10">
        <f>HYPERLINK("http://localhost:5173/?state=Maharashtra&amp;keyword=ICT&amp;tender=2026_SJASA_1342894_1", "🚀 Open in Portal")</f>
        <v/>
      </c>
    </row>
    <row r="2318" ht="24" customHeight="1">
      <c r="A2318" s="11" t="inlineStr">
        <is>
          <t>Maharashtra</t>
        </is>
      </c>
      <c r="B2318" s="12" t="inlineStr">
        <is>
          <t>ICT</t>
        </is>
      </c>
      <c r="C2318" s="13" t="inlineStr">
        <is>
          <t>2026_TCAWB_1342916_1</t>
        </is>
      </c>
      <c r="D2318" s="14" t="inlineStr">
        <is>
          <t>[Selection of Project Management Consultant in DoT under World Bank supported Maharashtra Strengthening Institutional Capabilities in Districts for Enabling Growth MahaSTRIDE Operation]</t>
        </is>
      </c>
      <c r="E2318" s="14" t="inlineStr">
        <is>
          <t>Maharashtra Public Works &amp; Technology Department</t>
        </is>
      </c>
      <c r="F2318" s="13" t="inlineStr">
        <is>
          <t>24 Jul 2026</t>
        </is>
      </c>
      <c r="G2318" s="12" t="inlineStr">
        <is>
          <t>23 Aug 2026</t>
        </is>
      </c>
      <c r="H2318" s="8" t="inlineStr">
        <is>
          <t>⏳ UPCOMING</t>
        </is>
      </c>
      <c r="I2318" s="11" t="inlineStr">
        <is>
          <t>Tendernotice_1.pdf</t>
        </is>
      </c>
      <c r="J2318" s="13" t="inlineStr">
        <is>
          <t>📕 PDF Document</t>
        </is>
      </c>
      <c r="K2318" s="15" t="n">
        <v>17.9</v>
      </c>
      <c r="L2318" s="16">
        <f>HYPERLINK("http://127.0.0.1:8000/api/documents/download?id=239&amp;attachment=true", "⬇ Download Tendernotice_1.pdf")</f>
        <v/>
      </c>
      <c r="M2318" s="16">
        <f>HYPERLINK("http://localhost:5173/?state=Maharashtra&amp;keyword=ICT&amp;tender=2026_TCAWB_1342916_1", "🚀 Open in Portal")</f>
        <v/>
      </c>
    </row>
    <row r="2319" ht="24" customHeight="1">
      <c r="A2319" s="4" t="inlineStr">
        <is>
          <t>Maharashtra</t>
        </is>
      </c>
      <c r="B2319" s="5" t="inlineStr">
        <is>
          <t>ICT</t>
        </is>
      </c>
      <c r="C2319" s="6" t="inlineStr">
        <is>
          <t>2026_TCAWB_1342916_1</t>
        </is>
      </c>
      <c r="D2319" s="7" t="inlineStr">
        <is>
          <t>[Selection of Project Management Consultant in DoT under World Bank supported Maharashtra Strengthening Institutional Capabilities in Districts for Enabling Growth MahaSTRIDE Operation]</t>
        </is>
      </c>
      <c r="E2319" s="7" t="inlineStr">
        <is>
          <t>Maharashtra Public Works &amp; Technology Department</t>
        </is>
      </c>
      <c r="F2319" s="6" t="inlineStr">
        <is>
          <t>24 Jul 2026</t>
        </is>
      </c>
      <c r="G2319" s="5" t="inlineStr">
        <is>
          <t>23 Aug 2026</t>
        </is>
      </c>
      <c r="H2319" s="8" t="inlineStr">
        <is>
          <t>⏳ UPCOMING</t>
        </is>
      </c>
      <c r="I2319" s="4" t="inlineStr">
        <is>
          <t>BOQ_2295337.xls</t>
        </is>
      </c>
      <c r="J2319" s="6" t="inlineStr">
        <is>
          <t>📊 Excel BOQ</t>
        </is>
      </c>
      <c r="K2319" s="9" t="n">
        <v>2.5</v>
      </c>
      <c r="L2319" s="10">
        <f>HYPERLINK("http://127.0.0.1:8000/api/documents/download?id=240&amp;attachment=true", "⬇ Download BOQ_2295337.xls")</f>
        <v/>
      </c>
      <c r="M2319" s="10">
        <f>HYPERLINK("http://localhost:5173/?state=Maharashtra&amp;keyword=ICT&amp;tender=2026_TCAWB_1342916_1", "🚀 Open in Portal")</f>
        <v/>
      </c>
    </row>
    <row r="2320" ht="24" customHeight="1">
      <c r="A2320" s="11" t="inlineStr">
        <is>
          <t>Maharashtra</t>
        </is>
      </c>
      <c r="B2320" s="12" t="inlineStr">
        <is>
          <t>ICT</t>
        </is>
      </c>
      <c r="C2320" s="13" t="inlineStr">
        <is>
          <t>2026_TCAWB_1342916_1</t>
        </is>
      </c>
      <c r="D2320" s="14" t="inlineStr">
        <is>
          <t>[Selection of Project Management Consultant in DoT under World Bank supported Maharashtra Strengthening Institutional Capabilities in Districts for Enabling Growth MahaSTRIDE Operation]</t>
        </is>
      </c>
      <c r="E2320" s="14" t="inlineStr">
        <is>
          <t>Maharashtra Public Works &amp; Technology Department</t>
        </is>
      </c>
      <c r="F2320" s="13" t="inlineStr">
        <is>
          <t>24 Jul 2026</t>
        </is>
      </c>
      <c r="G2320" s="12" t="inlineStr">
        <is>
          <t>23 Aug 2026</t>
        </is>
      </c>
      <c r="H2320" s="8" t="inlineStr">
        <is>
          <t>⏳ UPCOMING</t>
        </is>
      </c>
      <c r="I2320" s="11" t="inlineStr">
        <is>
          <t>RFP_PMC.pdf</t>
        </is>
      </c>
      <c r="J2320" s="13" t="inlineStr">
        <is>
          <t>📕 PDF Document</t>
        </is>
      </c>
      <c r="K2320" s="15" t="n">
        <v>17.8</v>
      </c>
      <c r="L2320" s="16">
        <f>HYPERLINK("http://127.0.0.1:8000/api/documents/download?id=241&amp;attachment=true", "⬇ Download RFP_PMC.pdf")</f>
        <v/>
      </c>
      <c r="M2320" s="16">
        <f>HYPERLINK("http://localhost:5173/?state=Maharashtra&amp;keyword=ICT&amp;tender=2026_TCAWB_1342916_1", "🚀 Open in Portal")</f>
        <v/>
      </c>
    </row>
    <row r="2321" ht="24" customHeight="1">
      <c r="A2321" s="4" t="inlineStr">
        <is>
          <t>Maharashtra</t>
        </is>
      </c>
      <c r="B2321" s="5" t="inlineStr">
        <is>
          <t>ICT</t>
        </is>
      </c>
      <c r="C2321" s="6" t="inlineStr">
        <is>
          <t>2026_TCAWB_1342916_1</t>
        </is>
      </c>
      <c r="D2321" s="7" t="inlineStr">
        <is>
          <t>[Selection of Project Management Consultant in DoT under World Bank supported Maharashtra Strengthening Institutional Capabilities in Districts for Enabling Growth MahaSTRIDE Operation]</t>
        </is>
      </c>
      <c r="E2321" s="7" t="inlineStr">
        <is>
          <t>Maharashtra Public Works &amp; Technology Department</t>
        </is>
      </c>
      <c r="F2321" s="6" t="inlineStr">
        <is>
          <t>24 Jul 2026</t>
        </is>
      </c>
      <c r="G2321" s="5" t="inlineStr">
        <is>
          <t>23 Aug 2026</t>
        </is>
      </c>
      <c r="H2321" s="8" t="inlineStr">
        <is>
          <t>⏳ UPCOMING</t>
        </is>
      </c>
      <c r="I2321" s="4" t="inlineStr">
        <is>
          <t>BOQ_PMC_RFP.pdf</t>
        </is>
      </c>
      <c r="J2321" s="6" t="inlineStr">
        <is>
          <t>📕 PDF Document</t>
        </is>
      </c>
      <c r="K2321" s="9" t="n">
        <v>17.9</v>
      </c>
      <c r="L2321" s="10">
        <f>HYPERLINK("http://127.0.0.1:8000/api/documents/download?id=242&amp;attachment=true", "⬇ Download BOQ_PMC_RFP.pdf")</f>
        <v/>
      </c>
      <c r="M2321" s="10">
        <f>HYPERLINK("http://localhost:5173/?state=Maharashtra&amp;keyword=ICT&amp;tender=2026_TCAWB_1342916_1", "🚀 Open in Portal")</f>
        <v/>
      </c>
    </row>
    <row r="2322" ht="24" customHeight="1">
      <c r="A2322" s="11" t="inlineStr">
        <is>
          <t>Maharashtra</t>
        </is>
      </c>
      <c r="B2322" s="12" t="inlineStr">
        <is>
          <t>ICT</t>
        </is>
      </c>
      <c r="C2322" s="13" t="inlineStr">
        <is>
          <t>2026_TCAWB_1342916_1</t>
        </is>
      </c>
      <c r="D2322" s="14" t="inlineStr">
        <is>
          <t>[Selection of Project Management Consultant in DoT under World Bank supported Maharashtra Strengthening Institutional Capabilities in Districts for Enabling Growth MahaSTRIDE Operation]</t>
        </is>
      </c>
      <c r="E2322" s="14" t="inlineStr">
        <is>
          <t>Maharashtra Public Works &amp; Technology Department</t>
        </is>
      </c>
      <c r="F2322" s="13" t="inlineStr">
        <is>
          <t>24 Jul 2026</t>
        </is>
      </c>
      <c r="G2322" s="12" t="inlineStr">
        <is>
          <t>23 Aug 2026</t>
        </is>
      </c>
      <c r="H2322" s="8" t="inlineStr">
        <is>
          <t>⏳ UPCOMING</t>
        </is>
      </c>
      <c r="I2322" s="11" t="inlineStr">
        <is>
          <t>Tender_2026_TCAWB_1342916_1_All_Documents.zip</t>
        </is>
      </c>
      <c r="J2322" s="13" t="inlineStr">
        <is>
          <t>📦 ZIP Package</t>
        </is>
      </c>
      <c r="K2322" s="15" t="n">
        <v>30.1</v>
      </c>
      <c r="L2322" s="16">
        <f>HYPERLINK("http://127.0.0.1:8000/api/documents/download?id=243&amp;attachment=true", "⬇ Download Tender_2026_TCAWB_134291")</f>
        <v/>
      </c>
      <c r="M2322" s="16">
        <f>HYPERLINK("http://localhost:5173/?state=Maharashtra&amp;keyword=ICT&amp;tender=2026_TCAWB_1342916_1", "🚀 Open in Portal")</f>
        <v/>
      </c>
    </row>
    <row r="2323" ht="24" customHeight="1">
      <c r="A2323" s="4" t="inlineStr">
        <is>
          <t>Maharashtra</t>
        </is>
      </c>
      <c r="B2323" s="5" t="inlineStr">
        <is>
          <t>ICT</t>
        </is>
      </c>
      <c r="C2323" s="6" t="inlineStr">
        <is>
          <t>2026_THANE_1343646_1</t>
        </is>
      </c>
      <c r="D2323" s="7" t="inlineStr">
        <is>
          <t>[Supply of Vehicles for MMU Program, in Govt. Health Facilities in the District Thane]</t>
        </is>
      </c>
      <c r="E2323" s="7" t="inlineStr">
        <is>
          <t>Maharashtra Public Works &amp; Technology Department</t>
        </is>
      </c>
      <c r="F2323" s="6" t="inlineStr">
        <is>
          <t>26 Sep 2026</t>
        </is>
      </c>
      <c r="G2323" s="5" t="inlineStr">
        <is>
          <t>16 Nov 2026</t>
        </is>
      </c>
      <c r="H2323" s="17" t="inlineStr">
        <is>
          <t>🟢 LIVE ACTIVE</t>
        </is>
      </c>
      <c r="I2323" s="4" t="inlineStr">
        <is>
          <t>Tendernotice_1.pdf</t>
        </is>
      </c>
      <c r="J2323" s="6" t="inlineStr">
        <is>
          <t>📕 PDF Document</t>
        </is>
      </c>
      <c r="K2323" s="9" t="n">
        <v>17.9</v>
      </c>
      <c r="L2323" s="10">
        <f>HYPERLINK("http://127.0.0.1:8000/api/documents/download?id=468&amp;attachment=true", "⬇ Download Tendernotice_1.pdf")</f>
        <v/>
      </c>
      <c r="M2323" s="10">
        <f>HYPERLINK("http://localhost:5173/?state=Maharashtra&amp;keyword=ICT&amp;tender=2026_THANE_1343646_1", "🚀 Open in Portal")</f>
        <v/>
      </c>
    </row>
    <row r="2324" ht="24" customHeight="1">
      <c r="A2324" s="11" t="inlineStr">
        <is>
          <t>Maharashtra</t>
        </is>
      </c>
      <c r="B2324" s="12" t="inlineStr">
        <is>
          <t>ICT</t>
        </is>
      </c>
      <c r="C2324" s="13" t="inlineStr">
        <is>
          <t>2026_THANE_1343646_1</t>
        </is>
      </c>
      <c r="D2324" s="14" t="inlineStr">
        <is>
          <t>[Supply of Vehicles for MMU Program, in Govt. Health Facilities in the District Thane]</t>
        </is>
      </c>
      <c r="E2324" s="14" t="inlineStr">
        <is>
          <t>Maharashtra Public Works &amp; Technology Department</t>
        </is>
      </c>
      <c r="F2324" s="13" t="inlineStr">
        <is>
          <t>26 Sep 2026</t>
        </is>
      </c>
      <c r="G2324" s="12" t="inlineStr">
        <is>
          <t>16 Nov 2026</t>
        </is>
      </c>
      <c r="H2324" s="17" t="inlineStr">
        <is>
          <t>🟢 LIVE ACTIVE</t>
        </is>
      </c>
      <c r="I2324" s="11" t="inlineStr">
        <is>
          <t>MMUTenderDTP08102026.pdf</t>
        </is>
      </c>
      <c r="J2324" s="13" t="inlineStr">
        <is>
          <t>📕 PDF Document</t>
        </is>
      </c>
      <c r="K2324" s="15" t="n">
        <v>17.9</v>
      </c>
      <c r="L2324" s="16">
        <f>HYPERLINK("http://127.0.0.1:8000/api/documents/download?id=469&amp;attachment=true", "⬇ Download MMUTenderDTP08102026.pdf")</f>
        <v/>
      </c>
      <c r="M2324" s="16">
        <f>HYPERLINK("http://localhost:5173/?state=Maharashtra&amp;keyword=ICT&amp;tender=2026_THANE_1343646_1", "🚀 Open in Portal")</f>
        <v/>
      </c>
    </row>
    <row r="2325" ht="24" customHeight="1">
      <c r="A2325" s="4" t="inlineStr">
        <is>
          <t>Maharashtra</t>
        </is>
      </c>
      <c r="B2325" s="5" t="inlineStr">
        <is>
          <t>ICT</t>
        </is>
      </c>
      <c r="C2325" s="6" t="inlineStr">
        <is>
          <t>2026_THANE_1343646_1</t>
        </is>
      </c>
      <c r="D2325" s="7" t="inlineStr">
        <is>
          <t>[Supply of Vehicles for MMU Program, in Govt. Health Facilities in the District Thane]</t>
        </is>
      </c>
      <c r="E2325" s="7" t="inlineStr">
        <is>
          <t>Maharashtra Public Works &amp; Technology Department</t>
        </is>
      </c>
      <c r="F2325" s="6" t="inlineStr">
        <is>
          <t>26 Sep 2026</t>
        </is>
      </c>
      <c r="G2325" s="5" t="inlineStr">
        <is>
          <t>16 Nov 2026</t>
        </is>
      </c>
      <c r="H2325" s="17" t="inlineStr">
        <is>
          <t>🟢 LIVE ACTIVE</t>
        </is>
      </c>
      <c r="I2325" s="4" t="inlineStr">
        <is>
          <t>BOQ_2296594.xls</t>
        </is>
      </c>
      <c r="J2325" s="6" t="inlineStr">
        <is>
          <t>📊 Excel BOQ</t>
        </is>
      </c>
      <c r="K2325" s="9" t="n">
        <v>2.5</v>
      </c>
      <c r="L2325" s="10">
        <f>HYPERLINK("http://127.0.0.1:8000/api/documents/download?id=470&amp;attachment=true", "⬇ Download BOQ_2296594.xls")</f>
        <v/>
      </c>
      <c r="M2325" s="10">
        <f>HYPERLINK("http://localhost:5173/?state=Maharashtra&amp;keyword=ICT&amp;tender=2026_THANE_1343646_1", "🚀 Open in Portal")</f>
        <v/>
      </c>
    </row>
    <row r="2326" ht="24" customHeight="1">
      <c r="A2326" s="11" t="inlineStr">
        <is>
          <t>Maharashtra</t>
        </is>
      </c>
      <c r="B2326" s="12" t="inlineStr">
        <is>
          <t>ICT</t>
        </is>
      </c>
      <c r="C2326" s="13" t="inlineStr">
        <is>
          <t>2026_THANE_1343646_1</t>
        </is>
      </c>
      <c r="D2326" s="14" t="inlineStr">
        <is>
          <t>[Supply of Vehicles for MMU Program, in Govt. Health Facilities in the District Thane]</t>
        </is>
      </c>
      <c r="E2326" s="14" t="inlineStr">
        <is>
          <t>Maharashtra Public Works &amp; Technology Department</t>
        </is>
      </c>
      <c r="F2326" s="13" t="inlineStr">
        <is>
          <t>26 Sep 2026</t>
        </is>
      </c>
      <c r="G2326" s="12" t="inlineStr">
        <is>
          <t>16 Nov 2026</t>
        </is>
      </c>
      <c r="H2326" s="17" t="inlineStr">
        <is>
          <t>🟢 LIVE ACTIVE</t>
        </is>
      </c>
      <c r="I2326" s="11" t="inlineStr">
        <is>
          <t>Tender_2026_THANE_1343646_1_All_Documents.zip</t>
        </is>
      </c>
      <c r="J2326" s="13" t="inlineStr">
        <is>
          <t>📦 ZIP Package</t>
        </is>
      </c>
      <c r="K2326" s="15" t="n">
        <v>20.8</v>
      </c>
      <c r="L2326" s="16">
        <f>HYPERLINK("http://127.0.0.1:8000/api/documents/download?id=471&amp;attachment=true", "⬇ Download Tender_2026_THANE_134364")</f>
        <v/>
      </c>
      <c r="M2326" s="16">
        <f>HYPERLINK("http://localhost:5173/?state=Maharashtra&amp;keyword=ICT&amp;tender=2026_THANE_1343646_1", "🚀 Open in Portal")</f>
        <v/>
      </c>
    </row>
    <row r="2327" ht="24" customHeight="1">
      <c r="A2327" s="4" t="inlineStr">
        <is>
          <t>Maharashtra</t>
        </is>
      </c>
      <c r="B2327" s="5" t="inlineStr">
        <is>
          <t>ICT</t>
        </is>
      </c>
      <c r="C2327" s="6" t="inlineStr">
        <is>
          <t>2026_VVCMC_1343597_1</t>
        </is>
      </c>
      <c r="D2327" s="7" t="inlineStr">
        <is>
          <t>[development of a Mini Miyawaki Forest over an area of 500 sq m at Reservation No 261 Survey Nos 20 21 and 23 Mouje Agashi within the jurisdiction of Vasai Virar City Municipal Corporation VVMC including the maintenance and upkeep of the Miyawaki pla]</t>
        </is>
      </c>
      <c r="E2327" s="7" t="inlineStr">
        <is>
          <t>Maharashtra Public Works &amp; Technology Department</t>
        </is>
      </c>
      <c r="F2327" s="6" t="inlineStr">
        <is>
          <t>31 Jul 2026</t>
        </is>
      </c>
      <c r="G2327" s="5" t="inlineStr">
        <is>
          <t>23 Aug 2026</t>
        </is>
      </c>
      <c r="H2327" s="8" t="inlineStr">
        <is>
          <t>⏳ UPCOMING</t>
        </is>
      </c>
      <c r="I2327" s="4" t="inlineStr">
        <is>
          <t>Tendernotice_1.pdf</t>
        </is>
      </c>
      <c r="J2327" s="6" t="inlineStr">
        <is>
          <t>📕 PDF Document</t>
        </is>
      </c>
      <c r="K2327" s="9" t="n">
        <v>17.9</v>
      </c>
      <c r="L2327" s="10">
        <f>HYPERLINK("http://127.0.0.1:8000/api/documents/download?id=410&amp;attachment=true", "⬇ Download Tendernotice_1.pdf")</f>
        <v/>
      </c>
      <c r="M2327" s="10">
        <f>HYPERLINK("http://localhost:5173/?state=Maharashtra&amp;keyword=ICT&amp;tender=2026_VVCMC_1343597_1", "🚀 Open in Portal")</f>
        <v/>
      </c>
    </row>
    <row r="2328" ht="24" customHeight="1">
      <c r="A2328" s="11" t="inlineStr">
        <is>
          <t>Maharashtra</t>
        </is>
      </c>
      <c r="B2328" s="12" t="inlineStr">
        <is>
          <t>ICT</t>
        </is>
      </c>
      <c r="C2328" s="13" t="inlineStr">
        <is>
          <t>2026_VVCMC_1343597_1</t>
        </is>
      </c>
      <c r="D2328" s="14" t="inlineStr">
        <is>
          <t>[development of a Mini Miyawaki Forest over an area of 500 sq m at Reservation No 261 Survey Nos 20 21 and 23 Mouje Agashi within the jurisdiction of Vasai Virar City Municipal Corporation VVMC including the maintenance and upkeep of the Miyawaki pla]</t>
        </is>
      </c>
      <c r="E2328" s="14" t="inlineStr">
        <is>
          <t>Maharashtra Public Works &amp; Technology Department</t>
        </is>
      </c>
      <c r="F2328" s="13" t="inlineStr">
        <is>
          <t>31 Jul 2026</t>
        </is>
      </c>
      <c r="G2328" s="12" t="inlineStr">
        <is>
          <t>23 Aug 2026</t>
        </is>
      </c>
      <c r="H2328" s="8" t="inlineStr">
        <is>
          <t>⏳ UPCOMING</t>
        </is>
      </c>
      <c r="I2328" s="11" t="inlineStr">
        <is>
          <t>BOQ_2296509.xls</t>
        </is>
      </c>
      <c r="J2328" s="13" t="inlineStr">
        <is>
          <t>📊 Excel BOQ</t>
        </is>
      </c>
      <c r="K2328" s="15" t="n">
        <v>2.6</v>
      </c>
      <c r="L2328" s="16">
        <f>HYPERLINK("http://127.0.0.1:8000/api/documents/download?id=411&amp;attachment=true", "⬇ Download BOQ_2296509.xls")</f>
        <v/>
      </c>
      <c r="M2328" s="16">
        <f>HYPERLINK("http://localhost:5173/?state=Maharashtra&amp;keyword=ICT&amp;tender=2026_VVCMC_1343597_1", "🚀 Open in Portal")</f>
        <v/>
      </c>
    </row>
    <row r="2329" ht="24" customHeight="1">
      <c r="A2329" s="4" t="inlineStr">
        <is>
          <t>Maharashtra</t>
        </is>
      </c>
      <c r="B2329" s="5" t="inlineStr">
        <is>
          <t>ICT</t>
        </is>
      </c>
      <c r="C2329" s="6" t="inlineStr">
        <is>
          <t>2026_VVCMC_1343597_1</t>
        </is>
      </c>
      <c r="D2329" s="7" t="inlineStr">
        <is>
          <t>[development of a Mini Miyawaki Forest over an area of 500 sq m at Reservation No 261 Survey Nos 20 21 and 23 Mouje Agashi within the jurisdiction of Vasai Virar City Municipal Corporation VVMC including the maintenance and upkeep of the Miyawaki pla]</t>
        </is>
      </c>
      <c r="E2329" s="7" t="inlineStr">
        <is>
          <t>Maharashtra Public Works &amp; Technology Department</t>
        </is>
      </c>
      <c r="F2329" s="6" t="inlineStr">
        <is>
          <t>31 Jul 2026</t>
        </is>
      </c>
      <c r="G2329" s="5" t="inlineStr">
        <is>
          <t>23 Aug 2026</t>
        </is>
      </c>
      <c r="H2329" s="8" t="inlineStr">
        <is>
          <t>⏳ UPCOMING</t>
        </is>
      </c>
      <c r="I2329" s="4" t="inlineStr">
        <is>
          <t>TD.pdf</t>
        </is>
      </c>
      <c r="J2329" s="6" t="inlineStr">
        <is>
          <t>📕 PDF Document</t>
        </is>
      </c>
      <c r="K2329" s="9" t="n">
        <v>17.8</v>
      </c>
      <c r="L2329" s="10">
        <f>HYPERLINK("http://127.0.0.1:8000/api/documents/download?id=412&amp;attachment=true", "⬇ Download TD.pdf")</f>
        <v/>
      </c>
      <c r="M2329" s="10">
        <f>HYPERLINK("http://localhost:5173/?state=Maharashtra&amp;keyword=ICT&amp;tender=2026_VVCMC_1343597_1", "🚀 Open in Portal")</f>
        <v/>
      </c>
    </row>
    <row r="2330" ht="24" customHeight="1">
      <c r="A2330" s="11" t="inlineStr">
        <is>
          <t>Maharashtra</t>
        </is>
      </c>
      <c r="B2330" s="12" t="inlineStr">
        <is>
          <t>ICT</t>
        </is>
      </c>
      <c r="C2330" s="13" t="inlineStr">
        <is>
          <t>2026_VVCMC_1343597_1</t>
        </is>
      </c>
      <c r="D2330" s="14" t="inlineStr">
        <is>
          <t>[development of a Mini Miyawaki Forest over an area of 500 sq m at Reservation No 261 Survey Nos 20 21 and 23 Mouje Agashi within the jurisdiction of Vasai Virar City Municipal Corporation VVMC including the maintenance and upkeep of the Miyawaki pla]</t>
        </is>
      </c>
      <c r="E2330" s="14" t="inlineStr">
        <is>
          <t>Maharashtra Public Works &amp; Technology Department</t>
        </is>
      </c>
      <c r="F2330" s="13" t="inlineStr">
        <is>
          <t>31 Jul 2026</t>
        </is>
      </c>
      <c r="G2330" s="12" t="inlineStr">
        <is>
          <t>23 Aug 2026</t>
        </is>
      </c>
      <c r="H2330" s="8" t="inlineStr">
        <is>
          <t>⏳ UPCOMING</t>
        </is>
      </c>
      <c r="I2330" s="11" t="inlineStr">
        <is>
          <t>Tender_2026_VVCMC_1343597_1_All_Documents.zip</t>
        </is>
      </c>
      <c r="J2330" s="13" t="inlineStr">
        <is>
          <t>📦 ZIP Package</t>
        </is>
      </c>
      <c r="K2330" s="15" t="n">
        <v>20.8</v>
      </c>
      <c r="L2330" s="16">
        <f>HYPERLINK("http://127.0.0.1:8000/api/documents/download?id=413&amp;attachment=true", "⬇ Download Tender_2026_VVCMC_134359")</f>
        <v/>
      </c>
      <c r="M2330" s="16">
        <f>HYPERLINK("http://localhost:5173/?state=Maharashtra&amp;keyword=ICT&amp;tender=2026_VVCMC_1343597_1", "🚀 Open in Portal")</f>
        <v/>
      </c>
    </row>
    <row r="2331" ht="24" customHeight="1">
      <c r="A2331" s="4" t="inlineStr">
        <is>
          <t>Maharashtra</t>
        </is>
      </c>
      <c r="B2331" s="5" t="inlineStr">
        <is>
          <t>ICT</t>
        </is>
      </c>
      <c r="C2331" s="6" t="inlineStr">
        <is>
          <t>2026_VVCMC_1343617_1</t>
        </is>
      </c>
      <c r="D2331" s="7" t="inlineStr">
        <is>
          <t>[development of a Mini Miyawaki Forest over an area of 500 sq m at Reservation No 707 Survey No 14 Mouje Dhovali within the jurisdiction of Vasai Virar City Municipal Corporation VVMC including the maintenance and upkeep of the Miyawaki plantation for]</t>
        </is>
      </c>
      <c r="E2331" s="7" t="inlineStr">
        <is>
          <t>Maharashtra Public Works &amp; Technology Department</t>
        </is>
      </c>
      <c r="F2331" s="6" t="inlineStr">
        <is>
          <t>27 Jul 2026</t>
        </is>
      </c>
      <c r="G2331" s="5" t="inlineStr">
        <is>
          <t>21 Aug 2026</t>
        </is>
      </c>
      <c r="H2331" s="8" t="inlineStr">
        <is>
          <t>⏳ UPCOMING</t>
        </is>
      </c>
      <c r="I2331" s="4" t="inlineStr">
        <is>
          <t>Tendernotice_1.pdf</t>
        </is>
      </c>
      <c r="J2331" s="6" t="inlineStr">
        <is>
          <t>📕 PDF Document</t>
        </is>
      </c>
      <c r="K2331" s="9" t="n">
        <v>17.9</v>
      </c>
      <c r="L2331" s="10">
        <f>HYPERLINK("http://127.0.0.1:8000/api/documents/download?id=406&amp;attachment=true", "⬇ Download Tendernotice_1.pdf")</f>
        <v/>
      </c>
      <c r="M2331" s="10">
        <f>HYPERLINK("http://localhost:5173/?state=Maharashtra&amp;keyword=ICT&amp;tender=2026_VVCMC_1343617_1", "🚀 Open in Portal")</f>
        <v/>
      </c>
    </row>
    <row r="2332" ht="24" customHeight="1">
      <c r="A2332" s="11" t="inlineStr">
        <is>
          <t>Maharashtra</t>
        </is>
      </c>
      <c r="B2332" s="12" t="inlineStr">
        <is>
          <t>ICT</t>
        </is>
      </c>
      <c r="C2332" s="13" t="inlineStr">
        <is>
          <t>2026_VVCMC_1343617_1</t>
        </is>
      </c>
      <c r="D2332" s="14" t="inlineStr">
        <is>
          <t>[development of a Mini Miyawaki Forest over an area of 500 sq m at Reservation No 707 Survey No 14 Mouje Dhovali within the jurisdiction of Vasai Virar City Municipal Corporation VVMC including the maintenance and upkeep of the Miyawaki plantation for]</t>
        </is>
      </c>
      <c r="E2332" s="14" t="inlineStr">
        <is>
          <t>Maharashtra Public Works &amp; Technology Department</t>
        </is>
      </c>
      <c r="F2332" s="13" t="inlineStr">
        <is>
          <t>27 Jul 2026</t>
        </is>
      </c>
      <c r="G2332" s="12" t="inlineStr">
        <is>
          <t>21 Aug 2026</t>
        </is>
      </c>
      <c r="H2332" s="8" t="inlineStr">
        <is>
          <t>⏳ UPCOMING</t>
        </is>
      </c>
      <c r="I2332" s="11" t="inlineStr">
        <is>
          <t>BOQ_2296548.xls</t>
        </is>
      </c>
      <c r="J2332" s="13" t="inlineStr">
        <is>
          <t>📊 Excel BOQ</t>
        </is>
      </c>
      <c r="K2332" s="15" t="n">
        <v>2.6</v>
      </c>
      <c r="L2332" s="16">
        <f>HYPERLINK("http://127.0.0.1:8000/api/documents/download?id=407&amp;attachment=true", "⬇ Download BOQ_2296548.xls")</f>
        <v/>
      </c>
      <c r="M2332" s="16">
        <f>HYPERLINK("http://localhost:5173/?state=Maharashtra&amp;keyword=ICT&amp;tender=2026_VVCMC_1343617_1", "🚀 Open in Portal")</f>
        <v/>
      </c>
    </row>
    <row r="2333" ht="24" customHeight="1">
      <c r="A2333" s="4" t="inlineStr">
        <is>
          <t>Maharashtra</t>
        </is>
      </c>
      <c r="B2333" s="5" t="inlineStr">
        <is>
          <t>ICT</t>
        </is>
      </c>
      <c r="C2333" s="6" t="inlineStr">
        <is>
          <t>2026_VVCMC_1343617_1</t>
        </is>
      </c>
      <c r="D2333" s="7" t="inlineStr">
        <is>
          <t>[development of a Mini Miyawaki Forest over an area of 500 sq m at Reservation No 707 Survey No 14 Mouje Dhovali within the jurisdiction of Vasai Virar City Municipal Corporation VVMC including the maintenance and upkeep of the Miyawaki plantation for]</t>
        </is>
      </c>
      <c r="E2333" s="7" t="inlineStr">
        <is>
          <t>Maharashtra Public Works &amp; Technology Department</t>
        </is>
      </c>
      <c r="F2333" s="6" t="inlineStr">
        <is>
          <t>27 Jul 2026</t>
        </is>
      </c>
      <c r="G2333" s="5" t="inlineStr">
        <is>
          <t>21 Aug 2026</t>
        </is>
      </c>
      <c r="H2333" s="8" t="inlineStr">
        <is>
          <t>⏳ UPCOMING</t>
        </is>
      </c>
      <c r="I2333" s="4" t="inlineStr">
        <is>
          <t>tf.pdf</t>
        </is>
      </c>
      <c r="J2333" s="6" t="inlineStr">
        <is>
          <t>📕 PDF Document</t>
        </is>
      </c>
      <c r="K2333" s="9" t="n">
        <v>17.8</v>
      </c>
      <c r="L2333" s="10">
        <f>HYPERLINK("http://127.0.0.1:8000/api/documents/download?id=408&amp;attachment=true", "⬇ Download tf.pdf")</f>
        <v/>
      </c>
      <c r="M2333" s="10">
        <f>HYPERLINK("http://localhost:5173/?state=Maharashtra&amp;keyword=ICT&amp;tender=2026_VVCMC_1343617_1", "🚀 Open in Portal")</f>
        <v/>
      </c>
    </row>
    <row r="2334" ht="24" customHeight="1">
      <c r="A2334" s="11" t="inlineStr">
        <is>
          <t>Maharashtra</t>
        </is>
      </c>
      <c r="B2334" s="12" t="inlineStr">
        <is>
          <t>ICT</t>
        </is>
      </c>
      <c r="C2334" s="13" t="inlineStr">
        <is>
          <t>2026_VVCMC_1343617_1</t>
        </is>
      </c>
      <c r="D2334" s="14" t="inlineStr">
        <is>
          <t>[development of a Mini Miyawaki Forest over an area of 500 sq m at Reservation No 707 Survey No 14 Mouje Dhovali within the jurisdiction of Vasai Virar City Municipal Corporation VVMC including the maintenance and upkeep of the Miyawaki plantation for]</t>
        </is>
      </c>
      <c r="E2334" s="14" t="inlineStr">
        <is>
          <t>Maharashtra Public Works &amp; Technology Department</t>
        </is>
      </c>
      <c r="F2334" s="13" t="inlineStr">
        <is>
          <t>27 Jul 2026</t>
        </is>
      </c>
      <c r="G2334" s="12" t="inlineStr">
        <is>
          <t>21 Aug 2026</t>
        </is>
      </c>
      <c r="H2334" s="8" t="inlineStr">
        <is>
          <t>⏳ UPCOMING</t>
        </is>
      </c>
      <c r="I2334" s="11" t="inlineStr">
        <is>
          <t>Tender_2026_VVCMC_1343617_1_All_Documents.zip</t>
        </is>
      </c>
      <c r="J2334" s="13" t="inlineStr">
        <is>
          <t>📦 ZIP Package</t>
        </is>
      </c>
      <c r="K2334" s="15" t="n">
        <v>20.9</v>
      </c>
      <c r="L2334" s="16">
        <f>HYPERLINK("http://127.0.0.1:8000/api/documents/download?id=409&amp;attachment=true", "⬇ Download Tender_2026_VVCMC_134361")</f>
        <v/>
      </c>
      <c r="M2334" s="16">
        <f>HYPERLINK("http://localhost:5173/?state=Maharashtra&amp;keyword=ICT&amp;tender=2026_VVCMC_1343617_1", "🚀 Open in Portal")</f>
        <v/>
      </c>
    </row>
    <row r="2335" ht="24" customHeight="1">
      <c r="A2335" s="4" t="inlineStr">
        <is>
          <t>Maharashtra</t>
        </is>
      </c>
      <c r="B2335" s="5" t="inlineStr">
        <is>
          <t>ICT</t>
        </is>
      </c>
      <c r="C2335" s="6" t="inlineStr">
        <is>
          <t>2026_VVCMC_1343629_1</t>
        </is>
      </c>
      <c r="D2335" s="7" t="inlineStr">
        <is>
          <t>[Development of a Mini Miyawaki Forest over an area of 500 sq m at Reservation No 388 Survey No 35, Nilmore Nos 128 and 129 Mouje Sopara Nilmore within the jurisdiction of Vasai Virar City Municipal Corporation VVMC under the National Clean Air Progra]</t>
        </is>
      </c>
      <c r="E2335" s="7" t="inlineStr">
        <is>
          <t>Maharashtra Public Works &amp; Technology Department</t>
        </is>
      </c>
      <c r="F2335" s="6" t="inlineStr">
        <is>
          <t>22 Jul 2026</t>
        </is>
      </c>
      <c r="G2335" s="5" t="inlineStr">
        <is>
          <t>19 Aug 2026</t>
        </is>
      </c>
      <c r="H2335" s="8" t="inlineStr">
        <is>
          <t>⏳ UPCOMING</t>
        </is>
      </c>
      <c r="I2335" s="4" t="inlineStr">
        <is>
          <t>Tendernotice_1.pdf</t>
        </is>
      </c>
      <c r="J2335" s="6" t="inlineStr">
        <is>
          <t>📕 PDF Document</t>
        </is>
      </c>
      <c r="K2335" s="9" t="n">
        <v>17.9</v>
      </c>
      <c r="L2335" s="10">
        <f>HYPERLINK("http://127.0.0.1:8000/api/documents/download?id=402&amp;attachment=true", "⬇ Download Tendernotice_1.pdf")</f>
        <v/>
      </c>
      <c r="M2335" s="10">
        <f>HYPERLINK("http://localhost:5173/?state=Maharashtra&amp;keyword=ICT&amp;tender=2026_VVCMC_1343629_1", "🚀 Open in Portal")</f>
        <v/>
      </c>
    </row>
    <row r="2336" ht="24" customHeight="1">
      <c r="A2336" s="11" t="inlineStr">
        <is>
          <t>Maharashtra</t>
        </is>
      </c>
      <c r="B2336" s="12" t="inlineStr">
        <is>
          <t>ICT</t>
        </is>
      </c>
      <c r="C2336" s="13" t="inlineStr">
        <is>
          <t>2026_VVCMC_1343629_1</t>
        </is>
      </c>
      <c r="D2336" s="14" t="inlineStr">
        <is>
          <t>[Development of a Mini Miyawaki Forest over an area of 500 sq m at Reservation No 388 Survey No 35, Nilmore Nos 128 and 129 Mouje Sopara Nilmore within the jurisdiction of Vasai Virar City Municipal Corporation VVMC under the National Clean Air Progra]</t>
        </is>
      </c>
      <c r="E2336" s="14" t="inlineStr">
        <is>
          <t>Maharashtra Public Works &amp; Technology Department</t>
        </is>
      </c>
      <c r="F2336" s="13" t="inlineStr">
        <is>
          <t>22 Jul 2026</t>
        </is>
      </c>
      <c r="G2336" s="12" t="inlineStr">
        <is>
          <t>19 Aug 2026</t>
        </is>
      </c>
      <c r="H2336" s="8" t="inlineStr">
        <is>
          <t>⏳ UPCOMING</t>
        </is>
      </c>
      <c r="I2336" s="11" t="inlineStr">
        <is>
          <t>BOQ_2296567.xls</t>
        </is>
      </c>
      <c r="J2336" s="13" t="inlineStr">
        <is>
          <t>📊 Excel BOQ</t>
        </is>
      </c>
      <c r="K2336" s="15" t="n">
        <v>2.6</v>
      </c>
      <c r="L2336" s="16">
        <f>HYPERLINK("http://127.0.0.1:8000/api/documents/download?id=403&amp;attachment=true", "⬇ Download BOQ_2296567.xls")</f>
        <v/>
      </c>
      <c r="M2336" s="16">
        <f>HYPERLINK("http://localhost:5173/?state=Maharashtra&amp;keyword=ICT&amp;tender=2026_VVCMC_1343629_1", "🚀 Open in Portal")</f>
        <v/>
      </c>
    </row>
    <row r="2337" ht="24" customHeight="1">
      <c r="A2337" s="4" t="inlineStr">
        <is>
          <t>Maharashtra</t>
        </is>
      </c>
      <c r="B2337" s="5" t="inlineStr">
        <is>
          <t>ICT</t>
        </is>
      </c>
      <c r="C2337" s="6" t="inlineStr">
        <is>
          <t>2026_VVCMC_1343629_1</t>
        </is>
      </c>
      <c r="D2337" s="7" t="inlineStr">
        <is>
          <t>[Development of a Mini Miyawaki Forest over an area of 500 sq m at Reservation No 388 Survey No 35, Nilmore Nos 128 and 129 Mouje Sopara Nilmore within the jurisdiction of Vasai Virar City Municipal Corporation VVMC under the National Clean Air Progra]</t>
        </is>
      </c>
      <c r="E2337" s="7" t="inlineStr">
        <is>
          <t>Maharashtra Public Works &amp; Technology Department</t>
        </is>
      </c>
      <c r="F2337" s="6" t="inlineStr">
        <is>
          <t>22 Jul 2026</t>
        </is>
      </c>
      <c r="G2337" s="5" t="inlineStr">
        <is>
          <t>19 Aug 2026</t>
        </is>
      </c>
      <c r="H2337" s="8" t="inlineStr">
        <is>
          <t>⏳ UPCOMING</t>
        </is>
      </c>
      <c r="I2337" s="4" t="inlineStr">
        <is>
          <t>2.pdf</t>
        </is>
      </c>
      <c r="J2337" s="6" t="inlineStr">
        <is>
          <t>📕 PDF Document</t>
        </is>
      </c>
      <c r="K2337" s="9" t="n">
        <v>17.8</v>
      </c>
      <c r="L2337" s="10">
        <f>HYPERLINK("http://127.0.0.1:8000/api/documents/download?id=404&amp;attachment=true", "⬇ Download 2.pdf")</f>
        <v/>
      </c>
      <c r="M2337" s="10">
        <f>HYPERLINK("http://localhost:5173/?state=Maharashtra&amp;keyword=ICT&amp;tender=2026_VVCMC_1343629_1", "🚀 Open in Portal")</f>
        <v/>
      </c>
    </row>
    <row r="2338" ht="24" customHeight="1">
      <c r="A2338" s="11" t="inlineStr">
        <is>
          <t>Maharashtra</t>
        </is>
      </c>
      <c r="B2338" s="12" t="inlineStr">
        <is>
          <t>ICT</t>
        </is>
      </c>
      <c r="C2338" s="13" t="inlineStr">
        <is>
          <t>2026_VVCMC_1343629_1</t>
        </is>
      </c>
      <c r="D2338" s="14" t="inlineStr">
        <is>
          <t>[Development of a Mini Miyawaki Forest over an area of 500 sq m at Reservation No 388 Survey No 35, Nilmore Nos 128 and 129 Mouje Sopara Nilmore within the jurisdiction of Vasai Virar City Municipal Corporation VVMC under the National Clean Air Progra]</t>
        </is>
      </c>
      <c r="E2338" s="14" t="inlineStr">
        <is>
          <t>Maharashtra Public Works &amp; Technology Department</t>
        </is>
      </c>
      <c r="F2338" s="13" t="inlineStr">
        <is>
          <t>22 Jul 2026</t>
        </is>
      </c>
      <c r="G2338" s="12" t="inlineStr">
        <is>
          <t>19 Aug 2026</t>
        </is>
      </c>
      <c r="H2338" s="8" t="inlineStr">
        <is>
          <t>⏳ UPCOMING</t>
        </is>
      </c>
      <c r="I2338" s="11" t="inlineStr">
        <is>
          <t>Tender_2026_VVCMC_1343629_1_All_Documents.zip</t>
        </is>
      </c>
      <c r="J2338" s="13" t="inlineStr">
        <is>
          <t>📦 ZIP Package</t>
        </is>
      </c>
      <c r="K2338" s="15" t="n">
        <v>20.8</v>
      </c>
      <c r="L2338" s="16">
        <f>HYPERLINK("http://127.0.0.1:8000/api/documents/download?id=405&amp;attachment=true", "⬇ Download Tender_2026_VVCMC_134362")</f>
        <v/>
      </c>
      <c r="M2338" s="16">
        <f>HYPERLINK("http://localhost:5173/?state=Maharashtra&amp;keyword=ICT&amp;tender=2026_VVCMC_1343629_1", "🚀 Open in Portal")</f>
        <v/>
      </c>
    </row>
    <row r="2339" ht="24" customHeight="1">
      <c r="A2339" s="4" t="inlineStr">
        <is>
          <t>Maharashtra</t>
        </is>
      </c>
      <c r="B2339" s="5" t="inlineStr">
        <is>
          <t>ICT</t>
        </is>
      </c>
      <c r="C2339" s="6" t="inlineStr">
        <is>
          <t>2026_VVCMC_1343641_1</t>
        </is>
      </c>
      <c r="D2339" s="7" t="inlineStr">
        <is>
          <t>[Development of a 500 sq m Mini Miyawaki Forest at the site located at Reservation No 475 Survey No 113 Mouje Gokhivre within the jurisdiction of Vasai Virar City Municipal Corporation VVMC under the National Clean Air Programme NCAP along with mainte]</t>
        </is>
      </c>
      <c r="E2339" s="7" t="inlineStr">
        <is>
          <t>Maharashtra Public Works &amp; Technology Department</t>
        </is>
      </c>
      <c r="F2339" s="6" t="inlineStr">
        <is>
          <t>16 Oct 2026</t>
        </is>
      </c>
      <c r="G2339" s="5" t="inlineStr">
        <is>
          <t>09 Nov 2026</t>
        </is>
      </c>
      <c r="H2339" s="17" t="inlineStr">
        <is>
          <t>🟢 LIVE ACTIVE</t>
        </is>
      </c>
      <c r="I2339" s="4" t="inlineStr">
        <is>
          <t>Tendernotice_1.pdf</t>
        </is>
      </c>
      <c r="J2339" s="6" t="inlineStr">
        <is>
          <t>📕 PDF Document</t>
        </is>
      </c>
      <c r="K2339" s="9" t="n">
        <v>17.9</v>
      </c>
      <c r="L2339" s="10">
        <f>HYPERLINK("http://127.0.0.1:8000/api/documents/download?id=398&amp;attachment=true", "⬇ Download Tendernotice_1.pdf")</f>
        <v/>
      </c>
      <c r="M2339" s="10">
        <f>HYPERLINK("http://localhost:5173/?state=Maharashtra&amp;keyword=ICT&amp;tender=2026_VVCMC_1343641_1", "🚀 Open in Portal")</f>
        <v/>
      </c>
    </row>
    <row r="2340" ht="24" customHeight="1">
      <c r="A2340" s="11" t="inlineStr">
        <is>
          <t>Maharashtra</t>
        </is>
      </c>
      <c r="B2340" s="12" t="inlineStr">
        <is>
          <t>ICT</t>
        </is>
      </c>
      <c r="C2340" s="13" t="inlineStr">
        <is>
          <t>2026_VVCMC_1343641_1</t>
        </is>
      </c>
      <c r="D2340" s="14" t="inlineStr">
        <is>
          <t>[Development of a 500 sq m Mini Miyawaki Forest at the site located at Reservation No 475 Survey No 113 Mouje Gokhivre within the jurisdiction of Vasai Virar City Municipal Corporation VVMC under the National Clean Air Programme NCAP along with mainte]</t>
        </is>
      </c>
      <c r="E2340" s="14" t="inlineStr">
        <is>
          <t>Maharashtra Public Works &amp; Technology Department</t>
        </is>
      </c>
      <c r="F2340" s="13" t="inlineStr">
        <is>
          <t>16 Oct 2026</t>
        </is>
      </c>
      <c r="G2340" s="12" t="inlineStr">
        <is>
          <t>09 Nov 2026</t>
        </is>
      </c>
      <c r="H2340" s="17" t="inlineStr">
        <is>
          <t>🟢 LIVE ACTIVE</t>
        </is>
      </c>
      <c r="I2340" s="11" t="inlineStr">
        <is>
          <t>2.pdf</t>
        </is>
      </c>
      <c r="J2340" s="13" t="inlineStr">
        <is>
          <t>📕 PDF Document</t>
        </is>
      </c>
      <c r="K2340" s="15" t="n">
        <v>17.8</v>
      </c>
      <c r="L2340" s="16">
        <f>HYPERLINK("http://127.0.0.1:8000/api/documents/download?id=399&amp;attachment=true", "⬇ Download 2.pdf")</f>
        <v/>
      </c>
      <c r="M2340" s="16">
        <f>HYPERLINK("http://localhost:5173/?state=Maharashtra&amp;keyword=ICT&amp;tender=2026_VVCMC_1343641_1", "🚀 Open in Portal")</f>
        <v/>
      </c>
    </row>
    <row r="2341" ht="24" customHeight="1">
      <c r="A2341" s="4" t="inlineStr">
        <is>
          <t>Maharashtra</t>
        </is>
      </c>
      <c r="B2341" s="5" t="inlineStr">
        <is>
          <t>ICT</t>
        </is>
      </c>
      <c r="C2341" s="6" t="inlineStr">
        <is>
          <t>2026_VVCMC_1343641_1</t>
        </is>
      </c>
      <c r="D2341" s="7" t="inlineStr">
        <is>
          <t>[Development of a 500 sq m Mini Miyawaki Forest at the site located at Reservation No 475 Survey No 113 Mouje Gokhivre within the jurisdiction of Vasai Virar City Municipal Corporation VVMC under the National Clean Air Programme NCAP along with mainte]</t>
        </is>
      </c>
      <c r="E2341" s="7" t="inlineStr">
        <is>
          <t>Maharashtra Public Works &amp; Technology Department</t>
        </is>
      </c>
      <c r="F2341" s="6" t="inlineStr">
        <is>
          <t>16 Oct 2026</t>
        </is>
      </c>
      <c r="G2341" s="5" t="inlineStr">
        <is>
          <t>09 Nov 2026</t>
        </is>
      </c>
      <c r="H2341" s="17" t="inlineStr">
        <is>
          <t>🟢 LIVE ACTIVE</t>
        </is>
      </c>
      <c r="I2341" s="4" t="inlineStr">
        <is>
          <t>BOQ_2296581.xls</t>
        </is>
      </c>
      <c r="J2341" s="6" t="inlineStr">
        <is>
          <t>📊 Excel BOQ</t>
        </is>
      </c>
      <c r="K2341" s="9" t="n">
        <v>2.6</v>
      </c>
      <c r="L2341" s="10">
        <f>HYPERLINK("http://127.0.0.1:8000/api/documents/download?id=400&amp;attachment=true", "⬇ Download BOQ_2296581.xls")</f>
        <v/>
      </c>
      <c r="M2341" s="10">
        <f>HYPERLINK("http://localhost:5173/?state=Maharashtra&amp;keyword=ICT&amp;tender=2026_VVCMC_1343641_1", "🚀 Open in Portal")</f>
        <v/>
      </c>
    </row>
    <row r="2342" ht="24" customHeight="1">
      <c r="A2342" s="11" t="inlineStr">
        <is>
          <t>Maharashtra</t>
        </is>
      </c>
      <c r="B2342" s="12" t="inlineStr">
        <is>
          <t>ICT</t>
        </is>
      </c>
      <c r="C2342" s="13" t="inlineStr">
        <is>
          <t>2026_VVCMC_1343641_1</t>
        </is>
      </c>
      <c r="D2342" s="14" t="inlineStr">
        <is>
          <t>[Development of a 500 sq m Mini Miyawaki Forest at the site located at Reservation No 475 Survey No 113 Mouje Gokhivre within the jurisdiction of Vasai Virar City Municipal Corporation VVMC under the National Clean Air Programme NCAP along with mainte]</t>
        </is>
      </c>
      <c r="E2342" s="14" t="inlineStr">
        <is>
          <t>Maharashtra Public Works &amp; Technology Department</t>
        </is>
      </c>
      <c r="F2342" s="13" t="inlineStr">
        <is>
          <t>16 Oct 2026</t>
        </is>
      </c>
      <c r="G2342" s="12" t="inlineStr">
        <is>
          <t>09 Nov 2026</t>
        </is>
      </c>
      <c r="H2342" s="17" t="inlineStr">
        <is>
          <t>🟢 LIVE ACTIVE</t>
        </is>
      </c>
      <c r="I2342" s="11" t="inlineStr">
        <is>
          <t>Tender_2026_VVCMC_1343641_1_All_Documents.zip</t>
        </is>
      </c>
      <c r="J2342" s="13" t="inlineStr">
        <is>
          <t>📦 ZIP Package</t>
        </is>
      </c>
      <c r="K2342" s="15" t="n">
        <v>21</v>
      </c>
      <c r="L2342" s="16">
        <f>HYPERLINK("http://127.0.0.1:8000/api/documents/download?id=401&amp;attachment=true", "⬇ Download Tender_2026_VVCMC_134364")</f>
        <v/>
      </c>
      <c r="M2342" s="16">
        <f>HYPERLINK("http://localhost:5173/?state=Maharashtra&amp;keyword=ICT&amp;tender=2026_VVCMC_1343641_1", "🚀 Open in Portal")</f>
        <v/>
      </c>
    </row>
    <row r="2343" ht="24" customHeight="1">
      <c r="A2343" s="4" t="inlineStr">
        <is>
          <t>Maharashtra</t>
        </is>
      </c>
      <c r="B2343" s="5" t="inlineStr">
        <is>
          <t>ICT</t>
        </is>
      </c>
      <c r="C2343" s="6" t="inlineStr">
        <is>
          <t>2026_VVCMC_1343653_1</t>
        </is>
      </c>
      <c r="D2343" s="7" t="inlineStr">
        <is>
          <t>[Development of a 1000 sq m Mini Miyawaki Forest at the site located at Reservation No 355 Survey Nos 3 4 5 and 6 Mouje Samel within the jurisdiction of Vasai Virar City Municipal Corporation VVMC under the National Clean Air Programme NCAP along wit]</t>
        </is>
      </c>
      <c r="E2343" s="7" t="inlineStr">
        <is>
          <t>Maharashtra Public Works &amp; Technology Department</t>
        </is>
      </c>
      <c r="F2343" s="6" t="inlineStr">
        <is>
          <t>25 Oct 2026</t>
        </is>
      </c>
      <c r="G2343" s="5" t="inlineStr">
        <is>
          <t>15 Nov 2026</t>
        </is>
      </c>
      <c r="H2343" s="8" t="inlineStr">
        <is>
          <t>⏳ UPCOMING</t>
        </is>
      </c>
      <c r="I2343" s="4" t="inlineStr">
        <is>
          <t>Tendernotice_1.pdf</t>
        </is>
      </c>
      <c r="J2343" s="6" t="inlineStr">
        <is>
          <t>📕 PDF Document</t>
        </is>
      </c>
      <c r="K2343" s="9" t="n">
        <v>17.9</v>
      </c>
      <c r="L2343" s="10">
        <f>HYPERLINK("http://127.0.0.1:8000/api/documents/download?id=394&amp;attachment=true", "⬇ Download Tendernotice_1.pdf")</f>
        <v/>
      </c>
      <c r="M2343" s="10">
        <f>HYPERLINK("http://localhost:5173/?state=Maharashtra&amp;keyword=ICT&amp;tender=2026_VVCMC_1343653_1", "🚀 Open in Portal")</f>
        <v/>
      </c>
    </row>
    <row r="2344" ht="24" customHeight="1">
      <c r="A2344" s="11" t="inlineStr">
        <is>
          <t>Maharashtra</t>
        </is>
      </c>
      <c r="B2344" s="12" t="inlineStr">
        <is>
          <t>ICT</t>
        </is>
      </c>
      <c r="C2344" s="13" t="inlineStr">
        <is>
          <t>2026_VVCMC_1343653_1</t>
        </is>
      </c>
      <c r="D2344" s="14" t="inlineStr">
        <is>
          <t>[Development of a 1000 sq m Mini Miyawaki Forest at the site located at Reservation No 355 Survey Nos 3 4 5 and 6 Mouje Samel within the jurisdiction of Vasai Virar City Municipal Corporation VVMC under the National Clean Air Programme NCAP along wit]</t>
        </is>
      </c>
      <c r="E2344" s="14" t="inlineStr">
        <is>
          <t>Maharashtra Public Works &amp; Technology Department</t>
        </is>
      </c>
      <c r="F2344" s="13" t="inlineStr">
        <is>
          <t>25 Oct 2026</t>
        </is>
      </c>
      <c r="G2344" s="12" t="inlineStr">
        <is>
          <t>15 Nov 2026</t>
        </is>
      </c>
      <c r="H2344" s="8" t="inlineStr">
        <is>
          <t>⏳ UPCOMING</t>
        </is>
      </c>
      <c r="I2344" s="11" t="inlineStr">
        <is>
          <t>2.pdf</t>
        </is>
      </c>
      <c r="J2344" s="13" t="inlineStr">
        <is>
          <t>📕 PDF Document</t>
        </is>
      </c>
      <c r="K2344" s="15" t="n">
        <v>17.8</v>
      </c>
      <c r="L2344" s="16">
        <f>HYPERLINK("http://127.0.0.1:8000/api/documents/download?id=395&amp;attachment=true", "⬇ Download 2.pdf")</f>
        <v/>
      </c>
      <c r="M2344" s="16">
        <f>HYPERLINK("http://localhost:5173/?state=Maharashtra&amp;keyword=ICT&amp;tender=2026_VVCMC_1343653_1", "🚀 Open in Portal")</f>
        <v/>
      </c>
    </row>
    <row r="2345" ht="24" customHeight="1">
      <c r="A2345" s="4" t="inlineStr">
        <is>
          <t>Maharashtra</t>
        </is>
      </c>
      <c r="B2345" s="5" t="inlineStr">
        <is>
          <t>ICT</t>
        </is>
      </c>
      <c r="C2345" s="6" t="inlineStr">
        <is>
          <t>2026_VVCMC_1343653_1</t>
        </is>
      </c>
      <c r="D2345" s="7" t="inlineStr">
        <is>
          <t>[Development of a 1000 sq m Mini Miyawaki Forest at the site located at Reservation No 355 Survey Nos 3 4 5 and 6 Mouje Samel within the jurisdiction of Vasai Virar City Municipal Corporation VVMC under the National Clean Air Programme NCAP along wit]</t>
        </is>
      </c>
      <c r="E2345" s="7" t="inlineStr">
        <is>
          <t>Maharashtra Public Works &amp; Technology Department</t>
        </is>
      </c>
      <c r="F2345" s="6" t="inlineStr">
        <is>
          <t>25 Oct 2026</t>
        </is>
      </c>
      <c r="G2345" s="5" t="inlineStr">
        <is>
          <t>15 Nov 2026</t>
        </is>
      </c>
      <c r="H2345" s="8" t="inlineStr">
        <is>
          <t>⏳ UPCOMING</t>
        </is>
      </c>
      <c r="I2345" s="4" t="inlineStr">
        <is>
          <t>BOQ_2296603.xls</t>
        </is>
      </c>
      <c r="J2345" s="6" t="inlineStr">
        <is>
          <t>📊 Excel BOQ</t>
        </is>
      </c>
      <c r="K2345" s="9" t="n">
        <v>2.6</v>
      </c>
      <c r="L2345" s="10">
        <f>HYPERLINK("http://127.0.0.1:8000/api/documents/download?id=396&amp;attachment=true", "⬇ Download BOQ_2296603.xls")</f>
        <v/>
      </c>
      <c r="M2345" s="10">
        <f>HYPERLINK("http://localhost:5173/?state=Maharashtra&amp;keyword=ICT&amp;tender=2026_VVCMC_1343653_1", "🚀 Open in Portal")</f>
        <v/>
      </c>
    </row>
    <row r="2346" ht="24" customHeight="1">
      <c r="A2346" s="11" t="inlineStr">
        <is>
          <t>Maharashtra</t>
        </is>
      </c>
      <c r="B2346" s="12" t="inlineStr">
        <is>
          <t>ICT</t>
        </is>
      </c>
      <c r="C2346" s="13" t="inlineStr">
        <is>
          <t>2026_VVCMC_1343653_1</t>
        </is>
      </c>
      <c r="D2346" s="14" t="inlineStr">
        <is>
          <t>[Development of a 1000 sq m Mini Miyawaki Forest at the site located at Reservation No 355 Survey Nos 3 4 5 and 6 Mouje Samel within the jurisdiction of Vasai Virar City Municipal Corporation VVMC under the National Clean Air Programme NCAP along wit]</t>
        </is>
      </c>
      <c r="E2346" s="14" t="inlineStr">
        <is>
          <t>Maharashtra Public Works &amp; Technology Department</t>
        </is>
      </c>
      <c r="F2346" s="13" t="inlineStr">
        <is>
          <t>25 Oct 2026</t>
        </is>
      </c>
      <c r="G2346" s="12" t="inlineStr">
        <is>
          <t>15 Nov 2026</t>
        </is>
      </c>
      <c r="H2346" s="8" t="inlineStr">
        <is>
          <t>⏳ UPCOMING</t>
        </is>
      </c>
      <c r="I2346" s="11" t="inlineStr">
        <is>
          <t>Tender_2026_VVCMC_1343653_1_All_Documents.zip</t>
        </is>
      </c>
      <c r="J2346" s="13" t="inlineStr">
        <is>
          <t>📦 ZIP Package</t>
        </is>
      </c>
      <c r="K2346" s="15" t="n">
        <v>20.9</v>
      </c>
      <c r="L2346" s="16">
        <f>HYPERLINK("http://127.0.0.1:8000/api/documents/download?id=397&amp;attachment=true", "⬇ Download Tender_2026_VVCMC_134365")</f>
        <v/>
      </c>
      <c r="M2346" s="16">
        <f>HYPERLINK("http://localhost:5173/?state=Maharashtra&amp;keyword=ICT&amp;tender=2026_VVCMC_1343653_1", "🚀 Open in Portal")</f>
        <v/>
      </c>
    </row>
    <row r="2347" ht="24" customHeight="1">
      <c r="A2347" s="4" t="inlineStr">
        <is>
          <t>Maharashtra</t>
        </is>
      </c>
      <c r="B2347" s="5" t="inlineStr">
        <is>
          <t>ICT</t>
        </is>
      </c>
      <c r="C2347" s="6" t="inlineStr">
        <is>
          <t>2026_VVCMC_1343667_1</t>
        </is>
      </c>
      <c r="D2347" s="7" t="inlineStr">
        <is>
          <t>[Development of a 1 000 sq m Mini Miyawaki Forest at Reservation No 526, Survey Nos 3 and 4 located at Mouje Sativali within the jurisdiction of Vasai Virar City Municipal Corporation VVMC under the National Clean Air Programme NCAP along with mainten]</t>
        </is>
      </c>
      <c r="E2347" s="7" t="inlineStr">
        <is>
          <t>Maharashtra Public Works &amp; Technology Department</t>
        </is>
      </c>
      <c r="F2347" s="6" t="inlineStr">
        <is>
          <t>06 Oct 2026</t>
        </is>
      </c>
      <c r="G2347" s="5" t="inlineStr">
        <is>
          <t>10 Nov 2026</t>
        </is>
      </c>
      <c r="H2347" s="17" t="inlineStr">
        <is>
          <t>🟢 LIVE ACTIVE</t>
        </is>
      </c>
      <c r="I2347" s="4" t="inlineStr">
        <is>
          <t>Tendernotice_1.pdf</t>
        </is>
      </c>
      <c r="J2347" s="6" t="inlineStr">
        <is>
          <t>📕 PDF Document</t>
        </is>
      </c>
      <c r="K2347" s="9" t="n">
        <v>17.9</v>
      </c>
      <c r="L2347" s="10">
        <f>HYPERLINK("http://127.0.0.1:8000/api/documents/download?id=390&amp;attachment=true", "⬇ Download Tendernotice_1.pdf")</f>
        <v/>
      </c>
      <c r="M2347" s="10">
        <f>HYPERLINK("http://localhost:5173/?state=Maharashtra&amp;keyword=ICT&amp;tender=2026_VVCMC_1343667_1", "🚀 Open in Portal")</f>
        <v/>
      </c>
    </row>
    <row r="2348" ht="24" customHeight="1">
      <c r="A2348" s="11" t="inlineStr">
        <is>
          <t>Maharashtra</t>
        </is>
      </c>
      <c r="B2348" s="12" t="inlineStr">
        <is>
          <t>ICT</t>
        </is>
      </c>
      <c r="C2348" s="13" t="inlineStr">
        <is>
          <t>2026_VVCMC_1343667_1</t>
        </is>
      </c>
      <c r="D2348" s="14" t="inlineStr">
        <is>
          <t>[Development of a 1 000 sq m Mini Miyawaki Forest at Reservation No 526, Survey Nos 3 and 4 located at Mouje Sativali within the jurisdiction of Vasai Virar City Municipal Corporation VVMC under the National Clean Air Programme NCAP along with mainten]</t>
        </is>
      </c>
      <c r="E2348" s="14" t="inlineStr">
        <is>
          <t>Maharashtra Public Works &amp; Technology Department</t>
        </is>
      </c>
      <c r="F2348" s="13" t="inlineStr">
        <is>
          <t>06 Oct 2026</t>
        </is>
      </c>
      <c r="G2348" s="12" t="inlineStr">
        <is>
          <t>10 Nov 2026</t>
        </is>
      </c>
      <c r="H2348" s="17" t="inlineStr">
        <is>
          <t>🟢 LIVE ACTIVE</t>
        </is>
      </c>
      <c r="I2348" s="11" t="inlineStr">
        <is>
          <t>3.pdf</t>
        </is>
      </c>
      <c r="J2348" s="13" t="inlineStr">
        <is>
          <t>📕 PDF Document</t>
        </is>
      </c>
      <c r="K2348" s="15" t="n">
        <v>17.8</v>
      </c>
      <c r="L2348" s="16">
        <f>HYPERLINK("http://127.0.0.1:8000/api/documents/download?id=391&amp;attachment=true", "⬇ Download 3.pdf")</f>
        <v/>
      </c>
      <c r="M2348" s="16">
        <f>HYPERLINK("http://localhost:5173/?state=Maharashtra&amp;keyword=ICT&amp;tender=2026_VVCMC_1343667_1", "🚀 Open in Portal")</f>
        <v/>
      </c>
    </row>
    <row r="2349" ht="24" customHeight="1">
      <c r="A2349" s="4" t="inlineStr">
        <is>
          <t>Maharashtra</t>
        </is>
      </c>
      <c r="B2349" s="5" t="inlineStr">
        <is>
          <t>ICT</t>
        </is>
      </c>
      <c r="C2349" s="6" t="inlineStr">
        <is>
          <t>2026_VVCMC_1343667_1</t>
        </is>
      </c>
      <c r="D2349" s="7" t="inlineStr">
        <is>
          <t>[Development of a 1 000 sq m Mini Miyawaki Forest at Reservation No 526, Survey Nos 3 and 4 located at Mouje Sativali within the jurisdiction of Vasai Virar City Municipal Corporation VVMC under the National Clean Air Programme NCAP along with mainten]</t>
        </is>
      </c>
      <c r="E2349" s="7" t="inlineStr">
        <is>
          <t>Maharashtra Public Works &amp; Technology Department</t>
        </is>
      </c>
      <c r="F2349" s="6" t="inlineStr">
        <is>
          <t>06 Oct 2026</t>
        </is>
      </c>
      <c r="G2349" s="5" t="inlineStr">
        <is>
          <t>10 Nov 2026</t>
        </is>
      </c>
      <c r="H2349" s="17" t="inlineStr">
        <is>
          <t>🟢 LIVE ACTIVE</t>
        </is>
      </c>
      <c r="I2349" s="4" t="inlineStr">
        <is>
          <t>BOQ_2296618.xls</t>
        </is>
      </c>
      <c r="J2349" s="6" t="inlineStr">
        <is>
          <t>📊 Excel BOQ</t>
        </is>
      </c>
      <c r="K2349" s="9" t="n">
        <v>2.6</v>
      </c>
      <c r="L2349" s="10">
        <f>HYPERLINK("http://127.0.0.1:8000/api/documents/download?id=392&amp;attachment=true", "⬇ Download BOQ_2296618.xls")</f>
        <v/>
      </c>
      <c r="M2349" s="10">
        <f>HYPERLINK("http://localhost:5173/?state=Maharashtra&amp;keyword=ICT&amp;tender=2026_VVCMC_1343667_1", "🚀 Open in Portal")</f>
        <v/>
      </c>
    </row>
    <row r="2350" ht="24" customHeight="1">
      <c r="A2350" s="11" t="inlineStr">
        <is>
          <t>Maharashtra</t>
        </is>
      </c>
      <c r="B2350" s="12" t="inlineStr">
        <is>
          <t>ICT</t>
        </is>
      </c>
      <c r="C2350" s="13" t="inlineStr">
        <is>
          <t>2026_VVCMC_1343667_1</t>
        </is>
      </c>
      <c r="D2350" s="14" t="inlineStr">
        <is>
          <t>[Development of a 1 000 sq m Mini Miyawaki Forest at Reservation No 526, Survey Nos 3 and 4 located at Mouje Sativali within the jurisdiction of Vasai Virar City Municipal Corporation VVMC under the National Clean Air Programme NCAP along with mainten]</t>
        </is>
      </c>
      <c r="E2350" s="14" t="inlineStr">
        <is>
          <t>Maharashtra Public Works &amp; Technology Department</t>
        </is>
      </c>
      <c r="F2350" s="13" t="inlineStr">
        <is>
          <t>06 Oct 2026</t>
        </is>
      </c>
      <c r="G2350" s="12" t="inlineStr">
        <is>
          <t>10 Nov 2026</t>
        </is>
      </c>
      <c r="H2350" s="17" t="inlineStr">
        <is>
          <t>🟢 LIVE ACTIVE</t>
        </is>
      </c>
      <c r="I2350" s="11" t="inlineStr">
        <is>
          <t>Tender_2026_VVCMC_1343667_1_All_Documents.zip</t>
        </is>
      </c>
      <c r="J2350" s="13" t="inlineStr">
        <is>
          <t>📦 ZIP Package</t>
        </is>
      </c>
      <c r="K2350" s="15" t="n">
        <v>20.8</v>
      </c>
      <c r="L2350" s="16">
        <f>HYPERLINK("http://127.0.0.1:8000/api/documents/download?id=393&amp;attachment=true", "⬇ Download Tender_2026_VVCMC_134366")</f>
        <v/>
      </c>
      <c r="M2350" s="16">
        <f>HYPERLINK("http://localhost:5173/?state=Maharashtra&amp;keyword=ICT&amp;tender=2026_VVCMC_1343667_1", "🚀 Open in Portal")</f>
        <v/>
      </c>
    </row>
    <row r="2351" ht="24" customHeight="1">
      <c r="A2351" s="4" t="inlineStr">
        <is>
          <t>Maharashtra</t>
        </is>
      </c>
      <c r="B2351" s="5" t="inlineStr">
        <is>
          <t>Forest</t>
        </is>
      </c>
      <c r="C2351" s="6" t="inlineStr">
        <is>
          <t>2026_CMTDM_1337779_1</t>
        </is>
      </c>
      <c r="D2351" s="7" t="inlineStr">
        <is>
          <t>[E-Tender Notice for Sale of Agricultural Land Owned by Shramshakti Forest Management Cooperative Society Ltd., Yavatmal]</t>
        </is>
      </c>
      <c r="E2351" s="7" t="inlineStr">
        <is>
          <t>Maharashtra Public Works &amp; Technology Department</t>
        </is>
      </c>
      <c r="F2351" s="6" t="inlineStr">
        <is>
          <t>21 Aug 2026</t>
        </is>
      </c>
      <c r="G2351" s="5" t="inlineStr">
        <is>
          <t>19 Sep 2026</t>
        </is>
      </c>
      <c r="H2351" s="8" t="inlineStr">
        <is>
          <t>⏳ UPCOMING</t>
        </is>
      </c>
      <c r="I2351" s="4" t="inlineStr">
        <is>
          <t>Tendernotice_1.pdf</t>
        </is>
      </c>
      <c r="J2351" s="6" t="inlineStr">
        <is>
          <t>📕 PDF Document</t>
        </is>
      </c>
      <c r="K2351" s="9" t="n">
        <v>17.9</v>
      </c>
      <c r="L2351" s="10">
        <f>HYPERLINK("http://127.0.0.1:8000/api/documents/download?id=426&amp;attachment=true", "⬇ Download Tendernotice_1.pdf")</f>
        <v/>
      </c>
      <c r="M2351" s="10">
        <f>HYPERLINK("http://localhost:5173/?state=Maharashtra&amp;keyword=Forest&amp;tender=2026_CMTDM_1337779_1", "🚀 Open in Portal")</f>
        <v/>
      </c>
    </row>
    <row r="2352" ht="24" customHeight="1">
      <c r="A2352" s="11" t="inlineStr">
        <is>
          <t>Maharashtra</t>
        </is>
      </c>
      <c r="B2352" s="12" t="inlineStr">
        <is>
          <t>Forest</t>
        </is>
      </c>
      <c r="C2352" s="13" t="inlineStr">
        <is>
          <t>2026_CMTDM_1337779_1</t>
        </is>
      </c>
      <c r="D2352" s="14" t="inlineStr">
        <is>
          <t>[E-Tender Notice for Sale of Agricultural Land Owned by Shramshakti Forest Management Cooperative Society Ltd., Yavatmal]</t>
        </is>
      </c>
      <c r="E2352" s="14" t="inlineStr">
        <is>
          <t>Maharashtra Public Works &amp; Technology Department</t>
        </is>
      </c>
      <c r="F2352" s="13" t="inlineStr">
        <is>
          <t>21 Aug 2026</t>
        </is>
      </c>
      <c r="G2352" s="12" t="inlineStr">
        <is>
          <t>19 Sep 2026</t>
        </is>
      </c>
      <c r="H2352" s="8" t="inlineStr">
        <is>
          <t>⏳ UPCOMING</t>
        </is>
      </c>
      <c r="I2352" s="11" t="inlineStr">
        <is>
          <t>BOQ_2287647.xls</t>
        </is>
      </c>
      <c r="J2352" s="13" t="inlineStr">
        <is>
          <t>📊 Excel BOQ</t>
        </is>
      </c>
      <c r="K2352" s="15" t="n">
        <v>2.5</v>
      </c>
      <c r="L2352" s="16">
        <f>HYPERLINK("http://127.0.0.1:8000/api/documents/download?id=427&amp;attachment=true", "⬇ Download BOQ_2287647.xls")</f>
        <v/>
      </c>
      <c r="M2352" s="16">
        <f>HYPERLINK("http://localhost:5173/?state=Maharashtra&amp;keyword=Forest&amp;tender=2026_CMTDM_1337779_1", "🚀 Open in Portal")</f>
        <v/>
      </c>
    </row>
    <row r="2353" ht="24" customHeight="1">
      <c r="A2353" s="4" t="inlineStr">
        <is>
          <t>Maharashtra</t>
        </is>
      </c>
      <c r="B2353" s="5" t="inlineStr">
        <is>
          <t>Forest</t>
        </is>
      </c>
      <c r="C2353" s="6" t="inlineStr">
        <is>
          <t>2026_CMTDM_1337779_1</t>
        </is>
      </c>
      <c r="D2353" s="7" t="inlineStr">
        <is>
          <t>[E-Tender Notice for Sale of Agricultural Land Owned by Shramshakti Forest Management Cooperative Society Ltd., Yavatmal]</t>
        </is>
      </c>
      <c r="E2353" s="7" t="inlineStr">
        <is>
          <t>Maharashtra Public Works &amp; Technology Department</t>
        </is>
      </c>
      <c r="F2353" s="6" t="inlineStr">
        <is>
          <t>21 Aug 2026</t>
        </is>
      </c>
      <c r="G2353" s="5" t="inlineStr">
        <is>
          <t>19 Sep 2026</t>
        </is>
      </c>
      <c r="H2353" s="8" t="inlineStr">
        <is>
          <t>⏳ UPCOMING</t>
        </is>
      </c>
      <c r="I2353" s="4" t="inlineStr">
        <is>
          <t>Tender_2026_CMTDM_1337779_1_All_Documents.zip</t>
        </is>
      </c>
      <c r="J2353" s="6" t="inlineStr">
        <is>
          <t>📦 ZIP Package</t>
        </is>
      </c>
      <c r="K2353" s="9" t="n">
        <v>11.6</v>
      </c>
      <c r="L2353" s="10">
        <f>HYPERLINK("http://127.0.0.1:8000/api/documents/download?id=428&amp;attachment=true", "⬇ Download Tender_2026_CMTDM_133777")</f>
        <v/>
      </c>
      <c r="M2353" s="10">
        <f>HYPERLINK("http://localhost:5173/?state=Maharashtra&amp;keyword=Forest&amp;tender=2026_CMTDM_1337779_1", "🚀 Open in Portal")</f>
        <v/>
      </c>
    </row>
    <row r="2354" ht="24" customHeight="1">
      <c r="A2354" s="11" t="inlineStr">
        <is>
          <t>Maharashtra</t>
        </is>
      </c>
      <c r="B2354" s="12" t="inlineStr">
        <is>
          <t>Forest</t>
        </is>
      </c>
      <c r="C2354" s="13" t="inlineStr">
        <is>
          <t>2026_CWRDP_1343882_1</t>
        </is>
      </c>
      <c r="D2354" s="14" t="inlineStr">
        <is>
          <t>[Obtaining Forest Clearance and carrying out allied works for Sakalai Lift Irrigation Scheme, Chikhali Tal. Shrigonda, Dist. Ahilyanagar.]</t>
        </is>
      </c>
      <c r="E2354" s="14" t="inlineStr">
        <is>
          <t>Maharashtra Public Works &amp; Technology Department</t>
        </is>
      </c>
      <c r="F2354" s="13" t="inlineStr">
        <is>
          <t>08 Aug 2026</t>
        </is>
      </c>
      <c r="G2354" s="12" t="inlineStr">
        <is>
          <t>29 Aug 2026</t>
        </is>
      </c>
      <c r="H2354" s="8" t="inlineStr">
        <is>
          <t>⏳ UPCOMING</t>
        </is>
      </c>
      <c r="I2354" s="11" t="inlineStr">
        <is>
          <t>Tendernotice_1.pdf</t>
        </is>
      </c>
      <c r="J2354" s="13" t="inlineStr">
        <is>
          <t>📕 PDF Document</t>
        </is>
      </c>
      <c r="K2354" s="15" t="n">
        <v>17.9</v>
      </c>
      <c r="L2354" s="16">
        <f>HYPERLINK("http://127.0.0.1:8000/api/documents/download?id=386&amp;attachment=true", "⬇ Download Tendernotice_1.pdf")</f>
        <v/>
      </c>
      <c r="M2354" s="16">
        <f>HYPERLINK("http://localhost:5173/?state=Maharashtra&amp;keyword=Forest&amp;tender=2026_CWRDP_1343882_1", "🚀 Open in Portal")</f>
        <v/>
      </c>
    </row>
    <row r="2355" ht="24" customHeight="1">
      <c r="A2355" s="4" t="inlineStr">
        <is>
          <t>Maharashtra</t>
        </is>
      </c>
      <c r="B2355" s="5" t="inlineStr">
        <is>
          <t>Forest</t>
        </is>
      </c>
      <c r="C2355" s="6" t="inlineStr">
        <is>
          <t>2026_CWRDP_1343882_1</t>
        </is>
      </c>
      <c r="D2355" s="7" t="inlineStr">
        <is>
          <t>[Obtaining Forest Clearance and carrying out allied works for Sakalai Lift Irrigation Scheme, Chikhali Tal. Shrigonda, Dist. Ahilyanagar.]</t>
        </is>
      </c>
      <c r="E2355" s="7" t="inlineStr">
        <is>
          <t>Maharashtra Public Works &amp; Technology Department</t>
        </is>
      </c>
      <c r="F2355" s="6" t="inlineStr">
        <is>
          <t>08 Aug 2026</t>
        </is>
      </c>
      <c r="G2355" s="5" t="inlineStr">
        <is>
          <t>29 Aug 2026</t>
        </is>
      </c>
      <c r="H2355" s="8" t="inlineStr">
        <is>
          <t>⏳ UPCOMING</t>
        </is>
      </c>
      <c r="I2355" s="4" t="inlineStr">
        <is>
          <t>BOQ_2296887.xls</t>
        </is>
      </c>
      <c r="J2355" s="6" t="inlineStr">
        <is>
          <t>📊 Excel BOQ</t>
        </is>
      </c>
      <c r="K2355" s="9" t="n">
        <v>2.5</v>
      </c>
      <c r="L2355" s="10">
        <f>HYPERLINK("http://127.0.0.1:8000/api/documents/download?id=387&amp;attachment=true", "⬇ Download BOQ_2296887.xls")</f>
        <v/>
      </c>
      <c r="M2355" s="10">
        <f>HYPERLINK("http://localhost:5173/?state=Maharashtra&amp;keyword=Forest&amp;tender=2026_CWRDP_1343882_1", "🚀 Open in Portal")</f>
        <v/>
      </c>
    </row>
    <row r="2356" ht="24" customHeight="1">
      <c r="A2356" s="11" t="inlineStr">
        <is>
          <t>Maharashtra</t>
        </is>
      </c>
      <c r="B2356" s="12" t="inlineStr">
        <is>
          <t>Forest</t>
        </is>
      </c>
      <c r="C2356" s="13" t="inlineStr">
        <is>
          <t>2026_CWRDP_1343882_1</t>
        </is>
      </c>
      <c r="D2356" s="14" t="inlineStr">
        <is>
          <t>[Obtaining Forest Clearance and carrying out allied works for Sakalai Lift Irrigation Scheme, Chikhali Tal. Shrigonda, Dist. Ahilyanagar.]</t>
        </is>
      </c>
      <c r="E2356" s="14" t="inlineStr">
        <is>
          <t>Maharashtra Public Works &amp; Technology Department</t>
        </is>
      </c>
      <c r="F2356" s="13" t="inlineStr">
        <is>
          <t>08 Aug 2026</t>
        </is>
      </c>
      <c r="G2356" s="12" t="inlineStr">
        <is>
          <t>29 Aug 2026</t>
        </is>
      </c>
      <c r="H2356" s="8" t="inlineStr">
        <is>
          <t>⏳ UPCOMING</t>
        </is>
      </c>
      <c r="I2356" s="11" t="inlineStr">
        <is>
          <t>TenderPaperForestApproval.pdf</t>
        </is>
      </c>
      <c r="J2356" s="13" t="inlineStr">
        <is>
          <t>📕 PDF Document</t>
        </is>
      </c>
      <c r="K2356" s="15" t="n">
        <v>17.9</v>
      </c>
      <c r="L2356" s="16">
        <f>HYPERLINK("http://127.0.0.1:8000/api/documents/download?id=388&amp;attachment=true", "⬇ Download TenderPaperForestApprova")</f>
        <v/>
      </c>
      <c r="M2356" s="16">
        <f>HYPERLINK("http://localhost:5173/?state=Maharashtra&amp;keyword=Forest&amp;tender=2026_CWRDP_1343882_1", "🚀 Open in Portal")</f>
        <v/>
      </c>
    </row>
    <row r="2357" ht="24" customHeight="1">
      <c r="A2357" s="4" t="inlineStr">
        <is>
          <t>Maharashtra</t>
        </is>
      </c>
      <c r="B2357" s="5" t="inlineStr">
        <is>
          <t>Forest</t>
        </is>
      </c>
      <c r="C2357" s="6" t="inlineStr">
        <is>
          <t>2026_CWRDP_1343882_1</t>
        </is>
      </c>
      <c r="D2357" s="7" t="inlineStr">
        <is>
          <t>[Obtaining Forest Clearance and carrying out allied works for Sakalai Lift Irrigation Scheme, Chikhali Tal. Shrigonda, Dist. Ahilyanagar.]</t>
        </is>
      </c>
      <c r="E2357" s="7" t="inlineStr">
        <is>
          <t>Maharashtra Public Works &amp; Technology Department</t>
        </is>
      </c>
      <c r="F2357" s="6" t="inlineStr">
        <is>
          <t>08 Aug 2026</t>
        </is>
      </c>
      <c r="G2357" s="5" t="inlineStr">
        <is>
          <t>29 Aug 2026</t>
        </is>
      </c>
      <c r="H2357" s="8" t="inlineStr">
        <is>
          <t>⏳ UPCOMING</t>
        </is>
      </c>
      <c r="I2357" s="4" t="inlineStr">
        <is>
          <t>Tender_2026_CWRDP_1343882_1_All_Documents.zip</t>
        </is>
      </c>
      <c r="J2357" s="6" t="inlineStr">
        <is>
          <t>📦 ZIP Package</t>
        </is>
      </c>
      <c r="K2357" s="9" t="n">
        <v>21</v>
      </c>
      <c r="L2357" s="10">
        <f>HYPERLINK("http://127.0.0.1:8000/api/documents/download?id=389&amp;attachment=true", "⬇ Download Tender_2026_CWRDP_134388")</f>
        <v/>
      </c>
      <c r="M2357" s="10">
        <f>HYPERLINK("http://localhost:5173/?state=Maharashtra&amp;keyword=Forest&amp;tender=2026_CWRDP_1343882_1", "🚀 Open in Portal")</f>
        <v/>
      </c>
    </row>
    <row r="2358" ht="24" customHeight="1">
      <c r="A2358" s="11" t="inlineStr">
        <is>
          <t>Maharashtra</t>
        </is>
      </c>
      <c r="B2358" s="12" t="inlineStr">
        <is>
          <t>Forest</t>
        </is>
      </c>
      <c r="C2358" s="13" t="inlineStr">
        <is>
          <t>2026_HFFN_1341053_1</t>
        </is>
      </c>
      <c r="D2358" s="14" t="inlineStr">
        <is>
          <t>[CONST OF WALKWAY AT MANUDEVI DEVSTHAN TAL YAWAL]</t>
        </is>
      </c>
      <c r="E2358" s="14" t="inlineStr">
        <is>
          <t>Maharashtra Public Works &amp; Technology Department</t>
        </is>
      </c>
      <c r="F2358" s="13" t="inlineStr">
        <is>
          <t>18 Aug 2026</t>
        </is>
      </c>
      <c r="G2358" s="12" t="inlineStr">
        <is>
          <t>13 Sep 2026</t>
        </is>
      </c>
      <c r="H2358" s="8" t="inlineStr">
        <is>
          <t>⏳ UPCOMING</t>
        </is>
      </c>
      <c r="I2358" s="11" t="inlineStr">
        <is>
          <t>Tendernotice_1.pdf</t>
        </is>
      </c>
      <c r="J2358" s="13" t="inlineStr">
        <is>
          <t>📕 PDF Document</t>
        </is>
      </c>
      <c r="K2358" s="15" t="n">
        <v>17.9</v>
      </c>
      <c r="L2358" s="16">
        <f>HYPERLINK("http://127.0.0.1:8000/api/documents/download?id=422&amp;attachment=true", "⬇ Download Tendernotice_1.pdf")</f>
        <v/>
      </c>
      <c r="M2358" s="16">
        <f>HYPERLINK("http://localhost:5173/?state=Maharashtra&amp;keyword=Forest&amp;tender=2026_HFFN_1341053_1", "🚀 Open in Portal")</f>
        <v/>
      </c>
    </row>
    <row r="2359" ht="24" customHeight="1">
      <c r="A2359" s="4" t="inlineStr">
        <is>
          <t>Maharashtra</t>
        </is>
      </c>
      <c r="B2359" s="5" t="inlineStr">
        <is>
          <t>Forest</t>
        </is>
      </c>
      <c r="C2359" s="6" t="inlineStr">
        <is>
          <t>2026_HFFN_1341053_1</t>
        </is>
      </c>
      <c r="D2359" s="7" t="inlineStr">
        <is>
          <t>[CONST OF WALKWAY AT MANUDEVI DEVSTHAN TAL YAWAL]</t>
        </is>
      </c>
      <c r="E2359" s="7" t="inlineStr">
        <is>
          <t>Maharashtra Public Works &amp; Technology Department</t>
        </is>
      </c>
      <c r="F2359" s="6" t="inlineStr">
        <is>
          <t>18 Aug 2026</t>
        </is>
      </c>
      <c r="G2359" s="5" t="inlineStr">
        <is>
          <t>13 Sep 2026</t>
        </is>
      </c>
      <c r="H2359" s="8" t="inlineStr">
        <is>
          <t>⏳ UPCOMING</t>
        </is>
      </c>
      <c r="I2359" s="4" t="inlineStr">
        <is>
          <t>TDNotice.pdf</t>
        </is>
      </c>
      <c r="J2359" s="6" t="inlineStr">
        <is>
          <t>📕 PDF Document</t>
        </is>
      </c>
      <c r="K2359" s="9" t="n">
        <v>17.8</v>
      </c>
      <c r="L2359" s="10">
        <f>HYPERLINK("http://127.0.0.1:8000/api/documents/download?id=423&amp;attachment=true", "⬇ Download TDNotice.pdf")</f>
        <v/>
      </c>
      <c r="M2359" s="10">
        <f>HYPERLINK("http://localhost:5173/?state=Maharashtra&amp;keyword=Forest&amp;tender=2026_HFFN_1341053_1", "🚀 Open in Portal")</f>
        <v/>
      </c>
    </row>
    <row r="2360" ht="24" customHeight="1">
      <c r="A2360" s="11" t="inlineStr">
        <is>
          <t>Maharashtra</t>
        </is>
      </c>
      <c r="B2360" s="12" t="inlineStr">
        <is>
          <t>Forest</t>
        </is>
      </c>
      <c r="C2360" s="13" t="inlineStr">
        <is>
          <t>2026_HFFN_1341053_1</t>
        </is>
      </c>
      <c r="D2360" s="14" t="inlineStr">
        <is>
          <t>[CONST OF WALKWAY AT MANUDEVI DEVSTHAN TAL YAWAL]</t>
        </is>
      </c>
      <c r="E2360" s="14" t="inlineStr">
        <is>
          <t>Maharashtra Public Works &amp; Technology Department</t>
        </is>
      </c>
      <c r="F2360" s="13" t="inlineStr">
        <is>
          <t>18 Aug 2026</t>
        </is>
      </c>
      <c r="G2360" s="12" t="inlineStr">
        <is>
          <t>13 Sep 2026</t>
        </is>
      </c>
      <c r="H2360" s="8" t="inlineStr">
        <is>
          <t>⏳ UPCOMING</t>
        </is>
      </c>
      <c r="I2360" s="11" t="inlineStr">
        <is>
          <t>BOQ_2292436.xls</t>
        </is>
      </c>
      <c r="J2360" s="13" t="inlineStr">
        <is>
          <t>📊 Excel BOQ</t>
        </is>
      </c>
      <c r="K2360" s="15" t="n">
        <v>2.4</v>
      </c>
      <c r="L2360" s="16">
        <f>HYPERLINK("http://127.0.0.1:8000/api/documents/download?id=424&amp;attachment=true", "⬇ Download BOQ_2292436.xls")</f>
        <v/>
      </c>
      <c r="M2360" s="16">
        <f>HYPERLINK("http://localhost:5173/?state=Maharashtra&amp;keyword=Forest&amp;tender=2026_HFFN_1341053_1", "🚀 Open in Portal")</f>
        <v/>
      </c>
    </row>
    <row r="2361" ht="24" customHeight="1">
      <c r="A2361" s="4" t="inlineStr">
        <is>
          <t>Maharashtra</t>
        </is>
      </c>
      <c r="B2361" s="5" t="inlineStr">
        <is>
          <t>Forest</t>
        </is>
      </c>
      <c r="C2361" s="6" t="inlineStr">
        <is>
          <t>2026_HFFN_1341053_1</t>
        </is>
      </c>
      <c r="D2361" s="7" t="inlineStr">
        <is>
          <t>[CONST OF WALKWAY AT MANUDEVI DEVSTHAN TAL YAWAL]</t>
        </is>
      </c>
      <c r="E2361" s="7" t="inlineStr">
        <is>
          <t>Maharashtra Public Works &amp; Technology Department</t>
        </is>
      </c>
      <c r="F2361" s="6" t="inlineStr">
        <is>
          <t>18 Aug 2026</t>
        </is>
      </c>
      <c r="G2361" s="5" t="inlineStr">
        <is>
          <t>13 Sep 2026</t>
        </is>
      </c>
      <c r="H2361" s="8" t="inlineStr">
        <is>
          <t>⏳ UPCOMING</t>
        </is>
      </c>
      <c r="I2361" s="4" t="inlineStr">
        <is>
          <t>Tender_2026_HFFN_1341053_1_All_Documents.zip</t>
        </is>
      </c>
      <c r="J2361" s="6" t="inlineStr">
        <is>
          <t>📦 ZIP Package</t>
        </is>
      </c>
      <c r="K2361" s="9" t="n">
        <v>20.8</v>
      </c>
      <c r="L2361" s="10">
        <f>HYPERLINK("http://127.0.0.1:8000/api/documents/download?id=425&amp;attachment=true", "⬇ Download Tender_2026_HFFN_1341053")</f>
        <v/>
      </c>
      <c r="M2361" s="10">
        <f>HYPERLINK("http://localhost:5173/?state=Maharashtra&amp;keyword=Forest&amp;tender=2026_HFFN_1341053_1", "🚀 Open in Portal")</f>
        <v/>
      </c>
    </row>
    <row r="2362" ht="24" customHeight="1">
      <c r="A2362" s="11" t="inlineStr">
        <is>
          <t>Maharashtra</t>
        </is>
      </c>
      <c r="B2362" s="12" t="inlineStr">
        <is>
          <t>Forest</t>
        </is>
      </c>
      <c r="C2362" s="13" t="inlineStr">
        <is>
          <t>2026_MAH_5710685_34</t>
        </is>
      </c>
      <c r="D2362" s="14" t="inlineStr">
        <is>
          <t>Forest-Based Satellite-Based Forest Canopy Density &amp; Wildlife Corridor Spatial Monitoring</t>
        </is>
      </c>
      <c r="E2362" s="14" t="inlineStr">
        <is>
          <t>STATE FOREST &amp; ENVIRONMENT DEPARTMENT</t>
        </is>
      </c>
      <c r="F2362" s="13" t="inlineStr">
        <is>
          <t>17 Aug 2026</t>
        </is>
      </c>
      <c r="G2362" s="12" t="inlineStr">
        <is>
          <t>15 Sep 2026</t>
        </is>
      </c>
      <c r="H2362" s="8" t="inlineStr">
        <is>
          <t>⏳ UPCOMING</t>
        </is>
      </c>
      <c r="I2362" s="11" t="inlineStr">
        <is>
          <t>Tendernotice_2026_MAH_5710685_34.pdf</t>
        </is>
      </c>
      <c r="J2362" s="13" t="inlineStr">
        <is>
          <t>📕 PDF Document</t>
        </is>
      </c>
      <c r="K2362" s="15" t="n">
        <v>17.9</v>
      </c>
      <c r="L2362" s="16">
        <f>HYPERLINK("http://127.0.0.1:8000/api/documents/download?id=3225&amp;attachment=true", "⬇ Download Tendernotice_2026_MAH_57")</f>
        <v/>
      </c>
      <c r="M2362" s="16">
        <f>HYPERLINK("http://localhost:5173/?state=Maharashtra&amp;keyword=Forest&amp;tender=2026_MAH_5710685_34", "🚀 Open in Portal")</f>
        <v/>
      </c>
    </row>
    <row r="2363" ht="24" customHeight="1">
      <c r="A2363" s="4" t="inlineStr">
        <is>
          <t>Maharashtra</t>
        </is>
      </c>
      <c r="B2363" s="5" t="inlineStr">
        <is>
          <t>Forest</t>
        </is>
      </c>
      <c r="C2363" s="6" t="inlineStr">
        <is>
          <t>2026_MAH_5710685_34</t>
        </is>
      </c>
      <c r="D2363" s="7" t="inlineStr">
        <is>
          <t>Forest-Based Satellite-Based Forest Canopy Density &amp; Wildlife Corridor Spatial Monitoring</t>
        </is>
      </c>
      <c r="E2363" s="7" t="inlineStr">
        <is>
          <t>STATE FOREST &amp; ENVIRONMENT DEPARTMENT</t>
        </is>
      </c>
      <c r="F2363" s="6" t="inlineStr">
        <is>
          <t>17 Aug 2026</t>
        </is>
      </c>
      <c r="G2363" s="5" t="inlineStr">
        <is>
          <t>15 Sep 2026</t>
        </is>
      </c>
      <c r="H2363" s="8" t="inlineStr">
        <is>
          <t>⏳ UPCOMING</t>
        </is>
      </c>
      <c r="I2363" s="4" t="inlineStr">
        <is>
          <t>Technical_RFP_Specification_Forest.pdf</t>
        </is>
      </c>
      <c r="J2363" s="6" t="inlineStr">
        <is>
          <t>📕 PDF Document</t>
        </is>
      </c>
      <c r="K2363" s="9" t="n">
        <v>17.9</v>
      </c>
      <c r="L2363" s="10">
        <f>HYPERLINK("http://127.0.0.1:8000/api/documents/download?id=3226&amp;attachment=true", "⬇ Download Technical_RFP_Specificat")</f>
        <v/>
      </c>
      <c r="M2363" s="10">
        <f>HYPERLINK("http://localhost:5173/?state=Maharashtra&amp;keyword=Forest&amp;tender=2026_MAH_5710685_34", "🚀 Open in Portal")</f>
        <v/>
      </c>
    </row>
    <row r="2364" ht="24" customHeight="1">
      <c r="A2364" s="11" t="inlineStr">
        <is>
          <t>Maharashtra</t>
        </is>
      </c>
      <c r="B2364" s="12" t="inlineStr">
        <is>
          <t>Forest</t>
        </is>
      </c>
      <c r="C2364" s="13" t="inlineStr">
        <is>
          <t>2026_MAH_5710685_34</t>
        </is>
      </c>
      <c r="D2364" s="14" t="inlineStr">
        <is>
          <t>Forest-Based Satellite-Based Forest Canopy Density &amp; Wildlife Corridor Spatial Monitoring</t>
        </is>
      </c>
      <c r="E2364" s="14" t="inlineStr">
        <is>
          <t>STATE FOREST &amp; ENVIRONMENT DEPARTMENT</t>
        </is>
      </c>
      <c r="F2364" s="13" t="inlineStr">
        <is>
          <t>17 Aug 2026</t>
        </is>
      </c>
      <c r="G2364" s="12" t="inlineStr">
        <is>
          <t>15 Sep 2026</t>
        </is>
      </c>
      <c r="H2364" s="8" t="inlineStr">
        <is>
          <t>⏳ UPCOMING</t>
        </is>
      </c>
      <c r="I2364" s="11" t="inlineStr">
        <is>
          <t>BOQ_Financial_Schedule_2026_MAH_5710685_34.xlsx</t>
        </is>
      </c>
      <c r="J2364" s="13" t="inlineStr">
        <is>
          <t>📊 Excel BOQ</t>
        </is>
      </c>
      <c r="K2364" s="15" t="n">
        <v>2.5</v>
      </c>
      <c r="L2364" s="16">
        <f>HYPERLINK("http://127.0.0.1:8000/api/documents/download?id=3227&amp;attachment=true", "⬇ Download BOQ_Financial_Schedule_2")</f>
        <v/>
      </c>
      <c r="M2364" s="16">
        <f>HYPERLINK("http://localhost:5173/?state=Maharashtra&amp;keyword=Forest&amp;tender=2026_MAH_5710685_34", "🚀 Open in Portal")</f>
        <v/>
      </c>
    </row>
    <row r="2365" ht="24" customHeight="1">
      <c r="A2365" s="4" t="inlineStr">
        <is>
          <t>Maharashtra</t>
        </is>
      </c>
      <c r="B2365" s="5" t="inlineStr">
        <is>
          <t>Forest</t>
        </is>
      </c>
      <c r="C2365" s="6" t="inlineStr">
        <is>
          <t>2026_MAH_5710685_34</t>
        </is>
      </c>
      <c r="D2365" s="7" t="inlineStr">
        <is>
          <t>Forest-Based Satellite-Based Forest Canopy Density &amp; Wildlife Corridor Spatial Monitoring</t>
        </is>
      </c>
      <c r="E2365" s="7" t="inlineStr">
        <is>
          <t>STATE FOREST &amp; ENVIRONMENT DEPARTMENT</t>
        </is>
      </c>
      <c r="F2365" s="6" t="inlineStr">
        <is>
          <t>17 Aug 2026</t>
        </is>
      </c>
      <c r="G2365" s="5" t="inlineStr">
        <is>
          <t>15 Sep 2026</t>
        </is>
      </c>
      <c r="H2365" s="8" t="inlineStr">
        <is>
          <t>⏳ UPCOMING</t>
        </is>
      </c>
      <c r="I2365" s="4" t="inlineStr">
        <is>
          <t>Tender_2026_MAH_5710685_34_All_Documents.zip</t>
        </is>
      </c>
      <c r="J2365" s="6" t="inlineStr">
        <is>
          <t>📦 ZIP Package</t>
        </is>
      </c>
      <c r="K2365" s="9" t="n">
        <v>45</v>
      </c>
      <c r="L2365" s="10">
        <f>HYPERLINK("https://mahatenders.gov.in/tender/2026_MAH_5710685_34", "⬇ Download Tender_2026_MAH_5710685_")</f>
        <v/>
      </c>
      <c r="M2365" s="10">
        <f>HYPERLINK("http://localhost:5173/?state=Maharashtra&amp;keyword=Forest&amp;tender=2026_MAH_5710685_34", "🚀 Open in Portal")</f>
        <v/>
      </c>
    </row>
    <row r="2366" ht="24" customHeight="1">
      <c r="A2366" s="11" t="inlineStr">
        <is>
          <t>Maharashtra</t>
        </is>
      </c>
      <c r="B2366" s="12" t="inlineStr">
        <is>
          <t>Forest</t>
        </is>
      </c>
      <c r="C2366" s="13" t="inlineStr">
        <is>
          <t>2026_MMB_1342526_1</t>
        </is>
      </c>
      <c r="D2366" s="14" t="inlineStr">
        <is>
          <t>[Appointment of NABET Accredited Environmental Consultant for Obtaining CRZ Clearance, Environmental Clearance and Forest Clearances for Greenfield Shipbuilding Industrial Cluster at Dighi, Raigad, Maharashtra 2nd Call]</t>
        </is>
      </c>
      <c r="E2366" s="14" t="inlineStr">
        <is>
          <t>Maharashtra Public Works &amp; Technology Department</t>
        </is>
      </c>
      <c r="F2366" s="13" t="inlineStr">
        <is>
          <t>15 Aug 2026</t>
        </is>
      </c>
      <c r="G2366" s="12" t="inlineStr">
        <is>
          <t>12 Sep 2026</t>
        </is>
      </c>
      <c r="H2366" s="8" t="inlineStr">
        <is>
          <t>⏳ UPCOMING</t>
        </is>
      </c>
      <c r="I2366" s="11" t="inlineStr">
        <is>
          <t>Tendernotice_1.pdf</t>
        </is>
      </c>
      <c r="J2366" s="13" t="inlineStr">
        <is>
          <t>📕 PDF Document</t>
        </is>
      </c>
      <c r="K2366" s="15" t="n">
        <v>17.9</v>
      </c>
      <c r="L2366" s="16">
        <f>HYPERLINK("http://127.0.0.1:8000/api/documents/download?id=449&amp;attachment=true", "⬇ Download Tendernotice_1.pdf")</f>
        <v/>
      </c>
      <c r="M2366" s="16">
        <f>HYPERLINK("http://localhost:5173/?state=Maharashtra&amp;keyword=Forest&amp;tender=2026_MMB_1342526_1", "🚀 Open in Portal")</f>
        <v/>
      </c>
    </row>
    <row r="2367" ht="24" customHeight="1">
      <c r="A2367" s="4" t="inlineStr">
        <is>
          <t>Maharashtra</t>
        </is>
      </c>
      <c r="B2367" s="5" t="inlineStr">
        <is>
          <t>Forest</t>
        </is>
      </c>
      <c r="C2367" s="6" t="inlineStr">
        <is>
          <t>2026_MMB_1342526_1</t>
        </is>
      </c>
      <c r="D2367" s="7" t="inlineStr">
        <is>
          <t>[Appointment of NABET Accredited Environmental Consultant for Obtaining CRZ Clearance, Environmental Clearance and Forest Clearances for Greenfield Shipbuilding Industrial Cluster at Dighi, Raigad, Maharashtra 2nd Call]</t>
        </is>
      </c>
      <c r="E2367" s="7" t="inlineStr">
        <is>
          <t>Maharashtra Public Works &amp; Technology Department</t>
        </is>
      </c>
      <c r="F2367" s="6" t="inlineStr">
        <is>
          <t>15 Aug 2026</t>
        </is>
      </c>
      <c r="G2367" s="5" t="inlineStr">
        <is>
          <t>12 Sep 2026</t>
        </is>
      </c>
      <c r="H2367" s="8" t="inlineStr">
        <is>
          <t>⏳ UPCOMING</t>
        </is>
      </c>
      <c r="I2367" s="4" t="inlineStr">
        <is>
          <t>RFP.pdf</t>
        </is>
      </c>
      <c r="J2367" s="6" t="inlineStr">
        <is>
          <t>📕 PDF Document</t>
        </is>
      </c>
      <c r="K2367" s="9" t="n">
        <v>17.8</v>
      </c>
      <c r="L2367" s="10">
        <f>HYPERLINK("http://127.0.0.1:8000/api/documents/download?id=450&amp;attachment=true", "⬇ Download RFP.pdf")</f>
        <v/>
      </c>
      <c r="M2367" s="10">
        <f>HYPERLINK("http://localhost:5173/?state=Maharashtra&amp;keyword=Forest&amp;tender=2026_MMB_1342526_1", "🚀 Open in Portal")</f>
        <v/>
      </c>
    </row>
    <row r="2368" ht="24" customHeight="1">
      <c r="A2368" s="11" t="inlineStr">
        <is>
          <t>Maharashtra</t>
        </is>
      </c>
      <c r="B2368" s="12" t="inlineStr">
        <is>
          <t>Forest</t>
        </is>
      </c>
      <c r="C2368" s="13" t="inlineStr">
        <is>
          <t>2026_MMB_1342526_1</t>
        </is>
      </c>
      <c r="D2368" s="14" t="inlineStr">
        <is>
          <t>[Appointment of NABET Accredited Environmental Consultant for Obtaining CRZ Clearance, Environmental Clearance and Forest Clearances for Greenfield Shipbuilding Industrial Cluster at Dighi, Raigad, Maharashtra 2nd Call]</t>
        </is>
      </c>
      <c r="E2368" s="14" t="inlineStr">
        <is>
          <t>Maharashtra Public Works &amp; Technology Department</t>
        </is>
      </c>
      <c r="F2368" s="13" t="inlineStr">
        <is>
          <t>15 Aug 2026</t>
        </is>
      </c>
      <c r="G2368" s="12" t="inlineStr">
        <is>
          <t>12 Sep 2026</t>
        </is>
      </c>
      <c r="H2368" s="8" t="inlineStr">
        <is>
          <t>⏳ UPCOMING</t>
        </is>
      </c>
      <c r="I2368" s="11" t="inlineStr">
        <is>
          <t>BOQ_2294730.xls</t>
        </is>
      </c>
      <c r="J2368" s="13" t="inlineStr">
        <is>
          <t>📊 Excel BOQ</t>
        </is>
      </c>
      <c r="K2368" s="15" t="n">
        <v>2.5</v>
      </c>
      <c r="L2368" s="16">
        <f>HYPERLINK("http://127.0.0.1:8000/api/documents/download?id=451&amp;attachment=true", "⬇ Download BOQ_2294730.xls")</f>
        <v/>
      </c>
      <c r="M2368" s="16">
        <f>HYPERLINK("http://localhost:5173/?state=Maharashtra&amp;keyword=Forest&amp;tender=2026_MMB_1342526_1", "🚀 Open in Portal")</f>
        <v/>
      </c>
    </row>
    <row r="2369" ht="24" customHeight="1">
      <c r="A2369" s="4" t="inlineStr">
        <is>
          <t>Maharashtra</t>
        </is>
      </c>
      <c r="B2369" s="5" t="inlineStr">
        <is>
          <t>Forest</t>
        </is>
      </c>
      <c r="C2369" s="6" t="inlineStr">
        <is>
          <t>2026_MMB_1342526_1</t>
        </is>
      </c>
      <c r="D2369" s="7" t="inlineStr">
        <is>
          <t>[Appointment of NABET Accredited Environmental Consultant for Obtaining CRZ Clearance, Environmental Clearance and Forest Clearances for Greenfield Shipbuilding Industrial Cluster at Dighi, Raigad, Maharashtra 2nd Call]</t>
        </is>
      </c>
      <c r="E2369" s="7" t="inlineStr">
        <is>
          <t>Maharashtra Public Works &amp; Technology Department</t>
        </is>
      </c>
      <c r="F2369" s="6" t="inlineStr">
        <is>
          <t>15 Aug 2026</t>
        </is>
      </c>
      <c r="G2369" s="5" t="inlineStr">
        <is>
          <t>12 Sep 2026</t>
        </is>
      </c>
      <c r="H2369" s="8" t="inlineStr">
        <is>
          <t>⏳ UPCOMING</t>
        </is>
      </c>
      <c r="I2369" s="4" t="inlineStr">
        <is>
          <t>Tender_2026_MMB_1342526_1_All_Documents.zip</t>
        </is>
      </c>
      <c r="J2369" s="6" t="inlineStr">
        <is>
          <t>📦 ZIP Package</t>
        </is>
      </c>
      <c r="K2369" s="9" t="n">
        <v>20.8</v>
      </c>
      <c r="L2369" s="10">
        <f>HYPERLINK("http://127.0.0.1:8000/api/documents/download?id=452&amp;attachment=true", "⬇ Download Tender_2026_MMB_1342526_")</f>
        <v/>
      </c>
      <c r="M2369" s="10">
        <f>HYPERLINK("http://localhost:5173/?state=Maharashtra&amp;keyword=Forest&amp;tender=2026_MMB_1342526_1", "🚀 Open in Portal")</f>
        <v/>
      </c>
    </row>
    <row r="2370" ht="24" customHeight="1">
      <c r="A2370" s="11" t="inlineStr">
        <is>
          <t>Maharashtra</t>
        </is>
      </c>
      <c r="B2370" s="12" t="inlineStr">
        <is>
          <t>Forest</t>
        </is>
      </c>
      <c r="C2370" s="13" t="inlineStr">
        <is>
          <t>2026_MMB_1342533_1</t>
        </is>
      </c>
      <c r="D2370" s="14" t="inlineStr">
        <is>
          <t>[Appointment of NABET Accredited Environmental Consultant for Obtaining CRZ Clearance, Environmental Clerance and Forest Clearance, Ecological Sensitive Zone Clearances for Mumbai Water Metro Project (Phase 1) 2nd Call]</t>
        </is>
      </c>
      <c r="E2370" s="14" t="inlineStr">
        <is>
          <t>Maharashtra Public Works &amp; Technology Department</t>
        </is>
      </c>
      <c r="F2370" s="13" t="inlineStr">
        <is>
          <t>12 Aug 2026</t>
        </is>
      </c>
      <c r="G2370" s="12" t="inlineStr">
        <is>
          <t>02 Sep 2026</t>
        </is>
      </c>
      <c r="H2370" s="8" t="inlineStr">
        <is>
          <t>⏳ UPCOMING</t>
        </is>
      </c>
      <c r="I2370" s="11" t="inlineStr">
        <is>
          <t>Tendernotice_1.pdf</t>
        </is>
      </c>
      <c r="J2370" s="13" t="inlineStr">
        <is>
          <t>📕 PDF Document</t>
        </is>
      </c>
      <c r="K2370" s="15" t="n">
        <v>17.9</v>
      </c>
      <c r="L2370" s="16">
        <f>HYPERLINK("http://127.0.0.1:8000/api/documents/download?id=445&amp;attachment=true", "⬇ Download Tendernotice_1.pdf")</f>
        <v/>
      </c>
      <c r="M2370" s="16">
        <f>HYPERLINK("http://localhost:5173/?state=Maharashtra&amp;keyword=Forest&amp;tender=2026_MMB_1342533_1", "🚀 Open in Portal")</f>
        <v/>
      </c>
    </row>
    <row r="2371" ht="24" customHeight="1">
      <c r="A2371" s="4" t="inlineStr">
        <is>
          <t>Maharashtra</t>
        </is>
      </c>
      <c r="B2371" s="5" t="inlineStr">
        <is>
          <t>Forest</t>
        </is>
      </c>
      <c r="C2371" s="6" t="inlineStr">
        <is>
          <t>2026_MMB_1342533_1</t>
        </is>
      </c>
      <c r="D2371" s="7" t="inlineStr">
        <is>
          <t>[Appointment of NABET Accredited Environmental Consultant for Obtaining CRZ Clearance, Environmental Clerance and Forest Clearance, Ecological Sensitive Zone Clearances for Mumbai Water Metro Project (Phase 1) 2nd Call]</t>
        </is>
      </c>
      <c r="E2371" s="7" t="inlineStr">
        <is>
          <t>Maharashtra Public Works &amp; Technology Department</t>
        </is>
      </c>
      <c r="F2371" s="6" t="inlineStr">
        <is>
          <t>12 Aug 2026</t>
        </is>
      </c>
      <c r="G2371" s="5" t="inlineStr">
        <is>
          <t>02 Sep 2026</t>
        </is>
      </c>
      <c r="H2371" s="8" t="inlineStr">
        <is>
          <t>⏳ UPCOMING</t>
        </is>
      </c>
      <c r="I2371" s="4" t="inlineStr">
        <is>
          <t>BOQ_2294736.xls</t>
        </is>
      </c>
      <c r="J2371" s="6" t="inlineStr">
        <is>
          <t>📊 Excel BOQ</t>
        </is>
      </c>
      <c r="K2371" s="9" t="n">
        <v>2.5</v>
      </c>
      <c r="L2371" s="10">
        <f>HYPERLINK("http://127.0.0.1:8000/api/documents/download?id=446&amp;attachment=true", "⬇ Download BOQ_2294736.xls")</f>
        <v/>
      </c>
      <c r="M2371" s="10">
        <f>HYPERLINK("http://localhost:5173/?state=Maharashtra&amp;keyword=Forest&amp;tender=2026_MMB_1342533_1", "🚀 Open in Portal")</f>
        <v/>
      </c>
    </row>
    <row r="2372" ht="24" customHeight="1">
      <c r="A2372" s="11" t="inlineStr">
        <is>
          <t>Maharashtra</t>
        </is>
      </c>
      <c r="B2372" s="12" t="inlineStr">
        <is>
          <t>Forest</t>
        </is>
      </c>
      <c r="C2372" s="13" t="inlineStr">
        <is>
          <t>2026_MMB_1342533_1</t>
        </is>
      </c>
      <c r="D2372" s="14" t="inlineStr">
        <is>
          <t>[Appointment of NABET Accredited Environmental Consultant for Obtaining CRZ Clearance, Environmental Clerance and Forest Clearance, Ecological Sensitive Zone Clearances for Mumbai Water Metro Project (Phase 1) 2nd Call]</t>
        </is>
      </c>
      <c r="E2372" s="14" t="inlineStr">
        <is>
          <t>Maharashtra Public Works &amp; Technology Department</t>
        </is>
      </c>
      <c r="F2372" s="13" t="inlineStr">
        <is>
          <t>12 Aug 2026</t>
        </is>
      </c>
      <c r="G2372" s="12" t="inlineStr">
        <is>
          <t>02 Sep 2026</t>
        </is>
      </c>
      <c r="H2372" s="8" t="inlineStr">
        <is>
          <t>⏳ UPCOMING</t>
        </is>
      </c>
      <c r="I2372" s="11" t="inlineStr">
        <is>
          <t>RFP.pdf</t>
        </is>
      </c>
      <c r="J2372" s="13" t="inlineStr">
        <is>
          <t>📕 PDF Document</t>
        </is>
      </c>
      <c r="K2372" s="15" t="n">
        <v>17.8</v>
      </c>
      <c r="L2372" s="16">
        <f>HYPERLINK("http://127.0.0.1:8000/api/documents/download?id=447&amp;attachment=true", "⬇ Download RFP.pdf")</f>
        <v/>
      </c>
      <c r="M2372" s="16">
        <f>HYPERLINK("http://localhost:5173/?state=Maharashtra&amp;keyword=Forest&amp;tender=2026_MMB_1342533_1", "🚀 Open in Portal")</f>
        <v/>
      </c>
    </row>
    <row r="2373" ht="24" customHeight="1">
      <c r="A2373" s="4" t="inlineStr">
        <is>
          <t>Maharashtra</t>
        </is>
      </c>
      <c r="B2373" s="5" t="inlineStr">
        <is>
          <t>Forest</t>
        </is>
      </c>
      <c r="C2373" s="6" t="inlineStr">
        <is>
          <t>2026_MMB_1342533_1</t>
        </is>
      </c>
      <c r="D2373" s="7" t="inlineStr">
        <is>
          <t>[Appointment of NABET Accredited Environmental Consultant for Obtaining CRZ Clearance, Environmental Clerance and Forest Clearance, Ecological Sensitive Zone Clearances for Mumbai Water Metro Project (Phase 1) 2nd Call]</t>
        </is>
      </c>
      <c r="E2373" s="7" t="inlineStr">
        <is>
          <t>Maharashtra Public Works &amp; Technology Department</t>
        </is>
      </c>
      <c r="F2373" s="6" t="inlineStr">
        <is>
          <t>12 Aug 2026</t>
        </is>
      </c>
      <c r="G2373" s="5" t="inlineStr">
        <is>
          <t>02 Sep 2026</t>
        </is>
      </c>
      <c r="H2373" s="8" t="inlineStr">
        <is>
          <t>⏳ UPCOMING</t>
        </is>
      </c>
      <c r="I2373" s="4" t="inlineStr">
        <is>
          <t>Tender_2026_MMB_1342533_1_All_Documents.zip</t>
        </is>
      </c>
      <c r="J2373" s="6" t="inlineStr">
        <is>
          <t>📦 ZIP Package</t>
        </is>
      </c>
      <c r="K2373" s="9" t="n">
        <v>20.8</v>
      </c>
      <c r="L2373" s="10">
        <f>HYPERLINK("http://127.0.0.1:8000/api/documents/download?id=448&amp;attachment=true", "⬇ Download Tender_2026_MMB_1342533_")</f>
        <v/>
      </c>
      <c r="M2373" s="10">
        <f>HYPERLINK("http://localhost:5173/?state=Maharashtra&amp;keyword=Forest&amp;tender=2026_MMB_1342533_1", "🚀 Open in Portal")</f>
        <v/>
      </c>
    </row>
    <row r="2374" ht="24" customHeight="1">
      <c r="A2374" s="11" t="inlineStr">
        <is>
          <t>Maharashtra</t>
        </is>
      </c>
      <c r="B2374" s="12" t="inlineStr">
        <is>
          <t>Forest</t>
        </is>
      </c>
      <c r="C2374" s="13" t="inlineStr">
        <is>
          <t>2026_TMC_1333626_1</t>
        </is>
      </c>
      <c r="D2374" s="14" t="inlineStr">
        <is>
          <t>[Providing Consultancy Services to TMC for obtaining clearance from forest department and MCZMA for construction of New creek bridge on Diva-Shil Road between Diva and Khardi Village within TMC limit]</t>
        </is>
      </c>
      <c r="E2374" s="14" t="inlineStr">
        <is>
          <t>Maharashtra Public Works &amp; Technology Department</t>
        </is>
      </c>
      <c r="F2374" s="13" t="inlineStr">
        <is>
          <t>24 Aug 2026</t>
        </is>
      </c>
      <c r="G2374" s="12" t="inlineStr">
        <is>
          <t>17 Sep 2026</t>
        </is>
      </c>
      <c r="H2374" s="8" t="inlineStr">
        <is>
          <t>⏳ UPCOMING</t>
        </is>
      </c>
      <c r="I2374" s="11" t="inlineStr">
        <is>
          <t>Tendernotice_1.pdf</t>
        </is>
      </c>
      <c r="J2374" s="13" t="inlineStr">
        <is>
          <t>📕 PDF Document</t>
        </is>
      </c>
      <c r="K2374" s="15" t="n">
        <v>17.9</v>
      </c>
      <c r="L2374" s="16">
        <f>HYPERLINK("http://127.0.0.1:8000/api/documents/download?id=429&amp;attachment=true", "⬇ Download Tendernotice_1.pdf")</f>
        <v/>
      </c>
      <c r="M2374" s="16">
        <f>HYPERLINK("http://localhost:5173/?state=Maharashtra&amp;keyword=Forest&amp;tender=2026_TMC_1333626_1", "🚀 Open in Portal")</f>
        <v/>
      </c>
    </row>
    <row r="2375" ht="24" customHeight="1">
      <c r="A2375" s="4" t="inlineStr">
        <is>
          <t>Maharashtra</t>
        </is>
      </c>
      <c r="B2375" s="5" t="inlineStr">
        <is>
          <t>Forest</t>
        </is>
      </c>
      <c r="C2375" s="6" t="inlineStr">
        <is>
          <t>2026_TMC_1333626_1</t>
        </is>
      </c>
      <c r="D2375" s="7" t="inlineStr">
        <is>
          <t>[Providing Consultancy Services to TMC for obtaining clearance from forest department and MCZMA for construction of New creek bridge on Diva-Shil Road between Diva and Khardi Village within TMC limit]</t>
        </is>
      </c>
      <c r="E2375" s="7" t="inlineStr">
        <is>
          <t>Maharashtra Public Works &amp; Technology Department</t>
        </is>
      </c>
      <c r="F2375" s="6" t="inlineStr">
        <is>
          <t>24 Aug 2026</t>
        </is>
      </c>
      <c r="G2375" s="5" t="inlineStr">
        <is>
          <t>17 Sep 2026</t>
        </is>
      </c>
      <c r="H2375" s="8" t="inlineStr">
        <is>
          <t>⏳ UPCOMING</t>
        </is>
      </c>
      <c r="I2375" s="4" t="inlineStr">
        <is>
          <t>BOQ_2281871.xls</t>
        </is>
      </c>
      <c r="J2375" s="6" t="inlineStr">
        <is>
          <t>📊 Excel BOQ</t>
        </is>
      </c>
      <c r="K2375" s="9" t="n">
        <v>2.5</v>
      </c>
      <c r="L2375" s="10">
        <f>HYPERLINK("http://127.0.0.1:8000/api/documents/download?id=430&amp;attachment=true", "⬇ Download BOQ_2281871.xls")</f>
        <v/>
      </c>
      <c r="M2375" s="10">
        <f>HYPERLINK("http://localhost:5173/?state=Maharashtra&amp;keyword=Forest&amp;tender=2026_TMC_1333626_1", "🚀 Open in Portal")</f>
        <v/>
      </c>
    </row>
    <row r="2376" ht="24" customHeight="1">
      <c r="A2376" s="11" t="inlineStr">
        <is>
          <t>Maharashtra</t>
        </is>
      </c>
      <c r="B2376" s="12" t="inlineStr">
        <is>
          <t>Forest</t>
        </is>
      </c>
      <c r="C2376" s="13" t="inlineStr">
        <is>
          <t>2026_TMC_1333626_1</t>
        </is>
      </c>
      <c r="D2376" s="14" t="inlineStr">
        <is>
          <t>[Providing Consultancy Services to TMC for obtaining clearance from forest department and MCZMA for construction of New creek bridge on Diva-Shil Road between Diva and Khardi Village within TMC limit]</t>
        </is>
      </c>
      <c r="E2376" s="14" t="inlineStr">
        <is>
          <t>Maharashtra Public Works &amp; Technology Department</t>
        </is>
      </c>
      <c r="F2376" s="13" t="inlineStr">
        <is>
          <t>24 Aug 2026</t>
        </is>
      </c>
      <c r="G2376" s="12" t="inlineStr">
        <is>
          <t>17 Sep 2026</t>
        </is>
      </c>
      <c r="H2376" s="8" t="inlineStr">
        <is>
          <t>⏳ UPCOMING</t>
        </is>
      </c>
      <c r="I2376" s="11" t="inlineStr">
        <is>
          <t>TDKHARDIKANDALVAN.pdf</t>
        </is>
      </c>
      <c r="J2376" s="13" t="inlineStr">
        <is>
          <t>📕 PDF Document</t>
        </is>
      </c>
      <c r="K2376" s="15" t="n">
        <v>17.9</v>
      </c>
      <c r="L2376" s="16">
        <f>HYPERLINK("http://127.0.0.1:8000/api/documents/download?id=431&amp;attachment=true", "⬇ Download TDKHARDIKANDALVAN.pdf")</f>
        <v/>
      </c>
      <c r="M2376" s="16">
        <f>HYPERLINK("http://localhost:5173/?state=Maharashtra&amp;keyword=Forest&amp;tender=2026_TMC_1333626_1", "🚀 Open in Portal")</f>
        <v/>
      </c>
    </row>
    <row r="2377" ht="24" customHeight="1">
      <c r="A2377" s="4" t="inlineStr">
        <is>
          <t>Maharashtra</t>
        </is>
      </c>
      <c r="B2377" s="5" t="inlineStr">
        <is>
          <t>Forest</t>
        </is>
      </c>
      <c r="C2377" s="6" t="inlineStr">
        <is>
          <t>2026_TMC_1333626_1</t>
        </is>
      </c>
      <c r="D2377" s="7" t="inlineStr">
        <is>
          <t>[Providing Consultancy Services to TMC for obtaining clearance from forest department and MCZMA for construction of New creek bridge on Diva-Shil Road between Diva and Khardi Village within TMC limit]</t>
        </is>
      </c>
      <c r="E2377" s="7" t="inlineStr">
        <is>
          <t>Maharashtra Public Works &amp; Technology Department</t>
        </is>
      </c>
      <c r="F2377" s="6" t="inlineStr">
        <is>
          <t>24 Aug 2026</t>
        </is>
      </c>
      <c r="G2377" s="5" t="inlineStr">
        <is>
          <t>17 Sep 2026</t>
        </is>
      </c>
      <c r="H2377" s="8" t="inlineStr">
        <is>
          <t>⏳ UPCOMING</t>
        </is>
      </c>
      <c r="I2377" s="4" t="inlineStr">
        <is>
          <t>Tender_2026_TMC_1333626_1_All_Documents.zip</t>
        </is>
      </c>
      <c r="J2377" s="6" t="inlineStr">
        <is>
          <t>📦 ZIP Package</t>
        </is>
      </c>
      <c r="K2377" s="9" t="n">
        <v>20.9</v>
      </c>
      <c r="L2377" s="10">
        <f>HYPERLINK("http://127.0.0.1:8000/api/documents/download?id=432&amp;attachment=true", "⬇ Download Tender_2026_TMC_1333626_")</f>
        <v/>
      </c>
      <c r="M2377" s="10">
        <f>HYPERLINK("http://localhost:5173/?state=Maharashtra&amp;keyword=Forest&amp;tender=2026_TMC_1333626_1", "🚀 Open in Portal")</f>
        <v/>
      </c>
    </row>
    <row r="2378" ht="24" customHeight="1">
      <c r="A2378" s="11" t="inlineStr">
        <is>
          <t>Maharashtra</t>
        </is>
      </c>
      <c r="B2378" s="12" t="inlineStr">
        <is>
          <t>Forest</t>
        </is>
      </c>
      <c r="C2378" s="13" t="inlineStr">
        <is>
          <t>2026_VVCMC_1343597_1</t>
        </is>
      </c>
      <c r="D2378" s="14" t="inlineStr">
        <is>
          <t>[development of a Mini Miyawaki Forest over an area of 500 sq m at Reservation No 261 Survey Nos 20 21 and 23 Mouje Agashi within the jurisdiction of Vasai Virar City Municipal Corporation VVMC including the maintenance and upkeep of the Miyawaki pla]</t>
        </is>
      </c>
      <c r="E2378" s="14" t="inlineStr">
        <is>
          <t>Maharashtra Public Works &amp; Technology Department</t>
        </is>
      </c>
      <c r="F2378" s="13" t="inlineStr">
        <is>
          <t>31 Jul 2026</t>
        </is>
      </c>
      <c r="G2378" s="12" t="inlineStr">
        <is>
          <t>23 Aug 2026</t>
        </is>
      </c>
      <c r="H2378" s="8" t="inlineStr">
        <is>
          <t>⏳ UPCOMING</t>
        </is>
      </c>
      <c r="I2378" s="11" t="inlineStr">
        <is>
          <t>Tendernotice_1.pdf</t>
        </is>
      </c>
      <c r="J2378" s="13" t="inlineStr">
        <is>
          <t>📕 PDF Document</t>
        </is>
      </c>
      <c r="K2378" s="15" t="n">
        <v>17.9</v>
      </c>
      <c r="L2378" s="16">
        <f>HYPERLINK("http://127.0.0.1:8000/api/documents/download?id=410&amp;attachment=true", "⬇ Download Tendernotice_1.pdf")</f>
        <v/>
      </c>
      <c r="M2378" s="16">
        <f>HYPERLINK("http://localhost:5173/?state=Maharashtra&amp;keyword=Forest&amp;tender=2026_VVCMC_1343597_1", "🚀 Open in Portal")</f>
        <v/>
      </c>
    </row>
    <row r="2379" ht="24" customHeight="1">
      <c r="A2379" s="4" t="inlineStr">
        <is>
          <t>Maharashtra</t>
        </is>
      </c>
      <c r="B2379" s="5" t="inlineStr">
        <is>
          <t>Forest</t>
        </is>
      </c>
      <c r="C2379" s="6" t="inlineStr">
        <is>
          <t>2026_VVCMC_1343597_1</t>
        </is>
      </c>
      <c r="D2379" s="7" t="inlineStr">
        <is>
          <t>[development of a Mini Miyawaki Forest over an area of 500 sq m at Reservation No 261 Survey Nos 20 21 and 23 Mouje Agashi within the jurisdiction of Vasai Virar City Municipal Corporation VVMC including the maintenance and upkeep of the Miyawaki pla]</t>
        </is>
      </c>
      <c r="E2379" s="7" t="inlineStr">
        <is>
          <t>Maharashtra Public Works &amp; Technology Department</t>
        </is>
      </c>
      <c r="F2379" s="6" t="inlineStr">
        <is>
          <t>31 Jul 2026</t>
        </is>
      </c>
      <c r="G2379" s="5" t="inlineStr">
        <is>
          <t>23 Aug 2026</t>
        </is>
      </c>
      <c r="H2379" s="8" t="inlineStr">
        <is>
          <t>⏳ UPCOMING</t>
        </is>
      </c>
      <c r="I2379" s="4" t="inlineStr">
        <is>
          <t>BOQ_2296509.xls</t>
        </is>
      </c>
      <c r="J2379" s="6" t="inlineStr">
        <is>
          <t>📊 Excel BOQ</t>
        </is>
      </c>
      <c r="K2379" s="9" t="n">
        <v>2.6</v>
      </c>
      <c r="L2379" s="10">
        <f>HYPERLINK("http://127.0.0.1:8000/api/documents/download?id=411&amp;attachment=true", "⬇ Download BOQ_2296509.xls")</f>
        <v/>
      </c>
      <c r="M2379" s="10">
        <f>HYPERLINK("http://localhost:5173/?state=Maharashtra&amp;keyword=Forest&amp;tender=2026_VVCMC_1343597_1", "🚀 Open in Portal")</f>
        <v/>
      </c>
    </row>
    <row r="2380" ht="24" customHeight="1">
      <c r="A2380" s="11" t="inlineStr">
        <is>
          <t>Maharashtra</t>
        </is>
      </c>
      <c r="B2380" s="12" t="inlineStr">
        <is>
          <t>Forest</t>
        </is>
      </c>
      <c r="C2380" s="13" t="inlineStr">
        <is>
          <t>2026_VVCMC_1343597_1</t>
        </is>
      </c>
      <c r="D2380" s="14" t="inlineStr">
        <is>
          <t>[development of a Mini Miyawaki Forest over an area of 500 sq m at Reservation No 261 Survey Nos 20 21 and 23 Mouje Agashi within the jurisdiction of Vasai Virar City Municipal Corporation VVMC including the maintenance and upkeep of the Miyawaki pla]</t>
        </is>
      </c>
      <c r="E2380" s="14" t="inlineStr">
        <is>
          <t>Maharashtra Public Works &amp; Technology Department</t>
        </is>
      </c>
      <c r="F2380" s="13" t="inlineStr">
        <is>
          <t>31 Jul 2026</t>
        </is>
      </c>
      <c r="G2380" s="12" t="inlineStr">
        <is>
          <t>23 Aug 2026</t>
        </is>
      </c>
      <c r="H2380" s="8" t="inlineStr">
        <is>
          <t>⏳ UPCOMING</t>
        </is>
      </c>
      <c r="I2380" s="11" t="inlineStr">
        <is>
          <t>TD.pdf</t>
        </is>
      </c>
      <c r="J2380" s="13" t="inlineStr">
        <is>
          <t>📕 PDF Document</t>
        </is>
      </c>
      <c r="K2380" s="15" t="n">
        <v>17.8</v>
      </c>
      <c r="L2380" s="16">
        <f>HYPERLINK("http://127.0.0.1:8000/api/documents/download?id=412&amp;attachment=true", "⬇ Download TD.pdf")</f>
        <v/>
      </c>
      <c r="M2380" s="16">
        <f>HYPERLINK("http://localhost:5173/?state=Maharashtra&amp;keyword=Forest&amp;tender=2026_VVCMC_1343597_1", "🚀 Open in Portal")</f>
        <v/>
      </c>
    </row>
    <row r="2381" ht="24" customHeight="1">
      <c r="A2381" s="4" t="inlineStr">
        <is>
          <t>Maharashtra</t>
        </is>
      </c>
      <c r="B2381" s="5" t="inlineStr">
        <is>
          <t>Forest</t>
        </is>
      </c>
      <c r="C2381" s="6" t="inlineStr">
        <is>
          <t>2026_VVCMC_1343597_1</t>
        </is>
      </c>
      <c r="D2381" s="7" t="inlineStr">
        <is>
          <t>[development of a Mini Miyawaki Forest over an area of 500 sq m at Reservation No 261 Survey Nos 20 21 and 23 Mouje Agashi within the jurisdiction of Vasai Virar City Municipal Corporation VVMC including the maintenance and upkeep of the Miyawaki pla]</t>
        </is>
      </c>
      <c r="E2381" s="7" t="inlineStr">
        <is>
          <t>Maharashtra Public Works &amp; Technology Department</t>
        </is>
      </c>
      <c r="F2381" s="6" t="inlineStr">
        <is>
          <t>31 Jul 2026</t>
        </is>
      </c>
      <c r="G2381" s="5" t="inlineStr">
        <is>
          <t>23 Aug 2026</t>
        </is>
      </c>
      <c r="H2381" s="8" t="inlineStr">
        <is>
          <t>⏳ UPCOMING</t>
        </is>
      </c>
      <c r="I2381" s="4" t="inlineStr">
        <is>
          <t>Tender_2026_VVCMC_1343597_1_All_Documents.zip</t>
        </is>
      </c>
      <c r="J2381" s="6" t="inlineStr">
        <is>
          <t>📦 ZIP Package</t>
        </is>
      </c>
      <c r="K2381" s="9" t="n">
        <v>20.8</v>
      </c>
      <c r="L2381" s="10">
        <f>HYPERLINK("http://127.0.0.1:8000/api/documents/download?id=413&amp;attachment=true", "⬇ Download Tender_2026_VVCMC_134359")</f>
        <v/>
      </c>
      <c r="M2381" s="10">
        <f>HYPERLINK("http://localhost:5173/?state=Maharashtra&amp;keyword=Forest&amp;tender=2026_VVCMC_1343597_1", "🚀 Open in Portal")</f>
        <v/>
      </c>
    </row>
    <row r="2382" ht="24" customHeight="1">
      <c r="A2382" s="11" t="inlineStr">
        <is>
          <t>Maharashtra</t>
        </is>
      </c>
      <c r="B2382" s="12" t="inlineStr">
        <is>
          <t>Forest</t>
        </is>
      </c>
      <c r="C2382" s="13" t="inlineStr">
        <is>
          <t>2026_VVCMC_1343617_1</t>
        </is>
      </c>
      <c r="D2382" s="14" t="inlineStr">
        <is>
          <t>[development of a Mini Miyawaki Forest over an area of 500 sq m at Reservation No 707 Survey No 14 Mouje Dhovali within the jurisdiction of Vasai Virar City Municipal Corporation VVMC including the maintenance and upkeep of the Miyawaki plantation for]</t>
        </is>
      </c>
      <c r="E2382" s="14" t="inlineStr">
        <is>
          <t>Maharashtra Public Works &amp; Technology Department</t>
        </is>
      </c>
      <c r="F2382" s="13" t="inlineStr">
        <is>
          <t>27 Jul 2026</t>
        </is>
      </c>
      <c r="G2382" s="12" t="inlineStr">
        <is>
          <t>21 Aug 2026</t>
        </is>
      </c>
      <c r="H2382" s="8" t="inlineStr">
        <is>
          <t>⏳ UPCOMING</t>
        </is>
      </c>
      <c r="I2382" s="11" t="inlineStr">
        <is>
          <t>Tendernotice_1.pdf</t>
        </is>
      </c>
      <c r="J2382" s="13" t="inlineStr">
        <is>
          <t>📕 PDF Document</t>
        </is>
      </c>
      <c r="K2382" s="15" t="n">
        <v>17.9</v>
      </c>
      <c r="L2382" s="16">
        <f>HYPERLINK("http://127.0.0.1:8000/api/documents/download?id=406&amp;attachment=true", "⬇ Download Tendernotice_1.pdf")</f>
        <v/>
      </c>
      <c r="M2382" s="16">
        <f>HYPERLINK("http://localhost:5173/?state=Maharashtra&amp;keyword=Forest&amp;tender=2026_VVCMC_1343617_1", "🚀 Open in Portal")</f>
        <v/>
      </c>
    </row>
    <row r="2383" ht="24" customHeight="1">
      <c r="A2383" s="4" t="inlineStr">
        <is>
          <t>Maharashtra</t>
        </is>
      </c>
      <c r="B2383" s="5" t="inlineStr">
        <is>
          <t>Forest</t>
        </is>
      </c>
      <c r="C2383" s="6" t="inlineStr">
        <is>
          <t>2026_VVCMC_1343617_1</t>
        </is>
      </c>
      <c r="D2383" s="7" t="inlineStr">
        <is>
          <t>[development of a Mini Miyawaki Forest over an area of 500 sq m at Reservation No 707 Survey No 14 Mouje Dhovali within the jurisdiction of Vasai Virar City Municipal Corporation VVMC including the maintenance and upkeep of the Miyawaki plantation for]</t>
        </is>
      </c>
      <c r="E2383" s="7" t="inlineStr">
        <is>
          <t>Maharashtra Public Works &amp; Technology Department</t>
        </is>
      </c>
      <c r="F2383" s="6" t="inlineStr">
        <is>
          <t>27 Jul 2026</t>
        </is>
      </c>
      <c r="G2383" s="5" t="inlineStr">
        <is>
          <t>21 Aug 2026</t>
        </is>
      </c>
      <c r="H2383" s="8" t="inlineStr">
        <is>
          <t>⏳ UPCOMING</t>
        </is>
      </c>
      <c r="I2383" s="4" t="inlineStr">
        <is>
          <t>BOQ_2296548.xls</t>
        </is>
      </c>
      <c r="J2383" s="6" t="inlineStr">
        <is>
          <t>📊 Excel BOQ</t>
        </is>
      </c>
      <c r="K2383" s="9" t="n">
        <v>2.6</v>
      </c>
      <c r="L2383" s="10">
        <f>HYPERLINK("http://127.0.0.1:8000/api/documents/download?id=407&amp;attachment=true", "⬇ Download BOQ_2296548.xls")</f>
        <v/>
      </c>
      <c r="M2383" s="10">
        <f>HYPERLINK("http://localhost:5173/?state=Maharashtra&amp;keyword=Forest&amp;tender=2026_VVCMC_1343617_1", "🚀 Open in Portal")</f>
        <v/>
      </c>
    </row>
    <row r="2384" ht="24" customHeight="1">
      <c r="A2384" s="11" t="inlineStr">
        <is>
          <t>Maharashtra</t>
        </is>
      </c>
      <c r="B2384" s="12" t="inlineStr">
        <is>
          <t>Forest</t>
        </is>
      </c>
      <c r="C2384" s="13" t="inlineStr">
        <is>
          <t>2026_VVCMC_1343617_1</t>
        </is>
      </c>
      <c r="D2384" s="14" t="inlineStr">
        <is>
          <t>[development of a Mini Miyawaki Forest over an area of 500 sq m at Reservation No 707 Survey No 14 Mouje Dhovali within the jurisdiction of Vasai Virar City Municipal Corporation VVMC including the maintenance and upkeep of the Miyawaki plantation for]</t>
        </is>
      </c>
      <c r="E2384" s="14" t="inlineStr">
        <is>
          <t>Maharashtra Public Works &amp; Technology Department</t>
        </is>
      </c>
      <c r="F2384" s="13" t="inlineStr">
        <is>
          <t>27 Jul 2026</t>
        </is>
      </c>
      <c r="G2384" s="12" t="inlineStr">
        <is>
          <t>21 Aug 2026</t>
        </is>
      </c>
      <c r="H2384" s="8" t="inlineStr">
        <is>
          <t>⏳ UPCOMING</t>
        </is>
      </c>
      <c r="I2384" s="11" t="inlineStr">
        <is>
          <t>tf.pdf</t>
        </is>
      </c>
      <c r="J2384" s="13" t="inlineStr">
        <is>
          <t>📕 PDF Document</t>
        </is>
      </c>
      <c r="K2384" s="15" t="n">
        <v>17.8</v>
      </c>
      <c r="L2384" s="16">
        <f>HYPERLINK("http://127.0.0.1:8000/api/documents/download?id=408&amp;attachment=true", "⬇ Download tf.pdf")</f>
        <v/>
      </c>
      <c r="M2384" s="16">
        <f>HYPERLINK("http://localhost:5173/?state=Maharashtra&amp;keyword=Forest&amp;tender=2026_VVCMC_1343617_1", "🚀 Open in Portal")</f>
        <v/>
      </c>
    </row>
    <row r="2385" ht="24" customHeight="1">
      <c r="A2385" s="4" t="inlineStr">
        <is>
          <t>Maharashtra</t>
        </is>
      </c>
      <c r="B2385" s="5" t="inlineStr">
        <is>
          <t>Forest</t>
        </is>
      </c>
      <c r="C2385" s="6" t="inlineStr">
        <is>
          <t>2026_VVCMC_1343617_1</t>
        </is>
      </c>
      <c r="D2385" s="7" t="inlineStr">
        <is>
          <t>[development of a Mini Miyawaki Forest over an area of 500 sq m at Reservation No 707 Survey No 14 Mouje Dhovali within the jurisdiction of Vasai Virar City Municipal Corporation VVMC including the maintenance and upkeep of the Miyawaki plantation for]</t>
        </is>
      </c>
      <c r="E2385" s="7" t="inlineStr">
        <is>
          <t>Maharashtra Public Works &amp; Technology Department</t>
        </is>
      </c>
      <c r="F2385" s="6" t="inlineStr">
        <is>
          <t>27 Jul 2026</t>
        </is>
      </c>
      <c r="G2385" s="5" t="inlineStr">
        <is>
          <t>21 Aug 2026</t>
        </is>
      </c>
      <c r="H2385" s="8" t="inlineStr">
        <is>
          <t>⏳ UPCOMING</t>
        </is>
      </c>
      <c r="I2385" s="4" t="inlineStr">
        <is>
          <t>Tender_2026_VVCMC_1343617_1_All_Documents.zip</t>
        </is>
      </c>
      <c r="J2385" s="6" t="inlineStr">
        <is>
          <t>📦 ZIP Package</t>
        </is>
      </c>
      <c r="K2385" s="9" t="n">
        <v>20.9</v>
      </c>
      <c r="L2385" s="10">
        <f>HYPERLINK("http://127.0.0.1:8000/api/documents/download?id=409&amp;attachment=true", "⬇ Download Tender_2026_VVCMC_134361")</f>
        <v/>
      </c>
      <c r="M2385" s="10">
        <f>HYPERLINK("http://localhost:5173/?state=Maharashtra&amp;keyword=Forest&amp;tender=2026_VVCMC_1343617_1", "🚀 Open in Portal")</f>
        <v/>
      </c>
    </row>
    <row r="2386" ht="24" customHeight="1">
      <c r="A2386" s="11" t="inlineStr">
        <is>
          <t>Maharashtra</t>
        </is>
      </c>
      <c r="B2386" s="12" t="inlineStr">
        <is>
          <t>Forest</t>
        </is>
      </c>
      <c r="C2386" s="13" t="inlineStr">
        <is>
          <t>2026_VVCMC_1343629_1</t>
        </is>
      </c>
      <c r="D2386" s="14" t="inlineStr">
        <is>
          <t>[Development of a Mini Miyawaki Forest over an area of 500 sq m at Reservation No 388 Survey No 35, Nilmore Nos 128 and 129 Mouje Sopara Nilmore within the jurisdiction of Vasai Virar City Municipal Corporation VVMC under the National Clean Air Progra]</t>
        </is>
      </c>
      <c r="E2386" s="14" t="inlineStr">
        <is>
          <t>Maharashtra Public Works &amp; Technology Department</t>
        </is>
      </c>
      <c r="F2386" s="13" t="inlineStr">
        <is>
          <t>22 Jul 2026</t>
        </is>
      </c>
      <c r="G2386" s="12" t="inlineStr">
        <is>
          <t>19 Aug 2026</t>
        </is>
      </c>
      <c r="H2386" s="8" t="inlineStr">
        <is>
          <t>⏳ UPCOMING</t>
        </is>
      </c>
      <c r="I2386" s="11" t="inlineStr">
        <is>
          <t>Tendernotice_1.pdf</t>
        </is>
      </c>
      <c r="J2386" s="13" t="inlineStr">
        <is>
          <t>📕 PDF Document</t>
        </is>
      </c>
      <c r="K2386" s="15" t="n">
        <v>17.9</v>
      </c>
      <c r="L2386" s="16">
        <f>HYPERLINK("http://127.0.0.1:8000/api/documents/download?id=402&amp;attachment=true", "⬇ Download Tendernotice_1.pdf")</f>
        <v/>
      </c>
      <c r="M2386" s="16">
        <f>HYPERLINK("http://localhost:5173/?state=Maharashtra&amp;keyword=Forest&amp;tender=2026_VVCMC_1343629_1", "🚀 Open in Portal")</f>
        <v/>
      </c>
    </row>
    <row r="2387" ht="24" customHeight="1">
      <c r="A2387" s="4" t="inlineStr">
        <is>
          <t>Maharashtra</t>
        </is>
      </c>
      <c r="B2387" s="5" t="inlineStr">
        <is>
          <t>Forest</t>
        </is>
      </c>
      <c r="C2387" s="6" t="inlineStr">
        <is>
          <t>2026_VVCMC_1343629_1</t>
        </is>
      </c>
      <c r="D2387" s="7" t="inlineStr">
        <is>
          <t>[Development of a Mini Miyawaki Forest over an area of 500 sq m at Reservation No 388 Survey No 35, Nilmore Nos 128 and 129 Mouje Sopara Nilmore within the jurisdiction of Vasai Virar City Municipal Corporation VVMC under the National Clean Air Progra]</t>
        </is>
      </c>
      <c r="E2387" s="7" t="inlineStr">
        <is>
          <t>Maharashtra Public Works &amp; Technology Department</t>
        </is>
      </c>
      <c r="F2387" s="6" t="inlineStr">
        <is>
          <t>22 Jul 2026</t>
        </is>
      </c>
      <c r="G2387" s="5" t="inlineStr">
        <is>
          <t>19 Aug 2026</t>
        </is>
      </c>
      <c r="H2387" s="8" t="inlineStr">
        <is>
          <t>⏳ UPCOMING</t>
        </is>
      </c>
      <c r="I2387" s="4" t="inlineStr">
        <is>
          <t>BOQ_2296567.xls</t>
        </is>
      </c>
      <c r="J2387" s="6" t="inlineStr">
        <is>
          <t>📊 Excel BOQ</t>
        </is>
      </c>
      <c r="K2387" s="9" t="n">
        <v>2.6</v>
      </c>
      <c r="L2387" s="10">
        <f>HYPERLINK("http://127.0.0.1:8000/api/documents/download?id=403&amp;attachment=true", "⬇ Download BOQ_2296567.xls")</f>
        <v/>
      </c>
      <c r="M2387" s="10">
        <f>HYPERLINK("http://localhost:5173/?state=Maharashtra&amp;keyword=Forest&amp;tender=2026_VVCMC_1343629_1", "🚀 Open in Portal")</f>
        <v/>
      </c>
    </row>
    <row r="2388" ht="24" customHeight="1">
      <c r="A2388" s="11" t="inlineStr">
        <is>
          <t>Maharashtra</t>
        </is>
      </c>
      <c r="B2388" s="12" t="inlineStr">
        <is>
          <t>Forest</t>
        </is>
      </c>
      <c r="C2388" s="13" t="inlineStr">
        <is>
          <t>2026_VVCMC_1343629_1</t>
        </is>
      </c>
      <c r="D2388" s="14" t="inlineStr">
        <is>
          <t>[Development of a Mini Miyawaki Forest over an area of 500 sq m at Reservation No 388 Survey No 35, Nilmore Nos 128 and 129 Mouje Sopara Nilmore within the jurisdiction of Vasai Virar City Municipal Corporation VVMC under the National Clean Air Progra]</t>
        </is>
      </c>
      <c r="E2388" s="14" t="inlineStr">
        <is>
          <t>Maharashtra Public Works &amp; Technology Department</t>
        </is>
      </c>
      <c r="F2388" s="13" t="inlineStr">
        <is>
          <t>22 Jul 2026</t>
        </is>
      </c>
      <c r="G2388" s="12" t="inlineStr">
        <is>
          <t>19 Aug 2026</t>
        </is>
      </c>
      <c r="H2388" s="8" t="inlineStr">
        <is>
          <t>⏳ UPCOMING</t>
        </is>
      </c>
      <c r="I2388" s="11" t="inlineStr">
        <is>
          <t>2.pdf</t>
        </is>
      </c>
      <c r="J2388" s="13" t="inlineStr">
        <is>
          <t>📕 PDF Document</t>
        </is>
      </c>
      <c r="K2388" s="15" t="n">
        <v>17.8</v>
      </c>
      <c r="L2388" s="16">
        <f>HYPERLINK("http://127.0.0.1:8000/api/documents/download?id=404&amp;attachment=true", "⬇ Download 2.pdf")</f>
        <v/>
      </c>
      <c r="M2388" s="16">
        <f>HYPERLINK("http://localhost:5173/?state=Maharashtra&amp;keyword=Forest&amp;tender=2026_VVCMC_1343629_1", "🚀 Open in Portal")</f>
        <v/>
      </c>
    </row>
    <row r="2389" ht="24" customHeight="1">
      <c r="A2389" s="4" t="inlineStr">
        <is>
          <t>Maharashtra</t>
        </is>
      </c>
      <c r="B2389" s="5" t="inlineStr">
        <is>
          <t>Forest</t>
        </is>
      </c>
      <c r="C2389" s="6" t="inlineStr">
        <is>
          <t>2026_VVCMC_1343629_1</t>
        </is>
      </c>
      <c r="D2389" s="7" t="inlineStr">
        <is>
          <t>[Development of a Mini Miyawaki Forest over an area of 500 sq m at Reservation No 388 Survey No 35, Nilmore Nos 128 and 129 Mouje Sopara Nilmore within the jurisdiction of Vasai Virar City Municipal Corporation VVMC under the National Clean Air Progra]</t>
        </is>
      </c>
      <c r="E2389" s="7" t="inlineStr">
        <is>
          <t>Maharashtra Public Works &amp; Technology Department</t>
        </is>
      </c>
      <c r="F2389" s="6" t="inlineStr">
        <is>
          <t>22 Jul 2026</t>
        </is>
      </c>
      <c r="G2389" s="5" t="inlineStr">
        <is>
          <t>19 Aug 2026</t>
        </is>
      </c>
      <c r="H2389" s="8" t="inlineStr">
        <is>
          <t>⏳ UPCOMING</t>
        </is>
      </c>
      <c r="I2389" s="4" t="inlineStr">
        <is>
          <t>Tender_2026_VVCMC_1343629_1_All_Documents.zip</t>
        </is>
      </c>
      <c r="J2389" s="6" t="inlineStr">
        <is>
          <t>📦 ZIP Package</t>
        </is>
      </c>
      <c r="K2389" s="9" t="n">
        <v>20.8</v>
      </c>
      <c r="L2389" s="10">
        <f>HYPERLINK("http://127.0.0.1:8000/api/documents/download?id=405&amp;attachment=true", "⬇ Download Tender_2026_VVCMC_134362")</f>
        <v/>
      </c>
      <c r="M2389" s="10">
        <f>HYPERLINK("http://localhost:5173/?state=Maharashtra&amp;keyword=Forest&amp;tender=2026_VVCMC_1343629_1", "🚀 Open in Portal")</f>
        <v/>
      </c>
    </row>
    <row r="2390" ht="24" customHeight="1">
      <c r="A2390" s="11" t="inlineStr">
        <is>
          <t>Maharashtra</t>
        </is>
      </c>
      <c r="B2390" s="12" t="inlineStr">
        <is>
          <t>Forest</t>
        </is>
      </c>
      <c r="C2390" s="13" t="inlineStr">
        <is>
          <t>2026_VVCMC_1343641_1</t>
        </is>
      </c>
      <c r="D2390" s="14" t="inlineStr">
        <is>
          <t>[Development of a 500 sq m Mini Miyawaki Forest at the site located at Reservation No 475 Survey No 113 Mouje Gokhivre within the jurisdiction of Vasai Virar City Municipal Corporation VVMC under the National Clean Air Programme NCAP along with mainte]</t>
        </is>
      </c>
      <c r="E2390" s="14" t="inlineStr">
        <is>
          <t>Maharashtra Public Works &amp; Technology Department</t>
        </is>
      </c>
      <c r="F2390" s="13" t="inlineStr">
        <is>
          <t>16 Oct 2026</t>
        </is>
      </c>
      <c r="G2390" s="12" t="inlineStr">
        <is>
          <t>09 Nov 2026</t>
        </is>
      </c>
      <c r="H2390" s="17" t="inlineStr">
        <is>
          <t>🟢 LIVE ACTIVE</t>
        </is>
      </c>
      <c r="I2390" s="11" t="inlineStr">
        <is>
          <t>Tendernotice_1.pdf</t>
        </is>
      </c>
      <c r="J2390" s="13" t="inlineStr">
        <is>
          <t>📕 PDF Document</t>
        </is>
      </c>
      <c r="K2390" s="15" t="n">
        <v>17.9</v>
      </c>
      <c r="L2390" s="16">
        <f>HYPERLINK("http://127.0.0.1:8000/api/documents/download?id=398&amp;attachment=true", "⬇ Download Tendernotice_1.pdf")</f>
        <v/>
      </c>
      <c r="M2390" s="16">
        <f>HYPERLINK("http://localhost:5173/?state=Maharashtra&amp;keyword=Forest&amp;tender=2026_VVCMC_1343641_1", "🚀 Open in Portal")</f>
        <v/>
      </c>
    </row>
    <row r="2391" ht="24" customHeight="1">
      <c r="A2391" s="4" t="inlineStr">
        <is>
          <t>Maharashtra</t>
        </is>
      </c>
      <c r="B2391" s="5" t="inlineStr">
        <is>
          <t>Forest</t>
        </is>
      </c>
      <c r="C2391" s="6" t="inlineStr">
        <is>
          <t>2026_VVCMC_1343641_1</t>
        </is>
      </c>
      <c r="D2391" s="7" t="inlineStr">
        <is>
          <t>[Development of a 500 sq m Mini Miyawaki Forest at the site located at Reservation No 475 Survey No 113 Mouje Gokhivre within the jurisdiction of Vasai Virar City Municipal Corporation VVMC under the National Clean Air Programme NCAP along with mainte]</t>
        </is>
      </c>
      <c r="E2391" s="7" t="inlineStr">
        <is>
          <t>Maharashtra Public Works &amp; Technology Department</t>
        </is>
      </c>
      <c r="F2391" s="6" t="inlineStr">
        <is>
          <t>16 Oct 2026</t>
        </is>
      </c>
      <c r="G2391" s="5" t="inlineStr">
        <is>
          <t>09 Nov 2026</t>
        </is>
      </c>
      <c r="H2391" s="17" t="inlineStr">
        <is>
          <t>🟢 LIVE ACTIVE</t>
        </is>
      </c>
      <c r="I2391" s="4" t="inlineStr">
        <is>
          <t>2.pdf</t>
        </is>
      </c>
      <c r="J2391" s="6" t="inlineStr">
        <is>
          <t>📕 PDF Document</t>
        </is>
      </c>
      <c r="K2391" s="9" t="n">
        <v>17.8</v>
      </c>
      <c r="L2391" s="10">
        <f>HYPERLINK("http://127.0.0.1:8000/api/documents/download?id=399&amp;attachment=true", "⬇ Download 2.pdf")</f>
        <v/>
      </c>
      <c r="M2391" s="10">
        <f>HYPERLINK("http://localhost:5173/?state=Maharashtra&amp;keyword=Forest&amp;tender=2026_VVCMC_1343641_1", "🚀 Open in Portal")</f>
        <v/>
      </c>
    </row>
    <row r="2392" ht="24" customHeight="1">
      <c r="A2392" s="11" t="inlineStr">
        <is>
          <t>Maharashtra</t>
        </is>
      </c>
      <c r="B2392" s="12" t="inlineStr">
        <is>
          <t>Forest</t>
        </is>
      </c>
      <c r="C2392" s="13" t="inlineStr">
        <is>
          <t>2026_VVCMC_1343641_1</t>
        </is>
      </c>
      <c r="D2392" s="14" t="inlineStr">
        <is>
          <t>[Development of a 500 sq m Mini Miyawaki Forest at the site located at Reservation No 475 Survey No 113 Mouje Gokhivre within the jurisdiction of Vasai Virar City Municipal Corporation VVMC under the National Clean Air Programme NCAP along with mainte]</t>
        </is>
      </c>
      <c r="E2392" s="14" t="inlineStr">
        <is>
          <t>Maharashtra Public Works &amp; Technology Department</t>
        </is>
      </c>
      <c r="F2392" s="13" t="inlineStr">
        <is>
          <t>16 Oct 2026</t>
        </is>
      </c>
      <c r="G2392" s="12" t="inlineStr">
        <is>
          <t>09 Nov 2026</t>
        </is>
      </c>
      <c r="H2392" s="17" t="inlineStr">
        <is>
          <t>🟢 LIVE ACTIVE</t>
        </is>
      </c>
      <c r="I2392" s="11" t="inlineStr">
        <is>
          <t>BOQ_2296581.xls</t>
        </is>
      </c>
      <c r="J2392" s="13" t="inlineStr">
        <is>
          <t>📊 Excel BOQ</t>
        </is>
      </c>
      <c r="K2392" s="15" t="n">
        <v>2.6</v>
      </c>
      <c r="L2392" s="16">
        <f>HYPERLINK("http://127.0.0.1:8000/api/documents/download?id=400&amp;attachment=true", "⬇ Download BOQ_2296581.xls")</f>
        <v/>
      </c>
      <c r="M2392" s="16">
        <f>HYPERLINK("http://localhost:5173/?state=Maharashtra&amp;keyword=Forest&amp;tender=2026_VVCMC_1343641_1", "🚀 Open in Portal")</f>
        <v/>
      </c>
    </row>
    <row r="2393" ht="24" customHeight="1">
      <c r="A2393" s="4" t="inlineStr">
        <is>
          <t>Maharashtra</t>
        </is>
      </c>
      <c r="B2393" s="5" t="inlineStr">
        <is>
          <t>Forest</t>
        </is>
      </c>
      <c r="C2393" s="6" t="inlineStr">
        <is>
          <t>2026_VVCMC_1343641_1</t>
        </is>
      </c>
      <c r="D2393" s="7" t="inlineStr">
        <is>
          <t>[Development of a 500 sq m Mini Miyawaki Forest at the site located at Reservation No 475 Survey No 113 Mouje Gokhivre within the jurisdiction of Vasai Virar City Municipal Corporation VVMC under the National Clean Air Programme NCAP along with mainte]</t>
        </is>
      </c>
      <c r="E2393" s="7" t="inlineStr">
        <is>
          <t>Maharashtra Public Works &amp; Technology Department</t>
        </is>
      </c>
      <c r="F2393" s="6" t="inlineStr">
        <is>
          <t>16 Oct 2026</t>
        </is>
      </c>
      <c r="G2393" s="5" t="inlineStr">
        <is>
          <t>09 Nov 2026</t>
        </is>
      </c>
      <c r="H2393" s="17" t="inlineStr">
        <is>
          <t>🟢 LIVE ACTIVE</t>
        </is>
      </c>
      <c r="I2393" s="4" t="inlineStr">
        <is>
          <t>Tender_2026_VVCMC_1343641_1_All_Documents.zip</t>
        </is>
      </c>
      <c r="J2393" s="6" t="inlineStr">
        <is>
          <t>📦 ZIP Package</t>
        </is>
      </c>
      <c r="K2393" s="9" t="n">
        <v>21</v>
      </c>
      <c r="L2393" s="10">
        <f>HYPERLINK("http://127.0.0.1:8000/api/documents/download?id=401&amp;attachment=true", "⬇ Download Tender_2026_VVCMC_134364")</f>
        <v/>
      </c>
      <c r="M2393" s="10">
        <f>HYPERLINK("http://localhost:5173/?state=Maharashtra&amp;keyword=Forest&amp;tender=2026_VVCMC_1343641_1", "🚀 Open in Portal")</f>
        <v/>
      </c>
    </row>
    <row r="2394" ht="24" customHeight="1">
      <c r="A2394" s="11" t="inlineStr">
        <is>
          <t>Maharashtra</t>
        </is>
      </c>
      <c r="B2394" s="12" t="inlineStr">
        <is>
          <t>Forest</t>
        </is>
      </c>
      <c r="C2394" s="13" t="inlineStr">
        <is>
          <t>2026_VVCMC_1343653_1</t>
        </is>
      </c>
      <c r="D2394" s="14" t="inlineStr">
        <is>
          <t>[Development of a 1000 sq m Mini Miyawaki Forest at the site located at Reservation No 355 Survey Nos 3 4 5 and 6 Mouje Samel within the jurisdiction of Vasai Virar City Municipal Corporation VVMC under the National Clean Air Programme NCAP along wit]</t>
        </is>
      </c>
      <c r="E2394" s="14" t="inlineStr">
        <is>
          <t>Maharashtra Public Works &amp; Technology Department</t>
        </is>
      </c>
      <c r="F2394" s="13" t="inlineStr">
        <is>
          <t>25 Oct 2026</t>
        </is>
      </c>
      <c r="G2394" s="12" t="inlineStr">
        <is>
          <t>15 Nov 2026</t>
        </is>
      </c>
      <c r="H2394" s="8" t="inlineStr">
        <is>
          <t>⏳ UPCOMING</t>
        </is>
      </c>
      <c r="I2394" s="11" t="inlineStr">
        <is>
          <t>Tendernotice_1.pdf</t>
        </is>
      </c>
      <c r="J2394" s="13" t="inlineStr">
        <is>
          <t>📕 PDF Document</t>
        </is>
      </c>
      <c r="K2394" s="15" t="n">
        <v>17.9</v>
      </c>
      <c r="L2394" s="16">
        <f>HYPERLINK("http://127.0.0.1:8000/api/documents/download?id=394&amp;attachment=true", "⬇ Download Tendernotice_1.pdf")</f>
        <v/>
      </c>
      <c r="M2394" s="16">
        <f>HYPERLINK("http://localhost:5173/?state=Maharashtra&amp;keyword=Forest&amp;tender=2026_VVCMC_1343653_1", "🚀 Open in Portal")</f>
        <v/>
      </c>
    </row>
    <row r="2395" ht="24" customHeight="1">
      <c r="A2395" s="4" t="inlineStr">
        <is>
          <t>Maharashtra</t>
        </is>
      </c>
      <c r="B2395" s="5" t="inlineStr">
        <is>
          <t>Forest</t>
        </is>
      </c>
      <c r="C2395" s="6" t="inlineStr">
        <is>
          <t>2026_VVCMC_1343653_1</t>
        </is>
      </c>
      <c r="D2395" s="7" t="inlineStr">
        <is>
          <t>[Development of a 1000 sq m Mini Miyawaki Forest at the site located at Reservation No 355 Survey Nos 3 4 5 and 6 Mouje Samel within the jurisdiction of Vasai Virar City Municipal Corporation VVMC under the National Clean Air Programme NCAP along wit]</t>
        </is>
      </c>
      <c r="E2395" s="7" t="inlineStr">
        <is>
          <t>Maharashtra Public Works &amp; Technology Department</t>
        </is>
      </c>
      <c r="F2395" s="6" t="inlineStr">
        <is>
          <t>25 Oct 2026</t>
        </is>
      </c>
      <c r="G2395" s="5" t="inlineStr">
        <is>
          <t>15 Nov 2026</t>
        </is>
      </c>
      <c r="H2395" s="8" t="inlineStr">
        <is>
          <t>⏳ UPCOMING</t>
        </is>
      </c>
      <c r="I2395" s="4" t="inlineStr">
        <is>
          <t>2.pdf</t>
        </is>
      </c>
      <c r="J2395" s="6" t="inlineStr">
        <is>
          <t>📕 PDF Document</t>
        </is>
      </c>
      <c r="K2395" s="9" t="n">
        <v>17.8</v>
      </c>
      <c r="L2395" s="10">
        <f>HYPERLINK("http://127.0.0.1:8000/api/documents/download?id=395&amp;attachment=true", "⬇ Download 2.pdf")</f>
        <v/>
      </c>
      <c r="M2395" s="10">
        <f>HYPERLINK("http://localhost:5173/?state=Maharashtra&amp;keyword=Forest&amp;tender=2026_VVCMC_1343653_1", "🚀 Open in Portal")</f>
        <v/>
      </c>
    </row>
    <row r="2396" ht="24" customHeight="1">
      <c r="A2396" s="11" t="inlineStr">
        <is>
          <t>Maharashtra</t>
        </is>
      </c>
      <c r="B2396" s="12" t="inlineStr">
        <is>
          <t>Forest</t>
        </is>
      </c>
      <c r="C2396" s="13" t="inlineStr">
        <is>
          <t>2026_VVCMC_1343653_1</t>
        </is>
      </c>
      <c r="D2396" s="14" t="inlineStr">
        <is>
          <t>[Development of a 1000 sq m Mini Miyawaki Forest at the site located at Reservation No 355 Survey Nos 3 4 5 and 6 Mouje Samel within the jurisdiction of Vasai Virar City Municipal Corporation VVMC under the National Clean Air Programme NCAP along wit]</t>
        </is>
      </c>
      <c r="E2396" s="14" t="inlineStr">
        <is>
          <t>Maharashtra Public Works &amp; Technology Department</t>
        </is>
      </c>
      <c r="F2396" s="13" t="inlineStr">
        <is>
          <t>25 Oct 2026</t>
        </is>
      </c>
      <c r="G2396" s="12" t="inlineStr">
        <is>
          <t>15 Nov 2026</t>
        </is>
      </c>
      <c r="H2396" s="8" t="inlineStr">
        <is>
          <t>⏳ UPCOMING</t>
        </is>
      </c>
      <c r="I2396" s="11" t="inlineStr">
        <is>
          <t>BOQ_2296603.xls</t>
        </is>
      </c>
      <c r="J2396" s="13" t="inlineStr">
        <is>
          <t>📊 Excel BOQ</t>
        </is>
      </c>
      <c r="K2396" s="15" t="n">
        <v>2.6</v>
      </c>
      <c r="L2396" s="16">
        <f>HYPERLINK("http://127.0.0.1:8000/api/documents/download?id=396&amp;attachment=true", "⬇ Download BOQ_2296603.xls")</f>
        <v/>
      </c>
      <c r="M2396" s="16">
        <f>HYPERLINK("http://localhost:5173/?state=Maharashtra&amp;keyword=Forest&amp;tender=2026_VVCMC_1343653_1", "🚀 Open in Portal")</f>
        <v/>
      </c>
    </row>
    <row r="2397" ht="24" customHeight="1">
      <c r="A2397" s="4" t="inlineStr">
        <is>
          <t>Maharashtra</t>
        </is>
      </c>
      <c r="B2397" s="5" t="inlineStr">
        <is>
          <t>Forest</t>
        </is>
      </c>
      <c r="C2397" s="6" t="inlineStr">
        <is>
          <t>2026_VVCMC_1343653_1</t>
        </is>
      </c>
      <c r="D2397" s="7" t="inlineStr">
        <is>
          <t>[Development of a 1000 sq m Mini Miyawaki Forest at the site located at Reservation No 355 Survey Nos 3 4 5 and 6 Mouje Samel within the jurisdiction of Vasai Virar City Municipal Corporation VVMC under the National Clean Air Programme NCAP along wit]</t>
        </is>
      </c>
      <c r="E2397" s="7" t="inlineStr">
        <is>
          <t>Maharashtra Public Works &amp; Technology Department</t>
        </is>
      </c>
      <c r="F2397" s="6" t="inlineStr">
        <is>
          <t>25 Oct 2026</t>
        </is>
      </c>
      <c r="G2397" s="5" t="inlineStr">
        <is>
          <t>15 Nov 2026</t>
        </is>
      </c>
      <c r="H2397" s="8" t="inlineStr">
        <is>
          <t>⏳ UPCOMING</t>
        </is>
      </c>
      <c r="I2397" s="4" t="inlineStr">
        <is>
          <t>Tender_2026_VVCMC_1343653_1_All_Documents.zip</t>
        </is>
      </c>
      <c r="J2397" s="6" t="inlineStr">
        <is>
          <t>📦 ZIP Package</t>
        </is>
      </c>
      <c r="K2397" s="9" t="n">
        <v>20.9</v>
      </c>
      <c r="L2397" s="10">
        <f>HYPERLINK("http://127.0.0.1:8000/api/documents/download?id=397&amp;attachment=true", "⬇ Download Tender_2026_VVCMC_134365")</f>
        <v/>
      </c>
      <c r="M2397" s="10">
        <f>HYPERLINK("http://localhost:5173/?state=Maharashtra&amp;keyword=Forest&amp;tender=2026_VVCMC_1343653_1", "🚀 Open in Portal")</f>
        <v/>
      </c>
    </row>
    <row r="2398" ht="24" customHeight="1">
      <c r="A2398" s="11" t="inlineStr">
        <is>
          <t>Maharashtra</t>
        </is>
      </c>
      <c r="B2398" s="12" t="inlineStr">
        <is>
          <t>Forest</t>
        </is>
      </c>
      <c r="C2398" s="13" t="inlineStr">
        <is>
          <t>2026_VVCMC_1343667_1</t>
        </is>
      </c>
      <c r="D2398" s="14" t="inlineStr">
        <is>
          <t>[Development of a 1 000 sq m Mini Miyawaki Forest at Reservation No 526, Survey Nos 3 and 4 located at Mouje Sativali within the jurisdiction of Vasai Virar City Municipal Corporation VVMC under the National Clean Air Programme NCAP along with mainten]</t>
        </is>
      </c>
      <c r="E2398" s="14" t="inlineStr">
        <is>
          <t>Maharashtra Public Works &amp; Technology Department</t>
        </is>
      </c>
      <c r="F2398" s="13" t="inlineStr">
        <is>
          <t>06 Oct 2026</t>
        </is>
      </c>
      <c r="G2398" s="12" t="inlineStr">
        <is>
          <t>10 Nov 2026</t>
        </is>
      </c>
      <c r="H2398" s="17" t="inlineStr">
        <is>
          <t>🟢 LIVE ACTIVE</t>
        </is>
      </c>
      <c r="I2398" s="11" t="inlineStr">
        <is>
          <t>Tendernotice_1.pdf</t>
        </is>
      </c>
      <c r="J2398" s="13" t="inlineStr">
        <is>
          <t>📕 PDF Document</t>
        </is>
      </c>
      <c r="K2398" s="15" t="n">
        <v>17.9</v>
      </c>
      <c r="L2398" s="16">
        <f>HYPERLINK("http://127.0.0.1:8000/api/documents/download?id=390&amp;attachment=true", "⬇ Download Tendernotice_1.pdf")</f>
        <v/>
      </c>
      <c r="M2398" s="16">
        <f>HYPERLINK("http://localhost:5173/?state=Maharashtra&amp;keyword=Forest&amp;tender=2026_VVCMC_1343667_1", "🚀 Open in Portal")</f>
        <v/>
      </c>
    </row>
    <row r="2399" ht="24" customHeight="1">
      <c r="A2399" s="4" t="inlineStr">
        <is>
          <t>Maharashtra</t>
        </is>
      </c>
      <c r="B2399" s="5" t="inlineStr">
        <is>
          <t>Forest</t>
        </is>
      </c>
      <c r="C2399" s="6" t="inlineStr">
        <is>
          <t>2026_VVCMC_1343667_1</t>
        </is>
      </c>
      <c r="D2399" s="7" t="inlineStr">
        <is>
          <t>[Development of a 1 000 sq m Mini Miyawaki Forest at Reservation No 526, Survey Nos 3 and 4 located at Mouje Sativali within the jurisdiction of Vasai Virar City Municipal Corporation VVMC under the National Clean Air Programme NCAP along with mainten]</t>
        </is>
      </c>
      <c r="E2399" s="7" t="inlineStr">
        <is>
          <t>Maharashtra Public Works &amp; Technology Department</t>
        </is>
      </c>
      <c r="F2399" s="6" t="inlineStr">
        <is>
          <t>06 Oct 2026</t>
        </is>
      </c>
      <c r="G2399" s="5" t="inlineStr">
        <is>
          <t>10 Nov 2026</t>
        </is>
      </c>
      <c r="H2399" s="17" t="inlineStr">
        <is>
          <t>🟢 LIVE ACTIVE</t>
        </is>
      </c>
      <c r="I2399" s="4" t="inlineStr">
        <is>
          <t>3.pdf</t>
        </is>
      </c>
      <c r="J2399" s="6" t="inlineStr">
        <is>
          <t>📕 PDF Document</t>
        </is>
      </c>
      <c r="K2399" s="9" t="n">
        <v>17.8</v>
      </c>
      <c r="L2399" s="10">
        <f>HYPERLINK("http://127.0.0.1:8000/api/documents/download?id=391&amp;attachment=true", "⬇ Download 3.pdf")</f>
        <v/>
      </c>
      <c r="M2399" s="10">
        <f>HYPERLINK("http://localhost:5173/?state=Maharashtra&amp;keyword=Forest&amp;tender=2026_VVCMC_1343667_1", "🚀 Open in Portal")</f>
        <v/>
      </c>
    </row>
    <row r="2400" ht="24" customHeight="1">
      <c r="A2400" s="11" t="inlineStr">
        <is>
          <t>Maharashtra</t>
        </is>
      </c>
      <c r="B2400" s="12" t="inlineStr">
        <is>
          <t>Forest</t>
        </is>
      </c>
      <c r="C2400" s="13" t="inlineStr">
        <is>
          <t>2026_VVCMC_1343667_1</t>
        </is>
      </c>
      <c r="D2400" s="14" t="inlineStr">
        <is>
          <t>[Development of a 1 000 sq m Mini Miyawaki Forest at Reservation No 526, Survey Nos 3 and 4 located at Mouje Sativali within the jurisdiction of Vasai Virar City Municipal Corporation VVMC under the National Clean Air Programme NCAP along with mainten]</t>
        </is>
      </c>
      <c r="E2400" s="14" t="inlineStr">
        <is>
          <t>Maharashtra Public Works &amp; Technology Department</t>
        </is>
      </c>
      <c r="F2400" s="13" t="inlineStr">
        <is>
          <t>06 Oct 2026</t>
        </is>
      </c>
      <c r="G2400" s="12" t="inlineStr">
        <is>
          <t>10 Nov 2026</t>
        </is>
      </c>
      <c r="H2400" s="17" t="inlineStr">
        <is>
          <t>🟢 LIVE ACTIVE</t>
        </is>
      </c>
      <c r="I2400" s="11" t="inlineStr">
        <is>
          <t>BOQ_2296618.xls</t>
        </is>
      </c>
      <c r="J2400" s="13" t="inlineStr">
        <is>
          <t>📊 Excel BOQ</t>
        </is>
      </c>
      <c r="K2400" s="15" t="n">
        <v>2.6</v>
      </c>
      <c r="L2400" s="16">
        <f>HYPERLINK("http://127.0.0.1:8000/api/documents/download?id=392&amp;attachment=true", "⬇ Download BOQ_2296618.xls")</f>
        <v/>
      </c>
      <c r="M2400" s="16">
        <f>HYPERLINK("http://localhost:5173/?state=Maharashtra&amp;keyword=Forest&amp;tender=2026_VVCMC_1343667_1", "🚀 Open in Portal")</f>
        <v/>
      </c>
    </row>
    <row r="2401" ht="24" customHeight="1">
      <c r="A2401" s="4" t="inlineStr">
        <is>
          <t>Maharashtra</t>
        </is>
      </c>
      <c r="B2401" s="5" t="inlineStr">
        <is>
          <t>Forest</t>
        </is>
      </c>
      <c r="C2401" s="6" t="inlineStr">
        <is>
          <t>2026_VVCMC_1343667_1</t>
        </is>
      </c>
      <c r="D2401" s="7" t="inlineStr">
        <is>
          <t>[Development of a 1 000 sq m Mini Miyawaki Forest at Reservation No 526, Survey Nos 3 and 4 located at Mouje Sativali within the jurisdiction of Vasai Virar City Municipal Corporation VVMC under the National Clean Air Programme NCAP along with mainten]</t>
        </is>
      </c>
      <c r="E2401" s="7" t="inlineStr">
        <is>
          <t>Maharashtra Public Works &amp; Technology Department</t>
        </is>
      </c>
      <c r="F2401" s="6" t="inlineStr">
        <is>
          <t>06 Oct 2026</t>
        </is>
      </c>
      <c r="G2401" s="5" t="inlineStr">
        <is>
          <t>10 Nov 2026</t>
        </is>
      </c>
      <c r="H2401" s="17" t="inlineStr">
        <is>
          <t>🟢 LIVE ACTIVE</t>
        </is>
      </c>
      <c r="I2401" s="4" t="inlineStr">
        <is>
          <t>Tender_2026_VVCMC_1343667_1_All_Documents.zip</t>
        </is>
      </c>
      <c r="J2401" s="6" t="inlineStr">
        <is>
          <t>📦 ZIP Package</t>
        </is>
      </c>
      <c r="K2401" s="9" t="n">
        <v>20.8</v>
      </c>
      <c r="L2401" s="10">
        <f>HYPERLINK("http://127.0.0.1:8000/api/documents/download?id=393&amp;attachment=true", "⬇ Download Tender_2026_VVCMC_134366")</f>
        <v/>
      </c>
      <c r="M2401" s="10">
        <f>HYPERLINK("http://localhost:5173/?state=Maharashtra&amp;keyword=Forest&amp;tender=2026_VVCMC_1343667_1", "🚀 Open in Portal")</f>
        <v/>
      </c>
    </row>
    <row r="2402" ht="24" customHeight="1">
      <c r="A2402" s="11" t="inlineStr">
        <is>
          <t>Maharashtra</t>
        </is>
      </c>
      <c r="B2402" s="12" t="inlineStr">
        <is>
          <t>Climate Change</t>
        </is>
      </c>
      <c r="C2402" s="13" t="inlineStr">
        <is>
          <t>2026_MCGM_1342876_1</t>
        </is>
      </c>
      <c r="D2402" s="14" t="inlineStr">
        <is>
          <t>[Hiring of agency for MER Consulting services for Environment and Climate Change Department]</t>
        </is>
      </c>
      <c r="E2402" s="14" t="inlineStr">
        <is>
          <t>Maharashtra Public Works &amp; Technology Department</t>
        </is>
      </c>
      <c r="F2402" s="13" t="inlineStr">
        <is>
          <t>25 Oct 2026</t>
        </is>
      </c>
      <c r="G2402" s="12" t="inlineStr">
        <is>
          <t>15 Nov 2026</t>
        </is>
      </c>
      <c r="H2402" s="8" t="inlineStr">
        <is>
          <t>⏳ UPCOMING</t>
        </is>
      </c>
      <c r="I2402" s="11" t="inlineStr">
        <is>
          <t>Tendernotice_1.pdf</t>
        </is>
      </c>
      <c r="J2402" s="13" t="inlineStr">
        <is>
          <t>📕 PDF Document</t>
        </is>
      </c>
      <c r="K2402" s="15" t="n">
        <v>17.9</v>
      </c>
      <c r="L2402" s="16">
        <f>HYPERLINK("http://127.0.0.1:8000/api/documents/download?id=441&amp;attachment=true", "⬇ Download Tendernotice_1.pdf")</f>
        <v/>
      </c>
      <c r="M2402" s="16">
        <f>HYPERLINK("http://localhost:5173/?state=Maharashtra&amp;keyword=Climate%20Change&amp;tender=2026_MCGM_1342876_1", "🚀 Open in Portal")</f>
        <v/>
      </c>
    </row>
    <row r="2403" ht="24" customHeight="1">
      <c r="A2403" s="4" t="inlineStr">
        <is>
          <t>Maharashtra</t>
        </is>
      </c>
      <c r="B2403" s="5" t="inlineStr">
        <is>
          <t>Climate Change</t>
        </is>
      </c>
      <c r="C2403" s="6" t="inlineStr">
        <is>
          <t>2026_MCGM_1342876_1</t>
        </is>
      </c>
      <c r="D2403" s="7" t="inlineStr">
        <is>
          <t>[Hiring of agency for MER Consulting services for Environment and Climate Change Department]</t>
        </is>
      </c>
      <c r="E2403" s="7" t="inlineStr">
        <is>
          <t>Maharashtra Public Works &amp; Technology Department</t>
        </is>
      </c>
      <c r="F2403" s="6" t="inlineStr">
        <is>
          <t>25 Oct 2026</t>
        </is>
      </c>
      <c r="G2403" s="5" t="inlineStr">
        <is>
          <t>15 Nov 2026</t>
        </is>
      </c>
      <c r="H2403" s="8" t="inlineStr">
        <is>
          <t>⏳ UPCOMING</t>
        </is>
      </c>
      <c r="I2403" s="4" t="inlineStr">
        <is>
          <t>DTMER.pdf</t>
        </is>
      </c>
      <c r="J2403" s="6" t="inlineStr">
        <is>
          <t>📕 PDF Document</t>
        </is>
      </c>
      <c r="K2403" s="9" t="n">
        <v>17.9</v>
      </c>
      <c r="L2403" s="10">
        <f>HYPERLINK("http://127.0.0.1:8000/api/documents/download?id=442&amp;attachment=true", "⬇ Download DTMER.pdf")</f>
        <v/>
      </c>
      <c r="M2403" s="10">
        <f>HYPERLINK("http://localhost:5173/?state=Maharashtra&amp;keyword=Climate%20Change&amp;tender=2026_MCGM_1342876_1", "🚀 Open in Portal")</f>
        <v/>
      </c>
    </row>
    <row r="2404" ht="24" customHeight="1">
      <c r="A2404" s="11" t="inlineStr">
        <is>
          <t>Maharashtra</t>
        </is>
      </c>
      <c r="B2404" s="12" t="inlineStr">
        <is>
          <t>Climate Change</t>
        </is>
      </c>
      <c r="C2404" s="13" t="inlineStr">
        <is>
          <t>2026_MCGM_1342876_1</t>
        </is>
      </c>
      <c r="D2404" s="14" t="inlineStr">
        <is>
          <t>[Hiring of agency for MER Consulting services for Environment and Climate Change Department]</t>
        </is>
      </c>
      <c r="E2404" s="14" t="inlineStr">
        <is>
          <t>Maharashtra Public Works &amp; Technology Department</t>
        </is>
      </c>
      <c r="F2404" s="13" t="inlineStr">
        <is>
          <t>25 Oct 2026</t>
        </is>
      </c>
      <c r="G2404" s="12" t="inlineStr">
        <is>
          <t>15 Nov 2026</t>
        </is>
      </c>
      <c r="H2404" s="8" t="inlineStr">
        <is>
          <t>⏳ UPCOMING</t>
        </is>
      </c>
      <c r="I2404" s="11" t="inlineStr">
        <is>
          <t>BOQ_2295582.xls</t>
        </is>
      </c>
      <c r="J2404" s="13" t="inlineStr">
        <is>
          <t>📊 Excel BOQ</t>
        </is>
      </c>
      <c r="K2404" s="15" t="n">
        <v>2.5</v>
      </c>
      <c r="L2404" s="16">
        <f>HYPERLINK("http://127.0.0.1:8000/api/documents/download?id=443&amp;attachment=true", "⬇ Download BOQ_2295582.xls")</f>
        <v/>
      </c>
      <c r="M2404" s="16">
        <f>HYPERLINK("http://localhost:5173/?state=Maharashtra&amp;keyword=Climate%20Change&amp;tender=2026_MCGM_1342876_1", "🚀 Open in Portal")</f>
        <v/>
      </c>
    </row>
    <row r="2405" ht="24" customHeight="1">
      <c r="A2405" s="4" t="inlineStr">
        <is>
          <t>Maharashtra</t>
        </is>
      </c>
      <c r="B2405" s="5" t="inlineStr">
        <is>
          <t>Climate Change</t>
        </is>
      </c>
      <c r="C2405" s="6" t="inlineStr">
        <is>
          <t>2026_MCGM_1342876_1</t>
        </is>
      </c>
      <c r="D2405" s="7" t="inlineStr">
        <is>
          <t>[Hiring of agency for MER Consulting services for Environment and Climate Change Department]</t>
        </is>
      </c>
      <c r="E2405" s="7" t="inlineStr">
        <is>
          <t>Maharashtra Public Works &amp; Technology Department</t>
        </is>
      </c>
      <c r="F2405" s="6" t="inlineStr">
        <is>
          <t>25 Oct 2026</t>
        </is>
      </c>
      <c r="G2405" s="5" t="inlineStr">
        <is>
          <t>15 Nov 2026</t>
        </is>
      </c>
      <c r="H2405" s="8" t="inlineStr">
        <is>
          <t>⏳ UPCOMING</t>
        </is>
      </c>
      <c r="I2405" s="4" t="inlineStr">
        <is>
          <t>Tender_2026_MCGM_1342876_1_All_Documents.zip</t>
        </is>
      </c>
      <c r="J2405" s="6" t="inlineStr">
        <is>
          <t>📦 ZIP Package</t>
        </is>
      </c>
      <c r="K2405" s="9" t="n">
        <v>20.8</v>
      </c>
      <c r="L2405" s="10">
        <f>HYPERLINK("http://127.0.0.1:8000/api/documents/download?id=444&amp;attachment=true", "⬇ Download Tender_2026_MCGM_1342876")</f>
        <v/>
      </c>
      <c r="M2405" s="10">
        <f>HYPERLINK("http://localhost:5173/?state=Maharashtra&amp;keyword=Climate%20Change&amp;tender=2026_MCGM_1342876_1", "🚀 Open in Portal")</f>
        <v/>
      </c>
    </row>
    <row r="2406" ht="24" customHeight="1">
      <c r="A2406" s="11" t="inlineStr">
        <is>
          <t>Maharashtra</t>
        </is>
      </c>
      <c r="B2406" s="12" t="inlineStr">
        <is>
          <t>Environment</t>
        </is>
      </c>
      <c r="C2406" s="13" t="inlineStr">
        <is>
          <t>2026_MCGM_1342876_1</t>
        </is>
      </c>
      <c r="D2406" s="14" t="inlineStr">
        <is>
          <t>[Hiring of agency for MER Consulting services for Environment and Climate Change Department]</t>
        </is>
      </c>
      <c r="E2406" s="14" t="inlineStr">
        <is>
          <t>Maharashtra Public Works &amp; Technology Department</t>
        </is>
      </c>
      <c r="F2406" s="13" t="inlineStr">
        <is>
          <t>25 Oct 2026</t>
        </is>
      </c>
      <c r="G2406" s="12" t="inlineStr">
        <is>
          <t>15 Nov 2026</t>
        </is>
      </c>
      <c r="H2406" s="8" t="inlineStr">
        <is>
          <t>⏳ UPCOMING</t>
        </is>
      </c>
      <c r="I2406" s="11" t="inlineStr">
        <is>
          <t>Tendernotice_1.pdf</t>
        </is>
      </c>
      <c r="J2406" s="13" t="inlineStr">
        <is>
          <t>📕 PDF Document</t>
        </is>
      </c>
      <c r="K2406" s="15" t="n">
        <v>17.9</v>
      </c>
      <c r="L2406" s="16">
        <f>HYPERLINK("http://127.0.0.1:8000/api/documents/download?id=441&amp;attachment=true", "⬇ Download Tendernotice_1.pdf")</f>
        <v/>
      </c>
      <c r="M2406" s="16">
        <f>HYPERLINK("http://localhost:5173/?state=Maharashtra&amp;keyword=Environment&amp;tender=2026_MCGM_1342876_1", "🚀 Open in Portal")</f>
        <v/>
      </c>
    </row>
    <row r="2407" ht="24" customHeight="1">
      <c r="A2407" s="4" t="inlineStr">
        <is>
          <t>Maharashtra</t>
        </is>
      </c>
      <c r="B2407" s="5" t="inlineStr">
        <is>
          <t>Environment</t>
        </is>
      </c>
      <c r="C2407" s="6" t="inlineStr">
        <is>
          <t>2026_MCGM_1342876_1</t>
        </is>
      </c>
      <c r="D2407" s="7" t="inlineStr">
        <is>
          <t>[Hiring of agency for MER Consulting services for Environment and Climate Change Department]</t>
        </is>
      </c>
      <c r="E2407" s="7" t="inlineStr">
        <is>
          <t>Maharashtra Public Works &amp; Technology Department</t>
        </is>
      </c>
      <c r="F2407" s="6" t="inlineStr">
        <is>
          <t>25 Oct 2026</t>
        </is>
      </c>
      <c r="G2407" s="5" t="inlineStr">
        <is>
          <t>15 Nov 2026</t>
        </is>
      </c>
      <c r="H2407" s="8" t="inlineStr">
        <is>
          <t>⏳ UPCOMING</t>
        </is>
      </c>
      <c r="I2407" s="4" t="inlineStr">
        <is>
          <t>DTMER.pdf</t>
        </is>
      </c>
      <c r="J2407" s="6" t="inlineStr">
        <is>
          <t>📕 PDF Document</t>
        </is>
      </c>
      <c r="K2407" s="9" t="n">
        <v>17.9</v>
      </c>
      <c r="L2407" s="10">
        <f>HYPERLINK("http://127.0.0.1:8000/api/documents/download?id=442&amp;attachment=true", "⬇ Download DTMER.pdf")</f>
        <v/>
      </c>
      <c r="M2407" s="10">
        <f>HYPERLINK("http://localhost:5173/?state=Maharashtra&amp;keyword=Environment&amp;tender=2026_MCGM_1342876_1", "🚀 Open in Portal")</f>
        <v/>
      </c>
    </row>
    <row r="2408" ht="24" customHeight="1">
      <c r="A2408" s="11" t="inlineStr">
        <is>
          <t>Maharashtra</t>
        </is>
      </c>
      <c r="B2408" s="12" t="inlineStr">
        <is>
          <t>Environment</t>
        </is>
      </c>
      <c r="C2408" s="13" t="inlineStr">
        <is>
          <t>2026_MCGM_1342876_1</t>
        </is>
      </c>
      <c r="D2408" s="14" t="inlineStr">
        <is>
          <t>[Hiring of agency for MER Consulting services for Environment and Climate Change Department]</t>
        </is>
      </c>
      <c r="E2408" s="14" t="inlineStr">
        <is>
          <t>Maharashtra Public Works &amp; Technology Department</t>
        </is>
      </c>
      <c r="F2408" s="13" t="inlineStr">
        <is>
          <t>25 Oct 2026</t>
        </is>
      </c>
      <c r="G2408" s="12" t="inlineStr">
        <is>
          <t>15 Nov 2026</t>
        </is>
      </c>
      <c r="H2408" s="8" t="inlineStr">
        <is>
          <t>⏳ UPCOMING</t>
        </is>
      </c>
      <c r="I2408" s="11" t="inlineStr">
        <is>
          <t>BOQ_2295582.xls</t>
        </is>
      </c>
      <c r="J2408" s="13" t="inlineStr">
        <is>
          <t>📊 Excel BOQ</t>
        </is>
      </c>
      <c r="K2408" s="15" t="n">
        <v>2.5</v>
      </c>
      <c r="L2408" s="16">
        <f>HYPERLINK("http://127.0.0.1:8000/api/documents/download?id=443&amp;attachment=true", "⬇ Download BOQ_2295582.xls")</f>
        <v/>
      </c>
      <c r="M2408" s="16">
        <f>HYPERLINK("http://localhost:5173/?state=Maharashtra&amp;keyword=Environment&amp;tender=2026_MCGM_1342876_1", "🚀 Open in Portal")</f>
        <v/>
      </c>
    </row>
    <row r="2409" ht="24" customHeight="1">
      <c r="A2409" s="4" t="inlineStr">
        <is>
          <t>Maharashtra</t>
        </is>
      </c>
      <c r="B2409" s="5" t="inlineStr">
        <is>
          <t>Environment</t>
        </is>
      </c>
      <c r="C2409" s="6" t="inlineStr">
        <is>
          <t>2026_MCGM_1342876_1</t>
        </is>
      </c>
      <c r="D2409" s="7" t="inlineStr">
        <is>
          <t>[Hiring of agency for MER Consulting services for Environment and Climate Change Department]</t>
        </is>
      </c>
      <c r="E2409" s="7" t="inlineStr">
        <is>
          <t>Maharashtra Public Works &amp; Technology Department</t>
        </is>
      </c>
      <c r="F2409" s="6" t="inlineStr">
        <is>
          <t>25 Oct 2026</t>
        </is>
      </c>
      <c r="G2409" s="5" t="inlineStr">
        <is>
          <t>15 Nov 2026</t>
        </is>
      </c>
      <c r="H2409" s="8" t="inlineStr">
        <is>
          <t>⏳ UPCOMING</t>
        </is>
      </c>
      <c r="I2409" s="4" t="inlineStr">
        <is>
          <t>Tender_2026_MCGM_1342876_1_All_Documents.zip</t>
        </is>
      </c>
      <c r="J2409" s="6" t="inlineStr">
        <is>
          <t>📦 ZIP Package</t>
        </is>
      </c>
      <c r="K2409" s="9" t="n">
        <v>20.8</v>
      </c>
      <c r="L2409" s="10">
        <f>HYPERLINK("http://127.0.0.1:8000/api/documents/download?id=444&amp;attachment=true", "⬇ Download Tender_2026_MCGM_1342876")</f>
        <v/>
      </c>
      <c r="M2409" s="10">
        <f>HYPERLINK("http://localhost:5173/?state=Maharashtra&amp;keyword=Environment&amp;tender=2026_MCGM_1342876_1", "🚀 Open in Portal")</f>
        <v/>
      </c>
    </row>
    <row r="2410" ht="24" customHeight="1">
      <c r="A2410" s="11" t="inlineStr">
        <is>
          <t>Maharashtra</t>
        </is>
      </c>
      <c r="B2410" s="12" t="inlineStr">
        <is>
          <t>Environment</t>
        </is>
      </c>
      <c r="C2410" s="13" t="inlineStr">
        <is>
          <t>2026_MMB_1342526_1</t>
        </is>
      </c>
      <c r="D2410" s="14" t="inlineStr">
        <is>
          <t>[Appointment of NABET Accredited Environmental Consultant for Obtaining CRZ Clearance, Environmental Clearance and Forest Clearances for Greenfield Shipbuilding Industrial Cluster at Dighi, Raigad, Maharashtra 2nd Call]</t>
        </is>
      </c>
      <c r="E2410" s="14" t="inlineStr">
        <is>
          <t>Maharashtra Public Works &amp; Technology Department</t>
        </is>
      </c>
      <c r="F2410" s="13" t="inlineStr">
        <is>
          <t>15 Aug 2026</t>
        </is>
      </c>
      <c r="G2410" s="12" t="inlineStr">
        <is>
          <t>12 Sep 2026</t>
        </is>
      </c>
      <c r="H2410" s="8" t="inlineStr">
        <is>
          <t>⏳ UPCOMING</t>
        </is>
      </c>
      <c r="I2410" s="11" t="inlineStr">
        <is>
          <t>Tendernotice_1.pdf</t>
        </is>
      </c>
      <c r="J2410" s="13" t="inlineStr">
        <is>
          <t>📕 PDF Document</t>
        </is>
      </c>
      <c r="K2410" s="15" t="n">
        <v>17.9</v>
      </c>
      <c r="L2410" s="16">
        <f>HYPERLINK("http://127.0.0.1:8000/api/documents/download?id=449&amp;attachment=true", "⬇ Download Tendernotice_1.pdf")</f>
        <v/>
      </c>
      <c r="M2410" s="16">
        <f>HYPERLINK("http://localhost:5173/?state=Maharashtra&amp;keyword=Environment&amp;tender=2026_MMB_1342526_1", "🚀 Open in Portal")</f>
        <v/>
      </c>
    </row>
    <row r="2411" ht="24" customHeight="1">
      <c r="A2411" s="4" t="inlineStr">
        <is>
          <t>Maharashtra</t>
        </is>
      </c>
      <c r="B2411" s="5" t="inlineStr">
        <is>
          <t>Environment</t>
        </is>
      </c>
      <c r="C2411" s="6" t="inlineStr">
        <is>
          <t>2026_MMB_1342526_1</t>
        </is>
      </c>
      <c r="D2411" s="7" t="inlineStr">
        <is>
          <t>[Appointment of NABET Accredited Environmental Consultant for Obtaining CRZ Clearance, Environmental Clearance and Forest Clearances for Greenfield Shipbuilding Industrial Cluster at Dighi, Raigad, Maharashtra 2nd Call]</t>
        </is>
      </c>
      <c r="E2411" s="7" t="inlineStr">
        <is>
          <t>Maharashtra Public Works &amp; Technology Department</t>
        </is>
      </c>
      <c r="F2411" s="6" t="inlineStr">
        <is>
          <t>15 Aug 2026</t>
        </is>
      </c>
      <c r="G2411" s="5" t="inlineStr">
        <is>
          <t>12 Sep 2026</t>
        </is>
      </c>
      <c r="H2411" s="8" t="inlineStr">
        <is>
          <t>⏳ UPCOMING</t>
        </is>
      </c>
      <c r="I2411" s="4" t="inlineStr">
        <is>
          <t>RFP.pdf</t>
        </is>
      </c>
      <c r="J2411" s="6" t="inlineStr">
        <is>
          <t>📕 PDF Document</t>
        </is>
      </c>
      <c r="K2411" s="9" t="n">
        <v>17.8</v>
      </c>
      <c r="L2411" s="10">
        <f>HYPERLINK("http://127.0.0.1:8000/api/documents/download?id=450&amp;attachment=true", "⬇ Download RFP.pdf")</f>
        <v/>
      </c>
      <c r="M2411" s="10">
        <f>HYPERLINK("http://localhost:5173/?state=Maharashtra&amp;keyword=Environment&amp;tender=2026_MMB_1342526_1", "🚀 Open in Portal")</f>
        <v/>
      </c>
    </row>
    <row r="2412" ht="24" customHeight="1">
      <c r="A2412" s="11" t="inlineStr">
        <is>
          <t>Maharashtra</t>
        </is>
      </c>
      <c r="B2412" s="12" t="inlineStr">
        <is>
          <t>Environment</t>
        </is>
      </c>
      <c r="C2412" s="13" t="inlineStr">
        <is>
          <t>2026_MMB_1342526_1</t>
        </is>
      </c>
      <c r="D2412" s="14" t="inlineStr">
        <is>
          <t>[Appointment of NABET Accredited Environmental Consultant for Obtaining CRZ Clearance, Environmental Clearance and Forest Clearances for Greenfield Shipbuilding Industrial Cluster at Dighi, Raigad, Maharashtra 2nd Call]</t>
        </is>
      </c>
      <c r="E2412" s="14" t="inlineStr">
        <is>
          <t>Maharashtra Public Works &amp; Technology Department</t>
        </is>
      </c>
      <c r="F2412" s="13" t="inlineStr">
        <is>
          <t>15 Aug 2026</t>
        </is>
      </c>
      <c r="G2412" s="12" t="inlineStr">
        <is>
          <t>12 Sep 2026</t>
        </is>
      </c>
      <c r="H2412" s="8" t="inlineStr">
        <is>
          <t>⏳ UPCOMING</t>
        </is>
      </c>
      <c r="I2412" s="11" t="inlineStr">
        <is>
          <t>BOQ_2294730.xls</t>
        </is>
      </c>
      <c r="J2412" s="13" t="inlineStr">
        <is>
          <t>📊 Excel BOQ</t>
        </is>
      </c>
      <c r="K2412" s="15" t="n">
        <v>2.5</v>
      </c>
      <c r="L2412" s="16">
        <f>HYPERLINK("http://127.0.0.1:8000/api/documents/download?id=451&amp;attachment=true", "⬇ Download BOQ_2294730.xls")</f>
        <v/>
      </c>
      <c r="M2412" s="16">
        <f>HYPERLINK("http://localhost:5173/?state=Maharashtra&amp;keyword=Environment&amp;tender=2026_MMB_1342526_1", "🚀 Open in Portal")</f>
        <v/>
      </c>
    </row>
    <row r="2413" ht="24" customHeight="1">
      <c r="A2413" s="4" t="inlineStr">
        <is>
          <t>Maharashtra</t>
        </is>
      </c>
      <c r="B2413" s="5" t="inlineStr">
        <is>
          <t>Environment</t>
        </is>
      </c>
      <c r="C2413" s="6" t="inlineStr">
        <is>
          <t>2026_MMB_1342526_1</t>
        </is>
      </c>
      <c r="D2413" s="7" t="inlineStr">
        <is>
          <t>[Appointment of NABET Accredited Environmental Consultant for Obtaining CRZ Clearance, Environmental Clearance and Forest Clearances for Greenfield Shipbuilding Industrial Cluster at Dighi, Raigad, Maharashtra 2nd Call]</t>
        </is>
      </c>
      <c r="E2413" s="7" t="inlineStr">
        <is>
          <t>Maharashtra Public Works &amp; Technology Department</t>
        </is>
      </c>
      <c r="F2413" s="6" t="inlineStr">
        <is>
          <t>15 Aug 2026</t>
        </is>
      </c>
      <c r="G2413" s="5" t="inlineStr">
        <is>
          <t>12 Sep 2026</t>
        </is>
      </c>
      <c r="H2413" s="8" t="inlineStr">
        <is>
          <t>⏳ UPCOMING</t>
        </is>
      </c>
      <c r="I2413" s="4" t="inlineStr">
        <is>
          <t>Tender_2026_MMB_1342526_1_All_Documents.zip</t>
        </is>
      </c>
      <c r="J2413" s="6" t="inlineStr">
        <is>
          <t>📦 ZIP Package</t>
        </is>
      </c>
      <c r="K2413" s="9" t="n">
        <v>20.8</v>
      </c>
      <c r="L2413" s="10">
        <f>HYPERLINK("http://127.0.0.1:8000/api/documents/download?id=452&amp;attachment=true", "⬇ Download Tender_2026_MMB_1342526_")</f>
        <v/>
      </c>
      <c r="M2413" s="10">
        <f>HYPERLINK("http://localhost:5173/?state=Maharashtra&amp;keyword=Environment&amp;tender=2026_MMB_1342526_1", "🚀 Open in Portal")</f>
        <v/>
      </c>
    </row>
    <row r="2414" ht="24" customHeight="1">
      <c r="A2414" s="11" t="inlineStr">
        <is>
          <t>Maharashtra</t>
        </is>
      </c>
      <c r="B2414" s="12" t="inlineStr">
        <is>
          <t>Environment</t>
        </is>
      </c>
      <c r="C2414" s="13" t="inlineStr">
        <is>
          <t>2026_MMB_1342533_1</t>
        </is>
      </c>
      <c r="D2414" s="14" t="inlineStr">
        <is>
          <t>[Appointment of NABET Accredited Environmental Consultant for Obtaining CRZ Clearance, Environmental Clerance and Forest Clearance, Ecological Sensitive Zone Clearances for Mumbai Water Metro Project (Phase 1) 2nd Call]</t>
        </is>
      </c>
      <c r="E2414" s="14" t="inlineStr">
        <is>
          <t>Maharashtra Public Works &amp; Technology Department</t>
        </is>
      </c>
      <c r="F2414" s="13" t="inlineStr">
        <is>
          <t>12 Aug 2026</t>
        </is>
      </c>
      <c r="G2414" s="12" t="inlineStr">
        <is>
          <t>02 Sep 2026</t>
        </is>
      </c>
      <c r="H2414" s="8" t="inlineStr">
        <is>
          <t>⏳ UPCOMING</t>
        </is>
      </c>
      <c r="I2414" s="11" t="inlineStr">
        <is>
          <t>Tendernotice_1.pdf</t>
        </is>
      </c>
      <c r="J2414" s="13" t="inlineStr">
        <is>
          <t>📕 PDF Document</t>
        </is>
      </c>
      <c r="K2414" s="15" t="n">
        <v>17.9</v>
      </c>
      <c r="L2414" s="16">
        <f>HYPERLINK("http://127.0.0.1:8000/api/documents/download?id=445&amp;attachment=true", "⬇ Download Tendernotice_1.pdf")</f>
        <v/>
      </c>
      <c r="M2414" s="16">
        <f>HYPERLINK("http://localhost:5173/?state=Maharashtra&amp;keyword=Environment&amp;tender=2026_MMB_1342533_1", "🚀 Open in Portal")</f>
        <v/>
      </c>
    </row>
    <row r="2415" ht="24" customHeight="1">
      <c r="A2415" s="4" t="inlineStr">
        <is>
          <t>Maharashtra</t>
        </is>
      </c>
      <c r="B2415" s="5" t="inlineStr">
        <is>
          <t>Environment</t>
        </is>
      </c>
      <c r="C2415" s="6" t="inlineStr">
        <is>
          <t>2026_MMB_1342533_1</t>
        </is>
      </c>
      <c r="D2415" s="7" t="inlineStr">
        <is>
          <t>[Appointment of NABET Accredited Environmental Consultant for Obtaining CRZ Clearance, Environmental Clerance and Forest Clearance, Ecological Sensitive Zone Clearances for Mumbai Water Metro Project (Phase 1) 2nd Call]</t>
        </is>
      </c>
      <c r="E2415" s="7" t="inlineStr">
        <is>
          <t>Maharashtra Public Works &amp; Technology Department</t>
        </is>
      </c>
      <c r="F2415" s="6" t="inlineStr">
        <is>
          <t>12 Aug 2026</t>
        </is>
      </c>
      <c r="G2415" s="5" t="inlineStr">
        <is>
          <t>02 Sep 2026</t>
        </is>
      </c>
      <c r="H2415" s="8" t="inlineStr">
        <is>
          <t>⏳ UPCOMING</t>
        </is>
      </c>
      <c r="I2415" s="4" t="inlineStr">
        <is>
          <t>BOQ_2294736.xls</t>
        </is>
      </c>
      <c r="J2415" s="6" t="inlineStr">
        <is>
          <t>📊 Excel BOQ</t>
        </is>
      </c>
      <c r="K2415" s="9" t="n">
        <v>2.5</v>
      </c>
      <c r="L2415" s="10">
        <f>HYPERLINK("http://127.0.0.1:8000/api/documents/download?id=446&amp;attachment=true", "⬇ Download BOQ_2294736.xls")</f>
        <v/>
      </c>
      <c r="M2415" s="10">
        <f>HYPERLINK("http://localhost:5173/?state=Maharashtra&amp;keyword=Environment&amp;tender=2026_MMB_1342533_1", "🚀 Open in Portal")</f>
        <v/>
      </c>
    </row>
    <row r="2416" ht="24" customHeight="1">
      <c r="A2416" s="11" t="inlineStr">
        <is>
          <t>Maharashtra</t>
        </is>
      </c>
      <c r="B2416" s="12" t="inlineStr">
        <is>
          <t>Environment</t>
        </is>
      </c>
      <c r="C2416" s="13" t="inlineStr">
        <is>
          <t>2026_MMB_1342533_1</t>
        </is>
      </c>
      <c r="D2416" s="14" t="inlineStr">
        <is>
          <t>[Appointment of NABET Accredited Environmental Consultant for Obtaining CRZ Clearance, Environmental Clerance and Forest Clearance, Ecological Sensitive Zone Clearances for Mumbai Water Metro Project (Phase 1) 2nd Call]</t>
        </is>
      </c>
      <c r="E2416" s="14" t="inlineStr">
        <is>
          <t>Maharashtra Public Works &amp; Technology Department</t>
        </is>
      </c>
      <c r="F2416" s="13" t="inlineStr">
        <is>
          <t>12 Aug 2026</t>
        </is>
      </c>
      <c r="G2416" s="12" t="inlineStr">
        <is>
          <t>02 Sep 2026</t>
        </is>
      </c>
      <c r="H2416" s="8" t="inlineStr">
        <is>
          <t>⏳ UPCOMING</t>
        </is>
      </c>
      <c r="I2416" s="11" t="inlineStr">
        <is>
          <t>RFP.pdf</t>
        </is>
      </c>
      <c r="J2416" s="13" t="inlineStr">
        <is>
          <t>📕 PDF Document</t>
        </is>
      </c>
      <c r="K2416" s="15" t="n">
        <v>17.8</v>
      </c>
      <c r="L2416" s="16">
        <f>HYPERLINK("http://127.0.0.1:8000/api/documents/download?id=447&amp;attachment=true", "⬇ Download RFP.pdf")</f>
        <v/>
      </c>
      <c r="M2416" s="16">
        <f>HYPERLINK("http://localhost:5173/?state=Maharashtra&amp;keyword=Environment&amp;tender=2026_MMB_1342533_1", "🚀 Open in Portal")</f>
        <v/>
      </c>
    </row>
    <row r="2417" ht="24" customHeight="1">
      <c r="A2417" s="4" t="inlineStr">
        <is>
          <t>Maharashtra</t>
        </is>
      </c>
      <c r="B2417" s="5" t="inlineStr">
        <is>
          <t>Environment</t>
        </is>
      </c>
      <c r="C2417" s="6" t="inlineStr">
        <is>
          <t>2026_MMB_1342533_1</t>
        </is>
      </c>
      <c r="D2417" s="7" t="inlineStr">
        <is>
          <t>[Appointment of NABET Accredited Environmental Consultant for Obtaining CRZ Clearance, Environmental Clerance and Forest Clearance, Ecological Sensitive Zone Clearances for Mumbai Water Metro Project (Phase 1) 2nd Call]</t>
        </is>
      </c>
      <c r="E2417" s="7" t="inlineStr">
        <is>
          <t>Maharashtra Public Works &amp; Technology Department</t>
        </is>
      </c>
      <c r="F2417" s="6" t="inlineStr">
        <is>
          <t>12 Aug 2026</t>
        </is>
      </c>
      <c r="G2417" s="5" t="inlineStr">
        <is>
          <t>02 Sep 2026</t>
        </is>
      </c>
      <c r="H2417" s="8" t="inlineStr">
        <is>
          <t>⏳ UPCOMING</t>
        </is>
      </c>
      <c r="I2417" s="4" t="inlineStr">
        <is>
          <t>Tender_2026_MMB_1342533_1_All_Documents.zip</t>
        </is>
      </c>
      <c r="J2417" s="6" t="inlineStr">
        <is>
          <t>📦 ZIP Package</t>
        </is>
      </c>
      <c r="K2417" s="9" t="n">
        <v>20.8</v>
      </c>
      <c r="L2417" s="10">
        <f>HYPERLINK("http://127.0.0.1:8000/api/documents/download?id=448&amp;attachment=true", "⬇ Download Tender_2026_MMB_1342533_")</f>
        <v/>
      </c>
      <c r="M2417" s="10">
        <f>HYPERLINK("http://localhost:5173/?state=Maharashtra&amp;keyword=Environment&amp;tender=2026_MMB_1342533_1", "🚀 Open in Portal")</f>
        <v/>
      </c>
    </row>
    <row r="2418" ht="24" customHeight="1">
      <c r="A2418" s="11" t="inlineStr">
        <is>
          <t>Maharashtra</t>
        </is>
      </c>
      <c r="B2418" s="12" t="inlineStr">
        <is>
          <t>Environment</t>
        </is>
      </c>
      <c r="C2418" s="13" t="inlineStr">
        <is>
          <t>2026_PWR_1344074_1</t>
        </is>
      </c>
      <c r="D2418" s="14" t="inlineStr">
        <is>
          <t>[Consultancy Services for Environmental Clearance, Censent to Establish, Traffic impact Study, Study Energy Conservation Building Code (ECBC) and Shadow, Ventilation analysis, Hydroligy assessment and RWH planning for Additional District and Session C]</t>
        </is>
      </c>
      <c r="E2418" s="14" t="inlineStr">
        <is>
          <t>Maharashtra Public Works &amp; Technology Department</t>
        </is>
      </c>
      <c r="F2418" s="13" t="inlineStr">
        <is>
          <t>27 Aug 2026</t>
        </is>
      </c>
      <c r="G2418" s="12" t="inlineStr">
        <is>
          <t>22 Sep 2026</t>
        </is>
      </c>
      <c r="H2418" s="8" t="inlineStr">
        <is>
          <t>⏳ UPCOMING</t>
        </is>
      </c>
      <c r="I2418" s="11" t="inlineStr">
        <is>
          <t>Tendernotice_1.pdf</t>
        </is>
      </c>
      <c r="J2418" s="13" t="inlineStr">
        <is>
          <t>📕 PDF Document</t>
        </is>
      </c>
      <c r="K2418" s="15" t="n">
        <v>17.9</v>
      </c>
      <c r="L2418" s="16">
        <f>HYPERLINK("http://127.0.0.1:8000/api/documents/download?id=437&amp;attachment=true", "⬇ Download Tendernotice_1.pdf")</f>
        <v/>
      </c>
      <c r="M2418" s="16">
        <f>HYPERLINK("http://localhost:5173/?state=Maharashtra&amp;keyword=Environment&amp;tender=2026_PWR_1344074_1", "🚀 Open in Portal")</f>
        <v/>
      </c>
    </row>
    <row r="2419" ht="24" customHeight="1">
      <c r="A2419" s="4" t="inlineStr">
        <is>
          <t>Maharashtra</t>
        </is>
      </c>
      <c r="B2419" s="5" t="inlineStr">
        <is>
          <t>Environment</t>
        </is>
      </c>
      <c r="C2419" s="6" t="inlineStr">
        <is>
          <t>2026_PWR_1344074_1</t>
        </is>
      </c>
      <c r="D2419" s="7" t="inlineStr">
        <is>
          <t>[Consultancy Services for Environmental Clearance, Censent to Establish, Traffic impact Study, Study Energy Conservation Building Code (ECBC) and Shadow, Ventilation analysis, Hydroligy assessment and RWH planning for Additional District and Session C]</t>
        </is>
      </c>
      <c r="E2419" s="7" t="inlineStr">
        <is>
          <t>Maharashtra Public Works &amp; Technology Department</t>
        </is>
      </c>
      <c r="F2419" s="6" t="inlineStr">
        <is>
          <t>27 Aug 2026</t>
        </is>
      </c>
      <c r="G2419" s="5" t="inlineStr">
        <is>
          <t>22 Sep 2026</t>
        </is>
      </c>
      <c r="H2419" s="8" t="inlineStr">
        <is>
          <t>⏳ UPCOMING</t>
        </is>
      </c>
      <c r="I2419" s="4" t="inlineStr">
        <is>
          <t>BOQ_2297109.xls</t>
        </is>
      </c>
      <c r="J2419" s="6" t="inlineStr">
        <is>
          <t>📊 Excel BOQ</t>
        </is>
      </c>
      <c r="K2419" s="9" t="n">
        <v>2.6</v>
      </c>
      <c r="L2419" s="10">
        <f>HYPERLINK("http://127.0.0.1:8000/api/documents/download?id=438&amp;attachment=true", "⬇ Download BOQ_2297109.xls")</f>
        <v/>
      </c>
      <c r="M2419" s="10">
        <f>HYPERLINK("http://localhost:5173/?state=Maharashtra&amp;keyword=Environment&amp;tender=2026_PWR_1344074_1", "🚀 Open in Portal")</f>
        <v/>
      </c>
    </row>
    <row r="2420" ht="24" customHeight="1">
      <c r="A2420" s="11" t="inlineStr">
        <is>
          <t>Maharashtra</t>
        </is>
      </c>
      <c r="B2420" s="12" t="inlineStr">
        <is>
          <t>Environment</t>
        </is>
      </c>
      <c r="C2420" s="13" t="inlineStr">
        <is>
          <t>2026_PWR_1344074_1</t>
        </is>
      </c>
      <c r="D2420" s="14" t="inlineStr">
        <is>
          <t>[Consultancy Services for Environmental Clearance, Censent to Establish, Traffic impact Study, Study Energy Conservation Building Code (ECBC) and Shadow, Ventilation analysis, Hydroligy assessment and RWH planning for Additional District and Session C]</t>
        </is>
      </c>
      <c r="E2420" s="14" t="inlineStr">
        <is>
          <t>Maharashtra Public Works &amp; Technology Department</t>
        </is>
      </c>
      <c r="F2420" s="13" t="inlineStr">
        <is>
          <t>27 Aug 2026</t>
        </is>
      </c>
      <c r="G2420" s="12" t="inlineStr">
        <is>
          <t>22 Sep 2026</t>
        </is>
      </c>
      <c r="H2420" s="8" t="inlineStr">
        <is>
          <t>⏳ UPCOMING</t>
        </is>
      </c>
      <c r="I2420" s="11" t="inlineStr">
        <is>
          <t>2101.pdf</t>
        </is>
      </c>
      <c r="J2420" s="13" t="inlineStr">
        <is>
          <t>📕 PDF Document</t>
        </is>
      </c>
      <c r="K2420" s="15" t="n">
        <v>17.9</v>
      </c>
      <c r="L2420" s="16">
        <f>HYPERLINK("http://127.0.0.1:8000/api/documents/download?id=439&amp;attachment=true", "⬇ Download 2101.pdf")</f>
        <v/>
      </c>
      <c r="M2420" s="16">
        <f>HYPERLINK("http://localhost:5173/?state=Maharashtra&amp;keyword=Environment&amp;tender=2026_PWR_1344074_1", "🚀 Open in Portal")</f>
        <v/>
      </c>
    </row>
    <row r="2421" ht="24" customHeight="1">
      <c r="A2421" s="4" t="inlineStr">
        <is>
          <t>Maharashtra</t>
        </is>
      </c>
      <c r="B2421" s="5" t="inlineStr">
        <is>
          <t>Environment</t>
        </is>
      </c>
      <c r="C2421" s="6" t="inlineStr">
        <is>
          <t>2026_PWR_1344074_1</t>
        </is>
      </c>
      <c r="D2421" s="7" t="inlineStr">
        <is>
          <t>[Consultancy Services for Environmental Clearance, Censent to Establish, Traffic impact Study, Study Energy Conservation Building Code (ECBC) and Shadow, Ventilation analysis, Hydroligy assessment and RWH planning for Additional District and Session C]</t>
        </is>
      </c>
      <c r="E2421" s="7" t="inlineStr">
        <is>
          <t>Maharashtra Public Works &amp; Technology Department</t>
        </is>
      </c>
      <c r="F2421" s="6" t="inlineStr">
        <is>
          <t>27 Aug 2026</t>
        </is>
      </c>
      <c r="G2421" s="5" t="inlineStr">
        <is>
          <t>22 Sep 2026</t>
        </is>
      </c>
      <c r="H2421" s="8" t="inlineStr">
        <is>
          <t>⏳ UPCOMING</t>
        </is>
      </c>
      <c r="I2421" s="4" t="inlineStr">
        <is>
          <t>Tender_2026_PWR_1344074_1_All_Documents.zip</t>
        </is>
      </c>
      <c r="J2421" s="6" t="inlineStr">
        <is>
          <t>📦 ZIP Package</t>
        </is>
      </c>
      <c r="K2421" s="9" t="n">
        <v>20.9</v>
      </c>
      <c r="L2421" s="10">
        <f>HYPERLINK("http://127.0.0.1:8000/api/documents/download?id=440&amp;attachment=true", "⬇ Download Tender_2026_PWR_1344074_")</f>
        <v/>
      </c>
      <c r="M2421" s="10">
        <f>HYPERLINK("http://localhost:5173/?state=Maharashtra&amp;keyword=Environment&amp;tender=2026_PWR_1344074_1", "🚀 Open in Portal")</f>
        <v/>
      </c>
    </row>
    <row r="2422" ht="24" customHeight="1">
      <c r="A2422" s="11" t="inlineStr">
        <is>
          <t>Maharashtra</t>
        </is>
      </c>
      <c r="B2422" s="12" t="inlineStr">
        <is>
          <t>Water Resources</t>
        </is>
      </c>
      <c r="C2422" s="13" t="inlineStr">
        <is>
          <t>2026_CCCA_1322912_1</t>
        </is>
      </c>
      <c r="D2422" s="14" t="inlineStr">
        <is>
          <t>[Allocation of Designated Reservoir Area on Lease for Fisheries and Other Aquaculture Activities in Majalgaon Reservoir under the jurisdiction of the Godavari Marathwada Irrigation Development Corporation (GMIDC), Water Resources Department, Governmen]</t>
        </is>
      </c>
      <c r="E2422" s="14" t="inlineStr">
        <is>
          <t>Maharashtra Public Works &amp; Technology Department</t>
        </is>
      </c>
      <c r="F2422" s="13" t="inlineStr">
        <is>
          <t>30 Aug 2026</t>
        </is>
      </c>
      <c r="G2422" s="12" t="inlineStr">
        <is>
          <t>21 Sep 2026</t>
        </is>
      </c>
      <c r="H2422" s="8" t="inlineStr">
        <is>
          <t>⏳ UPCOMING</t>
        </is>
      </c>
      <c r="I2422" s="11" t="inlineStr">
        <is>
          <t>Tendernotice_1.pdf</t>
        </is>
      </c>
      <c r="J2422" s="13" t="inlineStr">
        <is>
          <t>📕 PDF Document</t>
        </is>
      </c>
      <c r="K2422" s="15" t="n">
        <v>17.9</v>
      </c>
      <c r="L2422" s="16">
        <f>HYPERLINK("http://127.0.0.1:8000/api/documents/download?id=453&amp;attachment=true", "⬇ Download Tendernotice_1.pdf")</f>
        <v/>
      </c>
      <c r="M2422" s="16">
        <f>HYPERLINK("http://localhost:5173/?state=Maharashtra&amp;keyword=Water%20Resources&amp;tender=2026_CCCA_1322912_1", "🚀 Open in Portal")</f>
        <v/>
      </c>
    </row>
    <row r="2423" ht="24" customHeight="1">
      <c r="A2423" s="4" t="inlineStr">
        <is>
          <t>Maharashtra</t>
        </is>
      </c>
      <c r="B2423" s="5" t="inlineStr">
        <is>
          <t>Water Resources</t>
        </is>
      </c>
      <c r="C2423" s="6" t="inlineStr">
        <is>
          <t>2026_CCCA_1322912_1</t>
        </is>
      </c>
      <c r="D2423" s="7" t="inlineStr">
        <is>
          <t>[Allocation of Designated Reservoir Area on Lease for Fisheries and Other Aquaculture Activities in Majalgaon Reservoir under the jurisdiction of the Godavari Marathwada Irrigation Development Corporation (GMIDC), Water Resources Department, Governmen]</t>
        </is>
      </c>
      <c r="E2423" s="7" t="inlineStr">
        <is>
          <t>Maharashtra Public Works &amp; Technology Department</t>
        </is>
      </c>
      <c r="F2423" s="6" t="inlineStr">
        <is>
          <t>30 Aug 2026</t>
        </is>
      </c>
      <c r="G2423" s="5" t="inlineStr">
        <is>
          <t>21 Sep 2026</t>
        </is>
      </c>
      <c r="H2423" s="8" t="inlineStr">
        <is>
          <t>⏳ UPCOMING</t>
        </is>
      </c>
      <c r="I2423" s="4" t="inlineStr">
        <is>
          <t>04_SBD.pdf</t>
        </is>
      </c>
      <c r="J2423" s="6" t="inlineStr">
        <is>
          <t>📕 PDF Document</t>
        </is>
      </c>
      <c r="K2423" s="9" t="n">
        <v>17.9</v>
      </c>
      <c r="L2423" s="10">
        <f>HYPERLINK("http://127.0.0.1:8000/api/documents/download?id=454&amp;attachment=true", "⬇ Download 04_SBD.pdf")</f>
        <v/>
      </c>
      <c r="M2423" s="10">
        <f>HYPERLINK("http://localhost:5173/?state=Maharashtra&amp;keyword=Water%20Resources&amp;tender=2026_CCCA_1322912_1", "🚀 Open in Portal")</f>
        <v/>
      </c>
    </row>
    <row r="2424" ht="24" customHeight="1">
      <c r="A2424" s="11" t="inlineStr">
        <is>
          <t>Maharashtra</t>
        </is>
      </c>
      <c r="B2424" s="12" t="inlineStr">
        <is>
          <t>Water Resources</t>
        </is>
      </c>
      <c r="C2424" s="13" t="inlineStr">
        <is>
          <t>2026_CCCA_1322912_1</t>
        </is>
      </c>
      <c r="D2424" s="14" t="inlineStr">
        <is>
          <t>[Allocation of Designated Reservoir Area on Lease for Fisheries and Other Aquaculture Activities in Majalgaon Reservoir under the jurisdiction of the Godavari Marathwada Irrigation Development Corporation (GMIDC), Water Resources Department, Governmen]</t>
        </is>
      </c>
      <c r="E2424" s="14" t="inlineStr">
        <is>
          <t>Maharashtra Public Works &amp; Technology Department</t>
        </is>
      </c>
      <c r="F2424" s="13" t="inlineStr">
        <is>
          <t>30 Aug 2026</t>
        </is>
      </c>
      <c r="G2424" s="12" t="inlineStr">
        <is>
          <t>21 Sep 2026</t>
        </is>
      </c>
      <c r="H2424" s="8" t="inlineStr">
        <is>
          <t>⏳ UPCOMING</t>
        </is>
      </c>
      <c r="I2424" s="11" t="inlineStr">
        <is>
          <t>BOQ_2266168.xls</t>
        </is>
      </c>
      <c r="J2424" s="13" t="inlineStr">
        <is>
          <t>📊 Excel BOQ</t>
        </is>
      </c>
      <c r="K2424" s="15" t="n">
        <v>2.5</v>
      </c>
      <c r="L2424" s="16">
        <f>HYPERLINK("http://127.0.0.1:8000/api/documents/download?id=455&amp;attachment=true", "⬇ Download BOQ_2266168.xls")</f>
        <v/>
      </c>
      <c r="M2424" s="16">
        <f>HYPERLINK("http://localhost:5173/?state=Maharashtra&amp;keyword=Water%20Resources&amp;tender=2026_CCCA_1322912_1", "🚀 Open in Portal")</f>
        <v/>
      </c>
    </row>
    <row r="2425" ht="24" customHeight="1">
      <c r="A2425" s="4" t="inlineStr">
        <is>
          <t>Maharashtra</t>
        </is>
      </c>
      <c r="B2425" s="5" t="inlineStr">
        <is>
          <t>Water Resources</t>
        </is>
      </c>
      <c r="C2425" s="6" t="inlineStr">
        <is>
          <t>2026_CCCA_1322912_1</t>
        </is>
      </c>
      <c r="D2425" s="7" t="inlineStr">
        <is>
          <t>[Allocation of Designated Reservoir Area on Lease for Fisheries and Other Aquaculture Activities in Majalgaon Reservoir under the jurisdiction of the Godavari Marathwada Irrigation Development Corporation (GMIDC), Water Resources Department, Governmen]</t>
        </is>
      </c>
      <c r="E2425" s="7" t="inlineStr">
        <is>
          <t>Maharashtra Public Works &amp; Technology Department</t>
        </is>
      </c>
      <c r="F2425" s="6" t="inlineStr">
        <is>
          <t>30 Aug 2026</t>
        </is>
      </c>
      <c r="G2425" s="5" t="inlineStr">
        <is>
          <t>21 Sep 2026</t>
        </is>
      </c>
      <c r="H2425" s="8" t="inlineStr">
        <is>
          <t>⏳ UPCOMING</t>
        </is>
      </c>
      <c r="I2425" s="4" t="inlineStr">
        <is>
          <t>Tender_2026_CCCA_1322912_1_All_Documents.zip</t>
        </is>
      </c>
      <c r="J2425" s="6" t="inlineStr">
        <is>
          <t>📦 ZIP Package</t>
        </is>
      </c>
      <c r="K2425" s="9" t="n">
        <v>20.9</v>
      </c>
      <c r="L2425" s="10">
        <f>HYPERLINK("http://127.0.0.1:8000/api/documents/download?id=456&amp;attachment=true", "⬇ Download Tender_2026_CCCA_1322912")</f>
        <v/>
      </c>
      <c r="M2425" s="10">
        <f>HYPERLINK("http://localhost:5173/?state=Maharashtra&amp;keyword=Water%20Resources&amp;tender=2026_CCCA_1322912_1", "🚀 Open in Portal")</f>
        <v/>
      </c>
    </row>
    <row r="2426" ht="24" customHeight="1">
      <c r="A2426" s="11" t="inlineStr">
        <is>
          <t>Maharashtra</t>
        </is>
      </c>
      <c r="B2426" s="12" t="inlineStr">
        <is>
          <t>Water Resources</t>
        </is>
      </c>
      <c r="C2426" s="13" t="inlineStr">
        <is>
          <t>2026_MAH_6791001_81</t>
        </is>
      </c>
      <c r="D2426" s="14" t="inlineStr">
        <is>
          <t>Water Resources-Based River Basin Hydro-Meteorological Sensor Network &amp; GIS Flood Simulation</t>
        </is>
      </c>
      <c r="E2426" s="14" t="inlineStr">
        <is>
          <t>WATER RESOURCES &amp; IRRIGATION DEPARTMENT</t>
        </is>
      </c>
      <c r="F2426" s="13" t="inlineStr">
        <is>
          <t>19 Aug 2026</t>
        </is>
      </c>
      <c r="G2426" s="12" t="inlineStr">
        <is>
          <t>17 Sep 2026</t>
        </is>
      </c>
      <c r="H2426" s="8" t="inlineStr">
        <is>
          <t>⏳ UPCOMING</t>
        </is>
      </c>
      <c r="I2426" s="11" t="inlineStr">
        <is>
          <t>Tendernotice_2026_MAH_6791001_81.pdf</t>
        </is>
      </c>
      <c r="J2426" s="13" t="inlineStr">
        <is>
          <t>📕 PDF Document</t>
        </is>
      </c>
      <c r="K2426" s="15" t="n">
        <v>17.9</v>
      </c>
      <c r="L2426" s="16">
        <f>HYPERLINK("http://127.0.0.1:8000/api/documents/download?id=3233&amp;attachment=true", "⬇ Download Tendernotice_2026_MAH_67")</f>
        <v/>
      </c>
      <c r="M2426" s="16">
        <f>HYPERLINK("http://localhost:5173/?state=Maharashtra&amp;keyword=Water%20Resources&amp;tender=2026_MAH_6791001_81", "🚀 Open in Portal")</f>
        <v/>
      </c>
    </row>
    <row r="2427" ht="24" customHeight="1">
      <c r="A2427" s="4" t="inlineStr">
        <is>
          <t>Maharashtra</t>
        </is>
      </c>
      <c r="B2427" s="5" t="inlineStr">
        <is>
          <t>Water Resources</t>
        </is>
      </c>
      <c r="C2427" s="6" t="inlineStr">
        <is>
          <t>2026_MAH_6791001_81</t>
        </is>
      </c>
      <c r="D2427" s="7" t="inlineStr">
        <is>
          <t>Water Resources-Based River Basin Hydro-Meteorological Sensor Network &amp; GIS Flood Simulation</t>
        </is>
      </c>
      <c r="E2427" s="7" t="inlineStr">
        <is>
          <t>WATER RESOURCES &amp; IRRIGATION DEPARTMENT</t>
        </is>
      </c>
      <c r="F2427" s="6" t="inlineStr">
        <is>
          <t>19 Aug 2026</t>
        </is>
      </c>
      <c r="G2427" s="5" t="inlineStr">
        <is>
          <t>17 Sep 2026</t>
        </is>
      </c>
      <c r="H2427" s="8" t="inlineStr">
        <is>
          <t>⏳ UPCOMING</t>
        </is>
      </c>
      <c r="I2427" s="4" t="inlineStr">
        <is>
          <t>Technical_RFP_Specification_Water Resources.pdf</t>
        </is>
      </c>
      <c r="J2427" s="6" t="inlineStr">
        <is>
          <t>📕 PDF Document</t>
        </is>
      </c>
      <c r="K2427" s="9" t="n">
        <v>18</v>
      </c>
      <c r="L2427" s="10">
        <f>HYPERLINK("http://127.0.0.1:8000/api/documents/download?id=3234&amp;attachment=true", "⬇ Download Technical_RFP_Specificat")</f>
        <v/>
      </c>
      <c r="M2427" s="10">
        <f>HYPERLINK("http://localhost:5173/?state=Maharashtra&amp;keyword=Water%20Resources&amp;tender=2026_MAH_6791001_81", "🚀 Open in Portal")</f>
        <v/>
      </c>
    </row>
    <row r="2428" ht="24" customHeight="1">
      <c r="A2428" s="11" t="inlineStr">
        <is>
          <t>Maharashtra</t>
        </is>
      </c>
      <c r="B2428" s="12" t="inlineStr">
        <is>
          <t>Water Resources</t>
        </is>
      </c>
      <c r="C2428" s="13" t="inlineStr">
        <is>
          <t>2026_MAH_6791001_81</t>
        </is>
      </c>
      <c r="D2428" s="14" t="inlineStr">
        <is>
          <t>Water Resources-Based River Basin Hydro-Meteorological Sensor Network &amp; GIS Flood Simulation</t>
        </is>
      </c>
      <c r="E2428" s="14" t="inlineStr">
        <is>
          <t>WATER RESOURCES &amp; IRRIGATION DEPARTMENT</t>
        </is>
      </c>
      <c r="F2428" s="13" t="inlineStr">
        <is>
          <t>19 Aug 2026</t>
        </is>
      </c>
      <c r="G2428" s="12" t="inlineStr">
        <is>
          <t>17 Sep 2026</t>
        </is>
      </c>
      <c r="H2428" s="8" t="inlineStr">
        <is>
          <t>⏳ UPCOMING</t>
        </is>
      </c>
      <c r="I2428" s="11" t="inlineStr">
        <is>
          <t>BOQ_Financial_Schedule_2026_MAH_6791001_81.xlsx</t>
        </is>
      </c>
      <c r="J2428" s="13" t="inlineStr">
        <is>
          <t>📊 Excel BOQ</t>
        </is>
      </c>
      <c r="K2428" s="15" t="n">
        <v>2.5</v>
      </c>
      <c r="L2428" s="16">
        <f>HYPERLINK("http://127.0.0.1:8000/api/documents/download?id=3235&amp;attachment=true", "⬇ Download BOQ_Financial_Schedule_2")</f>
        <v/>
      </c>
      <c r="M2428" s="16">
        <f>HYPERLINK("http://localhost:5173/?state=Maharashtra&amp;keyword=Water%20Resources&amp;tender=2026_MAH_6791001_81", "🚀 Open in Portal")</f>
        <v/>
      </c>
    </row>
    <row r="2429" ht="24" customHeight="1">
      <c r="A2429" s="4" t="inlineStr">
        <is>
          <t>Maharashtra</t>
        </is>
      </c>
      <c r="B2429" s="5" t="inlineStr">
        <is>
          <t>Water Resources</t>
        </is>
      </c>
      <c r="C2429" s="6" t="inlineStr">
        <is>
          <t>2026_MAH_6791001_81</t>
        </is>
      </c>
      <c r="D2429" s="7" t="inlineStr">
        <is>
          <t>Water Resources-Based River Basin Hydro-Meteorological Sensor Network &amp; GIS Flood Simulation</t>
        </is>
      </c>
      <c r="E2429" s="7" t="inlineStr">
        <is>
          <t>WATER RESOURCES &amp; IRRIGATION DEPARTMENT</t>
        </is>
      </c>
      <c r="F2429" s="6" t="inlineStr">
        <is>
          <t>19 Aug 2026</t>
        </is>
      </c>
      <c r="G2429" s="5" t="inlineStr">
        <is>
          <t>17 Sep 2026</t>
        </is>
      </c>
      <c r="H2429" s="8" t="inlineStr">
        <is>
          <t>⏳ UPCOMING</t>
        </is>
      </c>
      <c r="I2429" s="4" t="inlineStr">
        <is>
          <t>Tender_2026_MAH_6791001_81_All_Documents.zip</t>
        </is>
      </c>
      <c r="J2429" s="6" t="inlineStr">
        <is>
          <t>📦 ZIP Package</t>
        </is>
      </c>
      <c r="K2429" s="9" t="n">
        <v>45</v>
      </c>
      <c r="L2429" s="10">
        <f>HYPERLINK("https://mahatenders.gov.in/tender/2026_MAH_6791001_81", "⬇ Download Tender_2026_MAH_6791001_")</f>
        <v/>
      </c>
      <c r="M2429" s="10">
        <f>HYPERLINK("http://localhost:5173/?state=Maharashtra&amp;keyword=Water%20Resources&amp;tender=2026_MAH_6791001_81", "🚀 Open in Portal")</f>
        <v/>
      </c>
    </row>
    <row r="2430" ht="24" customHeight="1">
      <c r="A2430" s="11" t="inlineStr">
        <is>
          <t>Maharashtra</t>
        </is>
      </c>
      <c r="B2430" s="12" t="inlineStr">
        <is>
          <t>Health</t>
        </is>
      </c>
      <c r="C2430" s="13" t="inlineStr">
        <is>
          <t>2026_AHMED_1343225_1</t>
        </is>
      </c>
      <c r="D2430" s="14" t="inlineStr">
        <is>
          <t>[Repairs of Primary Health Center, Repairs Toilet, Plumbing, Electric Fitting and Other Necessary Work at Sonai, Tal.Newasa, Dist.Ahilyanagar]</t>
        </is>
      </c>
      <c r="E2430" s="14" t="inlineStr">
        <is>
          <t>Maharashtra Public Works &amp; Technology Department</t>
        </is>
      </c>
      <c r="F2430" s="13" t="inlineStr">
        <is>
          <t>14 Sep 2026</t>
        </is>
      </c>
      <c r="G2430" s="12" t="inlineStr">
        <is>
          <t>13 Oct 2026</t>
        </is>
      </c>
      <c r="H2430" s="8" t="inlineStr">
        <is>
          <t>⏳ UPCOMING</t>
        </is>
      </c>
      <c r="I2430" s="11" t="inlineStr">
        <is>
          <t>Tendernotice_1.pdf</t>
        </is>
      </c>
      <c r="J2430" s="13" t="inlineStr">
        <is>
          <t>📕 PDF Document</t>
        </is>
      </c>
      <c r="K2430" s="15" t="n">
        <v>17.9</v>
      </c>
      <c r="L2430" s="16">
        <f>HYPERLINK("http://127.0.0.1:8000/api/documents/download?id=480&amp;attachment=true", "⬇ Download Tendernotice_1.pdf")</f>
        <v/>
      </c>
      <c r="M2430" s="16">
        <f>HYPERLINK("http://localhost:5173/?state=Maharashtra&amp;keyword=Health&amp;tender=2026_AHMED_1343225_1", "🚀 Open in Portal")</f>
        <v/>
      </c>
    </row>
    <row r="2431" ht="24" customHeight="1">
      <c r="A2431" s="4" t="inlineStr">
        <is>
          <t>Maharashtra</t>
        </is>
      </c>
      <c r="B2431" s="5" t="inlineStr">
        <is>
          <t>Health</t>
        </is>
      </c>
      <c r="C2431" s="6" t="inlineStr">
        <is>
          <t>2026_AHMED_1343225_1</t>
        </is>
      </c>
      <c r="D2431" s="7" t="inlineStr">
        <is>
          <t>[Repairs of Primary Health Center, Repairs Toilet, Plumbing, Electric Fitting and Other Necessary Work at Sonai, Tal.Newasa, Dist.Ahilyanagar]</t>
        </is>
      </c>
      <c r="E2431" s="7" t="inlineStr">
        <is>
          <t>Maharashtra Public Works &amp; Technology Department</t>
        </is>
      </c>
      <c r="F2431" s="6" t="inlineStr">
        <is>
          <t>14 Sep 2026</t>
        </is>
      </c>
      <c r="G2431" s="5" t="inlineStr">
        <is>
          <t>13 Oct 2026</t>
        </is>
      </c>
      <c r="H2431" s="8" t="inlineStr">
        <is>
          <t>⏳ UPCOMING</t>
        </is>
      </c>
      <c r="I2431" s="4" t="inlineStr">
        <is>
          <t>BOQ_2295842.xls</t>
        </is>
      </c>
      <c r="J2431" s="6" t="inlineStr">
        <is>
          <t>📊 Excel BOQ</t>
        </is>
      </c>
      <c r="K2431" s="9" t="n">
        <v>2.5</v>
      </c>
      <c r="L2431" s="10">
        <f>HYPERLINK("http://127.0.0.1:8000/api/documents/download?id=481&amp;attachment=true", "⬇ Download BOQ_2295842.xls")</f>
        <v/>
      </c>
      <c r="M2431" s="10">
        <f>HYPERLINK("http://localhost:5173/?state=Maharashtra&amp;keyword=Health&amp;tender=2026_AHMED_1343225_1", "🚀 Open in Portal")</f>
        <v/>
      </c>
    </row>
    <row r="2432" ht="24" customHeight="1">
      <c r="A2432" s="11" t="inlineStr">
        <is>
          <t>Maharashtra</t>
        </is>
      </c>
      <c r="B2432" s="12" t="inlineStr">
        <is>
          <t>Health</t>
        </is>
      </c>
      <c r="C2432" s="13" t="inlineStr">
        <is>
          <t>2026_AHMED_1343225_1</t>
        </is>
      </c>
      <c r="D2432" s="14" t="inlineStr">
        <is>
          <t>[Repairs of Primary Health Center, Repairs Toilet, Plumbing, Electric Fitting and Other Necessary Work at Sonai, Tal.Newasa, Dist.Ahilyanagar]</t>
        </is>
      </c>
      <c r="E2432" s="14" t="inlineStr">
        <is>
          <t>Maharashtra Public Works &amp; Technology Department</t>
        </is>
      </c>
      <c r="F2432" s="13" t="inlineStr">
        <is>
          <t>14 Sep 2026</t>
        </is>
      </c>
      <c r="G2432" s="12" t="inlineStr">
        <is>
          <t>13 Oct 2026</t>
        </is>
      </c>
      <c r="H2432" s="8" t="inlineStr">
        <is>
          <t>⏳ UPCOMING</t>
        </is>
      </c>
      <c r="I2432" s="11" t="inlineStr">
        <is>
          <t>Tender_2026_AHMED_1343225_1_All_Documents.zip</t>
        </is>
      </c>
      <c r="J2432" s="13" t="inlineStr">
        <is>
          <t>📦 ZIP Package</t>
        </is>
      </c>
      <c r="K2432" s="15" t="n">
        <v>11.6</v>
      </c>
      <c r="L2432" s="16">
        <f>HYPERLINK("http://127.0.0.1:8000/api/documents/download?id=482&amp;attachment=true", "⬇ Download Tender_2026_AHMED_134322")</f>
        <v/>
      </c>
      <c r="M2432" s="16">
        <f>HYPERLINK("http://localhost:5173/?state=Maharashtra&amp;keyword=Health&amp;tender=2026_AHMED_1343225_1", "🚀 Open in Portal")</f>
        <v/>
      </c>
    </row>
    <row r="2433" ht="24" customHeight="1">
      <c r="A2433" s="4" t="inlineStr">
        <is>
          <t>Maharashtra</t>
        </is>
      </c>
      <c r="B2433" s="5" t="inlineStr">
        <is>
          <t>Health</t>
        </is>
      </c>
      <c r="C2433" s="6" t="inlineStr">
        <is>
          <t>2026_AHMED_1343888_1</t>
        </is>
      </c>
      <c r="D2433" s="7" t="inlineStr">
        <is>
          <t>[Providing Internal EI to Proposed Primary Health Center Building At Madhi, Tal-Kopargaon, Dist-Ahilyanagar]</t>
        </is>
      </c>
      <c r="E2433" s="7" t="inlineStr">
        <is>
          <t>Maharashtra Public Works &amp; Technology Department</t>
        </is>
      </c>
      <c r="F2433" s="6" t="inlineStr">
        <is>
          <t>02 Sep 2026</t>
        </is>
      </c>
      <c r="G2433" s="5" t="inlineStr">
        <is>
          <t>30 Sep 2026</t>
        </is>
      </c>
      <c r="H2433" s="8" t="inlineStr">
        <is>
          <t>⏳ UPCOMING</t>
        </is>
      </c>
      <c r="I2433" s="4" t="inlineStr">
        <is>
          <t>Tendernotice_1.pdf</t>
        </is>
      </c>
      <c r="J2433" s="6" t="inlineStr">
        <is>
          <t>📕 PDF Document</t>
        </is>
      </c>
      <c r="K2433" s="9" t="n">
        <v>17.9</v>
      </c>
      <c r="L2433" s="10">
        <f>HYPERLINK("http://127.0.0.1:8000/api/documents/download?id=457&amp;attachment=true", "⬇ Download Tendernotice_1.pdf")</f>
        <v/>
      </c>
      <c r="M2433" s="10">
        <f>HYPERLINK("http://localhost:5173/?state=Maharashtra&amp;keyword=Health&amp;tender=2026_AHMED_1343888_1", "🚀 Open in Portal")</f>
        <v/>
      </c>
    </row>
    <row r="2434" ht="24" customHeight="1">
      <c r="A2434" s="11" t="inlineStr">
        <is>
          <t>Maharashtra</t>
        </is>
      </c>
      <c r="B2434" s="12" t="inlineStr">
        <is>
          <t>Health</t>
        </is>
      </c>
      <c r="C2434" s="13" t="inlineStr">
        <is>
          <t>2026_AHMED_1343888_1</t>
        </is>
      </c>
      <c r="D2434" s="14" t="inlineStr">
        <is>
          <t>[Providing Internal EI to Proposed Primary Health Center Building At Madhi, Tal-Kopargaon, Dist-Ahilyanagar]</t>
        </is>
      </c>
      <c r="E2434" s="14" t="inlineStr">
        <is>
          <t>Maharashtra Public Works &amp; Technology Department</t>
        </is>
      </c>
      <c r="F2434" s="13" t="inlineStr">
        <is>
          <t>02 Sep 2026</t>
        </is>
      </c>
      <c r="G2434" s="12" t="inlineStr">
        <is>
          <t>30 Sep 2026</t>
        </is>
      </c>
      <c r="H2434" s="8" t="inlineStr">
        <is>
          <t>⏳ UPCOMING</t>
        </is>
      </c>
      <c r="I2434" s="11" t="inlineStr">
        <is>
          <t>BOQ_2296901.xls</t>
        </is>
      </c>
      <c r="J2434" s="13" t="inlineStr">
        <is>
          <t>📊 Excel BOQ</t>
        </is>
      </c>
      <c r="K2434" s="15" t="n">
        <v>2.5</v>
      </c>
      <c r="L2434" s="16">
        <f>HYPERLINK("http://127.0.0.1:8000/api/documents/download?id=458&amp;attachment=true", "⬇ Download BOQ_2296901.xls")</f>
        <v/>
      </c>
      <c r="M2434" s="16">
        <f>HYPERLINK("http://localhost:5173/?state=Maharashtra&amp;keyword=Health&amp;tender=2026_AHMED_1343888_1", "🚀 Open in Portal")</f>
        <v/>
      </c>
    </row>
    <row r="2435" ht="24" customHeight="1">
      <c r="A2435" s="4" t="inlineStr">
        <is>
          <t>Maharashtra</t>
        </is>
      </c>
      <c r="B2435" s="5" t="inlineStr">
        <is>
          <t>Health</t>
        </is>
      </c>
      <c r="C2435" s="6" t="inlineStr">
        <is>
          <t>2026_AHMED_1343888_1</t>
        </is>
      </c>
      <c r="D2435" s="7" t="inlineStr">
        <is>
          <t>[Providing Internal EI to Proposed Primary Health Center Building At Madhi, Tal-Kopargaon, Dist-Ahilyanagar]</t>
        </is>
      </c>
      <c r="E2435" s="7" t="inlineStr">
        <is>
          <t>Maharashtra Public Works &amp; Technology Department</t>
        </is>
      </c>
      <c r="F2435" s="6" t="inlineStr">
        <is>
          <t>02 Sep 2026</t>
        </is>
      </c>
      <c r="G2435" s="5" t="inlineStr">
        <is>
          <t>30 Sep 2026</t>
        </is>
      </c>
      <c r="H2435" s="8" t="inlineStr">
        <is>
          <t>⏳ UPCOMING</t>
        </is>
      </c>
      <c r="I2435" s="4" t="inlineStr">
        <is>
          <t>Tender_2026_AHMED_1343888_1_All_Documents.zip</t>
        </is>
      </c>
      <c r="J2435" s="6" t="inlineStr">
        <is>
          <t>📦 ZIP Package</t>
        </is>
      </c>
      <c r="K2435" s="9" t="n">
        <v>11.6</v>
      </c>
      <c r="L2435" s="10">
        <f>HYPERLINK("http://127.0.0.1:8000/api/documents/download?id=459&amp;attachment=true", "⬇ Download Tender_2026_AHMED_134388")</f>
        <v/>
      </c>
      <c r="M2435" s="10">
        <f>HYPERLINK("http://localhost:5173/?state=Maharashtra&amp;keyword=Health&amp;tender=2026_AHMED_1343888_1", "🚀 Open in Portal")</f>
        <v/>
      </c>
    </row>
    <row r="2436" ht="24" customHeight="1">
      <c r="A2436" s="11" t="inlineStr">
        <is>
          <t>Maharashtra</t>
        </is>
      </c>
      <c r="B2436" s="12" t="inlineStr">
        <is>
          <t>Health</t>
        </is>
      </c>
      <c r="C2436" s="13" t="inlineStr">
        <is>
          <t>2026_DMA_1342584_1</t>
        </is>
      </c>
      <c r="D2436" s="14" t="inlineStr">
        <is>
          <t>[Selection of Agency for Conducting IEC Activities and Capacity Building for Swachh Bharat Mission within Alibag Municipal area]</t>
        </is>
      </c>
      <c r="E2436" s="14" t="inlineStr">
        <is>
          <t>Maharashtra Public Works &amp; Technology Department</t>
        </is>
      </c>
      <c r="F2436" s="13" t="inlineStr">
        <is>
          <t>17 Sep 2026</t>
        </is>
      </c>
      <c r="G2436" s="12" t="inlineStr">
        <is>
          <t>16 Oct 2026</t>
        </is>
      </c>
      <c r="H2436" s="8" t="inlineStr">
        <is>
          <t>⏳ UPCOMING</t>
        </is>
      </c>
      <c r="I2436" s="11" t="inlineStr">
        <is>
          <t>Tendernotice_1.pdf</t>
        </is>
      </c>
      <c r="J2436" s="13" t="inlineStr">
        <is>
          <t>📕 PDF Document</t>
        </is>
      </c>
      <c r="K2436" s="15" t="n">
        <v>17.9</v>
      </c>
      <c r="L2436" s="16">
        <f>HYPERLINK("http://127.0.0.1:8000/api/documents/download?id=483&amp;attachment=true", "⬇ Download Tendernotice_1.pdf")</f>
        <v/>
      </c>
      <c r="M2436" s="16">
        <f>HYPERLINK("http://localhost:5173/?state=Maharashtra&amp;keyword=Health&amp;tender=2026_DMA_1342584_1", "🚀 Open in Portal")</f>
        <v/>
      </c>
    </row>
    <row r="2437" ht="24" customHeight="1">
      <c r="A2437" s="4" t="inlineStr">
        <is>
          <t>Maharashtra</t>
        </is>
      </c>
      <c r="B2437" s="5" t="inlineStr">
        <is>
          <t>Health</t>
        </is>
      </c>
      <c r="C2437" s="6" t="inlineStr">
        <is>
          <t>2026_DMA_1342584_1</t>
        </is>
      </c>
      <c r="D2437" s="7" t="inlineStr">
        <is>
          <t>[Selection of Agency for Conducting IEC Activities and Capacity Building for Swachh Bharat Mission within Alibag Municipal area]</t>
        </is>
      </c>
      <c r="E2437" s="7" t="inlineStr">
        <is>
          <t>Maharashtra Public Works &amp; Technology Department</t>
        </is>
      </c>
      <c r="F2437" s="6" t="inlineStr">
        <is>
          <t>17 Sep 2026</t>
        </is>
      </c>
      <c r="G2437" s="5" t="inlineStr">
        <is>
          <t>16 Oct 2026</t>
        </is>
      </c>
      <c r="H2437" s="8" t="inlineStr">
        <is>
          <t>⏳ UPCOMING</t>
        </is>
      </c>
      <c r="I2437" s="4" t="inlineStr">
        <is>
          <t>BOQ_2294803.xls</t>
        </is>
      </c>
      <c r="J2437" s="6" t="inlineStr">
        <is>
          <t>📊 Excel BOQ</t>
        </is>
      </c>
      <c r="K2437" s="9" t="n">
        <v>2.5</v>
      </c>
      <c r="L2437" s="10">
        <f>HYPERLINK("http://127.0.0.1:8000/api/documents/download?id=484&amp;attachment=true", "⬇ Download BOQ_2294803.xls")</f>
        <v/>
      </c>
      <c r="M2437" s="10">
        <f>HYPERLINK("http://localhost:5173/?state=Maharashtra&amp;keyword=Health&amp;tender=2026_DMA_1342584_1", "🚀 Open in Portal")</f>
        <v/>
      </c>
    </row>
    <row r="2438" ht="24" customHeight="1">
      <c r="A2438" s="11" t="inlineStr">
        <is>
          <t>Maharashtra</t>
        </is>
      </c>
      <c r="B2438" s="12" t="inlineStr">
        <is>
          <t>Health</t>
        </is>
      </c>
      <c r="C2438" s="13" t="inlineStr">
        <is>
          <t>2026_DMA_1342584_1</t>
        </is>
      </c>
      <c r="D2438" s="14" t="inlineStr">
        <is>
          <t>[Selection of Agency for Conducting IEC Activities and Capacity Building for Swachh Bharat Mission within Alibag Municipal area]</t>
        </is>
      </c>
      <c r="E2438" s="14" t="inlineStr">
        <is>
          <t>Maharashtra Public Works &amp; Technology Department</t>
        </is>
      </c>
      <c r="F2438" s="13" t="inlineStr">
        <is>
          <t>17 Sep 2026</t>
        </is>
      </c>
      <c r="G2438" s="12" t="inlineStr">
        <is>
          <t>16 Oct 2026</t>
        </is>
      </c>
      <c r="H2438" s="8" t="inlineStr">
        <is>
          <t>⏳ UPCOMING</t>
        </is>
      </c>
      <c r="I2438" s="11" t="inlineStr">
        <is>
          <t>B1IEC.pdf</t>
        </is>
      </c>
      <c r="J2438" s="13" t="inlineStr">
        <is>
          <t>📕 PDF Document</t>
        </is>
      </c>
      <c r="K2438" s="15" t="n">
        <v>17.8</v>
      </c>
      <c r="L2438" s="16">
        <f>HYPERLINK("http://127.0.0.1:8000/api/documents/download?id=485&amp;attachment=true", "⬇ Download B1IEC.pdf")</f>
        <v/>
      </c>
      <c r="M2438" s="16">
        <f>HYPERLINK("http://localhost:5173/?state=Maharashtra&amp;keyword=Health&amp;tender=2026_DMA_1342584_1", "🚀 Open in Portal")</f>
        <v/>
      </c>
    </row>
    <row r="2439" ht="24" customHeight="1">
      <c r="A2439" s="4" t="inlineStr">
        <is>
          <t>Maharashtra</t>
        </is>
      </c>
      <c r="B2439" s="5" t="inlineStr">
        <is>
          <t>Health</t>
        </is>
      </c>
      <c r="C2439" s="6" t="inlineStr">
        <is>
          <t>2026_DMA_1342584_1</t>
        </is>
      </c>
      <c r="D2439" s="7" t="inlineStr">
        <is>
          <t>[Selection of Agency for Conducting IEC Activities and Capacity Building for Swachh Bharat Mission within Alibag Municipal area]</t>
        </is>
      </c>
      <c r="E2439" s="7" t="inlineStr">
        <is>
          <t>Maharashtra Public Works &amp; Technology Department</t>
        </is>
      </c>
      <c r="F2439" s="6" t="inlineStr">
        <is>
          <t>17 Sep 2026</t>
        </is>
      </c>
      <c r="G2439" s="5" t="inlineStr">
        <is>
          <t>16 Oct 2026</t>
        </is>
      </c>
      <c r="H2439" s="8" t="inlineStr">
        <is>
          <t>⏳ UPCOMING</t>
        </is>
      </c>
      <c r="I2439" s="4" t="inlineStr">
        <is>
          <t>Tender_2026_DMA_1342584_1_All_Documents.zip</t>
        </is>
      </c>
      <c r="J2439" s="6" t="inlineStr">
        <is>
          <t>📦 ZIP Package</t>
        </is>
      </c>
      <c r="K2439" s="9" t="n">
        <v>20.8</v>
      </c>
      <c r="L2439" s="10">
        <f>HYPERLINK("http://127.0.0.1:8000/api/documents/download?id=486&amp;attachment=true", "⬇ Download Tender_2026_DMA_1342584_")</f>
        <v/>
      </c>
      <c r="M2439" s="10">
        <f>HYPERLINK("http://localhost:5173/?state=Maharashtra&amp;keyword=Health&amp;tender=2026_DMA_1342584_1", "🚀 Open in Portal")</f>
        <v/>
      </c>
    </row>
    <row r="2440" ht="24" customHeight="1">
      <c r="A2440" s="11" t="inlineStr">
        <is>
          <t>Maharashtra</t>
        </is>
      </c>
      <c r="B2440" s="12" t="inlineStr">
        <is>
          <t>Health</t>
        </is>
      </c>
      <c r="C2440" s="13" t="inlineStr">
        <is>
          <t>2026_DMA_1343708_1</t>
        </is>
      </c>
      <c r="D2440" s="14" t="inlineStr">
        <is>
          <t>[Service contract for scheduled emptying of septic tanks, Sinnar]</t>
        </is>
      </c>
      <c r="E2440" s="14" t="inlineStr">
        <is>
          <t>Maharashtra Public Works &amp; Technology Department</t>
        </is>
      </c>
      <c r="F2440" s="13" t="inlineStr">
        <is>
          <t>05 Sep 2026</t>
        </is>
      </c>
      <c r="G2440" s="12" t="inlineStr">
        <is>
          <t>04 Oct 2026</t>
        </is>
      </c>
      <c r="H2440" s="8" t="inlineStr">
        <is>
          <t>⏳ UPCOMING</t>
        </is>
      </c>
      <c r="I2440" s="11" t="inlineStr">
        <is>
          <t>Tendernotice_1.pdf</t>
        </is>
      </c>
      <c r="J2440" s="13" t="inlineStr">
        <is>
          <t>📕 PDF Document</t>
        </is>
      </c>
      <c r="K2440" s="15" t="n">
        <v>17.9</v>
      </c>
      <c r="L2440" s="16">
        <f>HYPERLINK("http://127.0.0.1:8000/api/documents/download?id=460&amp;attachment=true", "⬇ Download Tendernotice_1.pdf")</f>
        <v/>
      </c>
      <c r="M2440" s="16">
        <f>HYPERLINK("http://localhost:5173/?state=Maharashtra&amp;keyword=Health&amp;tender=2026_DMA_1343708_1", "🚀 Open in Portal")</f>
        <v/>
      </c>
    </row>
    <row r="2441" ht="24" customHeight="1">
      <c r="A2441" s="4" t="inlineStr">
        <is>
          <t>Maharashtra</t>
        </is>
      </c>
      <c r="B2441" s="5" t="inlineStr">
        <is>
          <t>Health</t>
        </is>
      </c>
      <c r="C2441" s="6" t="inlineStr">
        <is>
          <t>2026_DMA_1343708_1</t>
        </is>
      </c>
      <c r="D2441" s="7" t="inlineStr">
        <is>
          <t>[Service contract for scheduled emptying of septic tanks, Sinnar]</t>
        </is>
      </c>
      <c r="E2441" s="7" t="inlineStr">
        <is>
          <t>Maharashtra Public Works &amp; Technology Department</t>
        </is>
      </c>
      <c r="F2441" s="6" t="inlineStr">
        <is>
          <t>05 Sep 2026</t>
        </is>
      </c>
      <c r="G2441" s="5" t="inlineStr">
        <is>
          <t>04 Oct 2026</t>
        </is>
      </c>
      <c r="H2441" s="8" t="inlineStr">
        <is>
          <t>⏳ UPCOMING</t>
        </is>
      </c>
      <c r="I2441" s="4" t="inlineStr">
        <is>
          <t>model_bid_document_for_emptying.pdf</t>
        </is>
      </c>
      <c r="J2441" s="6" t="inlineStr">
        <is>
          <t>📕 PDF Document</t>
        </is>
      </c>
      <c r="K2441" s="9" t="n">
        <v>17.9</v>
      </c>
      <c r="L2441" s="10">
        <f>HYPERLINK("http://127.0.0.1:8000/api/documents/download?id=461&amp;attachment=true", "⬇ Download model_bid_document_for_e")</f>
        <v/>
      </c>
      <c r="M2441" s="10">
        <f>HYPERLINK("http://localhost:5173/?state=Maharashtra&amp;keyword=Health&amp;tender=2026_DMA_1343708_1", "🚀 Open in Portal")</f>
        <v/>
      </c>
    </row>
    <row r="2442" ht="24" customHeight="1">
      <c r="A2442" s="11" t="inlineStr">
        <is>
          <t>Maharashtra</t>
        </is>
      </c>
      <c r="B2442" s="12" t="inlineStr">
        <is>
          <t>Health</t>
        </is>
      </c>
      <c r="C2442" s="13" t="inlineStr">
        <is>
          <t>2026_DMA_1343708_1</t>
        </is>
      </c>
      <c r="D2442" s="14" t="inlineStr">
        <is>
          <t>[Service contract for scheduled emptying of septic tanks, Sinnar]</t>
        </is>
      </c>
      <c r="E2442" s="14" t="inlineStr">
        <is>
          <t>Maharashtra Public Works &amp; Technology Department</t>
        </is>
      </c>
      <c r="F2442" s="13" t="inlineStr">
        <is>
          <t>05 Sep 2026</t>
        </is>
      </c>
      <c r="G2442" s="12" t="inlineStr">
        <is>
          <t>04 Oct 2026</t>
        </is>
      </c>
      <c r="H2442" s="8" t="inlineStr">
        <is>
          <t>⏳ UPCOMING</t>
        </is>
      </c>
      <c r="I2442" s="11" t="inlineStr">
        <is>
          <t>BOQ_2296665.xls</t>
        </is>
      </c>
      <c r="J2442" s="13" t="inlineStr">
        <is>
          <t>📊 Excel BOQ</t>
        </is>
      </c>
      <c r="K2442" s="15" t="n">
        <v>2.4</v>
      </c>
      <c r="L2442" s="16">
        <f>HYPERLINK("http://127.0.0.1:8000/api/documents/download?id=462&amp;attachment=true", "⬇ Download BOQ_2296665.xls")</f>
        <v/>
      </c>
      <c r="M2442" s="16">
        <f>HYPERLINK("http://localhost:5173/?state=Maharashtra&amp;keyword=Health&amp;tender=2026_DMA_1343708_1", "🚀 Open in Portal")</f>
        <v/>
      </c>
    </row>
    <row r="2443" ht="24" customHeight="1">
      <c r="A2443" s="4" t="inlineStr">
        <is>
          <t>Maharashtra</t>
        </is>
      </c>
      <c r="B2443" s="5" t="inlineStr">
        <is>
          <t>Health</t>
        </is>
      </c>
      <c r="C2443" s="6" t="inlineStr">
        <is>
          <t>2026_DMA_1343708_1</t>
        </is>
      </c>
      <c r="D2443" s="7" t="inlineStr">
        <is>
          <t>[Service contract for scheduled emptying of septic tanks, Sinnar]</t>
        </is>
      </c>
      <c r="E2443" s="7" t="inlineStr">
        <is>
          <t>Maharashtra Public Works &amp; Technology Department</t>
        </is>
      </c>
      <c r="F2443" s="6" t="inlineStr">
        <is>
          <t>05 Sep 2026</t>
        </is>
      </c>
      <c r="G2443" s="5" t="inlineStr">
        <is>
          <t>04 Oct 2026</t>
        </is>
      </c>
      <c r="H2443" s="8" t="inlineStr">
        <is>
          <t>⏳ UPCOMING</t>
        </is>
      </c>
      <c r="I2443" s="4" t="inlineStr">
        <is>
          <t>Tender_2026_DMA_1343708_1_All_Documents.zip</t>
        </is>
      </c>
      <c r="J2443" s="6" t="inlineStr">
        <is>
          <t>📦 ZIP Package</t>
        </is>
      </c>
      <c r="K2443" s="9" t="n">
        <v>20.8</v>
      </c>
      <c r="L2443" s="10">
        <f>HYPERLINK("http://127.0.0.1:8000/api/documents/download?id=463&amp;attachment=true", "⬇ Download Tender_2026_DMA_1343708_")</f>
        <v/>
      </c>
      <c r="M2443" s="10">
        <f>HYPERLINK("http://localhost:5173/?state=Maharashtra&amp;keyword=Health&amp;tender=2026_DMA_1343708_1", "🚀 Open in Portal")</f>
        <v/>
      </c>
    </row>
    <row r="2444" ht="24" customHeight="1">
      <c r="A2444" s="11" t="inlineStr">
        <is>
          <t>Maharashtra</t>
        </is>
      </c>
      <c r="B2444" s="12" t="inlineStr">
        <is>
          <t>Health</t>
        </is>
      </c>
      <c r="C2444" s="13" t="inlineStr">
        <is>
          <t>2026_MBMC_1339167_1</t>
        </is>
      </c>
      <c r="D2444" s="14" t="inlineStr">
        <is>
          <t>[Regarding the supply of healthy food to the students of municipal kindergarten schools.]</t>
        </is>
      </c>
      <c r="E2444" s="14" t="inlineStr">
        <is>
          <t>Maharashtra Public Works &amp; Technology Department</t>
        </is>
      </c>
      <c r="F2444" s="13" t="inlineStr">
        <is>
          <t>29 Sep 2026</t>
        </is>
      </c>
      <c r="G2444" s="12" t="inlineStr">
        <is>
          <t>12 Nov 2026</t>
        </is>
      </c>
      <c r="H2444" s="17" t="inlineStr">
        <is>
          <t>🟢 LIVE ACTIVE</t>
        </is>
      </c>
      <c r="I2444" s="11" t="inlineStr">
        <is>
          <t>Tendernotice_1.pdf</t>
        </is>
      </c>
      <c r="J2444" s="13" t="inlineStr">
        <is>
          <t>📕 PDF Document</t>
        </is>
      </c>
      <c r="K2444" s="15" t="n">
        <v>17.9</v>
      </c>
      <c r="L2444" s="16">
        <f>HYPERLINK("http://127.0.0.1:8000/api/documents/download?id=502&amp;attachment=true", "⬇ Download Tendernotice_1.pdf")</f>
        <v/>
      </c>
      <c r="M2444" s="16">
        <f>HYPERLINK("http://localhost:5173/?state=Maharashtra&amp;keyword=Health&amp;tender=2026_MBMC_1339167_1", "🚀 Open in Portal")</f>
        <v/>
      </c>
    </row>
    <row r="2445" ht="24" customHeight="1">
      <c r="A2445" s="4" t="inlineStr">
        <is>
          <t>Maharashtra</t>
        </is>
      </c>
      <c r="B2445" s="5" t="inlineStr">
        <is>
          <t>Health</t>
        </is>
      </c>
      <c r="C2445" s="6" t="inlineStr">
        <is>
          <t>2026_MBMC_1339167_1</t>
        </is>
      </c>
      <c r="D2445" s="7" t="inlineStr">
        <is>
          <t>[Regarding the supply of healthy food to the students of municipal kindergarten schools.]</t>
        </is>
      </c>
      <c r="E2445" s="7" t="inlineStr">
        <is>
          <t>Maharashtra Public Works &amp; Technology Department</t>
        </is>
      </c>
      <c r="F2445" s="6" t="inlineStr">
        <is>
          <t>29 Sep 2026</t>
        </is>
      </c>
      <c r="G2445" s="5" t="inlineStr">
        <is>
          <t>12 Nov 2026</t>
        </is>
      </c>
      <c r="H2445" s="17" t="inlineStr">
        <is>
          <t>🟢 LIVE ACTIVE</t>
        </is>
      </c>
      <c r="I2445" s="4" t="inlineStr">
        <is>
          <t>BOQ_2289656.xls</t>
        </is>
      </c>
      <c r="J2445" s="6" t="inlineStr">
        <is>
          <t>📊 Excel BOQ</t>
        </is>
      </c>
      <c r="K2445" s="9" t="n">
        <v>2.5</v>
      </c>
      <c r="L2445" s="10">
        <f>HYPERLINK("http://127.0.0.1:8000/api/documents/download?id=503&amp;attachment=true", "⬇ Download BOQ_2289656.xls")</f>
        <v/>
      </c>
      <c r="M2445" s="10">
        <f>HYPERLINK("http://localhost:5173/?state=Maharashtra&amp;keyword=Health&amp;tender=2026_MBMC_1339167_1", "🚀 Open in Portal")</f>
        <v/>
      </c>
    </row>
    <row r="2446" ht="24" customHeight="1">
      <c r="A2446" s="11" t="inlineStr">
        <is>
          <t>Maharashtra</t>
        </is>
      </c>
      <c r="B2446" s="12" t="inlineStr">
        <is>
          <t>Health</t>
        </is>
      </c>
      <c r="C2446" s="13" t="inlineStr">
        <is>
          <t>2026_MBMC_1339167_1</t>
        </is>
      </c>
      <c r="D2446" s="14" t="inlineStr">
        <is>
          <t>[Regarding the supply of healthy food to the students of municipal kindergarten schools.]</t>
        </is>
      </c>
      <c r="E2446" s="14" t="inlineStr">
        <is>
          <t>Maharashtra Public Works &amp; Technology Department</t>
        </is>
      </c>
      <c r="F2446" s="13" t="inlineStr">
        <is>
          <t>29 Sep 2026</t>
        </is>
      </c>
      <c r="G2446" s="12" t="inlineStr">
        <is>
          <t>12 Nov 2026</t>
        </is>
      </c>
      <c r="H2446" s="17" t="inlineStr">
        <is>
          <t>🟢 LIVE ACTIVE</t>
        </is>
      </c>
      <c r="I2446" s="11" t="inlineStr">
        <is>
          <t>TenderDocument.pdf</t>
        </is>
      </c>
      <c r="J2446" s="13" t="inlineStr">
        <is>
          <t>📕 PDF Document</t>
        </is>
      </c>
      <c r="K2446" s="15" t="n">
        <v>17.9</v>
      </c>
      <c r="L2446" s="16">
        <f>HYPERLINK("http://127.0.0.1:8000/api/documents/download?id=504&amp;attachment=true", "⬇ Download TenderDocument.pdf")</f>
        <v/>
      </c>
      <c r="M2446" s="16">
        <f>HYPERLINK("http://localhost:5173/?state=Maharashtra&amp;keyword=Health&amp;tender=2026_MBMC_1339167_1", "🚀 Open in Portal")</f>
        <v/>
      </c>
    </row>
    <row r="2447" ht="24" customHeight="1">
      <c r="A2447" s="4" t="inlineStr">
        <is>
          <t>Maharashtra</t>
        </is>
      </c>
      <c r="B2447" s="5" t="inlineStr">
        <is>
          <t>Health</t>
        </is>
      </c>
      <c r="C2447" s="6" t="inlineStr">
        <is>
          <t>2026_MBMC_1339167_1</t>
        </is>
      </c>
      <c r="D2447" s="7" t="inlineStr">
        <is>
          <t>[Regarding the supply of healthy food to the students of municipal kindergarten schools.]</t>
        </is>
      </c>
      <c r="E2447" s="7" t="inlineStr">
        <is>
          <t>Maharashtra Public Works &amp; Technology Department</t>
        </is>
      </c>
      <c r="F2447" s="6" t="inlineStr">
        <is>
          <t>29 Sep 2026</t>
        </is>
      </c>
      <c r="G2447" s="5" t="inlineStr">
        <is>
          <t>12 Nov 2026</t>
        </is>
      </c>
      <c r="H2447" s="17" t="inlineStr">
        <is>
          <t>🟢 LIVE ACTIVE</t>
        </is>
      </c>
      <c r="I2447" s="4" t="inlineStr">
        <is>
          <t>Tender_2026_MBMC_1339167_1_All_Documents.zip</t>
        </is>
      </c>
      <c r="J2447" s="6" t="inlineStr">
        <is>
          <t>📦 ZIP Package</t>
        </is>
      </c>
      <c r="K2447" s="9" t="n">
        <v>20.8</v>
      </c>
      <c r="L2447" s="10">
        <f>HYPERLINK("http://127.0.0.1:8000/api/documents/download?id=505&amp;attachment=true", "⬇ Download Tender_2026_MBMC_1339167")</f>
        <v/>
      </c>
      <c r="M2447" s="10">
        <f>HYPERLINK("http://localhost:5173/?state=Maharashtra&amp;keyword=Health&amp;tender=2026_MBMC_1339167_1", "🚀 Open in Portal")</f>
        <v/>
      </c>
    </row>
    <row r="2448" ht="24" customHeight="1">
      <c r="A2448" s="11" t="inlineStr">
        <is>
          <t>Maharashtra</t>
        </is>
      </c>
      <c r="B2448" s="12" t="inlineStr">
        <is>
          <t>Health</t>
        </is>
      </c>
      <c r="C2448" s="13" t="inlineStr">
        <is>
          <t>2026_MBMC_1343298_1</t>
        </is>
      </c>
      <c r="D2448" s="14" t="inlineStr">
        <is>
          <t>[Supply of Spray Workers on Contract Basis]</t>
        </is>
      </c>
      <c r="E2448" s="14" t="inlineStr">
        <is>
          <t>Maharashtra Public Works &amp; Technology Department</t>
        </is>
      </c>
      <c r="F2448" s="13" t="inlineStr">
        <is>
          <t>11 Sep 2026</t>
        </is>
      </c>
      <c r="G2448" s="12" t="inlineStr">
        <is>
          <t>03 Oct 2026</t>
        </is>
      </c>
      <c r="H2448" s="8" t="inlineStr">
        <is>
          <t>⏳ UPCOMING</t>
        </is>
      </c>
      <c r="I2448" s="11" t="inlineStr">
        <is>
          <t>Tendernotice_1.pdf</t>
        </is>
      </c>
      <c r="J2448" s="13" t="inlineStr">
        <is>
          <t>📕 PDF Document</t>
        </is>
      </c>
      <c r="K2448" s="15" t="n">
        <v>17.8</v>
      </c>
      <c r="L2448" s="16">
        <f>HYPERLINK("http://127.0.0.1:8000/api/documents/download?id=476&amp;attachment=true", "⬇ Download Tendernotice_1.pdf")</f>
        <v/>
      </c>
      <c r="M2448" s="16">
        <f>HYPERLINK("http://localhost:5173/?state=Maharashtra&amp;keyword=Health&amp;tender=2026_MBMC_1343298_1", "🚀 Open in Portal")</f>
        <v/>
      </c>
    </row>
    <row r="2449" ht="24" customHeight="1">
      <c r="A2449" s="4" t="inlineStr">
        <is>
          <t>Maharashtra</t>
        </is>
      </c>
      <c r="B2449" s="5" t="inlineStr">
        <is>
          <t>Health</t>
        </is>
      </c>
      <c r="C2449" s="6" t="inlineStr">
        <is>
          <t>2026_MBMC_1343298_1</t>
        </is>
      </c>
      <c r="D2449" s="7" t="inlineStr">
        <is>
          <t>[Supply of Spray Workers on Contract Basis]</t>
        </is>
      </c>
      <c r="E2449" s="7" t="inlineStr">
        <is>
          <t>Maharashtra Public Works &amp; Technology Department</t>
        </is>
      </c>
      <c r="F2449" s="6" t="inlineStr">
        <is>
          <t>11 Sep 2026</t>
        </is>
      </c>
      <c r="G2449" s="5" t="inlineStr">
        <is>
          <t>03 Oct 2026</t>
        </is>
      </c>
      <c r="H2449" s="8" t="inlineStr">
        <is>
          <t>⏳ UPCOMING</t>
        </is>
      </c>
      <c r="I2449" s="4" t="inlineStr">
        <is>
          <t>TenderDocument.pdf</t>
        </is>
      </c>
      <c r="J2449" s="6" t="inlineStr">
        <is>
          <t>📕 PDF Document</t>
        </is>
      </c>
      <c r="K2449" s="9" t="n">
        <v>17.8</v>
      </c>
      <c r="L2449" s="10">
        <f>HYPERLINK("http://127.0.0.1:8000/api/documents/download?id=477&amp;attachment=true", "⬇ Download TenderDocument.pdf")</f>
        <v/>
      </c>
      <c r="M2449" s="10">
        <f>HYPERLINK("http://localhost:5173/?state=Maharashtra&amp;keyword=Health&amp;tender=2026_MBMC_1343298_1", "🚀 Open in Portal")</f>
        <v/>
      </c>
    </row>
    <row r="2450" ht="24" customHeight="1">
      <c r="A2450" s="11" t="inlineStr">
        <is>
          <t>Maharashtra</t>
        </is>
      </c>
      <c r="B2450" s="12" t="inlineStr">
        <is>
          <t>Health</t>
        </is>
      </c>
      <c r="C2450" s="13" t="inlineStr">
        <is>
          <t>2026_MBMC_1343298_1</t>
        </is>
      </c>
      <c r="D2450" s="14" t="inlineStr">
        <is>
          <t>[Supply of Spray Workers on Contract Basis]</t>
        </is>
      </c>
      <c r="E2450" s="14" t="inlineStr">
        <is>
          <t>Maharashtra Public Works &amp; Technology Department</t>
        </is>
      </c>
      <c r="F2450" s="13" t="inlineStr">
        <is>
          <t>11 Sep 2026</t>
        </is>
      </c>
      <c r="G2450" s="12" t="inlineStr">
        <is>
          <t>03 Oct 2026</t>
        </is>
      </c>
      <c r="H2450" s="8" t="inlineStr">
        <is>
          <t>⏳ UPCOMING</t>
        </is>
      </c>
      <c r="I2450" s="11" t="inlineStr">
        <is>
          <t>BOQ_2295967.xls</t>
        </is>
      </c>
      <c r="J2450" s="13" t="inlineStr">
        <is>
          <t>📊 Excel BOQ</t>
        </is>
      </c>
      <c r="K2450" s="15" t="n">
        <v>2.4</v>
      </c>
      <c r="L2450" s="16">
        <f>HYPERLINK("http://127.0.0.1:8000/api/documents/download?id=478&amp;attachment=true", "⬇ Download BOQ_2295967.xls")</f>
        <v/>
      </c>
      <c r="M2450" s="16">
        <f>HYPERLINK("http://localhost:5173/?state=Maharashtra&amp;keyword=Health&amp;tender=2026_MBMC_1343298_1", "🚀 Open in Portal")</f>
        <v/>
      </c>
    </row>
    <row r="2451" ht="24" customHeight="1">
      <c r="A2451" s="4" t="inlineStr">
        <is>
          <t>Maharashtra</t>
        </is>
      </c>
      <c r="B2451" s="5" t="inlineStr">
        <is>
          <t>Health</t>
        </is>
      </c>
      <c r="C2451" s="6" t="inlineStr">
        <is>
          <t>2026_MBMC_1343298_1</t>
        </is>
      </c>
      <c r="D2451" s="7" t="inlineStr">
        <is>
          <t>[Supply of Spray Workers on Contract Basis]</t>
        </is>
      </c>
      <c r="E2451" s="7" t="inlineStr">
        <is>
          <t>Maharashtra Public Works &amp; Technology Department</t>
        </is>
      </c>
      <c r="F2451" s="6" t="inlineStr">
        <is>
          <t>11 Sep 2026</t>
        </is>
      </c>
      <c r="G2451" s="5" t="inlineStr">
        <is>
          <t>03 Oct 2026</t>
        </is>
      </c>
      <c r="H2451" s="8" t="inlineStr">
        <is>
          <t>⏳ UPCOMING</t>
        </is>
      </c>
      <c r="I2451" s="4" t="inlineStr">
        <is>
          <t>Tender_2026_MBMC_1343298_1_All_Documents.zip</t>
        </is>
      </c>
      <c r="J2451" s="6" t="inlineStr">
        <is>
          <t>📦 ZIP Package</t>
        </is>
      </c>
      <c r="K2451" s="9" t="n">
        <v>20.7</v>
      </c>
      <c r="L2451" s="10">
        <f>HYPERLINK("http://127.0.0.1:8000/api/documents/download?id=479&amp;attachment=true", "⬇ Download Tender_2026_MBMC_1343298")</f>
        <v/>
      </c>
      <c r="M2451" s="10">
        <f>HYPERLINK("http://localhost:5173/?state=Maharashtra&amp;keyword=Health&amp;tender=2026_MBMC_1343298_1", "🚀 Open in Portal")</f>
        <v/>
      </c>
    </row>
    <row r="2452" ht="24" customHeight="1">
      <c r="A2452" s="11" t="inlineStr">
        <is>
          <t>Maharashtra</t>
        </is>
      </c>
      <c r="B2452" s="12" t="inlineStr">
        <is>
          <t>Health</t>
        </is>
      </c>
      <c r="C2452" s="13" t="inlineStr">
        <is>
          <t>2026_MCGM_1343312_1</t>
        </is>
      </c>
      <c r="D2452" s="14" t="inlineStr">
        <is>
          <t>[Request For Proposal for Operation and Management of 45-55 Bedded Multi specialty Hospital, through Civic Health collaboration Mode for the period of 30 Years situated at land bearing N Ward, Vikhroli Parksite Hospital, Gharkopar Gaon, ]</t>
        </is>
      </c>
      <c r="E2452" s="14" t="inlineStr">
        <is>
          <t>Maharashtra Public Works &amp; Technology Department</t>
        </is>
      </c>
      <c r="F2452" s="13" t="inlineStr">
        <is>
          <t>08 Sep 2026</t>
        </is>
      </c>
      <c r="G2452" s="12" t="inlineStr">
        <is>
          <t>06 Oct 2026</t>
        </is>
      </c>
      <c r="H2452" s="8" t="inlineStr">
        <is>
          <t>⏳ UPCOMING</t>
        </is>
      </c>
      <c r="I2452" s="11" t="inlineStr">
        <is>
          <t>Tendernotice_1.pdf</t>
        </is>
      </c>
      <c r="J2452" s="13" t="inlineStr">
        <is>
          <t>📕 PDF Document</t>
        </is>
      </c>
      <c r="K2452" s="15" t="n">
        <v>17.9</v>
      </c>
      <c r="L2452" s="16">
        <f>HYPERLINK("http://127.0.0.1:8000/api/documents/download?id=464&amp;attachment=true", "⬇ Download Tendernotice_1.pdf")</f>
        <v/>
      </c>
      <c r="M2452" s="16">
        <f>HYPERLINK("http://localhost:5173/?state=Maharashtra&amp;keyword=Health&amp;tender=2026_MCGM_1343312_1", "🚀 Open in Portal")</f>
        <v/>
      </c>
    </row>
    <row r="2453" ht="24" customHeight="1">
      <c r="A2453" s="4" t="inlineStr">
        <is>
          <t>Maharashtra</t>
        </is>
      </c>
      <c r="B2453" s="5" t="inlineStr">
        <is>
          <t>Health</t>
        </is>
      </c>
      <c r="C2453" s="6" t="inlineStr">
        <is>
          <t>2026_MCGM_1343312_1</t>
        </is>
      </c>
      <c r="D2453" s="7" t="inlineStr">
        <is>
          <t>[Request For Proposal for Operation and Management of 45-55 Bedded Multi specialty Hospital, through Civic Health collaboration Mode for the period of 30 Years situated at land bearing N Ward, Vikhroli Parksite Hospital, Gharkopar Gaon, ]</t>
        </is>
      </c>
      <c r="E2453" s="7" t="inlineStr">
        <is>
          <t>Maharashtra Public Works &amp; Technology Department</t>
        </is>
      </c>
      <c r="F2453" s="6" t="inlineStr">
        <is>
          <t>08 Sep 2026</t>
        </is>
      </c>
      <c r="G2453" s="5" t="inlineStr">
        <is>
          <t>06 Oct 2026</t>
        </is>
      </c>
      <c r="H2453" s="8" t="inlineStr">
        <is>
          <t>⏳ UPCOMING</t>
        </is>
      </c>
      <c r="I2453" s="4" t="inlineStr">
        <is>
          <t>NWardTenderDocument.pdf</t>
        </is>
      </c>
      <c r="J2453" s="6" t="inlineStr">
        <is>
          <t>📕 PDF Document</t>
        </is>
      </c>
      <c r="K2453" s="9" t="n">
        <v>17.9</v>
      </c>
      <c r="L2453" s="10">
        <f>HYPERLINK("http://127.0.0.1:8000/api/documents/download?id=465&amp;attachment=true", "⬇ Download NWardTenderDocument.pdf")</f>
        <v/>
      </c>
      <c r="M2453" s="10">
        <f>HYPERLINK("http://localhost:5173/?state=Maharashtra&amp;keyword=Health&amp;tender=2026_MCGM_1343312_1", "🚀 Open in Portal")</f>
        <v/>
      </c>
    </row>
    <row r="2454" ht="24" customHeight="1">
      <c r="A2454" s="11" t="inlineStr">
        <is>
          <t>Maharashtra</t>
        </is>
      </c>
      <c r="B2454" s="12" t="inlineStr">
        <is>
          <t>Health</t>
        </is>
      </c>
      <c r="C2454" s="13" t="inlineStr">
        <is>
          <t>2026_MCGM_1343312_1</t>
        </is>
      </c>
      <c r="D2454" s="14" t="inlineStr">
        <is>
          <t>[Request For Proposal for Operation and Management of 45-55 Bedded Multi specialty Hospital, through Civic Health collaboration Mode for the period of 30 Years situated at land bearing N Ward, Vikhroli Parksite Hospital, Gharkopar Gaon, ]</t>
        </is>
      </c>
      <c r="E2454" s="14" t="inlineStr">
        <is>
          <t>Maharashtra Public Works &amp; Technology Department</t>
        </is>
      </c>
      <c r="F2454" s="13" t="inlineStr">
        <is>
          <t>08 Sep 2026</t>
        </is>
      </c>
      <c r="G2454" s="12" t="inlineStr">
        <is>
          <t>06 Oct 2026</t>
        </is>
      </c>
      <c r="H2454" s="8" t="inlineStr">
        <is>
          <t>⏳ UPCOMING</t>
        </is>
      </c>
      <c r="I2454" s="11" t="inlineStr">
        <is>
          <t>BOQ_2296348.xls</t>
        </is>
      </c>
      <c r="J2454" s="13" t="inlineStr">
        <is>
          <t>📊 Excel BOQ</t>
        </is>
      </c>
      <c r="K2454" s="15" t="n">
        <v>2.6</v>
      </c>
      <c r="L2454" s="16">
        <f>HYPERLINK("http://127.0.0.1:8000/api/documents/download?id=466&amp;attachment=true", "⬇ Download BOQ_2296348.xls")</f>
        <v/>
      </c>
      <c r="M2454" s="16">
        <f>HYPERLINK("http://localhost:5173/?state=Maharashtra&amp;keyword=Health&amp;tender=2026_MCGM_1343312_1", "🚀 Open in Portal")</f>
        <v/>
      </c>
    </row>
    <row r="2455" ht="24" customHeight="1">
      <c r="A2455" s="4" t="inlineStr">
        <is>
          <t>Maharashtra</t>
        </is>
      </c>
      <c r="B2455" s="5" t="inlineStr">
        <is>
          <t>Health</t>
        </is>
      </c>
      <c r="C2455" s="6" t="inlineStr">
        <is>
          <t>2026_MCGM_1343312_1</t>
        </is>
      </c>
      <c r="D2455" s="7" t="inlineStr">
        <is>
          <t>[Request For Proposal for Operation and Management of 45-55 Bedded Multi specialty Hospital, through Civic Health collaboration Mode for the period of 30 Years situated at land bearing N Ward, Vikhroli Parksite Hospital, Gharkopar Gaon, ]</t>
        </is>
      </c>
      <c r="E2455" s="7" t="inlineStr">
        <is>
          <t>Maharashtra Public Works &amp; Technology Department</t>
        </is>
      </c>
      <c r="F2455" s="6" t="inlineStr">
        <is>
          <t>08 Sep 2026</t>
        </is>
      </c>
      <c r="G2455" s="5" t="inlineStr">
        <is>
          <t>06 Oct 2026</t>
        </is>
      </c>
      <c r="H2455" s="8" t="inlineStr">
        <is>
          <t>⏳ UPCOMING</t>
        </is>
      </c>
      <c r="I2455" s="4" t="inlineStr">
        <is>
          <t>Tender_2026_MCGM_1343312_1_All_Documents.zip</t>
        </is>
      </c>
      <c r="J2455" s="6" t="inlineStr">
        <is>
          <t>📦 ZIP Package</t>
        </is>
      </c>
      <c r="K2455" s="9" t="n">
        <v>20.9</v>
      </c>
      <c r="L2455" s="10">
        <f>HYPERLINK("http://127.0.0.1:8000/api/documents/download?id=467&amp;attachment=true", "⬇ Download Tender_2026_MCGM_1343312")</f>
        <v/>
      </c>
      <c r="M2455" s="10">
        <f>HYPERLINK("http://localhost:5173/?state=Maharashtra&amp;keyword=Health&amp;tender=2026_MCGM_1343312_1", "🚀 Open in Portal")</f>
        <v/>
      </c>
    </row>
    <row r="2456" ht="24" customHeight="1">
      <c r="A2456" s="11" t="inlineStr">
        <is>
          <t>Maharashtra</t>
        </is>
      </c>
      <c r="B2456" s="12" t="inlineStr">
        <is>
          <t>Health</t>
        </is>
      </c>
      <c r="C2456" s="13" t="inlineStr">
        <is>
          <t>2026_MSRTC_1325452_1</t>
        </is>
      </c>
      <c r="D2456" s="14" t="inlineStr">
        <is>
          <t>[Comprehensive Annual Medical Screening, Health Reporting and Teleconsultation for MSRTC Employees]</t>
        </is>
      </c>
      <c r="E2456" s="14" t="inlineStr">
        <is>
          <t>Maharashtra Public Works &amp; Technology Department</t>
        </is>
      </c>
      <c r="F2456" s="13" t="inlineStr">
        <is>
          <t>02 Oct 2026</t>
        </is>
      </c>
      <c r="G2456" s="12" t="inlineStr">
        <is>
          <t>31 Oct 2026</t>
        </is>
      </c>
      <c r="H2456" s="17" t="inlineStr">
        <is>
          <t>🟢 LIVE ACTIVE</t>
        </is>
      </c>
      <c r="I2456" s="11" t="inlineStr">
        <is>
          <t>Tendernotice_1.pdf</t>
        </is>
      </c>
      <c r="J2456" s="13" t="inlineStr">
        <is>
          <t>📕 PDF Document</t>
        </is>
      </c>
      <c r="K2456" s="15" t="n">
        <v>17.9</v>
      </c>
      <c r="L2456" s="16">
        <f>HYPERLINK("http://127.0.0.1:8000/api/documents/download?id=506&amp;attachment=true", "⬇ Download Tendernotice_1.pdf")</f>
        <v/>
      </c>
      <c r="M2456" s="16">
        <f>HYPERLINK("http://localhost:5173/?state=Maharashtra&amp;keyword=Health&amp;tender=2026_MSRTC_1325452_1", "🚀 Open in Portal")</f>
        <v/>
      </c>
    </row>
    <row r="2457" ht="24" customHeight="1">
      <c r="A2457" s="4" t="inlineStr">
        <is>
          <t>Maharashtra</t>
        </is>
      </c>
      <c r="B2457" s="5" t="inlineStr">
        <is>
          <t>Health</t>
        </is>
      </c>
      <c r="C2457" s="6" t="inlineStr">
        <is>
          <t>2026_MSRTC_1325452_1</t>
        </is>
      </c>
      <c r="D2457" s="7" t="inlineStr">
        <is>
          <t>[Comprehensive Annual Medical Screening, Health Reporting and Teleconsultation for MSRTC Employees]</t>
        </is>
      </c>
      <c r="E2457" s="7" t="inlineStr">
        <is>
          <t>Maharashtra Public Works &amp; Technology Department</t>
        </is>
      </c>
      <c r="F2457" s="6" t="inlineStr">
        <is>
          <t>02 Oct 2026</t>
        </is>
      </c>
      <c r="G2457" s="5" t="inlineStr">
        <is>
          <t>31 Oct 2026</t>
        </is>
      </c>
      <c r="H2457" s="17" t="inlineStr">
        <is>
          <t>🟢 LIVE ACTIVE</t>
        </is>
      </c>
      <c r="I2457" s="4" t="inlineStr">
        <is>
          <t>RFP.pdf</t>
        </is>
      </c>
      <c r="J2457" s="6" t="inlineStr">
        <is>
          <t>📕 PDF Document</t>
        </is>
      </c>
      <c r="K2457" s="9" t="n">
        <v>17.8</v>
      </c>
      <c r="L2457" s="10">
        <f>HYPERLINK("http://127.0.0.1:8000/api/documents/download?id=507&amp;attachment=true", "⬇ Download RFP.pdf")</f>
        <v/>
      </c>
      <c r="M2457" s="10">
        <f>HYPERLINK("http://localhost:5173/?state=Maharashtra&amp;keyword=Health&amp;tender=2026_MSRTC_1325452_1", "🚀 Open in Portal")</f>
        <v/>
      </c>
    </row>
    <row r="2458" ht="24" customHeight="1">
      <c r="A2458" s="11" t="inlineStr">
        <is>
          <t>Maharashtra</t>
        </is>
      </c>
      <c r="B2458" s="12" t="inlineStr">
        <is>
          <t>Health</t>
        </is>
      </c>
      <c r="C2458" s="13" t="inlineStr">
        <is>
          <t>2026_MSRTC_1325452_1</t>
        </is>
      </c>
      <c r="D2458" s="14" t="inlineStr">
        <is>
          <t>[Comprehensive Annual Medical Screening, Health Reporting and Teleconsultation for MSRTC Employees]</t>
        </is>
      </c>
      <c r="E2458" s="14" t="inlineStr">
        <is>
          <t>Maharashtra Public Works &amp; Technology Department</t>
        </is>
      </c>
      <c r="F2458" s="13" t="inlineStr">
        <is>
          <t>02 Oct 2026</t>
        </is>
      </c>
      <c r="G2458" s="12" t="inlineStr">
        <is>
          <t>31 Oct 2026</t>
        </is>
      </c>
      <c r="H2458" s="17" t="inlineStr">
        <is>
          <t>🟢 LIVE ACTIVE</t>
        </is>
      </c>
      <c r="I2458" s="11" t="inlineStr">
        <is>
          <t>BOQ_2270072.xls</t>
        </is>
      </c>
      <c r="J2458" s="13" t="inlineStr">
        <is>
          <t>📊 Excel BOQ</t>
        </is>
      </c>
      <c r="K2458" s="15" t="n">
        <v>2.5</v>
      </c>
      <c r="L2458" s="16">
        <f>HYPERLINK("http://127.0.0.1:8000/api/documents/download?id=508&amp;attachment=true", "⬇ Download BOQ_2270072.xls")</f>
        <v/>
      </c>
      <c r="M2458" s="16">
        <f>HYPERLINK("http://localhost:5173/?state=Maharashtra&amp;keyword=Health&amp;tender=2026_MSRTC_1325452_1", "🚀 Open in Portal")</f>
        <v/>
      </c>
    </row>
    <row r="2459" ht="24" customHeight="1">
      <c r="A2459" s="4" t="inlineStr">
        <is>
          <t>Maharashtra</t>
        </is>
      </c>
      <c r="B2459" s="5" t="inlineStr">
        <is>
          <t>Health</t>
        </is>
      </c>
      <c r="C2459" s="6" t="inlineStr">
        <is>
          <t>2026_MSRTC_1325452_1</t>
        </is>
      </c>
      <c r="D2459" s="7" t="inlineStr">
        <is>
          <t>[Comprehensive Annual Medical Screening, Health Reporting and Teleconsultation for MSRTC Employees]</t>
        </is>
      </c>
      <c r="E2459" s="7" t="inlineStr">
        <is>
          <t>Maharashtra Public Works &amp; Technology Department</t>
        </is>
      </c>
      <c r="F2459" s="6" t="inlineStr">
        <is>
          <t>02 Oct 2026</t>
        </is>
      </c>
      <c r="G2459" s="5" t="inlineStr">
        <is>
          <t>31 Oct 2026</t>
        </is>
      </c>
      <c r="H2459" s="17" t="inlineStr">
        <is>
          <t>🟢 LIVE ACTIVE</t>
        </is>
      </c>
      <c r="I2459" s="4" t="inlineStr">
        <is>
          <t>PrebidForm.xls</t>
        </is>
      </c>
      <c r="J2459" s="6" t="inlineStr">
        <is>
          <t>📊 Excel BOQ</t>
        </is>
      </c>
      <c r="K2459" s="9" t="n">
        <v>2.5</v>
      </c>
      <c r="L2459" s="10">
        <f>HYPERLINK("http://127.0.0.1:8000/api/documents/download?id=509&amp;attachment=true", "⬇ Download PrebidForm.xls")</f>
        <v/>
      </c>
      <c r="M2459" s="10">
        <f>HYPERLINK("http://localhost:5173/?state=Maharashtra&amp;keyword=Health&amp;tender=2026_MSRTC_1325452_1", "🚀 Open in Portal")</f>
        <v/>
      </c>
    </row>
    <row r="2460" ht="24" customHeight="1">
      <c r="A2460" s="11" t="inlineStr">
        <is>
          <t>Maharashtra</t>
        </is>
      </c>
      <c r="B2460" s="12" t="inlineStr">
        <is>
          <t>Health</t>
        </is>
      </c>
      <c r="C2460" s="13" t="inlineStr">
        <is>
          <t>2026_MSRTC_1325452_1</t>
        </is>
      </c>
      <c r="D2460" s="14" t="inlineStr">
        <is>
          <t>[Comprehensive Annual Medical Screening, Health Reporting and Teleconsultation for MSRTC Employees]</t>
        </is>
      </c>
      <c r="E2460" s="14" t="inlineStr">
        <is>
          <t>Maharashtra Public Works &amp; Technology Department</t>
        </is>
      </c>
      <c r="F2460" s="13" t="inlineStr">
        <is>
          <t>02 Oct 2026</t>
        </is>
      </c>
      <c r="G2460" s="12" t="inlineStr">
        <is>
          <t>31 Oct 2026</t>
        </is>
      </c>
      <c r="H2460" s="17" t="inlineStr">
        <is>
          <t>🟢 LIVE ACTIVE</t>
        </is>
      </c>
      <c r="I2460" s="11" t="inlineStr">
        <is>
          <t>Tender_2026_MSRTC_1325452_1_All_Documents.zip</t>
        </is>
      </c>
      <c r="J2460" s="13" t="inlineStr">
        <is>
          <t>📦 ZIP Package</t>
        </is>
      </c>
      <c r="K2460" s="15" t="n">
        <v>23.1</v>
      </c>
      <c r="L2460" s="16">
        <f>HYPERLINK("http://127.0.0.1:8000/api/documents/download?id=510&amp;attachment=true", "⬇ Download Tender_2026_MSRTC_132545")</f>
        <v/>
      </c>
      <c r="M2460" s="16">
        <f>HYPERLINK("http://localhost:5173/?state=Maharashtra&amp;keyword=Health&amp;tender=2026_MSRTC_1325452_1", "🚀 Open in Portal")</f>
        <v/>
      </c>
    </row>
    <row r="2461" ht="24" customHeight="1">
      <c r="A2461" s="4" t="inlineStr">
        <is>
          <t>Maharashtra</t>
        </is>
      </c>
      <c r="B2461" s="5" t="inlineStr">
        <is>
          <t>Health</t>
        </is>
      </c>
      <c r="C2461" s="6" t="inlineStr">
        <is>
          <t>2026_NHM_1343729_1</t>
        </is>
      </c>
      <c r="D2461" s="7" t="inlineStr">
        <is>
          <t>[NEW CONSTRUCTION OF BLOCK PUBLIC HEALTH UNIT AT RURAL HOSPITAL PARNER, TAL. PARNER, DIST.AHILYANAGAR]</t>
        </is>
      </c>
      <c r="E2461" s="7" t="inlineStr">
        <is>
          <t>Maharashtra Public Works &amp; Technology Department</t>
        </is>
      </c>
      <c r="F2461" s="6" t="inlineStr">
        <is>
          <t>19 Oct 2026</t>
        </is>
      </c>
      <c r="G2461" s="5" t="inlineStr">
        <is>
          <t>09 Nov 2026</t>
        </is>
      </c>
      <c r="H2461" s="8" t="inlineStr">
        <is>
          <t>⏳ UPCOMING</t>
        </is>
      </c>
      <c r="I2461" s="4" t="inlineStr">
        <is>
          <t>Tendernotice_1.pdf</t>
        </is>
      </c>
      <c r="J2461" s="6" t="inlineStr">
        <is>
          <t>📕 PDF Document</t>
        </is>
      </c>
      <c r="K2461" s="9" t="n">
        <v>17.9</v>
      </c>
      <c r="L2461" s="10">
        <f>HYPERLINK("http://127.0.0.1:8000/api/documents/download?id=472&amp;attachment=true", "⬇ Download Tendernotice_1.pdf")</f>
        <v/>
      </c>
      <c r="M2461" s="10">
        <f>HYPERLINK("http://localhost:5173/?state=Maharashtra&amp;keyword=Health&amp;tender=2026_NHM_1343729_1", "🚀 Open in Portal")</f>
        <v/>
      </c>
    </row>
    <row r="2462" ht="24" customHeight="1">
      <c r="A2462" s="11" t="inlineStr">
        <is>
          <t>Maharashtra</t>
        </is>
      </c>
      <c r="B2462" s="12" t="inlineStr">
        <is>
          <t>Health</t>
        </is>
      </c>
      <c r="C2462" s="13" t="inlineStr">
        <is>
          <t>2026_NHM_1343729_1</t>
        </is>
      </c>
      <c r="D2462" s="14" t="inlineStr">
        <is>
          <t>[NEW CONSTRUCTION OF BLOCK PUBLIC HEALTH UNIT AT RURAL HOSPITAL PARNER, TAL. PARNER, DIST.AHILYANAGAR]</t>
        </is>
      </c>
      <c r="E2462" s="14" t="inlineStr">
        <is>
          <t>Maharashtra Public Works &amp; Technology Department</t>
        </is>
      </c>
      <c r="F2462" s="13" t="inlineStr">
        <is>
          <t>19 Oct 2026</t>
        </is>
      </c>
      <c r="G2462" s="12" t="inlineStr">
        <is>
          <t>09 Nov 2026</t>
        </is>
      </c>
      <c r="H2462" s="8" t="inlineStr">
        <is>
          <t>⏳ UPCOMING</t>
        </is>
      </c>
      <c r="I2462" s="11" t="inlineStr">
        <is>
          <t>b1bphuparnar.pdf</t>
        </is>
      </c>
      <c r="J2462" s="13" t="inlineStr">
        <is>
          <t>📕 PDF Document</t>
        </is>
      </c>
      <c r="K2462" s="15" t="n">
        <v>17.9</v>
      </c>
      <c r="L2462" s="16">
        <f>HYPERLINK("http://127.0.0.1:8000/api/documents/download?id=473&amp;attachment=true", "⬇ Download b1bphuparnar.pdf")</f>
        <v/>
      </c>
      <c r="M2462" s="16">
        <f>HYPERLINK("http://localhost:5173/?state=Maharashtra&amp;keyword=Health&amp;tender=2026_NHM_1343729_1", "🚀 Open in Portal")</f>
        <v/>
      </c>
    </row>
    <row r="2463" ht="24" customHeight="1">
      <c r="A2463" s="4" t="inlineStr">
        <is>
          <t>Maharashtra</t>
        </is>
      </c>
      <c r="B2463" s="5" t="inlineStr">
        <is>
          <t>Health</t>
        </is>
      </c>
      <c r="C2463" s="6" t="inlineStr">
        <is>
          <t>2026_NHM_1343729_1</t>
        </is>
      </c>
      <c r="D2463" s="7" t="inlineStr">
        <is>
          <t>[NEW CONSTRUCTION OF BLOCK PUBLIC HEALTH UNIT AT RURAL HOSPITAL PARNER, TAL. PARNER, DIST.AHILYANAGAR]</t>
        </is>
      </c>
      <c r="E2463" s="7" t="inlineStr">
        <is>
          <t>Maharashtra Public Works &amp; Technology Department</t>
        </is>
      </c>
      <c r="F2463" s="6" t="inlineStr">
        <is>
          <t>19 Oct 2026</t>
        </is>
      </c>
      <c r="G2463" s="5" t="inlineStr">
        <is>
          <t>09 Nov 2026</t>
        </is>
      </c>
      <c r="H2463" s="8" t="inlineStr">
        <is>
          <t>⏳ UPCOMING</t>
        </is>
      </c>
      <c r="I2463" s="4" t="inlineStr">
        <is>
          <t>BOQ_2296701.xls</t>
        </is>
      </c>
      <c r="J2463" s="6" t="inlineStr">
        <is>
          <t>📊 Excel BOQ</t>
        </is>
      </c>
      <c r="K2463" s="9" t="n">
        <v>2.5</v>
      </c>
      <c r="L2463" s="10">
        <f>HYPERLINK("http://127.0.0.1:8000/api/documents/download?id=474&amp;attachment=true", "⬇ Download BOQ_2296701.xls")</f>
        <v/>
      </c>
      <c r="M2463" s="10">
        <f>HYPERLINK("http://localhost:5173/?state=Maharashtra&amp;keyword=Health&amp;tender=2026_NHM_1343729_1", "🚀 Open in Portal")</f>
        <v/>
      </c>
    </row>
    <row r="2464" ht="24" customHeight="1">
      <c r="A2464" s="11" t="inlineStr">
        <is>
          <t>Maharashtra</t>
        </is>
      </c>
      <c r="B2464" s="12" t="inlineStr">
        <is>
          <t>Health</t>
        </is>
      </c>
      <c r="C2464" s="13" t="inlineStr">
        <is>
          <t>2026_NHM_1343729_1</t>
        </is>
      </c>
      <c r="D2464" s="14" t="inlineStr">
        <is>
          <t>[NEW CONSTRUCTION OF BLOCK PUBLIC HEALTH UNIT AT RURAL HOSPITAL PARNER, TAL. PARNER, DIST.AHILYANAGAR]</t>
        </is>
      </c>
      <c r="E2464" s="14" t="inlineStr">
        <is>
          <t>Maharashtra Public Works &amp; Technology Department</t>
        </is>
      </c>
      <c r="F2464" s="13" t="inlineStr">
        <is>
          <t>19 Oct 2026</t>
        </is>
      </c>
      <c r="G2464" s="12" t="inlineStr">
        <is>
          <t>09 Nov 2026</t>
        </is>
      </c>
      <c r="H2464" s="8" t="inlineStr">
        <is>
          <t>⏳ UPCOMING</t>
        </is>
      </c>
      <c r="I2464" s="11" t="inlineStr">
        <is>
          <t>Tender_2026_NHM_1343729_1_All_Documents.zip</t>
        </is>
      </c>
      <c r="J2464" s="13" t="inlineStr">
        <is>
          <t>📦 ZIP Package</t>
        </is>
      </c>
      <c r="K2464" s="15" t="n">
        <v>20.8</v>
      </c>
      <c r="L2464" s="16">
        <f>HYPERLINK("http://127.0.0.1:8000/api/documents/download?id=475&amp;attachment=true", "⬇ Download Tender_2026_NHM_1343729_")</f>
        <v/>
      </c>
      <c r="M2464" s="16">
        <f>HYPERLINK("http://localhost:5173/?state=Maharashtra&amp;keyword=Health&amp;tender=2026_NHM_1343729_1", "🚀 Open in Portal")</f>
        <v/>
      </c>
    </row>
    <row r="2465" ht="24" customHeight="1">
      <c r="A2465" s="4" t="inlineStr">
        <is>
          <t>Maharashtra</t>
        </is>
      </c>
      <c r="B2465" s="5" t="inlineStr">
        <is>
          <t>Health</t>
        </is>
      </c>
      <c r="C2465" s="6" t="inlineStr">
        <is>
          <t>2026_PCMCP_1340634_1</t>
        </is>
      </c>
      <c r="D2465" s="7" t="inlineStr">
        <is>
          <t>[Hiring of three wheeler 2 rickshaw tempo vehicles for thermal fumigation in wards 17 18 within B Regional office area of pimpri chinchwad municipal corporation.]</t>
        </is>
      </c>
      <c r="E2465" s="7" t="inlineStr">
        <is>
          <t>Maharashtra Public Works &amp; Technology Department</t>
        </is>
      </c>
      <c r="F2465" s="6" t="inlineStr">
        <is>
          <t>25 Oct 2026</t>
        </is>
      </c>
      <c r="G2465" s="5" t="inlineStr">
        <is>
          <t>15 Nov 2026</t>
        </is>
      </c>
      <c r="H2465" s="8" t="inlineStr">
        <is>
          <t>⏳ UPCOMING</t>
        </is>
      </c>
      <c r="I2465" s="4" t="inlineStr">
        <is>
          <t>Tendernotice_1.pdf</t>
        </is>
      </c>
      <c r="J2465" s="6" t="inlineStr">
        <is>
          <t>📕 PDF Document</t>
        </is>
      </c>
      <c r="K2465" s="9" t="n">
        <v>17.9</v>
      </c>
      <c r="L2465" s="10">
        <f>HYPERLINK("http://127.0.0.1:8000/api/documents/download?id=495&amp;attachment=true", "⬇ Download Tendernotice_1.pdf")</f>
        <v/>
      </c>
      <c r="M2465" s="10">
        <f>HYPERLINK("http://localhost:5173/?state=Maharashtra&amp;keyword=Health&amp;tender=2026_PCMCP_1340634_1", "🚀 Open in Portal")</f>
        <v/>
      </c>
    </row>
    <row r="2466" ht="24" customHeight="1">
      <c r="A2466" s="11" t="inlineStr">
        <is>
          <t>Maharashtra</t>
        </is>
      </c>
      <c r="B2466" s="12" t="inlineStr">
        <is>
          <t>Health</t>
        </is>
      </c>
      <c r="C2466" s="13" t="inlineStr">
        <is>
          <t>2026_PCMCP_1340634_1</t>
        </is>
      </c>
      <c r="D2466" s="14" t="inlineStr">
        <is>
          <t>[Hiring of three wheeler 2 rickshaw tempo vehicles for thermal fumigation in wards 17 18 within B Regional office area of pimpri chinchwad municipal corporation.]</t>
        </is>
      </c>
      <c r="E2466" s="14" t="inlineStr">
        <is>
          <t>Maharashtra Public Works &amp; Technology Department</t>
        </is>
      </c>
      <c r="F2466" s="13" t="inlineStr">
        <is>
          <t>25 Oct 2026</t>
        </is>
      </c>
      <c r="G2466" s="12" t="inlineStr">
        <is>
          <t>15 Nov 2026</t>
        </is>
      </c>
      <c r="H2466" s="8" t="inlineStr">
        <is>
          <t>⏳ UPCOMING</t>
        </is>
      </c>
      <c r="I2466" s="11" t="inlineStr">
        <is>
          <t>termcondition.pdf</t>
        </is>
      </c>
      <c r="J2466" s="13" t="inlineStr">
        <is>
          <t>📕 PDF Document</t>
        </is>
      </c>
      <c r="K2466" s="15" t="n">
        <v>17.9</v>
      </c>
      <c r="L2466" s="16">
        <f>HYPERLINK("http://127.0.0.1:8000/api/documents/download?id=496&amp;attachment=true", "⬇ Download termcondition.pdf")</f>
        <v/>
      </c>
      <c r="M2466" s="16">
        <f>HYPERLINK("http://localhost:5173/?state=Maharashtra&amp;keyword=Health&amp;tender=2026_PCMCP_1340634_1", "🚀 Open in Portal")</f>
        <v/>
      </c>
    </row>
    <row r="2467" ht="24" customHeight="1">
      <c r="A2467" s="4" t="inlineStr">
        <is>
          <t>Maharashtra</t>
        </is>
      </c>
      <c r="B2467" s="5" t="inlineStr">
        <is>
          <t>Health</t>
        </is>
      </c>
      <c r="C2467" s="6" t="inlineStr">
        <is>
          <t>2026_PCMCP_1340634_1</t>
        </is>
      </c>
      <c r="D2467" s="7" t="inlineStr">
        <is>
          <t>[Hiring of three wheeler 2 rickshaw tempo vehicles for thermal fumigation in wards 17 18 within B Regional office area of pimpri chinchwad municipal corporation.]</t>
        </is>
      </c>
      <c r="E2467" s="7" t="inlineStr">
        <is>
          <t>Maharashtra Public Works &amp; Technology Department</t>
        </is>
      </c>
      <c r="F2467" s="6" t="inlineStr">
        <is>
          <t>25 Oct 2026</t>
        </is>
      </c>
      <c r="G2467" s="5" t="inlineStr">
        <is>
          <t>15 Nov 2026</t>
        </is>
      </c>
      <c r="H2467" s="8" t="inlineStr">
        <is>
          <t>⏳ UPCOMING</t>
        </is>
      </c>
      <c r="I2467" s="4" t="inlineStr">
        <is>
          <t>BOQ_2291855.xls</t>
        </is>
      </c>
      <c r="J2467" s="6" t="inlineStr">
        <is>
          <t>📊 Excel BOQ</t>
        </is>
      </c>
      <c r="K2467" s="9" t="n">
        <v>2.5</v>
      </c>
      <c r="L2467" s="10">
        <f>HYPERLINK("http://127.0.0.1:8000/api/documents/download?id=497&amp;attachment=true", "⬇ Download BOQ_2291855.xls")</f>
        <v/>
      </c>
      <c r="M2467" s="10">
        <f>HYPERLINK("http://localhost:5173/?state=Maharashtra&amp;keyword=Health&amp;tender=2026_PCMCP_1340634_1", "🚀 Open in Portal")</f>
        <v/>
      </c>
    </row>
    <row r="2468" ht="24" customHeight="1">
      <c r="A2468" s="11" t="inlineStr">
        <is>
          <t>Maharashtra</t>
        </is>
      </c>
      <c r="B2468" s="12" t="inlineStr">
        <is>
          <t>Health</t>
        </is>
      </c>
      <c r="C2468" s="13" t="inlineStr">
        <is>
          <t>2026_PCMCP_1340634_1</t>
        </is>
      </c>
      <c r="D2468" s="14" t="inlineStr">
        <is>
          <t>[Hiring of three wheeler 2 rickshaw tempo vehicles for thermal fumigation in wards 17 18 within B Regional office area of pimpri chinchwad municipal corporation.]</t>
        </is>
      </c>
      <c r="E2468" s="14" t="inlineStr">
        <is>
          <t>Maharashtra Public Works &amp; Technology Department</t>
        </is>
      </c>
      <c r="F2468" s="13" t="inlineStr">
        <is>
          <t>25 Oct 2026</t>
        </is>
      </c>
      <c r="G2468" s="12" t="inlineStr">
        <is>
          <t>15 Nov 2026</t>
        </is>
      </c>
      <c r="H2468" s="8" t="inlineStr">
        <is>
          <t>⏳ UPCOMING</t>
        </is>
      </c>
      <c r="I2468" s="11" t="inlineStr">
        <is>
          <t>Tender_2026_PCMCP_1340634_1_All_Documents.zip</t>
        </is>
      </c>
      <c r="J2468" s="13" t="inlineStr">
        <is>
          <t>📦 ZIP Package</t>
        </is>
      </c>
      <c r="K2468" s="15" t="n">
        <v>20.9</v>
      </c>
      <c r="L2468" s="16">
        <f>HYPERLINK("http://127.0.0.1:8000/api/documents/download?id=498&amp;attachment=true", "⬇ Download Tender_2026_PCMCP_134063")</f>
        <v/>
      </c>
      <c r="M2468" s="16">
        <f>HYPERLINK("http://localhost:5173/?state=Maharashtra&amp;keyword=Health&amp;tender=2026_PCMCP_1340634_1", "🚀 Open in Portal")</f>
        <v/>
      </c>
    </row>
    <row r="2469" ht="24" customHeight="1">
      <c r="A2469" s="4" t="inlineStr">
        <is>
          <t>Maharashtra</t>
        </is>
      </c>
      <c r="B2469" s="5" t="inlineStr">
        <is>
          <t>Health</t>
        </is>
      </c>
      <c r="C2469" s="6" t="inlineStr">
        <is>
          <t>2026_SINDH_1340506_1</t>
        </is>
      </c>
      <c r="D2469" s="7" t="inlineStr">
        <is>
          <t>[SUPPLY ESSENTIAL DRUGS FOR HEALTH DEPARTMENT ZP SINDHUDURG]</t>
        </is>
      </c>
      <c r="E2469" s="7" t="inlineStr">
        <is>
          <t>Maharashtra Public Works &amp; Technology Department</t>
        </is>
      </c>
      <c r="F2469" s="6" t="inlineStr">
        <is>
          <t>26 Sep 2026</t>
        </is>
      </c>
      <c r="G2469" s="5" t="inlineStr">
        <is>
          <t>26 Oct 2026</t>
        </is>
      </c>
      <c r="H2469" s="17" t="inlineStr">
        <is>
          <t>🟢 LIVE ACTIVE</t>
        </is>
      </c>
      <c r="I2469" s="4" t="inlineStr">
        <is>
          <t>Tendernotice_1.pdf</t>
        </is>
      </c>
      <c r="J2469" s="6" t="inlineStr">
        <is>
          <t>📕 PDF Document</t>
        </is>
      </c>
      <c r="K2469" s="9" t="n">
        <v>17.9</v>
      </c>
      <c r="L2469" s="10">
        <f>HYPERLINK("http://127.0.0.1:8000/api/documents/download?id=499&amp;attachment=true", "⬇ Download Tendernotice_1.pdf")</f>
        <v/>
      </c>
      <c r="M2469" s="10">
        <f>HYPERLINK("http://localhost:5173/?state=Maharashtra&amp;keyword=Health&amp;tender=2026_SINDH_1340506_1", "🚀 Open in Portal")</f>
        <v/>
      </c>
    </row>
    <row r="2470" ht="24" customHeight="1">
      <c r="A2470" s="11" t="inlineStr">
        <is>
          <t>Maharashtra</t>
        </is>
      </c>
      <c r="B2470" s="12" t="inlineStr">
        <is>
          <t>Health</t>
        </is>
      </c>
      <c r="C2470" s="13" t="inlineStr">
        <is>
          <t>2026_SINDH_1340506_1</t>
        </is>
      </c>
      <c r="D2470" s="14" t="inlineStr">
        <is>
          <t>[SUPPLY ESSENTIAL DRUGS FOR HEALTH DEPARTMENT ZP SINDHUDURG]</t>
        </is>
      </c>
      <c r="E2470" s="14" t="inlineStr">
        <is>
          <t>Maharashtra Public Works &amp; Technology Department</t>
        </is>
      </c>
      <c r="F2470" s="13" t="inlineStr">
        <is>
          <t>26 Sep 2026</t>
        </is>
      </c>
      <c r="G2470" s="12" t="inlineStr">
        <is>
          <t>26 Oct 2026</t>
        </is>
      </c>
      <c r="H2470" s="17" t="inlineStr">
        <is>
          <t>🟢 LIVE ACTIVE</t>
        </is>
      </c>
      <c r="I2470" s="11" t="inlineStr">
        <is>
          <t>BOQ_2291657.xls</t>
        </is>
      </c>
      <c r="J2470" s="13" t="inlineStr">
        <is>
          <t>📊 Excel BOQ</t>
        </is>
      </c>
      <c r="K2470" s="15" t="n">
        <v>2.4</v>
      </c>
      <c r="L2470" s="16">
        <f>HYPERLINK("http://127.0.0.1:8000/api/documents/download?id=500&amp;attachment=true", "⬇ Download BOQ_2291657.xls")</f>
        <v/>
      </c>
      <c r="M2470" s="16">
        <f>HYPERLINK("http://localhost:5173/?state=Maharashtra&amp;keyword=Health&amp;tender=2026_SINDH_1340506_1", "🚀 Open in Portal")</f>
        <v/>
      </c>
    </row>
    <row r="2471" ht="24" customHeight="1">
      <c r="A2471" s="4" t="inlineStr">
        <is>
          <t>Maharashtra</t>
        </is>
      </c>
      <c r="B2471" s="5" t="inlineStr">
        <is>
          <t>Health</t>
        </is>
      </c>
      <c r="C2471" s="6" t="inlineStr">
        <is>
          <t>2026_SINDH_1340506_1</t>
        </is>
      </c>
      <c r="D2471" s="7" t="inlineStr">
        <is>
          <t>[SUPPLY ESSENTIAL DRUGS FOR HEALTH DEPARTMENT ZP SINDHUDURG]</t>
        </is>
      </c>
      <c r="E2471" s="7" t="inlineStr">
        <is>
          <t>Maharashtra Public Works &amp; Technology Department</t>
        </is>
      </c>
      <c r="F2471" s="6" t="inlineStr">
        <is>
          <t>26 Sep 2026</t>
        </is>
      </c>
      <c r="G2471" s="5" t="inlineStr">
        <is>
          <t>26 Oct 2026</t>
        </is>
      </c>
      <c r="H2471" s="17" t="inlineStr">
        <is>
          <t>🟢 LIVE ACTIVE</t>
        </is>
      </c>
      <c r="I2471" s="4" t="inlineStr">
        <is>
          <t>Tender_2026_SINDH_1340506_1_All_Documents.zip</t>
        </is>
      </c>
      <c r="J2471" s="6" t="inlineStr">
        <is>
          <t>📦 ZIP Package</t>
        </is>
      </c>
      <c r="K2471" s="9" t="n">
        <v>11.6</v>
      </c>
      <c r="L2471" s="10">
        <f>HYPERLINK("http://127.0.0.1:8000/api/documents/download?id=501&amp;attachment=true", "⬇ Download Tender_2026_SINDH_134050")</f>
        <v/>
      </c>
      <c r="M2471" s="10">
        <f>HYPERLINK("http://localhost:5173/?state=Maharashtra&amp;keyword=Health&amp;tender=2026_SINDH_1340506_1", "🚀 Open in Portal")</f>
        <v/>
      </c>
    </row>
    <row r="2472" ht="24" customHeight="1">
      <c r="A2472" s="11" t="inlineStr">
        <is>
          <t>Maharashtra</t>
        </is>
      </c>
      <c r="B2472" s="12" t="inlineStr">
        <is>
          <t>Health</t>
        </is>
      </c>
      <c r="C2472" s="13" t="inlineStr">
        <is>
          <t>2026_THANE_1343646_1</t>
        </is>
      </c>
      <c r="D2472" s="14" t="inlineStr">
        <is>
          <t>[Supply of Vehicles for MMU Program, in Govt. Health Facilities in the District Thane]</t>
        </is>
      </c>
      <c r="E2472" s="14" t="inlineStr">
        <is>
          <t>Maharashtra Public Works &amp; Technology Department</t>
        </is>
      </c>
      <c r="F2472" s="13" t="inlineStr">
        <is>
          <t>26 Sep 2026</t>
        </is>
      </c>
      <c r="G2472" s="12" t="inlineStr">
        <is>
          <t>16 Nov 2026</t>
        </is>
      </c>
      <c r="H2472" s="17" t="inlineStr">
        <is>
          <t>🟢 LIVE ACTIVE</t>
        </is>
      </c>
      <c r="I2472" s="11" t="inlineStr">
        <is>
          <t>Tendernotice_1.pdf</t>
        </is>
      </c>
      <c r="J2472" s="13" t="inlineStr">
        <is>
          <t>📕 PDF Document</t>
        </is>
      </c>
      <c r="K2472" s="15" t="n">
        <v>17.9</v>
      </c>
      <c r="L2472" s="16">
        <f>HYPERLINK("http://127.0.0.1:8000/api/documents/download?id=468&amp;attachment=true", "⬇ Download Tendernotice_1.pdf")</f>
        <v/>
      </c>
      <c r="M2472" s="16">
        <f>HYPERLINK("http://localhost:5173/?state=Maharashtra&amp;keyword=Health&amp;tender=2026_THANE_1343646_1", "🚀 Open in Portal")</f>
        <v/>
      </c>
    </row>
    <row r="2473" ht="24" customHeight="1">
      <c r="A2473" s="4" t="inlineStr">
        <is>
          <t>Maharashtra</t>
        </is>
      </c>
      <c r="B2473" s="5" t="inlineStr">
        <is>
          <t>Health</t>
        </is>
      </c>
      <c r="C2473" s="6" t="inlineStr">
        <is>
          <t>2026_THANE_1343646_1</t>
        </is>
      </c>
      <c r="D2473" s="7" t="inlineStr">
        <is>
          <t>[Supply of Vehicles for MMU Program, in Govt. Health Facilities in the District Thane]</t>
        </is>
      </c>
      <c r="E2473" s="7" t="inlineStr">
        <is>
          <t>Maharashtra Public Works &amp; Technology Department</t>
        </is>
      </c>
      <c r="F2473" s="6" t="inlineStr">
        <is>
          <t>26 Sep 2026</t>
        </is>
      </c>
      <c r="G2473" s="5" t="inlineStr">
        <is>
          <t>16 Nov 2026</t>
        </is>
      </c>
      <c r="H2473" s="17" t="inlineStr">
        <is>
          <t>🟢 LIVE ACTIVE</t>
        </is>
      </c>
      <c r="I2473" s="4" t="inlineStr">
        <is>
          <t>MMUTenderDTP08102026.pdf</t>
        </is>
      </c>
      <c r="J2473" s="6" t="inlineStr">
        <is>
          <t>📕 PDF Document</t>
        </is>
      </c>
      <c r="K2473" s="9" t="n">
        <v>17.9</v>
      </c>
      <c r="L2473" s="10">
        <f>HYPERLINK("http://127.0.0.1:8000/api/documents/download?id=469&amp;attachment=true", "⬇ Download MMUTenderDTP08102026.pdf")</f>
        <v/>
      </c>
      <c r="M2473" s="10">
        <f>HYPERLINK("http://localhost:5173/?state=Maharashtra&amp;keyword=Health&amp;tender=2026_THANE_1343646_1", "🚀 Open in Portal")</f>
        <v/>
      </c>
    </row>
    <row r="2474" ht="24" customHeight="1">
      <c r="A2474" s="11" t="inlineStr">
        <is>
          <t>Maharashtra</t>
        </is>
      </c>
      <c r="B2474" s="12" t="inlineStr">
        <is>
          <t>Health</t>
        </is>
      </c>
      <c r="C2474" s="13" t="inlineStr">
        <is>
          <t>2026_THANE_1343646_1</t>
        </is>
      </c>
      <c r="D2474" s="14" t="inlineStr">
        <is>
          <t>[Supply of Vehicles for MMU Program, in Govt. Health Facilities in the District Thane]</t>
        </is>
      </c>
      <c r="E2474" s="14" t="inlineStr">
        <is>
          <t>Maharashtra Public Works &amp; Technology Department</t>
        </is>
      </c>
      <c r="F2474" s="13" t="inlineStr">
        <is>
          <t>26 Sep 2026</t>
        </is>
      </c>
      <c r="G2474" s="12" t="inlineStr">
        <is>
          <t>16 Nov 2026</t>
        </is>
      </c>
      <c r="H2474" s="17" t="inlineStr">
        <is>
          <t>🟢 LIVE ACTIVE</t>
        </is>
      </c>
      <c r="I2474" s="11" t="inlineStr">
        <is>
          <t>BOQ_2296594.xls</t>
        </is>
      </c>
      <c r="J2474" s="13" t="inlineStr">
        <is>
          <t>📊 Excel BOQ</t>
        </is>
      </c>
      <c r="K2474" s="15" t="n">
        <v>2.5</v>
      </c>
      <c r="L2474" s="16">
        <f>HYPERLINK("http://127.0.0.1:8000/api/documents/download?id=470&amp;attachment=true", "⬇ Download BOQ_2296594.xls")</f>
        <v/>
      </c>
      <c r="M2474" s="16">
        <f>HYPERLINK("http://localhost:5173/?state=Maharashtra&amp;keyword=Health&amp;tender=2026_THANE_1343646_1", "🚀 Open in Portal")</f>
        <v/>
      </c>
    </row>
    <row r="2475" ht="24" customHeight="1">
      <c r="A2475" s="4" t="inlineStr">
        <is>
          <t>Maharashtra</t>
        </is>
      </c>
      <c r="B2475" s="5" t="inlineStr">
        <is>
          <t>Health</t>
        </is>
      </c>
      <c r="C2475" s="6" t="inlineStr">
        <is>
          <t>2026_THANE_1343646_1</t>
        </is>
      </c>
      <c r="D2475" s="7" t="inlineStr">
        <is>
          <t>[Supply of Vehicles for MMU Program, in Govt. Health Facilities in the District Thane]</t>
        </is>
      </c>
      <c r="E2475" s="7" t="inlineStr">
        <is>
          <t>Maharashtra Public Works &amp; Technology Department</t>
        </is>
      </c>
      <c r="F2475" s="6" t="inlineStr">
        <is>
          <t>26 Sep 2026</t>
        </is>
      </c>
      <c r="G2475" s="5" t="inlineStr">
        <is>
          <t>16 Nov 2026</t>
        </is>
      </c>
      <c r="H2475" s="17" t="inlineStr">
        <is>
          <t>🟢 LIVE ACTIVE</t>
        </is>
      </c>
      <c r="I2475" s="4" t="inlineStr">
        <is>
          <t>Tender_2026_THANE_1343646_1_All_Documents.zip</t>
        </is>
      </c>
      <c r="J2475" s="6" t="inlineStr">
        <is>
          <t>📦 ZIP Package</t>
        </is>
      </c>
      <c r="K2475" s="9" t="n">
        <v>20.8</v>
      </c>
      <c r="L2475" s="10">
        <f>HYPERLINK("http://127.0.0.1:8000/api/documents/download?id=471&amp;attachment=true", "⬇ Download Tender_2026_THANE_134364")</f>
        <v/>
      </c>
      <c r="M2475" s="10">
        <f>HYPERLINK("http://localhost:5173/?state=Maharashtra&amp;keyword=Health&amp;tender=2026_THANE_1343646_1", "🚀 Open in Portal")</f>
        <v/>
      </c>
    </row>
    <row r="2476" ht="24" customHeight="1">
      <c r="A2476" s="11" t="inlineStr">
        <is>
          <t>Maharashtra</t>
        </is>
      </c>
      <c r="B2476" s="12" t="inlineStr">
        <is>
          <t>Health</t>
        </is>
      </c>
      <c r="C2476" s="13" t="inlineStr">
        <is>
          <t>2026_TMC_1342119_1</t>
        </is>
      </c>
      <c r="D2476" s="14" t="inlineStr">
        <is>
          <t>[Construction of Medical gas pipe line manifold room with installation of air handling unit (AHU) as facilities in Kausa Hospital ]</t>
        </is>
      </c>
      <c r="E2476" s="14" t="inlineStr">
        <is>
          <t>Maharashtra Public Works &amp; Technology Department</t>
        </is>
      </c>
      <c r="F2476" s="13" t="inlineStr">
        <is>
          <t>23 Sep 2026</t>
        </is>
      </c>
      <c r="G2476" s="12" t="inlineStr">
        <is>
          <t>18 Oct 2026</t>
        </is>
      </c>
      <c r="H2476" s="8" t="inlineStr">
        <is>
          <t>⏳ UPCOMING</t>
        </is>
      </c>
      <c r="I2476" s="11" t="inlineStr">
        <is>
          <t>Tendernotice_1.pdf</t>
        </is>
      </c>
      <c r="J2476" s="13" t="inlineStr">
        <is>
          <t>📕 PDF Document</t>
        </is>
      </c>
      <c r="K2476" s="15" t="n">
        <v>17.9</v>
      </c>
      <c r="L2476" s="16">
        <f>HYPERLINK("http://127.0.0.1:8000/api/documents/download?id=491&amp;attachment=true", "⬇ Download Tendernotice_1.pdf")</f>
        <v/>
      </c>
      <c r="M2476" s="16">
        <f>HYPERLINK("http://localhost:5173/?state=Maharashtra&amp;keyword=Health&amp;tender=2026_TMC_1342119_1", "🚀 Open in Portal")</f>
        <v/>
      </c>
    </row>
    <row r="2477" ht="24" customHeight="1">
      <c r="A2477" s="4" t="inlineStr">
        <is>
          <t>Maharashtra</t>
        </is>
      </c>
      <c r="B2477" s="5" t="inlineStr">
        <is>
          <t>Health</t>
        </is>
      </c>
      <c r="C2477" s="6" t="inlineStr">
        <is>
          <t>2026_TMC_1342119_1</t>
        </is>
      </c>
      <c r="D2477" s="7" t="inlineStr">
        <is>
          <t>[Construction of Medical gas pipe line manifold room with installation of air handling unit (AHU) as facilities in Kausa Hospital ]</t>
        </is>
      </c>
      <c r="E2477" s="7" t="inlineStr">
        <is>
          <t>Maharashtra Public Works &amp; Technology Department</t>
        </is>
      </c>
      <c r="F2477" s="6" t="inlineStr">
        <is>
          <t>23 Sep 2026</t>
        </is>
      </c>
      <c r="G2477" s="5" t="inlineStr">
        <is>
          <t>18 Oct 2026</t>
        </is>
      </c>
      <c r="H2477" s="8" t="inlineStr">
        <is>
          <t>⏳ UPCOMING</t>
        </is>
      </c>
      <c r="I2477" s="4" t="inlineStr">
        <is>
          <t>BOQ_2294197.xls</t>
        </is>
      </c>
      <c r="J2477" s="6" t="inlineStr">
        <is>
          <t>📊 Excel BOQ</t>
        </is>
      </c>
      <c r="K2477" s="9" t="n">
        <v>2.5</v>
      </c>
      <c r="L2477" s="10">
        <f>HYPERLINK("http://127.0.0.1:8000/api/documents/download?id=492&amp;attachment=true", "⬇ Download BOQ_2294197.xls")</f>
        <v/>
      </c>
      <c r="M2477" s="10">
        <f>HYPERLINK("http://localhost:5173/?state=Maharashtra&amp;keyword=Health&amp;tender=2026_TMC_1342119_1", "🚀 Open in Portal")</f>
        <v/>
      </c>
    </row>
    <row r="2478" ht="24" customHeight="1">
      <c r="A2478" s="11" t="inlineStr">
        <is>
          <t>Maharashtra</t>
        </is>
      </c>
      <c r="B2478" s="12" t="inlineStr">
        <is>
          <t>Health</t>
        </is>
      </c>
      <c r="C2478" s="13" t="inlineStr">
        <is>
          <t>2026_TMC_1342119_1</t>
        </is>
      </c>
      <c r="D2478" s="14" t="inlineStr">
        <is>
          <t>[Construction of Medical gas pipe line manifold room with installation of air handling unit (AHU) as facilities in Kausa Hospital ]</t>
        </is>
      </c>
      <c r="E2478" s="14" t="inlineStr">
        <is>
          <t>Maharashtra Public Works &amp; Technology Department</t>
        </is>
      </c>
      <c r="F2478" s="13" t="inlineStr">
        <is>
          <t>23 Sep 2026</t>
        </is>
      </c>
      <c r="G2478" s="12" t="inlineStr">
        <is>
          <t>18 Oct 2026</t>
        </is>
      </c>
      <c r="H2478" s="8" t="inlineStr">
        <is>
          <t>⏳ UPCOMING</t>
        </is>
      </c>
      <c r="I2478" s="11" t="inlineStr">
        <is>
          <t>TD.pdf</t>
        </is>
      </c>
      <c r="J2478" s="13" t="inlineStr">
        <is>
          <t>📕 PDF Document</t>
        </is>
      </c>
      <c r="K2478" s="15" t="n">
        <v>17.8</v>
      </c>
      <c r="L2478" s="16">
        <f>HYPERLINK("http://127.0.0.1:8000/api/documents/download?id=493&amp;attachment=true", "⬇ Download TD.pdf")</f>
        <v/>
      </c>
      <c r="M2478" s="16">
        <f>HYPERLINK("http://localhost:5173/?state=Maharashtra&amp;keyword=Health&amp;tender=2026_TMC_1342119_1", "🚀 Open in Portal")</f>
        <v/>
      </c>
    </row>
    <row r="2479" ht="24" customHeight="1">
      <c r="A2479" s="4" t="inlineStr">
        <is>
          <t>Maharashtra</t>
        </is>
      </c>
      <c r="B2479" s="5" t="inlineStr">
        <is>
          <t>Health</t>
        </is>
      </c>
      <c r="C2479" s="6" t="inlineStr">
        <is>
          <t>2026_TMC_1342119_1</t>
        </is>
      </c>
      <c r="D2479" s="7" t="inlineStr">
        <is>
          <t>[Construction of Medical gas pipe line manifold room with installation of air handling unit (AHU) as facilities in Kausa Hospital ]</t>
        </is>
      </c>
      <c r="E2479" s="7" t="inlineStr">
        <is>
          <t>Maharashtra Public Works &amp; Technology Department</t>
        </is>
      </c>
      <c r="F2479" s="6" t="inlineStr">
        <is>
          <t>23 Sep 2026</t>
        </is>
      </c>
      <c r="G2479" s="5" t="inlineStr">
        <is>
          <t>18 Oct 2026</t>
        </is>
      </c>
      <c r="H2479" s="8" t="inlineStr">
        <is>
          <t>⏳ UPCOMING</t>
        </is>
      </c>
      <c r="I2479" s="4" t="inlineStr">
        <is>
          <t>Tender_2026_TMC_1342119_1_All_Documents.zip</t>
        </is>
      </c>
      <c r="J2479" s="6" t="inlineStr">
        <is>
          <t>📦 ZIP Package</t>
        </is>
      </c>
      <c r="K2479" s="9" t="n">
        <v>20.8</v>
      </c>
      <c r="L2479" s="10">
        <f>HYPERLINK("http://127.0.0.1:8000/api/documents/download?id=494&amp;attachment=true", "⬇ Download Tender_2026_TMC_1342119_")</f>
        <v/>
      </c>
      <c r="M2479" s="10">
        <f>HYPERLINK("http://localhost:5173/?state=Maharashtra&amp;keyword=Health&amp;tender=2026_TMC_1342119_1", "🚀 Open in Portal")</f>
        <v/>
      </c>
    </row>
    <row r="2480" ht="24" customHeight="1">
      <c r="A2480" s="11" t="inlineStr">
        <is>
          <t>Maharashtra</t>
        </is>
      </c>
      <c r="B2480" s="12" t="inlineStr">
        <is>
          <t>Health</t>
        </is>
      </c>
      <c r="C2480" s="13" t="inlineStr">
        <is>
          <t>2026_TMC_1342169_1</t>
        </is>
      </c>
      <c r="D2480" s="14" t="inlineStr">
        <is>
          <t>[Establishment and operationalization of an Integrated Diagnostic services and laboratory informatics framework for comprehensive patient testing, statistical surveillance, disease analytics ]</t>
        </is>
      </c>
      <c r="E2480" s="14" t="inlineStr">
        <is>
          <t>Maharashtra Public Works &amp; Technology Department</t>
        </is>
      </c>
      <c r="F2480" s="13" t="inlineStr">
        <is>
          <t>20 Sep 2026</t>
        </is>
      </c>
      <c r="G2480" s="12" t="inlineStr">
        <is>
          <t>20 Oct 2026</t>
        </is>
      </c>
      <c r="H2480" s="18" t="inlineStr">
        <is>
          <t>⚠️ CLOSING SOON</t>
        </is>
      </c>
      <c r="I2480" s="11" t="inlineStr">
        <is>
          <t>Tendernotice_1.pdf</t>
        </is>
      </c>
      <c r="J2480" s="13" t="inlineStr">
        <is>
          <t>📕 PDF Document</t>
        </is>
      </c>
      <c r="K2480" s="15" t="n">
        <v>17.9</v>
      </c>
      <c r="L2480" s="16">
        <f>HYPERLINK("http://127.0.0.1:8000/api/documents/download?id=487&amp;attachment=true", "⬇ Download Tendernotice_1.pdf")</f>
        <v/>
      </c>
      <c r="M2480" s="16">
        <f>HYPERLINK("http://localhost:5173/?state=Maharashtra&amp;keyword=Health&amp;tender=2026_TMC_1342169_1", "🚀 Open in Portal")</f>
        <v/>
      </c>
    </row>
    <row r="2481" ht="24" customHeight="1">
      <c r="A2481" s="4" t="inlineStr">
        <is>
          <t>Maharashtra</t>
        </is>
      </c>
      <c r="B2481" s="5" t="inlineStr">
        <is>
          <t>Health</t>
        </is>
      </c>
      <c r="C2481" s="6" t="inlineStr">
        <is>
          <t>2026_TMC_1342169_1</t>
        </is>
      </c>
      <c r="D2481" s="7" t="inlineStr">
        <is>
          <t>[Establishment and operationalization of an Integrated Diagnostic services and laboratory informatics framework for comprehensive patient testing, statistical surveillance, disease analytics ]</t>
        </is>
      </c>
      <c r="E2481" s="7" t="inlineStr">
        <is>
          <t>Maharashtra Public Works &amp; Technology Department</t>
        </is>
      </c>
      <c r="F2481" s="6" t="inlineStr">
        <is>
          <t>20 Sep 2026</t>
        </is>
      </c>
      <c r="G2481" s="5" t="inlineStr">
        <is>
          <t>20 Oct 2026</t>
        </is>
      </c>
      <c r="H2481" s="18" t="inlineStr">
        <is>
          <t>⚠️ CLOSING SOON</t>
        </is>
      </c>
      <c r="I2481" s="4" t="inlineStr">
        <is>
          <t>BOQ_2294221.xls</t>
        </is>
      </c>
      <c r="J2481" s="6" t="inlineStr">
        <is>
          <t>📊 Excel BOQ</t>
        </is>
      </c>
      <c r="K2481" s="9" t="n">
        <v>2.5</v>
      </c>
      <c r="L2481" s="10">
        <f>HYPERLINK("http://127.0.0.1:8000/api/documents/download?id=488&amp;attachment=true", "⬇ Download BOQ_2294221.xls")</f>
        <v/>
      </c>
      <c r="M2481" s="10">
        <f>HYPERLINK("http://localhost:5173/?state=Maharashtra&amp;keyword=Health&amp;tender=2026_TMC_1342169_1", "🚀 Open in Portal")</f>
        <v/>
      </c>
    </row>
    <row r="2482" ht="24" customHeight="1">
      <c r="A2482" s="11" t="inlineStr">
        <is>
          <t>Maharashtra</t>
        </is>
      </c>
      <c r="B2482" s="12" t="inlineStr">
        <is>
          <t>Health</t>
        </is>
      </c>
      <c r="C2482" s="13" t="inlineStr">
        <is>
          <t>2026_TMC_1342169_1</t>
        </is>
      </c>
      <c r="D2482" s="14" t="inlineStr">
        <is>
          <t>[Establishment and operationalization of an Integrated Diagnostic services and laboratory informatics framework for comprehensive patient testing, statistical surveillance, disease analytics ]</t>
        </is>
      </c>
      <c r="E2482" s="14" t="inlineStr">
        <is>
          <t>Maharashtra Public Works &amp; Technology Department</t>
        </is>
      </c>
      <c r="F2482" s="13" t="inlineStr">
        <is>
          <t>20 Sep 2026</t>
        </is>
      </c>
      <c r="G2482" s="12" t="inlineStr">
        <is>
          <t>20 Oct 2026</t>
        </is>
      </c>
      <c r="H2482" s="18" t="inlineStr">
        <is>
          <t>⚠️ CLOSING SOON</t>
        </is>
      </c>
      <c r="I2482" s="11" t="inlineStr">
        <is>
          <t>TD.pdf</t>
        </is>
      </c>
      <c r="J2482" s="13" t="inlineStr">
        <is>
          <t>📕 PDF Document</t>
        </is>
      </c>
      <c r="K2482" s="15" t="n">
        <v>17.8</v>
      </c>
      <c r="L2482" s="16">
        <f>HYPERLINK("http://127.0.0.1:8000/api/documents/download?id=489&amp;attachment=true", "⬇ Download TD.pdf")</f>
        <v/>
      </c>
      <c r="M2482" s="16">
        <f>HYPERLINK("http://localhost:5173/?state=Maharashtra&amp;keyword=Health&amp;tender=2026_TMC_1342169_1", "🚀 Open in Portal")</f>
        <v/>
      </c>
    </row>
    <row r="2483" ht="24" customHeight="1">
      <c r="A2483" s="4" t="inlineStr">
        <is>
          <t>Maharashtra</t>
        </is>
      </c>
      <c r="B2483" s="5" t="inlineStr">
        <is>
          <t>Health</t>
        </is>
      </c>
      <c r="C2483" s="6" t="inlineStr">
        <is>
          <t>2026_TMC_1342169_1</t>
        </is>
      </c>
      <c r="D2483" s="7" t="inlineStr">
        <is>
          <t>[Establishment and operationalization of an Integrated Diagnostic services and laboratory informatics framework for comprehensive patient testing, statistical surveillance, disease analytics ]</t>
        </is>
      </c>
      <c r="E2483" s="7" t="inlineStr">
        <is>
          <t>Maharashtra Public Works &amp; Technology Department</t>
        </is>
      </c>
      <c r="F2483" s="6" t="inlineStr">
        <is>
          <t>20 Sep 2026</t>
        </is>
      </c>
      <c r="G2483" s="5" t="inlineStr">
        <is>
          <t>20 Oct 2026</t>
        </is>
      </c>
      <c r="H2483" s="18" t="inlineStr">
        <is>
          <t>⚠️ CLOSING SOON</t>
        </is>
      </c>
      <c r="I2483" s="4" t="inlineStr">
        <is>
          <t>Tender_2026_TMC_1342169_1_All_Documents.zip</t>
        </is>
      </c>
      <c r="J2483" s="6" t="inlineStr">
        <is>
          <t>📦 ZIP Package</t>
        </is>
      </c>
      <c r="K2483" s="9" t="n">
        <v>20.8</v>
      </c>
      <c r="L2483" s="10">
        <f>HYPERLINK("http://127.0.0.1:8000/api/documents/download?id=490&amp;attachment=true", "⬇ Download Tender_2026_TMC_1342169_")</f>
        <v/>
      </c>
      <c r="M2483" s="10">
        <f>HYPERLINK("http://localhost:5173/?state=Maharashtra&amp;keyword=Health&amp;tender=2026_TMC_1342169_1", "🚀 Open in Portal")</f>
        <v/>
      </c>
    </row>
    <row r="2484" ht="24" customHeight="1">
      <c r="A2484" s="11" t="inlineStr">
        <is>
          <t>Maharashtra</t>
        </is>
      </c>
      <c r="B2484" s="12" t="inlineStr">
        <is>
          <t>Spatial</t>
        </is>
      </c>
      <c r="C2484" s="13" t="inlineStr">
        <is>
          <t>2026_MAH_4789111_42</t>
        </is>
      </c>
      <c r="D2484" s="14" t="inlineStr">
        <is>
          <t>Spatial-Based Geospatial Road Asset Inventory &amp; Pavement Condition Digital Survey</t>
        </is>
      </c>
      <c r="E2484" s="14" t="inlineStr">
        <is>
          <t>PUBLIC WORKS &amp; HIGHWAYS DEPARTMENT</t>
        </is>
      </c>
      <c r="F2484" s="13" t="inlineStr">
        <is>
          <t>21 Aug 2026</t>
        </is>
      </c>
      <c r="G2484" s="12" t="inlineStr">
        <is>
          <t>14 Sep 2026</t>
        </is>
      </c>
      <c r="H2484" s="8" t="inlineStr">
        <is>
          <t>⏳ UPCOMING</t>
        </is>
      </c>
      <c r="I2484" s="11" t="inlineStr">
        <is>
          <t>Tendernotice_2026_MAH_4789111_42.pdf</t>
        </is>
      </c>
      <c r="J2484" s="13" t="inlineStr">
        <is>
          <t>📕 PDF Document</t>
        </is>
      </c>
      <c r="K2484" s="15" t="n">
        <v>17.9</v>
      </c>
      <c r="L2484" s="16">
        <f>HYPERLINK("http://127.0.0.1:8000/api/documents/download?id=3313&amp;attachment=true", "⬇ Download Tendernotice_2026_MAH_47")</f>
        <v/>
      </c>
      <c r="M2484" s="16">
        <f>HYPERLINK("http://localhost:5173/?state=Maharashtra&amp;keyword=Spatial&amp;tender=2026_MAH_4789111_42", "🚀 Open in Portal")</f>
        <v/>
      </c>
    </row>
    <row r="2485" ht="24" customHeight="1">
      <c r="A2485" s="4" t="inlineStr">
        <is>
          <t>Maharashtra</t>
        </is>
      </c>
      <c r="B2485" s="5" t="inlineStr">
        <is>
          <t>Spatial</t>
        </is>
      </c>
      <c r="C2485" s="6" t="inlineStr">
        <is>
          <t>2026_MAH_4789111_42</t>
        </is>
      </c>
      <c r="D2485" s="7" t="inlineStr">
        <is>
          <t>Spatial-Based Geospatial Road Asset Inventory &amp; Pavement Condition Digital Survey</t>
        </is>
      </c>
      <c r="E2485" s="7" t="inlineStr">
        <is>
          <t>PUBLIC WORKS &amp; HIGHWAYS DEPARTMENT</t>
        </is>
      </c>
      <c r="F2485" s="6" t="inlineStr">
        <is>
          <t>21 Aug 2026</t>
        </is>
      </c>
      <c r="G2485" s="5" t="inlineStr">
        <is>
          <t>14 Sep 2026</t>
        </is>
      </c>
      <c r="H2485" s="8" t="inlineStr">
        <is>
          <t>⏳ UPCOMING</t>
        </is>
      </c>
      <c r="I2485" s="4" t="inlineStr">
        <is>
          <t>Technical_RFP_Specification_Spatial.pdf</t>
        </is>
      </c>
      <c r="J2485" s="6" t="inlineStr">
        <is>
          <t>📕 PDF Document</t>
        </is>
      </c>
      <c r="K2485" s="9" t="n">
        <v>17.9</v>
      </c>
      <c r="L2485" s="10">
        <f>HYPERLINK("http://127.0.0.1:8000/api/documents/download?id=3314&amp;attachment=true", "⬇ Download Technical_RFP_Specificat")</f>
        <v/>
      </c>
      <c r="M2485" s="10">
        <f>HYPERLINK("http://localhost:5173/?state=Maharashtra&amp;keyword=Spatial&amp;tender=2026_MAH_4789111_42", "🚀 Open in Portal")</f>
        <v/>
      </c>
    </row>
    <row r="2486" ht="24" customHeight="1">
      <c r="A2486" s="11" t="inlineStr">
        <is>
          <t>Maharashtra</t>
        </is>
      </c>
      <c r="B2486" s="12" t="inlineStr">
        <is>
          <t>Spatial</t>
        </is>
      </c>
      <c r="C2486" s="13" t="inlineStr">
        <is>
          <t>2026_MAH_4789111_42</t>
        </is>
      </c>
      <c r="D2486" s="14" t="inlineStr">
        <is>
          <t>Spatial-Based Geospatial Road Asset Inventory &amp; Pavement Condition Digital Survey</t>
        </is>
      </c>
      <c r="E2486" s="14" t="inlineStr">
        <is>
          <t>PUBLIC WORKS &amp; HIGHWAYS DEPARTMENT</t>
        </is>
      </c>
      <c r="F2486" s="13" t="inlineStr">
        <is>
          <t>21 Aug 2026</t>
        </is>
      </c>
      <c r="G2486" s="12" t="inlineStr">
        <is>
          <t>14 Sep 2026</t>
        </is>
      </c>
      <c r="H2486" s="8" t="inlineStr">
        <is>
          <t>⏳ UPCOMING</t>
        </is>
      </c>
      <c r="I2486" s="11" t="inlineStr">
        <is>
          <t>BOQ_Financial_Schedule_2026_MAH_4789111_42.xlsx</t>
        </is>
      </c>
      <c r="J2486" s="13" t="inlineStr">
        <is>
          <t>📊 Excel BOQ</t>
        </is>
      </c>
      <c r="K2486" s="15" t="n">
        <v>2.4</v>
      </c>
      <c r="L2486" s="16">
        <f>HYPERLINK("http://127.0.0.1:8000/api/documents/download?id=3315&amp;attachment=true", "⬇ Download BOQ_Financial_Schedule_2")</f>
        <v/>
      </c>
      <c r="M2486" s="16">
        <f>HYPERLINK("http://localhost:5173/?state=Maharashtra&amp;keyword=Spatial&amp;tender=2026_MAH_4789111_42", "🚀 Open in Portal")</f>
        <v/>
      </c>
    </row>
    <row r="2487" ht="24" customHeight="1">
      <c r="A2487" s="4" t="inlineStr">
        <is>
          <t>Maharashtra</t>
        </is>
      </c>
      <c r="B2487" s="5" t="inlineStr">
        <is>
          <t>Spatial</t>
        </is>
      </c>
      <c r="C2487" s="6" t="inlineStr">
        <is>
          <t>2026_MAH_4789111_42</t>
        </is>
      </c>
      <c r="D2487" s="7" t="inlineStr">
        <is>
          <t>Spatial-Based Geospatial Road Asset Inventory &amp; Pavement Condition Digital Survey</t>
        </is>
      </c>
      <c r="E2487" s="7" t="inlineStr">
        <is>
          <t>PUBLIC WORKS &amp; HIGHWAYS DEPARTMENT</t>
        </is>
      </c>
      <c r="F2487" s="6" t="inlineStr">
        <is>
          <t>21 Aug 2026</t>
        </is>
      </c>
      <c r="G2487" s="5" t="inlineStr">
        <is>
          <t>14 Sep 2026</t>
        </is>
      </c>
      <c r="H2487" s="8" t="inlineStr">
        <is>
          <t>⏳ UPCOMING</t>
        </is>
      </c>
      <c r="I2487" s="4" t="inlineStr">
        <is>
          <t>Tender_2026_MAH_4789111_42_All_Documents.zip</t>
        </is>
      </c>
      <c r="J2487" s="6" t="inlineStr">
        <is>
          <t>📦 ZIP Package</t>
        </is>
      </c>
      <c r="K2487" s="9" t="n">
        <v>45</v>
      </c>
      <c r="L2487" s="10">
        <f>HYPERLINK("https://mahatenders.gov.in/tender/2026_MAH_4789111_42", "⬇ Download Tender_2026_MAH_4789111_")</f>
        <v/>
      </c>
      <c r="M2487" s="10">
        <f>HYPERLINK("http://localhost:5173/?state=Maharashtra&amp;keyword=Spatial&amp;tender=2026_MAH_4789111_42", "🚀 Open in Portal")</f>
        <v/>
      </c>
    </row>
    <row r="2488" ht="24" customHeight="1">
      <c r="A2488" s="11" t="inlineStr">
        <is>
          <t>Maharashtra</t>
        </is>
      </c>
      <c r="B2488" s="12" t="inlineStr">
        <is>
          <t>Spatial</t>
        </is>
      </c>
      <c r="C2488" s="13" t="inlineStr">
        <is>
          <t>2026_MAH_951948_43</t>
        </is>
      </c>
      <c r="D2488" s="14" t="inlineStr">
        <is>
          <t>Spatial-Based Geospatial Road Asset Inventory &amp; Pavement Condition Digital Survey</t>
        </is>
      </c>
      <c r="E2488" s="14" t="inlineStr">
        <is>
          <t>PUBLIC WORKS &amp; HIGHWAYS DEPARTMENT</t>
        </is>
      </c>
      <c r="F2488" s="13" t="inlineStr">
        <is>
          <t>23 Aug 2026</t>
        </is>
      </c>
      <c r="G2488" s="12" t="inlineStr">
        <is>
          <t>16 Sep 2026</t>
        </is>
      </c>
      <c r="H2488" s="8" t="inlineStr">
        <is>
          <t>⏳ UPCOMING</t>
        </is>
      </c>
      <c r="I2488" s="11" t="inlineStr">
        <is>
          <t>Tendernotice_2026_MAH_951948_43.pdf</t>
        </is>
      </c>
      <c r="J2488" s="13" t="inlineStr">
        <is>
          <t>📕 PDF Document</t>
        </is>
      </c>
      <c r="K2488" s="15" t="n">
        <v>7.7</v>
      </c>
      <c r="L2488" s="16">
        <f>HYPERLINK("http://127.0.0.1:8000/api/documents/download?id=3417&amp;attachment=true", "⬇ Download Tendernotice_2026_MAH_95")</f>
        <v/>
      </c>
      <c r="M2488" s="16">
        <f>HYPERLINK("http://localhost:5173/?state=Maharashtra&amp;keyword=Spatial&amp;tender=2026_MAH_951948_43", "🚀 Open in Portal")</f>
        <v/>
      </c>
    </row>
    <row r="2489" ht="24" customHeight="1">
      <c r="A2489" s="4" t="inlineStr">
        <is>
          <t>Maharashtra</t>
        </is>
      </c>
      <c r="B2489" s="5" t="inlineStr">
        <is>
          <t>Spatial</t>
        </is>
      </c>
      <c r="C2489" s="6" t="inlineStr">
        <is>
          <t>2026_MAH_951948_43</t>
        </is>
      </c>
      <c r="D2489" s="7" t="inlineStr">
        <is>
          <t>Spatial-Based Geospatial Road Asset Inventory &amp; Pavement Condition Digital Survey</t>
        </is>
      </c>
      <c r="E2489" s="7" t="inlineStr">
        <is>
          <t>PUBLIC WORKS &amp; HIGHWAYS DEPARTMENT</t>
        </is>
      </c>
      <c r="F2489" s="6" t="inlineStr">
        <is>
          <t>23 Aug 2026</t>
        </is>
      </c>
      <c r="G2489" s="5" t="inlineStr">
        <is>
          <t>16 Sep 2026</t>
        </is>
      </c>
      <c r="H2489" s="8" t="inlineStr">
        <is>
          <t>⏳ UPCOMING</t>
        </is>
      </c>
      <c r="I2489" s="4" t="inlineStr">
        <is>
          <t>Technical_RFP_Specification_Spatial.pdf</t>
        </is>
      </c>
      <c r="J2489" s="6" t="inlineStr">
        <is>
          <t>📕 PDF Document</t>
        </is>
      </c>
      <c r="K2489" s="9" t="n">
        <v>7.7</v>
      </c>
      <c r="L2489" s="10">
        <f>HYPERLINK("http://127.0.0.1:8000/api/documents/download?id=3418&amp;attachment=true", "⬇ Download Technical_RFP_Specificat")</f>
        <v/>
      </c>
      <c r="M2489" s="10">
        <f>HYPERLINK("http://localhost:5173/?state=Maharashtra&amp;keyword=Spatial&amp;tender=2026_MAH_951948_43", "🚀 Open in Portal")</f>
        <v/>
      </c>
    </row>
    <row r="2490" ht="24" customHeight="1">
      <c r="A2490" s="11" t="inlineStr">
        <is>
          <t>Maharashtra</t>
        </is>
      </c>
      <c r="B2490" s="12" t="inlineStr">
        <is>
          <t>Spatial</t>
        </is>
      </c>
      <c r="C2490" s="13" t="inlineStr">
        <is>
          <t>2026_MAH_951948_43</t>
        </is>
      </c>
      <c r="D2490" s="14" t="inlineStr">
        <is>
          <t>Spatial-Based Geospatial Road Asset Inventory &amp; Pavement Condition Digital Survey</t>
        </is>
      </c>
      <c r="E2490" s="14" t="inlineStr">
        <is>
          <t>PUBLIC WORKS &amp; HIGHWAYS DEPARTMENT</t>
        </is>
      </c>
      <c r="F2490" s="13" t="inlineStr">
        <is>
          <t>23 Aug 2026</t>
        </is>
      </c>
      <c r="G2490" s="12" t="inlineStr">
        <is>
          <t>16 Sep 2026</t>
        </is>
      </c>
      <c r="H2490" s="8" t="inlineStr">
        <is>
          <t>⏳ UPCOMING</t>
        </is>
      </c>
      <c r="I2490" s="11" t="inlineStr">
        <is>
          <t>BOQ_Financial_Schedule_2026_MAH_951948_43.xlsx</t>
        </is>
      </c>
      <c r="J2490" s="13" t="inlineStr">
        <is>
          <t>📊 Excel BOQ</t>
        </is>
      </c>
      <c r="K2490" s="15" t="n">
        <v>5.9</v>
      </c>
      <c r="L2490" s="16">
        <f>HYPERLINK("http://127.0.0.1:8000/api/documents/download?id=3419&amp;attachment=true", "⬇ Download BOQ_Financial_Schedule_2")</f>
        <v/>
      </c>
      <c r="M2490" s="16">
        <f>HYPERLINK("http://localhost:5173/?state=Maharashtra&amp;keyword=Spatial&amp;tender=2026_MAH_951948_43", "🚀 Open in Portal")</f>
        <v/>
      </c>
    </row>
    <row r="2491" ht="24" customHeight="1">
      <c r="A2491" s="4" t="inlineStr">
        <is>
          <t>Maharashtra</t>
        </is>
      </c>
      <c r="B2491" s="5" t="inlineStr">
        <is>
          <t>Spatial</t>
        </is>
      </c>
      <c r="C2491" s="6" t="inlineStr">
        <is>
          <t>2026_MAH_951948_43</t>
        </is>
      </c>
      <c r="D2491" s="7" t="inlineStr">
        <is>
          <t>Spatial-Based Geospatial Road Asset Inventory &amp; Pavement Condition Digital Survey</t>
        </is>
      </c>
      <c r="E2491" s="7" t="inlineStr">
        <is>
          <t>PUBLIC WORKS &amp; HIGHWAYS DEPARTMENT</t>
        </is>
      </c>
      <c r="F2491" s="6" t="inlineStr">
        <is>
          <t>23 Aug 2026</t>
        </is>
      </c>
      <c r="G2491" s="5" t="inlineStr">
        <is>
          <t>16 Sep 2026</t>
        </is>
      </c>
      <c r="H2491" s="8" t="inlineStr">
        <is>
          <t>⏳ UPCOMING</t>
        </is>
      </c>
      <c r="I2491" s="4" t="inlineStr">
        <is>
          <t>Tender_2026_MAH_951948_43_All_Documents.zip</t>
        </is>
      </c>
      <c r="J2491" s="6" t="inlineStr">
        <is>
          <t>📦 ZIP Package</t>
        </is>
      </c>
      <c r="K2491" s="9" t="n">
        <v>45</v>
      </c>
      <c r="L2491" s="10">
        <f>HYPERLINK("https://mahatenders.gov.in/tender/2026_MAH_951948_43", "⬇ Download Tender_2026_MAH_951948_4")</f>
        <v/>
      </c>
      <c r="M2491" s="10">
        <f>HYPERLINK("http://localhost:5173/?state=Maharashtra&amp;keyword=Spatial&amp;tender=2026_MAH_951948_43", "🚀 Open in Portal")</f>
        <v/>
      </c>
    </row>
    <row r="2492" ht="24" customHeight="1">
      <c r="A2492" s="11" t="inlineStr">
        <is>
          <t>Maharashtra</t>
        </is>
      </c>
      <c r="B2492" s="12" t="inlineStr">
        <is>
          <t>Spatial</t>
        </is>
      </c>
      <c r="C2492" s="13" t="inlineStr">
        <is>
          <t>2026_NMMC_1341787_5</t>
        </is>
      </c>
      <c r="D2492" s="14" t="inlineStr">
        <is>
          <t>[97933) Generation of Geo Spatial Database for Water Supply Pipeline network for Belapur, Nerul, Turbhe and Vashi (Zone-1) as per the requirements of AMRUT Projects]</t>
        </is>
      </c>
      <c r="E2492" s="14" t="inlineStr">
        <is>
          <t>Maharashtra Public Works &amp; Technology Department</t>
        </is>
      </c>
      <c r="F2492" s="13" t="inlineStr">
        <is>
          <t>05 Oct 2026</t>
        </is>
      </c>
      <c r="G2492" s="12" t="inlineStr">
        <is>
          <t>22 Oct 2026</t>
        </is>
      </c>
      <c r="H2492" s="18" t="inlineStr">
        <is>
          <t>⚠️ CLOSING SOON</t>
        </is>
      </c>
      <c r="I2492" s="11" t="inlineStr">
        <is>
          <t>Tendernotice_1.pdf</t>
        </is>
      </c>
      <c r="J2492" s="13" t="inlineStr">
        <is>
          <t>📕 PDF Document</t>
        </is>
      </c>
      <c r="K2492" s="15" t="n">
        <v>17.9</v>
      </c>
      <c r="L2492" s="16">
        <f>HYPERLINK("http://127.0.0.1:8000/api/documents/download?id=511&amp;attachment=true", "⬇ Download Tendernotice_1.pdf")</f>
        <v/>
      </c>
      <c r="M2492" s="16">
        <f>HYPERLINK("http://localhost:5173/?state=Maharashtra&amp;keyword=Spatial&amp;tender=2026_NMMC_1341787_5", "🚀 Open in Portal")</f>
        <v/>
      </c>
    </row>
    <row r="2493" ht="24" customHeight="1">
      <c r="A2493" s="4" t="inlineStr">
        <is>
          <t>Maharashtra</t>
        </is>
      </c>
      <c r="B2493" s="5" t="inlineStr">
        <is>
          <t>Spatial</t>
        </is>
      </c>
      <c r="C2493" s="6" t="inlineStr">
        <is>
          <t>2026_NMMC_1341787_5</t>
        </is>
      </c>
      <c r="D2493" s="7" t="inlineStr">
        <is>
          <t>[97933) Generation of Geo Spatial Database for Water Supply Pipeline network for Belapur, Nerul, Turbhe and Vashi (Zone-1) as per the requirements of AMRUT Projects]</t>
        </is>
      </c>
      <c r="E2493" s="7" t="inlineStr">
        <is>
          <t>Maharashtra Public Works &amp; Technology Department</t>
        </is>
      </c>
      <c r="F2493" s="6" t="inlineStr">
        <is>
          <t>05 Oct 2026</t>
        </is>
      </c>
      <c r="G2493" s="5" t="inlineStr">
        <is>
          <t>22 Oct 2026</t>
        </is>
      </c>
      <c r="H2493" s="18" t="inlineStr">
        <is>
          <t>⚠️ CLOSING SOON</t>
        </is>
      </c>
      <c r="I2493" s="4" t="inlineStr">
        <is>
          <t>19.pdf</t>
        </is>
      </c>
      <c r="J2493" s="6" t="inlineStr">
        <is>
          <t>📕 PDF Document</t>
        </is>
      </c>
      <c r="K2493" s="9" t="n">
        <v>17.8</v>
      </c>
      <c r="L2493" s="10">
        <f>HYPERLINK("http://127.0.0.1:8000/api/documents/download?id=512&amp;attachment=true", "⬇ Download 19.pdf")</f>
        <v/>
      </c>
      <c r="M2493" s="10">
        <f>HYPERLINK("http://localhost:5173/?state=Maharashtra&amp;keyword=Spatial&amp;tender=2026_NMMC_1341787_5", "🚀 Open in Portal")</f>
        <v/>
      </c>
    </row>
    <row r="2494" ht="24" customHeight="1">
      <c r="A2494" s="11" t="inlineStr">
        <is>
          <t>Maharashtra</t>
        </is>
      </c>
      <c r="B2494" s="12" t="inlineStr">
        <is>
          <t>Spatial</t>
        </is>
      </c>
      <c r="C2494" s="13" t="inlineStr">
        <is>
          <t>2026_NMMC_1341787_5</t>
        </is>
      </c>
      <c r="D2494" s="14" t="inlineStr">
        <is>
          <t>[97933) Generation of Geo Spatial Database for Water Supply Pipeline network for Belapur, Nerul, Turbhe and Vashi (Zone-1) as per the requirements of AMRUT Projects]</t>
        </is>
      </c>
      <c r="E2494" s="14" t="inlineStr">
        <is>
          <t>Maharashtra Public Works &amp; Technology Department</t>
        </is>
      </c>
      <c r="F2494" s="13" t="inlineStr">
        <is>
          <t>05 Oct 2026</t>
        </is>
      </c>
      <c r="G2494" s="12" t="inlineStr">
        <is>
          <t>22 Oct 2026</t>
        </is>
      </c>
      <c r="H2494" s="18" t="inlineStr">
        <is>
          <t>⚠️ CLOSING SOON</t>
        </is>
      </c>
      <c r="I2494" s="11" t="inlineStr">
        <is>
          <t>BOQ_2293663.xls</t>
        </is>
      </c>
      <c r="J2494" s="13" t="inlineStr">
        <is>
          <t>📊 Excel BOQ</t>
        </is>
      </c>
      <c r="K2494" s="15" t="n">
        <v>2.5</v>
      </c>
      <c r="L2494" s="16">
        <f>HYPERLINK("http://127.0.0.1:8000/api/documents/download?id=513&amp;attachment=true", "⬇ Download BOQ_2293663.xls")</f>
        <v/>
      </c>
      <c r="M2494" s="16">
        <f>HYPERLINK("http://localhost:5173/?state=Maharashtra&amp;keyword=Spatial&amp;tender=2026_NMMC_1341787_5", "🚀 Open in Portal")</f>
        <v/>
      </c>
    </row>
    <row r="2495" ht="24" customHeight="1">
      <c r="A2495" s="4" t="inlineStr">
        <is>
          <t>Maharashtra</t>
        </is>
      </c>
      <c r="B2495" s="5" t="inlineStr">
        <is>
          <t>Spatial</t>
        </is>
      </c>
      <c r="C2495" s="6" t="inlineStr">
        <is>
          <t>2026_NMMC_1341787_5</t>
        </is>
      </c>
      <c r="D2495" s="7" t="inlineStr">
        <is>
          <t>[97933) Generation of Geo Spatial Database for Water Supply Pipeline network for Belapur, Nerul, Turbhe and Vashi (Zone-1) as per the requirements of AMRUT Projects]</t>
        </is>
      </c>
      <c r="E2495" s="7" t="inlineStr">
        <is>
          <t>Maharashtra Public Works &amp; Technology Department</t>
        </is>
      </c>
      <c r="F2495" s="6" t="inlineStr">
        <is>
          <t>05 Oct 2026</t>
        </is>
      </c>
      <c r="G2495" s="5" t="inlineStr">
        <is>
          <t>22 Oct 2026</t>
        </is>
      </c>
      <c r="H2495" s="18" t="inlineStr">
        <is>
          <t>⚠️ CLOSING SOON</t>
        </is>
      </c>
      <c r="I2495" s="4" t="inlineStr">
        <is>
          <t>Tender_2026_NMMC_1341787_5_All_Documents.zip</t>
        </is>
      </c>
      <c r="J2495" s="6" t="inlineStr">
        <is>
          <t>📦 ZIP Package</t>
        </is>
      </c>
      <c r="K2495" s="9" t="n">
        <v>20.8</v>
      </c>
      <c r="L2495" s="10">
        <f>HYPERLINK("http://127.0.0.1:8000/api/documents/download?id=514&amp;attachment=true", "⬇ Download Tender_2026_NMMC_1341787")</f>
        <v/>
      </c>
      <c r="M2495" s="10">
        <f>HYPERLINK("http://localhost:5173/?state=Maharashtra&amp;keyword=Spatial&amp;tender=2026_NMMC_1341787_5", "🚀 Open in Portal")</f>
        <v/>
      </c>
    </row>
    <row r="2496" ht="24" customHeight="1">
      <c r="A2496" s="11" t="inlineStr">
        <is>
          <t>Maharashtra</t>
        </is>
      </c>
      <c r="B2496" s="12" t="inlineStr">
        <is>
          <t>MIS</t>
        </is>
      </c>
      <c r="C2496" s="13" t="inlineStr">
        <is>
          <t>2026_CIDCO_1343927_1</t>
        </is>
      </c>
      <c r="D2496" s="14" t="inlineStr">
        <is>
          <t>[Providing, Fixing and Commissioning of Recreational Gadgets at Central Park, Kharghar, Navi Mumbai.]</t>
        </is>
      </c>
      <c r="E2496" s="14" t="inlineStr">
        <is>
          <t>Maharashtra Public Works &amp; Technology Department</t>
        </is>
      </c>
      <c r="F2496" s="13" t="inlineStr">
        <is>
          <t>25 Oct 2026</t>
        </is>
      </c>
      <c r="G2496" s="12" t="inlineStr">
        <is>
          <t>15 Nov 2026</t>
        </is>
      </c>
      <c r="H2496" s="8" t="inlineStr">
        <is>
          <t>⏳ UPCOMING</t>
        </is>
      </c>
      <c r="I2496" s="11" t="inlineStr">
        <is>
          <t>Tendernotice_1.pdf</t>
        </is>
      </c>
      <c r="J2496" s="13" t="inlineStr">
        <is>
          <t>📕 PDF Document</t>
        </is>
      </c>
      <c r="K2496" s="15" t="n">
        <v>17.9</v>
      </c>
      <c r="L2496" s="16">
        <f>HYPERLINK("http://127.0.0.1:8000/api/documents/download?id=541&amp;attachment=true", "⬇ Download Tendernotice_1.pdf")</f>
        <v/>
      </c>
      <c r="M2496" s="16">
        <f>HYPERLINK("http://localhost:5173/?state=Maharashtra&amp;keyword=MIS&amp;tender=2026_CIDCO_1343927_1", "🚀 Open in Portal")</f>
        <v/>
      </c>
    </row>
    <row r="2497" ht="24" customHeight="1">
      <c r="A2497" s="4" t="inlineStr">
        <is>
          <t>Maharashtra</t>
        </is>
      </c>
      <c r="B2497" s="5" t="inlineStr">
        <is>
          <t>MIS</t>
        </is>
      </c>
      <c r="C2497" s="6" t="inlineStr">
        <is>
          <t>2026_CIDCO_1343927_1</t>
        </is>
      </c>
      <c r="D2497" s="7" t="inlineStr">
        <is>
          <t>[Providing, Fixing and Commissioning of Recreational Gadgets at Central Park, Kharghar, Navi Mumbai.]</t>
        </is>
      </c>
      <c r="E2497" s="7" t="inlineStr">
        <is>
          <t>Maharashtra Public Works &amp; Technology Department</t>
        </is>
      </c>
      <c r="F2497" s="6" t="inlineStr">
        <is>
          <t>25 Oct 2026</t>
        </is>
      </c>
      <c r="G2497" s="5" t="inlineStr">
        <is>
          <t>15 Nov 2026</t>
        </is>
      </c>
      <c r="H2497" s="8" t="inlineStr">
        <is>
          <t>⏳ UPCOMING</t>
        </is>
      </c>
      <c r="I2497" s="4" t="inlineStr">
        <is>
          <t>TENDERDOCUMENTCA022627HORT.pdf</t>
        </is>
      </c>
      <c r="J2497" s="6" t="inlineStr">
        <is>
          <t>📕 PDF Document</t>
        </is>
      </c>
      <c r="K2497" s="9" t="n">
        <v>17.9</v>
      </c>
      <c r="L2497" s="10">
        <f>HYPERLINK("http://127.0.0.1:8000/api/documents/download?id=542&amp;attachment=true", "⬇ Download TENDERDOCUMENTCA022627HO")</f>
        <v/>
      </c>
      <c r="M2497" s="10">
        <f>HYPERLINK("http://localhost:5173/?state=Maharashtra&amp;keyword=MIS&amp;tender=2026_CIDCO_1343927_1", "🚀 Open in Portal")</f>
        <v/>
      </c>
    </row>
    <row r="2498" ht="24" customHeight="1">
      <c r="A2498" s="11" t="inlineStr">
        <is>
          <t>Maharashtra</t>
        </is>
      </c>
      <c r="B2498" s="12" t="inlineStr">
        <is>
          <t>MIS</t>
        </is>
      </c>
      <c r="C2498" s="13" t="inlineStr">
        <is>
          <t>2026_CIDCO_1343927_1</t>
        </is>
      </c>
      <c r="D2498" s="14" t="inlineStr">
        <is>
          <t>[Providing, Fixing and Commissioning of Recreational Gadgets at Central Park, Kharghar, Navi Mumbai.]</t>
        </is>
      </c>
      <c r="E2498" s="14" t="inlineStr">
        <is>
          <t>Maharashtra Public Works &amp; Technology Department</t>
        </is>
      </c>
      <c r="F2498" s="13" t="inlineStr">
        <is>
          <t>25 Oct 2026</t>
        </is>
      </c>
      <c r="G2498" s="12" t="inlineStr">
        <is>
          <t>15 Nov 2026</t>
        </is>
      </c>
      <c r="H2498" s="8" t="inlineStr">
        <is>
          <t>⏳ UPCOMING</t>
        </is>
      </c>
      <c r="I2498" s="11" t="inlineStr">
        <is>
          <t>BOQ_2296948.xls</t>
        </is>
      </c>
      <c r="J2498" s="13" t="inlineStr">
        <is>
          <t>📊 Excel BOQ</t>
        </is>
      </c>
      <c r="K2498" s="15" t="n">
        <v>2.5</v>
      </c>
      <c r="L2498" s="16">
        <f>HYPERLINK("http://127.0.0.1:8000/api/documents/download?id=543&amp;attachment=true", "⬇ Download BOQ_2296948.xls")</f>
        <v/>
      </c>
      <c r="M2498" s="16">
        <f>HYPERLINK("http://localhost:5173/?state=Maharashtra&amp;keyword=MIS&amp;tender=2026_CIDCO_1343927_1", "🚀 Open in Portal")</f>
        <v/>
      </c>
    </row>
    <row r="2499" ht="24" customHeight="1">
      <c r="A2499" s="4" t="inlineStr">
        <is>
          <t>Maharashtra</t>
        </is>
      </c>
      <c r="B2499" s="5" t="inlineStr">
        <is>
          <t>MIS</t>
        </is>
      </c>
      <c r="C2499" s="6" t="inlineStr">
        <is>
          <t>2026_CIDCO_1343927_1</t>
        </is>
      </c>
      <c r="D2499" s="7" t="inlineStr">
        <is>
          <t>[Providing, Fixing and Commissioning of Recreational Gadgets at Central Park, Kharghar, Navi Mumbai.]</t>
        </is>
      </c>
      <c r="E2499" s="7" t="inlineStr">
        <is>
          <t>Maharashtra Public Works &amp; Technology Department</t>
        </is>
      </c>
      <c r="F2499" s="6" t="inlineStr">
        <is>
          <t>25 Oct 2026</t>
        </is>
      </c>
      <c r="G2499" s="5" t="inlineStr">
        <is>
          <t>15 Nov 2026</t>
        </is>
      </c>
      <c r="H2499" s="8" t="inlineStr">
        <is>
          <t>⏳ UPCOMING</t>
        </is>
      </c>
      <c r="I2499" s="4" t="inlineStr">
        <is>
          <t>Tender_2026_CIDCO_1343927_1_All_Documents.zip</t>
        </is>
      </c>
      <c r="J2499" s="6" t="inlineStr">
        <is>
          <t>📦 ZIP Package</t>
        </is>
      </c>
      <c r="K2499" s="9" t="n">
        <v>20.8</v>
      </c>
      <c r="L2499" s="10">
        <f>HYPERLINK("http://127.0.0.1:8000/api/documents/download?id=544&amp;attachment=true", "⬇ Download Tender_2026_CIDCO_134392")</f>
        <v/>
      </c>
      <c r="M2499" s="10">
        <f>HYPERLINK("http://localhost:5173/?state=Maharashtra&amp;keyword=MIS&amp;tender=2026_CIDCO_1343927_1", "🚀 Open in Portal")</f>
        <v/>
      </c>
    </row>
    <row r="2500" ht="24" customHeight="1">
      <c r="A2500" s="11" t="inlineStr">
        <is>
          <t>Maharashtra</t>
        </is>
      </c>
      <c r="B2500" s="12" t="inlineStr">
        <is>
          <t>MIS</t>
        </is>
      </c>
      <c r="C2500" s="13" t="inlineStr">
        <is>
          <t>2026_CIDCO_1344008_1</t>
        </is>
      </c>
      <c r="D2500" s="14" t="inlineStr">
        <is>
          <t>[Supplying, Erection, Testing and Commissioning AMF Panel for existing 750 KVA DG Set at MBR Sector-8, Kamothe. ]</t>
        </is>
      </c>
      <c r="E2500" s="14" t="inlineStr">
        <is>
          <t>Maharashtra Public Works &amp; Technology Department</t>
        </is>
      </c>
      <c r="F2500" s="13" t="inlineStr">
        <is>
          <t>28 Jul 2026</t>
        </is>
      </c>
      <c r="G2500" s="12" t="inlineStr">
        <is>
          <t>18 Aug 2026</t>
        </is>
      </c>
      <c r="H2500" s="8" t="inlineStr">
        <is>
          <t>⏳ UPCOMING</t>
        </is>
      </c>
      <c r="I2500" s="11" t="inlineStr">
        <is>
          <t>Tendernotice_1.pdf</t>
        </is>
      </c>
      <c r="J2500" s="13" t="inlineStr">
        <is>
          <t>📕 PDF Document</t>
        </is>
      </c>
      <c r="K2500" s="15" t="n">
        <v>17.9</v>
      </c>
      <c r="L2500" s="16">
        <f>HYPERLINK("http://127.0.0.1:8000/api/documents/download?id=554&amp;attachment=true", "⬇ Download Tendernotice_1.pdf")</f>
        <v/>
      </c>
      <c r="M2500" s="16">
        <f>HYPERLINK("http://localhost:5173/?state=Maharashtra&amp;keyword=MIS&amp;tender=2026_CIDCO_1344008_1", "🚀 Open in Portal")</f>
        <v/>
      </c>
    </row>
    <row r="2501" ht="24" customHeight="1">
      <c r="A2501" s="4" t="inlineStr">
        <is>
          <t>Maharashtra</t>
        </is>
      </c>
      <c r="B2501" s="5" t="inlineStr">
        <is>
          <t>MIS</t>
        </is>
      </c>
      <c r="C2501" s="6" t="inlineStr">
        <is>
          <t>2026_CIDCO_1344008_1</t>
        </is>
      </c>
      <c r="D2501" s="7" t="inlineStr">
        <is>
          <t>[Supplying, Erection, Testing and Commissioning AMF Panel for existing 750 KVA DG Set at MBR Sector-8, Kamothe. ]</t>
        </is>
      </c>
      <c r="E2501" s="7" t="inlineStr">
        <is>
          <t>Maharashtra Public Works &amp; Technology Department</t>
        </is>
      </c>
      <c r="F2501" s="6" t="inlineStr">
        <is>
          <t>28 Jul 2026</t>
        </is>
      </c>
      <c r="G2501" s="5" t="inlineStr">
        <is>
          <t>18 Aug 2026</t>
        </is>
      </c>
      <c r="H2501" s="8" t="inlineStr">
        <is>
          <t>⏳ UPCOMING</t>
        </is>
      </c>
      <c r="I2501" s="4" t="inlineStr">
        <is>
          <t>MAINBID.pdf</t>
        </is>
      </c>
      <c r="J2501" s="6" t="inlineStr">
        <is>
          <t>📕 PDF Document</t>
        </is>
      </c>
      <c r="K2501" s="9" t="n">
        <v>17.8</v>
      </c>
      <c r="L2501" s="10">
        <f>HYPERLINK("http://127.0.0.1:8000/api/documents/download?id=555&amp;attachment=true", "⬇ Download MAINBID.pdf")</f>
        <v/>
      </c>
      <c r="M2501" s="10">
        <f>HYPERLINK("http://localhost:5173/?state=Maharashtra&amp;keyword=MIS&amp;tender=2026_CIDCO_1344008_1", "🚀 Open in Portal")</f>
        <v/>
      </c>
    </row>
    <row r="2502" ht="24" customHeight="1">
      <c r="A2502" s="11" t="inlineStr">
        <is>
          <t>Maharashtra</t>
        </is>
      </c>
      <c r="B2502" s="12" t="inlineStr">
        <is>
          <t>MIS</t>
        </is>
      </c>
      <c r="C2502" s="13" t="inlineStr">
        <is>
          <t>2026_CIDCO_1344008_1</t>
        </is>
      </c>
      <c r="D2502" s="14" t="inlineStr">
        <is>
          <t>[Supplying, Erection, Testing and Commissioning AMF Panel for existing 750 KVA DG Set at MBR Sector-8, Kamothe. ]</t>
        </is>
      </c>
      <c r="E2502" s="14" t="inlineStr">
        <is>
          <t>Maharashtra Public Works &amp; Technology Department</t>
        </is>
      </c>
      <c r="F2502" s="13" t="inlineStr">
        <is>
          <t>28 Jul 2026</t>
        </is>
      </c>
      <c r="G2502" s="12" t="inlineStr">
        <is>
          <t>18 Aug 2026</t>
        </is>
      </c>
      <c r="H2502" s="8" t="inlineStr">
        <is>
          <t>⏳ UPCOMING</t>
        </is>
      </c>
      <c r="I2502" s="11" t="inlineStr">
        <is>
          <t>BOQ_2297042.xls</t>
        </is>
      </c>
      <c r="J2502" s="13" t="inlineStr">
        <is>
          <t>📊 Excel BOQ</t>
        </is>
      </c>
      <c r="K2502" s="15" t="n">
        <v>2.5</v>
      </c>
      <c r="L2502" s="16">
        <f>HYPERLINK("http://127.0.0.1:8000/api/documents/download?id=556&amp;attachment=true", "⬇ Download BOQ_2297042.xls")</f>
        <v/>
      </c>
      <c r="M2502" s="16">
        <f>HYPERLINK("http://localhost:5173/?state=Maharashtra&amp;keyword=MIS&amp;tender=2026_CIDCO_1344008_1", "🚀 Open in Portal")</f>
        <v/>
      </c>
    </row>
    <row r="2503" ht="24" customHeight="1">
      <c r="A2503" s="4" t="inlineStr">
        <is>
          <t>Maharashtra</t>
        </is>
      </c>
      <c r="B2503" s="5" t="inlineStr">
        <is>
          <t>MIS</t>
        </is>
      </c>
      <c r="C2503" s="6" t="inlineStr">
        <is>
          <t>2026_CIDCO_1344008_1</t>
        </is>
      </c>
      <c r="D2503" s="7" t="inlineStr">
        <is>
          <t>[Supplying, Erection, Testing and Commissioning AMF Panel for existing 750 KVA DG Set at MBR Sector-8, Kamothe. ]</t>
        </is>
      </c>
      <c r="E2503" s="7" t="inlineStr">
        <is>
          <t>Maharashtra Public Works &amp; Technology Department</t>
        </is>
      </c>
      <c r="F2503" s="6" t="inlineStr">
        <is>
          <t>28 Jul 2026</t>
        </is>
      </c>
      <c r="G2503" s="5" t="inlineStr">
        <is>
          <t>18 Aug 2026</t>
        </is>
      </c>
      <c r="H2503" s="8" t="inlineStr">
        <is>
          <t>⏳ UPCOMING</t>
        </is>
      </c>
      <c r="I2503" s="4" t="inlineStr">
        <is>
          <t>Tender_2026_CIDCO_1344008_1_All_Documents.zip</t>
        </is>
      </c>
      <c r="J2503" s="6" t="inlineStr">
        <is>
          <t>📦 ZIP Package</t>
        </is>
      </c>
      <c r="K2503" s="9" t="n">
        <v>20.7</v>
      </c>
      <c r="L2503" s="10">
        <f>HYPERLINK("http://127.0.0.1:8000/api/documents/download?id=557&amp;attachment=true", "⬇ Download Tender_2026_CIDCO_134400")</f>
        <v/>
      </c>
      <c r="M2503" s="10">
        <f>HYPERLINK("http://localhost:5173/?state=Maharashtra&amp;keyword=MIS&amp;tender=2026_CIDCO_1344008_1", "🚀 Open in Portal")</f>
        <v/>
      </c>
    </row>
    <row r="2504" ht="24" customHeight="1">
      <c r="A2504" s="11" t="inlineStr">
        <is>
          <t>Maharashtra</t>
        </is>
      </c>
      <c r="B2504" s="12" t="inlineStr">
        <is>
          <t>MIS</t>
        </is>
      </c>
      <c r="C2504" s="13" t="inlineStr">
        <is>
          <t>2026_DOAWB_1328250_2</t>
        </is>
      </c>
      <c r="D2504" s="14" t="inlineStr">
        <is>
          <t>[Survey, Design, Fabrication, Supply, Installation, Testing and Commissioning Of Total 34.33 Kwp Of On Grid Connected Rooftop Solar Pvpower Plant including Comprehensive Maintenance Contract (CMC) For 3 Years]</t>
        </is>
      </c>
      <c r="E2504" s="14" t="inlineStr">
        <is>
          <t>Maharashtra Public Works &amp; Technology Department</t>
        </is>
      </c>
      <c r="F2504" s="13" t="inlineStr">
        <is>
          <t>05 Aug 2026</t>
        </is>
      </c>
      <c r="G2504" s="12" t="inlineStr">
        <is>
          <t>27 Aug 2026</t>
        </is>
      </c>
      <c r="H2504" s="8" t="inlineStr">
        <is>
          <t>⏳ UPCOMING</t>
        </is>
      </c>
      <c r="I2504" s="11" t="inlineStr">
        <is>
          <t>Tendernotice_1.pdf</t>
        </is>
      </c>
      <c r="J2504" s="13" t="inlineStr">
        <is>
          <t>📕 PDF Document</t>
        </is>
      </c>
      <c r="K2504" s="15" t="n">
        <v>17.9</v>
      </c>
      <c r="L2504" s="16">
        <f>HYPERLINK("http://127.0.0.1:8000/api/documents/download?id=567&amp;attachment=true", "⬇ Download Tendernotice_1.pdf")</f>
        <v/>
      </c>
      <c r="M2504" s="16">
        <f>HYPERLINK("http://localhost:5173/?state=Maharashtra&amp;keyword=MIS&amp;tender=2026_DOAWB_1328250_2", "🚀 Open in Portal")</f>
        <v/>
      </c>
    </row>
    <row r="2505" ht="24" customHeight="1">
      <c r="A2505" s="4" t="inlineStr">
        <is>
          <t>Maharashtra</t>
        </is>
      </c>
      <c r="B2505" s="5" t="inlineStr">
        <is>
          <t>MIS</t>
        </is>
      </c>
      <c r="C2505" s="6" t="inlineStr">
        <is>
          <t>2026_DOAWB_1328250_2</t>
        </is>
      </c>
      <c r="D2505" s="7" t="inlineStr">
        <is>
          <t>[Survey, Design, Fabrication, Supply, Installation, Testing and Commissioning Of Total 34.33 Kwp Of On Grid Connected Rooftop Solar Pvpower Plant including Comprehensive Maintenance Contract (CMC) For 3 Years]</t>
        </is>
      </c>
      <c r="E2505" s="7" t="inlineStr">
        <is>
          <t>Maharashtra Public Works &amp; Technology Department</t>
        </is>
      </c>
      <c r="F2505" s="6" t="inlineStr">
        <is>
          <t>05 Aug 2026</t>
        </is>
      </c>
      <c r="G2505" s="5" t="inlineStr">
        <is>
          <t>27 Aug 2026</t>
        </is>
      </c>
      <c r="H2505" s="8" t="inlineStr">
        <is>
          <t>⏳ UPCOMING</t>
        </is>
      </c>
      <c r="I2505" s="4" t="inlineStr">
        <is>
          <t>RrFBK.pdf</t>
        </is>
      </c>
      <c r="J2505" s="6" t="inlineStr">
        <is>
          <t>📕 PDF Document</t>
        </is>
      </c>
      <c r="K2505" s="9" t="n">
        <v>17.8</v>
      </c>
      <c r="L2505" s="10">
        <f>HYPERLINK("http://127.0.0.1:8000/api/documents/download?id=568&amp;attachment=true", "⬇ Download RrFBK.pdf")</f>
        <v/>
      </c>
      <c r="M2505" s="10">
        <f>HYPERLINK("http://localhost:5173/?state=Maharashtra&amp;keyword=MIS&amp;tender=2026_DOAWB_1328250_2", "🚀 Open in Portal")</f>
        <v/>
      </c>
    </row>
    <row r="2506" ht="24" customHeight="1">
      <c r="A2506" s="11" t="inlineStr">
        <is>
          <t>Maharashtra</t>
        </is>
      </c>
      <c r="B2506" s="12" t="inlineStr">
        <is>
          <t>MIS</t>
        </is>
      </c>
      <c r="C2506" s="13" t="inlineStr">
        <is>
          <t>2026_DOAWB_1328250_2</t>
        </is>
      </c>
      <c r="D2506" s="14" t="inlineStr">
        <is>
          <t>[Survey, Design, Fabrication, Supply, Installation, Testing and Commissioning Of Total 34.33 Kwp Of On Grid Connected Rooftop Solar Pvpower Plant including Comprehensive Maintenance Contract (CMC) For 3 Years]</t>
        </is>
      </c>
      <c r="E2506" s="14" t="inlineStr">
        <is>
          <t>Maharashtra Public Works &amp; Technology Department</t>
        </is>
      </c>
      <c r="F2506" s="13" t="inlineStr">
        <is>
          <t>05 Aug 2026</t>
        </is>
      </c>
      <c r="G2506" s="12" t="inlineStr">
        <is>
          <t>27 Aug 2026</t>
        </is>
      </c>
      <c r="H2506" s="8" t="inlineStr">
        <is>
          <t>⏳ UPCOMING</t>
        </is>
      </c>
      <c r="I2506" s="11" t="inlineStr">
        <is>
          <t>BOQ_2296963.xls</t>
        </is>
      </c>
      <c r="J2506" s="13" t="inlineStr">
        <is>
          <t>📊 Excel BOQ</t>
        </is>
      </c>
      <c r="K2506" s="15" t="n">
        <v>2.5</v>
      </c>
      <c r="L2506" s="16">
        <f>HYPERLINK("http://127.0.0.1:8000/api/documents/download?id=569&amp;attachment=true", "⬇ Download BOQ_2296963.xls")</f>
        <v/>
      </c>
      <c r="M2506" s="16">
        <f>HYPERLINK("http://localhost:5173/?state=Maharashtra&amp;keyword=MIS&amp;tender=2026_DOAWB_1328250_2", "🚀 Open in Portal")</f>
        <v/>
      </c>
    </row>
    <row r="2507" ht="24" customHeight="1">
      <c r="A2507" s="4" t="inlineStr">
        <is>
          <t>Maharashtra</t>
        </is>
      </c>
      <c r="B2507" s="5" t="inlineStr">
        <is>
          <t>MIS</t>
        </is>
      </c>
      <c r="C2507" s="6" t="inlineStr">
        <is>
          <t>2026_DOAWB_1328250_2</t>
        </is>
      </c>
      <c r="D2507" s="7" t="inlineStr">
        <is>
          <t>[Survey, Design, Fabrication, Supply, Installation, Testing and Commissioning Of Total 34.33 Kwp Of On Grid Connected Rooftop Solar Pvpower Plant including Comprehensive Maintenance Contract (CMC) For 3 Years]</t>
        </is>
      </c>
      <c r="E2507" s="7" t="inlineStr">
        <is>
          <t>Maharashtra Public Works &amp; Technology Department</t>
        </is>
      </c>
      <c r="F2507" s="6" t="inlineStr">
        <is>
          <t>05 Aug 2026</t>
        </is>
      </c>
      <c r="G2507" s="5" t="inlineStr">
        <is>
          <t>27 Aug 2026</t>
        </is>
      </c>
      <c r="H2507" s="8" t="inlineStr">
        <is>
          <t>⏳ UPCOMING</t>
        </is>
      </c>
      <c r="I2507" s="4" t="inlineStr">
        <is>
          <t>Tender_2026_DOAWB_1328250_2_All_Documents.zip</t>
        </is>
      </c>
      <c r="J2507" s="6" t="inlineStr">
        <is>
          <t>📦 ZIP Package</t>
        </is>
      </c>
      <c r="K2507" s="9" t="n">
        <v>21</v>
      </c>
      <c r="L2507" s="10">
        <f>HYPERLINK("http://127.0.0.1:8000/api/documents/download?id=570&amp;attachment=true", "⬇ Download Tender_2026_DOAWB_132825")</f>
        <v/>
      </c>
      <c r="M2507" s="10">
        <f>HYPERLINK("http://localhost:5173/?state=Maharashtra&amp;keyword=MIS&amp;tender=2026_DOAWB_1328250_2", "🚀 Open in Portal")</f>
        <v/>
      </c>
    </row>
    <row r="2508" ht="24" customHeight="1">
      <c r="A2508" s="11" t="inlineStr">
        <is>
          <t>Maharashtra</t>
        </is>
      </c>
      <c r="B2508" s="12" t="inlineStr">
        <is>
          <t>MIS</t>
        </is>
      </c>
      <c r="C2508" s="13" t="inlineStr">
        <is>
          <t>2026_PWR_1343939_1</t>
        </is>
      </c>
      <c r="D2508" s="14" t="inlineStr">
        <is>
          <t>[REPAIRS AND MISC WORKS TO MINISTER COTTAGES NO 3 TO 4 IN RAVIBHAVAN PREMISES NAGPUR. (ONLY FOR SOCIETY).]</t>
        </is>
      </c>
      <c r="E2508" s="14" t="inlineStr">
        <is>
          <t>Maharashtra Public Works &amp; Technology Department</t>
        </is>
      </c>
      <c r="F2508" s="13" t="inlineStr">
        <is>
          <t>24 Oct 2026</t>
        </is>
      </c>
      <c r="G2508" s="12" t="inlineStr">
        <is>
          <t>14 Nov 2026</t>
        </is>
      </c>
      <c r="H2508" s="8" t="inlineStr">
        <is>
          <t>⏳ UPCOMING</t>
        </is>
      </c>
      <c r="I2508" s="11" t="inlineStr">
        <is>
          <t>Tendernotice_1.pdf</t>
        </is>
      </c>
      <c r="J2508" s="13" t="inlineStr">
        <is>
          <t>📕 PDF Document</t>
        </is>
      </c>
      <c r="K2508" s="15" t="n">
        <v>17.8</v>
      </c>
      <c r="L2508" s="16">
        <f>HYPERLINK("http://127.0.0.1:8000/api/documents/download?id=577&amp;attachment=true", "⬇ Download Tendernotice_1.pdf")</f>
        <v/>
      </c>
      <c r="M2508" s="16">
        <f>HYPERLINK("http://localhost:5173/?state=Maharashtra&amp;keyword=MIS&amp;tender=2026_PWR_1343939_1", "🚀 Open in Portal")</f>
        <v/>
      </c>
    </row>
    <row r="2509" ht="24" customHeight="1">
      <c r="A2509" s="4" t="inlineStr">
        <is>
          <t>Maharashtra</t>
        </is>
      </c>
      <c r="B2509" s="5" t="inlineStr">
        <is>
          <t>MIS</t>
        </is>
      </c>
      <c r="C2509" s="6" t="inlineStr">
        <is>
          <t>2026_PWR_1343939_1</t>
        </is>
      </c>
      <c r="D2509" s="7" t="inlineStr">
        <is>
          <t>[REPAIRS AND MISC WORKS TO MINISTER COTTAGES NO 3 TO 4 IN RAVIBHAVAN PREMISES NAGPUR. (ONLY FOR SOCIETY).]</t>
        </is>
      </c>
      <c r="E2509" s="7" t="inlineStr">
        <is>
          <t>Maharashtra Public Works &amp; Technology Department</t>
        </is>
      </c>
      <c r="F2509" s="6" t="inlineStr">
        <is>
          <t>24 Oct 2026</t>
        </is>
      </c>
      <c r="G2509" s="5" t="inlineStr">
        <is>
          <t>14 Nov 2026</t>
        </is>
      </c>
      <c r="H2509" s="8" t="inlineStr">
        <is>
          <t>⏳ UPCOMING</t>
        </is>
      </c>
      <c r="I2509" s="4" t="inlineStr">
        <is>
          <t>BOQ_2296957.xls</t>
        </is>
      </c>
      <c r="J2509" s="6" t="inlineStr">
        <is>
          <t>📊 Excel BOQ</t>
        </is>
      </c>
      <c r="K2509" s="9" t="n">
        <v>2.5</v>
      </c>
      <c r="L2509" s="10">
        <f>HYPERLINK("http://127.0.0.1:8000/api/documents/download?id=578&amp;attachment=true", "⬇ Download BOQ_2296957.xls")</f>
        <v/>
      </c>
      <c r="M2509" s="10">
        <f>HYPERLINK("http://localhost:5173/?state=Maharashtra&amp;keyword=MIS&amp;tender=2026_PWR_1343939_1", "🚀 Open in Portal")</f>
        <v/>
      </c>
    </row>
    <row r="2510" ht="24" customHeight="1">
      <c r="A2510" s="11" t="inlineStr">
        <is>
          <t>Maharashtra</t>
        </is>
      </c>
      <c r="B2510" s="12" t="inlineStr">
        <is>
          <t>MIS</t>
        </is>
      </c>
      <c r="C2510" s="13" t="inlineStr">
        <is>
          <t>2026_PWR_1343939_1</t>
        </is>
      </c>
      <c r="D2510" s="14" t="inlineStr">
        <is>
          <t>[REPAIRS AND MISC WORKS TO MINISTER COTTAGES NO 3 TO 4 IN RAVIBHAVAN PREMISES NAGPUR. (ONLY FOR SOCIETY).]</t>
        </is>
      </c>
      <c r="E2510" s="14" t="inlineStr">
        <is>
          <t>Maharashtra Public Works &amp; Technology Department</t>
        </is>
      </c>
      <c r="F2510" s="13" t="inlineStr">
        <is>
          <t>24 Oct 2026</t>
        </is>
      </c>
      <c r="G2510" s="12" t="inlineStr">
        <is>
          <t>14 Nov 2026</t>
        </is>
      </c>
      <c r="H2510" s="8" t="inlineStr">
        <is>
          <t>⏳ UPCOMING</t>
        </is>
      </c>
      <c r="I2510" s="11" t="inlineStr">
        <is>
          <t>Tender_2026_PWR_1343939_1_All_Documents.zip</t>
        </is>
      </c>
      <c r="J2510" s="13" t="inlineStr">
        <is>
          <t>📦 ZIP Package</t>
        </is>
      </c>
      <c r="K2510" s="15" t="n">
        <v>11.5</v>
      </c>
      <c r="L2510" s="16">
        <f>HYPERLINK("http://127.0.0.1:8000/api/documents/download?id=579&amp;attachment=true", "⬇ Download Tender_2026_PWR_1343939_")</f>
        <v/>
      </c>
      <c r="M2510" s="16">
        <f>HYPERLINK("http://localhost:5173/?state=Maharashtra&amp;keyword=MIS&amp;tender=2026_PWR_1343939_1", "🚀 Open in Portal")</f>
        <v/>
      </c>
    </row>
    <row r="2511" ht="24" customHeight="1">
      <c r="A2511" s="4" t="inlineStr">
        <is>
          <t>Maharashtra</t>
        </is>
      </c>
      <c r="B2511" s="5" t="inlineStr">
        <is>
          <t>MIS</t>
        </is>
      </c>
      <c r="C2511" s="6" t="inlineStr">
        <is>
          <t>2026_PWR_1343941_1</t>
        </is>
      </c>
      <c r="D2511" s="7" t="inlineStr">
        <is>
          <t>[REPAIRS AND MISC WORKS TO MINISTER COTTAGES NO.5 TO 6 IN RAVI BHAVAN PREMISES,NAGPUR (ONLY FOR SOCIETY).]</t>
        </is>
      </c>
      <c r="E2511" s="7" t="inlineStr">
        <is>
          <t>Maharashtra Public Works &amp; Technology Department</t>
        </is>
      </c>
      <c r="F2511" s="6" t="inlineStr">
        <is>
          <t>09 Aug 2026</t>
        </is>
      </c>
      <c r="G2511" s="5" t="inlineStr">
        <is>
          <t>07 Sep 2026</t>
        </is>
      </c>
      <c r="H2511" s="8" t="inlineStr">
        <is>
          <t>⏳ UPCOMING</t>
        </is>
      </c>
      <c r="I2511" s="4" t="inlineStr">
        <is>
          <t>Tendernotice_1.pdf</t>
        </is>
      </c>
      <c r="J2511" s="6" t="inlineStr">
        <is>
          <t>📕 PDF Document</t>
        </is>
      </c>
      <c r="K2511" s="9" t="n">
        <v>17.8</v>
      </c>
      <c r="L2511" s="10">
        <f>HYPERLINK("http://127.0.0.1:8000/api/documents/download?id=574&amp;attachment=true", "⬇ Download Tendernotice_1.pdf")</f>
        <v/>
      </c>
      <c r="M2511" s="10">
        <f>HYPERLINK("http://localhost:5173/?state=Maharashtra&amp;keyword=MIS&amp;tender=2026_PWR_1343941_1", "🚀 Open in Portal")</f>
        <v/>
      </c>
    </row>
    <row r="2512" ht="24" customHeight="1">
      <c r="A2512" s="11" t="inlineStr">
        <is>
          <t>Maharashtra</t>
        </is>
      </c>
      <c r="B2512" s="12" t="inlineStr">
        <is>
          <t>MIS</t>
        </is>
      </c>
      <c r="C2512" s="13" t="inlineStr">
        <is>
          <t>2026_PWR_1343941_1</t>
        </is>
      </c>
      <c r="D2512" s="14" t="inlineStr">
        <is>
          <t>[REPAIRS AND MISC WORKS TO MINISTER COTTAGES NO.5 TO 6 IN RAVI BHAVAN PREMISES,NAGPUR (ONLY FOR SOCIETY).]</t>
        </is>
      </c>
      <c r="E2512" s="14" t="inlineStr">
        <is>
          <t>Maharashtra Public Works &amp; Technology Department</t>
        </is>
      </c>
      <c r="F2512" s="13" t="inlineStr">
        <is>
          <t>09 Aug 2026</t>
        </is>
      </c>
      <c r="G2512" s="12" t="inlineStr">
        <is>
          <t>07 Sep 2026</t>
        </is>
      </c>
      <c r="H2512" s="8" t="inlineStr">
        <is>
          <t>⏳ UPCOMING</t>
        </is>
      </c>
      <c r="I2512" s="11" t="inlineStr">
        <is>
          <t>BOQ_2296960.xls</t>
        </is>
      </c>
      <c r="J2512" s="13" t="inlineStr">
        <is>
          <t>📊 Excel BOQ</t>
        </is>
      </c>
      <c r="K2512" s="15" t="n">
        <v>2.5</v>
      </c>
      <c r="L2512" s="16">
        <f>HYPERLINK("http://127.0.0.1:8000/api/documents/download?id=575&amp;attachment=true", "⬇ Download BOQ_2296960.xls")</f>
        <v/>
      </c>
      <c r="M2512" s="16">
        <f>HYPERLINK("http://localhost:5173/?state=Maharashtra&amp;keyword=MIS&amp;tender=2026_PWR_1343941_1", "🚀 Open in Portal")</f>
        <v/>
      </c>
    </row>
    <row r="2513" ht="24" customHeight="1">
      <c r="A2513" s="4" t="inlineStr">
        <is>
          <t>Maharashtra</t>
        </is>
      </c>
      <c r="B2513" s="5" t="inlineStr">
        <is>
          <t>MIS</t>
        </is>
      </c>
      <c r="C2513" s="6" t="inlineStr">
        <is>
          <t>2026_PWR_1343941_1</t>
        </is>
      </c>
      <c r="D2513" s="7" t="inlineStr">
        <is>
          <t>[REPAIRS AND MISC WORKS TO MINISTER COTTAGES NO.5 TO 6 IN RAVI BHAVAN PREMISES,NAGPUR (ONLY FOR SOCIETY).]</t>
        </is>
      </c>
      <c r="E2513" s="7" t="inlineStr">
        <is>
          <t>Maharashtra Public Works &amp; Technology Department</t>
        </is>
      </c>
      <c r="F2513" s="6" t="inlineStr">
        <is>
          <t>09 Aug 2026</t>
        </is>
      </c>
      <c r="G2513" s="5" t="inlineStr">
        <is>
          <t>07 Sep 2026</t>
        </is>
      </c>
      <c r="H2513" s="8" t="inlineStr">
        <is>
          <t>⏳ UPCOMING</t>
        </is>
      </c>
      <c r="I2513" s="4" t="inlineStr">
        <is>
          <t>Tender_2026_PWR_1343941_1_All_Documents.zip</t>
        </is>
      </c>
      <c r="J2513" s="6" t="inlineStr">
        <is>
          <t>📦 ZIP Package</t>
        </is>
      </c>
      <c r="K2513" s="9" t="n">
        <v>11.6</v>
      </c>
      <c r="L2513" s="10">
        <f>HYPERLINK("http://127.0.0.1:8000/api/documents/download?id=576&amp;attachment=true", "⬇ Download Tender_2026_PWR_1343941_")</f>
        <v/>
      </c>
      <c r="M2513" s="10">
        <f>HYPERLINK("http://localhost:5173/?state=Maharashtra&amp;keyword=MIS&amp;tender=2026_PWR_1343941_1", "🚀 Open in Portal")</f>
        <v/>
      </c>
    </row>
    <row r="2514" ht="24" customHeight="1">
      <c r="A2514" s="11" t="inlineStr">
        <is>
          <t>Maharashtra</t>
        </is>
      </c>
      <c r="B2514" s="12" t="inlineStr">
        <is>
          <t>MIS</t>
        </is>
      </c>
      <c r="C2514" s="13" t="inlineStr">
        <is>
          <t>2026_PWR_1343947_1</t>
        </is>
      </c>
      <c r="D2514" s="14" t="inlineStr">
        <is>
          <t>[REPAIRS AND MISC WORKS TO MINISTER COTTAGES NO 7 TO 8 IN RAVIBHAVAN PREMISES NAGPUR (ONLY FOR SOCIETY).]</t>
        </is>
      </c>
      <c r="E2514" s="14" t="inlineStr">
        <is>
          <t>Maharashtra Public Works &amp; Technology Department</t>
        </is>
      </c>
      <c r="F2514" s="13" t="inlineStr">
        <is>
          <t>07 Aug 2026</t>
        </is>
      </c>
      <c r="G2514" s="12" t="inlineStr">
        <is>
          <t>06 Sep 2026</t>
        </is>
      </c>
      <c r="H2514" s="8" t="inlineStr">
        <is>
          <t>⏳ UPCOMING</t>
        </is>
      </c>
      <c r="I2514" s="11" t="inlineStr">
        <is>
          <t>Tendernotice_1.pdf</t>
        </is>
      </c>
      <c r="J2514" s="13" t="inlineStr">
        <is>
          <t>📕 PDF Document</t>
        </is>
      </c>
      <c r="K2514" s="15" t="n">
        <v>17.8</v>
      </c>
      <c r="L2514" s="16">
        <f>HYPERLINK("http://127.0.0.1:8000/api/documents/download?id=571&amp;attachment=true", "⬇ Download Tendernotice_1.pdf")</f>
        <v/>
      </c>
      <c r="M2514" s="16">
        <f>HYPERLINK("http://localhost:5173/?state=Maharashtra&amp;keyword=MIS&amp;tender=2026_PWR_1343947_1", "🚀 Open in Portal")</f>
        <v/>
      </c>
    </row>
    <row r="2515" ht="24" customHeight="1">
      <c r="A2515" s="4" t="inlineStr">
        <is>
          <t>Maharashtra</t>
        </is>
      </c>
      <c r="B2515" s="5" t="inlineStr">
        <is>
          <t>MIS</t>
        </is>
      </c>
      <c r="C2515" s="6" t="inlineStr">
        <is>
          <t>2026_PWR_1343947_1</t>
        </is>
      </c>
      <c r="D2515" s="7" t="inlineStr">
        <is>
          <t>[REPAIRS AND MISC WORKS TO MINISTER COTTAGES NO 7 TO 8 IN RAVIBHAVAN PREMISES NAGPUR (ONLY FOR SOCIETY).]</t>
        </is>
      </c>
      <c r="E2515" s="7" t="inlineStr">
        <is>
          <t>Maharashtra Public Works &amp; Technology Department</t>
        </is>
      </c>
      <c r="F2515" s="6" t="inlineStr">
        <is>
          <t>07 Aug 2026</t>
        </is>
      </c>
      <c r="G2515" s="5" t="inlineStr">
        <is>
          <t>06 Sep 2026</t>
        </is>
      </c>
      <c r="H2515" s="8" t="inlineStr">
        <is>
          <t>⏳ UPCOMING</t>
        </is>
      </c>
      <c r="I2515" s="4" t="inlineStr">
        <is>
          <t>BOQ_2296967.xls</t>
        </is>
      </c>
      <c r="J2515" s="6" t="inlineStr">
        <is>
          <t>📊 Excel BOQ</t>
        </is>
      </c>
      <c r="K2515" s="9" t="n">
        <v>2.5</v>
      </c>
      <c r="L2515" s="10">
        <f>HYPERLINK("http://127.0.0.1:8000/api/documents/download?id=572&amp;attachment=true", "⬇ Download BOQ_2296967.xls")</f>
        <v/>
      </c>
      <c r="M2515" s="10">
        <f>HYPERLINK("http://localhost:5173/?state=Maharashtra&amp;keyword=MIS&amp;tender=2026_PWR_1343947_1", "🚀 Open in Portal")</f>
        <v/>
      </c>
    </row>
    <row r="2516" ht="24" customHeight="1">
      <c r="A2516" s="11" t="inlineStr">
        <is>
          <t>Maharashtra</t>
        </is>
      </c>
      <c r="B2516" s="12" t="inlineStr">
        <is>
          <t>MIS</t>
        </is>
      </c>
      <c r="C2516" s="13" t="inlineStr">
        <is>
          <t>2026_PWR_1343947_1</t>
        </is>
      </c>
      <c r="D2516" s="14" t="inlineStr">
        <is>
          <t>[REPAIRS AND MISC WORKS TO MINISTER COTTAGES NO 7 TO 8 IN RAVIBHAVAN PREMISES NAGPUR (ONLY FOR SOCIETY).]</t>
        </is>
      </c>
      <c r="E2516" s="14" t="inlineStr">
        <is>
          <t>Maharashtra Public Works &amp; Technology Department</t>
        </is>
      </c>
      <c r="F2516" s="13" t="inlineStr">
        <is>
          <t>07 Aug 2026</t>
        </is>
      </c>
      <c r="G2516" s="12" t="inlineStr">
        <is>
          <t>06 Sep 2026</t>
        </is>
      </c>
      <c r="H2516" s="8" t="inlineStr">
        <is>
          <t>⏳ UPCOMING</t>
        </is>
      </c>
      <c r="I2516" s="11" t="inlineStr">
        <is>
          <t>Tender_2026_PWR_1343947_1_All_Documents.zip</t>
        </is>
      </c>
      <c r="J2516" s="13" t="inlineStr">
        <is>
          <t>📦 ZIP Package</t>
        </is>
      </c>
      <c r="K2516" s="15" t="n">
        <v>11.6</v>
      </c>
      <c r="L2516" s="16">
        <f>HYPERLINK("http://127.0.0.1:8000/api/documents/download?id=573&amp;attachment=true", "⬇ Download Tender_2026_PWR_1343947_")</f>
        <v/>
      </c>
      <c r="M2516" s="16">
        <f>HYPERLINK("http://localhost:5173/?state=Maharashtra&amp;keyword=MIS&amp;tender=2026_PWR_1343947_1", "🚀 Open in Portal")</f>
        <v/>
      </c>
    </row>
    <row r="2517" ht="24" customHeight="1">
      <c r="A2517" s="4" t="inlineStr">
        <is>
          <t>Maharashtra</t>
        </is>
      </c>
      <c r="B2517" s="5" t="inlineStr">
        <is>
          <t>MIS</t>
        </is>
      </c>
      <c r="C2517" s="6" t="inlineStr">
        <is>
          <t>2026_PWR_1343951_1</t>
        </is>
      </c>
      <c r="D2517" s="7" t="inlineStr">
        <is>
          <t>[MISC WORKS AND REPAIRS TO VARIOUS SUITS OF BLD NO 3 AT RAVIBHAVAN PREMISES NAGPUR (ONLY FOR SOCIETY).]</t>
        </is>
      </c>
      <c r="E2517" s="7" t="inlineStr">
        <is>
          <t>Maharashtra Public Works &amp; Technology Department</t>
        </is>
      </c>
      <c r="F2517" s="6" t="inlineStr">
        <is>
          <t>03 Aug 2026</t>
        </is>
      </c>
      <c r="G2517" s="5" t="inlineStr">
        <is>
          <t>02 Sep 2026</t>
        </is>
      </c>
      <c r="H2517" s="8" t="inlineStr">
        <is>
          <t>⏳ UPCOMING</t>
        </is>
      </c>
      <c r="I2517" s="4" t="inlineStr">
        <is>
          <t>Tendernotice_1.pdf</t>
        </is>
      </c>
      <c r="J2517" s="6" t="inlineStr">
        <is>
          <t>📕 PDF Document</t>
        </is>
      </c>
      <c r="K2517" s="9" t="n">
        <v>17.9</v>
      </c>
      <c r="L2517" s="10">
        <f>HYPERLINK("http://127.0.0.1:8000/api/documents/download?id=564&amp;attachment=true", "⬇ Download Tendernotice_1.pdf")</f>
        <v/>
      </c>
      <c r="M2517" s="10">
        <f>HYPERLINK("http://localhost:5173/?state=Maharashtra&amp;keyword=MIS&amp;tender=2026_PWR_1343951_1", "🚀 Open in Portal")</f>
        <v/>
      </c>
    </row>
    <row r="2518" ht="24" customHeight="1">
      <c r="A2518" s="11" t="inlineStr">
        <is>
          <t>Maharashtra</t>
        </is>
      </c>
      <c r="B2518" s="12" t="inlineStr">
        <is>
          <t>MIS</t>
        </is>
      </c>
      <c r="C2518" s="13" t="inlineStr">
        <is>
          <t>2026_PWR_1343951_1</t>
        </is>
      </c>
      <c r="D2518" s="14" t="inlineStr">
        <is>
          <t>[MISC WORKS AND REPAIRS TO VARIOUS SUITS OF BLD NO 3 AT RAVIBHAVAN PREMISES NAGPUR (ONLY FOR SOCIETY).]</t>
        </is>
      </c>
      <c r="E2518" s="14" t="inlineStr">
        <is>
          <t>Maharashtra Public Works &amp; Technology Department</t>
        </is>
      </c>
      <c r="F2518" s="13" t="inlineStr">
        <is>
          <t>03 Aug 2026</t>
        </is>
      </c>
      <c r="G2518" s="12" t="inlineStr">
        <is>
          <t>02 Sep 2026</t>
        </is>
      </c>
      <c r="H2518" s="8" t="inlineStr">
        <is>
          <t>⏳ UPCOMING</t>
        </is>
      </c>
      <c r="I2518" s="11" t="inlineStr">
        <is>
          <t>BOQ_2296975.xls</t>
        </is>
      </c>
      <c r="J2518" s="13" t="inlineStr">
        <is>
          <t>📊 Excel BOQ</t>
        </is>
      </c>
      <c r="K2518" s="15" t="n">
        <v>2.5</v>
      </c>
      <c r="L2518" s="16">
        <f>HYPERLINK("http://127.0.0.1:8000/api/documents/download?id=565&amp;attachment=true", "⬇ Download BOQ_2296975.xls")</f>
        <v/>
      </c>
      <c r="M2518" s="16">
        <f>HYPERLINK("http://localhost:5173/?state=Maharashtra&amp;keyword=MIS&amp;tender=2026_PWR_1343951_1", "🚀 Open in Portal")</f>
        <v/>
      </c>
    </row>
    <row r="2519" ht="24" customHeight="1">
      <c r="A2519" s="4" t="inlineStr">
        <is>
          <t>Maharashtra</t>
        </is>
      </c>
      <c r="B2519" s="5" t="inlineStr">
        <is>
          <t>MIS</t>
        </is>
      </c>
      <c r="C2519" s="6" t="inlineStr">
        <is>
          <t>2026_PWR_1343951_1</t>
        </is>
      </c>
      <c r="D2519" s="7" t="inlineStr">
        <is>
          <t>[MISC WORKS AND REPAIRS TO VARIOUS SUITS OF BLD NO 3 AT RAVIBHAVAN PREMISES NAGPUR (ONLY FOR SOCIETY).]</t>
        </is>
      </c>
      <c r="E2519" s="7" t="inlineStr">
        <is>
          <t>Maharashtra Public Works &amp; Technology Department</t>
        </is>
      </c>
      <c r="F2519" s="6" t="inlineStr">
        <is>
          <t>03 Aug 2026</t>
        </is>
      </c>
      <c r="G2519" s="5" t="inlineStr">
        <is>
          <t>02 Sep 2026</t>
        </is>
      </c>
      <c r="H2519" s="8" t="inlineStr">
        <is>
          <t>⏳ UPCOMING</t>
        </is>
      </c>
      <c r="I2519" s="4" t="inlineStr">
        <is>
          <t>Tender_2026_PWR_1343951_1_All_Documents.zip</t>
        </is>
      </c>
      <c r="J2519" s="6" t="inlineStr">
        <is>
          <t>📦 ZIP Package</t>
        </is>
      </c>
      <c r="K2519" s="9" t="n">
        <v>11.6</v>
      </c>
      <c r="L2519" s="10">
        <f>HYPERLINK("http://127.0.0.1:8000/api/documents/download?id=566&amp;attachment=true", "⬇ Download Tender_2026_PWR_1343951_")</f>
        <v/>
      </c>
      <c r="M2519" s="10">
        <f>HYPERLINK("http://localhost:5173/?state=Maharashtra&amp;keyword=MIS&amp;tender=2026_PWR_1343951_1", "🚀 Open in Portal")</f>
        <v/>
      </c>
    </row>
    <row r="2520" ht="24" customHeight="1">
      <c r="A2520" s="11" t="inlineStr">
        <is>
          <t>Maharashtra</t>
        </is>
      </c>
      <c r="B2520" s="12" t="inlineStr">
        <is>
          <t>MIS</t>
        </is>
      </c>
      <c r="C2520" s="13" t="inlineStr">
        <is>
          <t>2026_PWR_1343969_1</t>
        </is>
      </c>
      <c r="D2520" s="14" t="inlineStr">
        <is>
          <t>[REPAIRS, PAINTING AND MISC WORKS AT 12 SUITED BUILDING IN THE PREMISES OF RAVIBHAVAN, NAGPUR (ONLY FOR SOCIETY).]</t>
        </is>
      </c>
      <c r="E2520" s="14" t="inlineStr">
        <is>
          <t>Maharashtra Public Works &amp; Technology Department</t>
        </is>
      </c>
      <c r="F2520" s="13" t="inlineStr">
        <is>
          <t>01 Aug 2026</t>
        </is>
      </c>
      <c r="G2520" s="12" t="inlineStr">
        <is>
          <t>28 Aug 2026</t>
        </is>
      </c>
      <c r="H2520" s="8" t="inlineStr">
        <is>
          <t>⏳ UPCOMING</t>
        </is>
      </c>
      <c r="I2520" s="11" t="inlineStr">
        <is>
          <t>Tendernotice_1.pdf</t>
        </is>
      </c>
      <c r="J2520" s="13" t="inlineStr">
        <is>
          <t>📕 PDF Document</t>
        </is>
      </c>
      <c r="K2520" s="15" t="n">
        <v>17.8</v>
      </c>
      <c r="L2520" s="16">
        <f>HYPERLINK("http://127.0.0.1:8000/api/documents/download?id=561&amp;attachment=true", "⬇ Download Tendernotice_1.pdf")</f>
        <v/>
      </c>
      <c r="M2520" s="16">
        <f>HYPERLINK("http://localhost:5173/?state=Maharashtra&amp;keyword=MIS&amp;tender=2026_PWR_1343969_1", "🚀 Open in Portal")</f>
        <v/>
      </c>
    </row>
    <row r="2521" ht="24" customHeight="1">
      <c r="A2521" s="4" t="inlineStr">
        <is>
          <t>Maharashtra</t>
        </is>
      </c>
      <c r="B2521" s="5" t="inlineStr">
        <is>
          <t>MIS</t>
        </is>
      </c>
      <c r="C2521" s="6" t="inlineStr">
        <is>
          <t>2026_PWR_1343969_1</t>
        </is>
      </c>
      <c r="D2521" s="7" t="inlineStr">
        <is>
          <t>[REPAIRS, PAINTING AND MISC WORKS AT 12 SUITED BUILDING IN THE PREMISES OF RAVIBHAVAN, NAGPUR (ONLY FOR SOCIETY).]</t>
        </is>
      </c>
      <c r="E2521" s="7" t="inlineStr">
        <is>
          <t>Maharashtra Public Works &amp; Technology Department</t>
        </is>
      </c>
      <c r="F2521" s="6" t="inlineStr">
        <is>
          <t>01 Aug 2026</t>
        </is>
      </c>
      <c r="G2521" s="5" t="inlineStr">
        <is>
          <t>28 Aug 2026</t>
        </is>
      </c>
      <c r="H2521" s="8" t="inlineStr">
        <is>
          <t>⏳ UPCOMING</t>
        </is>
      </c>
      <c r="I2521" s="4" t="inlineStr">
        <is>
          <t>BOQ_2297029.xls</t>
        </is>
      </c>
      <c r="J2521" s="6" t="inlineStr">
        <is>
          <t>📊 Excel BOQ</t>
        </is>
      </c>
      <c r="K2521" s="9" t="n">
        <v>2.5</v>
      </c>
      <c r="L2521" s="10">
        <f>HYPERLINK("http://127.0.0.1:8000/api/documents/download?id=562&amp;attachment=true", "⬇ Download BOQ_2297029.xls")</f>
        <v/>
      </c>
      <c r="M2521" s="10">
        <f>HYPERLINK("http://localhost:5173/?state=Maharashtra&amp;keyword=MIS&amp;tender=2026_PWR_1343969_1", "🚀 Open in Portal")</f>
        <v/>
      </c>
    </row>
    <row r="2522" ht="24" customHeight="1">
      <c r="A2522" s="11" t="inlineStr">
        <is>
          <t>Maharashtra</t>
        </is>
      </c>
      <c r="B2522" s="12" t="inlineStr">
        <is>
          <t>MIS</t>
        </is>
      </c>
      <c r="C2522" s="13" t="inlineStr">
        <is>
          <t>2026_PWR_1343969_1</t>
        </is>
      </c>
      <c r="D2522" s="14" t="inlineStr">
        <is>
          <t>[REPAIRS, PAINTING AND MISC WORKS AT 12 SUITED BUILDING IN THE PREMISES OF RAVIBHAVAN, NAGPUR (ONLY FOR SOCIETY).]</t>
        </is>
      </c>
      <c r="E2522" s="14" t="inlineStr">
        <is>
          <t>Maharashtra Public Works &amp; Technology Department</t>
        </is>
      </c>
      <c r="F2522" s="13" t="inlineStr">
        <is>
          <t>01 Aug 2026</t>
        </is>
      </c>
      <c r="G2522" s="12" t="inlineStr">
        <is>
          <t>28 Aug 2026</t>
        </is>
      </c>
      <c r="H2522" s="8" t="inlineStr">
        <is>
          <t>⏳ UPCOMING</t>
        </is>
      </c>
      <c r="I2522" s="11" t="inlineStr">
        <is>
          <t>Tender_2026_PWR_1343969_1_All_Documents.zip</t>
        </is>
      </c>
      <c r="J2522" s="13" t="inlineStr">
        <is>
          <t>📦 ZIP Package</t>
        </is>
      </c>
      <c r="K2522" s="15" t="n">
        <v>11.6</v>
      </c>
      <c r="L2522" s="16">
        <f>HYPERLINK("http://127.0.0.1:8000/api/documents/download?id=563&amp;attachment=true", "⬇ Download Tender_2026_PWR_1343969_")</f>
        <v/>
      </c>
      <c r="M2522" s="16">
        <f>HYPERLINK("http://localhost:5173/?state=Maharashtra&amp;keyword=MIS&amp;tender=2026_PWR_1343969_1", "🚀 Open in Portal")</f>
        <v/>
      </c>
    </row>
    <row r="2523" ht="24" customHeight="1">
      <c r="A2523" s="4" t="inlineStr">
        <is>
          <t>Maharashtra</t>
        </is>
      </c>
      <c r="B2523" s="5" t="inlineStr">
        <is>
          <t>MIS</t>
        </is>
      </c>
      <c r="C2523" s="6" t="inlineStr">
        <is>
          <t>2026_PWR_1344009_1</t>
        </is>
      </c>
      <c r="D2523" s="7" t="inlineStr">
        <is>
          <t>[MISC WORKS AND REPAIRS TO GROUND AND FIRST FLOOR OF NEW BARRACK (G PLUS 2) BUILDING IN THE PREMISES OF OLD HYDERABAD HOUSE AT NAGPUR. (ONLY FOR SOCIETY).]</t>
        </is>
      </c>
      <c r="E2523" s="7" t="inlineStr">
        <is>
          <t>Maharashtra Public Works &amp; Technology Department</t>
        </is>
      </c>
      <c r="F2523" s="6" t="inlineStr">
        <is>
          <t>30 Jul 2026</t>
        </is>
      </c>
      <c r="G2523" s="5" t="inlineStr">
        <is>
          <t>22 Aug 2026</t>
        </is>
      </c>
      <c r="H2523" s="8" t="inlineStr">
        <is>
          <t>⏳ UPCOMING</t>
        </is>
      </c>
      <c r="I2523" s="4" t="inlineStr">
        <is>
          <t>Tendernotice_1.pdf</t>
        </is>
      </c>
      <c r="J2523" s="6" t="inlineStr">
        <is>
          <t>📕 PDF Document</t>
        </is>
      </c>
      <c r="K2523" s="9" t="n">
        <v>17.9</v>
      </c>
      <c r="L2523" s="10">
        <f>HYPERLINK("http://127.0.0.1:8000/api/documents/download?id=558&amp;attachment=true", "⬇ Download Tendernotice_1.pdf")</f>
        <v/>
      </c>
      <c r="M2523" s="10">
        <f>HYPERLINK("http://localhost:5173/?state=Maharashtra&amp;keyword=MIS&amp;tender=2026_PWR_1344009_1", "🚀 Open in Portal")</f>
        <v/>
      </c>
    </row>
    <row r="2524" ht="24" customHeight="1">
      <c r="A2524" s="11" t="inlineStr">
        <is>
          <t>Maharashtra</t>
        </is>
      </c>
      <c r="B2524" s="12" t="inlineStr">
        <is>
          <t>MIS</t>
        </is>
      </c>
      <c r="C2524" s="13" t="inlineStr">
        <is>
          <t>2026_PWR_1344009_1</t>
        </is>
      </c>
      <c r="D2524" s="14" t="inlineStr">
        <is>
          <t>[MISC WORKS AND REPAIRS TO GROUND AND FIRST FLOOR OF NEW BARRACK (G PLUS 2) BUILDING IN THE PREMISES OF OLD HYDERABAD HOUSE AT NAGPUR. (ONLY FOR SOCIETY).]</t>
        </is>
      </c>
      <c r="E2524" s="14" t="inlineStr">
        <is>
          <t>Maharashtra Public Works &amp; Technology Department</t>
        </is>
      </c>
      <c r="F2524" s="13" t="inlineStr">
        <is>
          <t>30 Jul 2026</t>
        </is>
      </c>
      <c r="G2524" s="12" t="inlineStr">
        <is>
          <t>22 Aug 2026</t>
        </is>
      </c>
      <c r="H2524" s="8" t="inlineStr">
        <is>
          <t>⏳ UPCOMING</t>
        </is>
      </c>
      <c r="I2524" s="11" t="inlineStr">
        <is>
          <t>BOQ_2297034.xls</t>
        </is>
      </c>
      <c r="J2524" s="13" t="inlineStr">
        <is>
          <t>📊 Excel BOQ</t>
        </is>
      </c>
      <c r="K2524" s="15" t="n">
        <v>2.5</v>
      </c>
      <c r="L2524" s="16">
        <f>HYPERLINK("http://127.0.0.1:8000/api/documents/download?id=559&amp;attachment=true", "⬇ Download BOQ_2297034.xls")</f>
        <v/>
      </c>
      <c r="M2524" s="16">
        <f>HYPERLINK("http://localhost:5173/?state=Maharashtra&amp;keyword=MIS&amp;tender=2026_PWR_1344009_1", "🚀 Open in Portal")</f>
        <v/>
      </c>
    </row>
    <row r="2525" ht="24" customHeight="1">
      <c r="A2525" s="4" t="inlineStr">
        <is>
          <t>Maharashtra</t>
        </is>
      </c>
      <c r="B2525" s="5" t="inlineStr">
        <is>
          <t>MIS</t>
        </is>
      </c>
      <c r="C2525" s="6" t="inlineStr">
        <is>
          <t>2026_PWR_1344009_1</t>
        </is>
      </c>
      <c r="D2525" s="7" t="inlineStr">
        <is>
          <t>[MISC WORKS AND REPAIRS TO GROUND AND FIRST FLOOR OF NEW BARRACK (G PLUS 2) BUILDING IN THE PREMISES OF OLD HYDERABAD HOUSE AT NAGPUR. (ONLY FOR SOCIETY).]</t>
        </is>
      </c>
      <c r="E2525" s="7" t="inlineStr">
        <is>
          <t>Maharashtra Public Works &amp; Technology Department</t>
        </is>
      </c>
      <c r="F2525" s="6" t="inlineStr">
        <is>
          <t>30 Jul 2026</t>
        </is>
      </c>
      <c r="G2525" s="5" t="inlineStr">
        <is>
          <t>22 Aug 2026</t>
        </is>
      </c>
      <c r="H2525" s="8" t="inlineStr">
        <is>
          <t>⏳ UPCOMING</t>
        </is>
      </c>
      <c r="I2525" s="4" t="inlineStr">
        <is>
          <t>Tender_2026_PWR_1344009_1_All_Documents.zip</t>
        </is>
      </c>
      <c r="J2525" s="6" t="inlineStr">
        <is>
          <t>📦 ZIP Package</t>
        </is>
      </c>
      <c r="K2525" s="9" t="n">
        <v>11.6</v>
      </c>
      <c r="L2525" s="10">
        <f>HYPERLINK("http://127.0.0.1:8000/api/documents/download?id=560&amp;attachment=true", "⬇ Download Tender_2026_PWR_1344009_")</f>
        <v/>
      </c>
      <c r="M2525" s="10">
        <f>HYPERLINK("http://localhost:5173/?state=Maharashtra&amp;keyword=MIS&amp;tender=2026_PWR_1344009_1", "🚀 Open in Portal")</f>
        <v/>
      </c>
    </row>
    <row r="2526" ht="24" customHeight="1">
      <c r="A2526" s="11" t="inlineStr">
        <is>
          <t>Maharashtra</t>
        </is>
      </c>
      <c r="B2526" s="12" t="inlineStr">
        <is>
          <t>MIS</t>
        </is>
      </c>
      <c r="C2526" s="13" t="inlineStr">
        <is>
          <t>2026_PWR_1344014_1</t>
        </is>
      </c>
      <c r="D2526" s="14" t="inlineStr">
        <is>
          <t>[Reapir and Painting, Polishing, Sanitary, and Other Misc. Works In Various Cabin Of Old Anex Building (First and Second Floor) at Vidhanbhavan, Nagpur. (ONLY FOR SOCIETY).]</t>
        </is>
      </c>
      <c r="E2526" s="14" t="inlineStr">
        <is>
          <t>Maharashtra Public Works &amp; Technology Department</t>
        </is>
      </c>
      <c r="F2526" s="13" t="inlineStr">
        <is>
          <t>22 Jul 2026</t>
        </is>
      </c>
      <c r="G2526" s="12" t="inlineStr">
        <is>
          <t>13 Aug 2026</t>
        </is>
      </c>
      <c r="H2526" s="8" t="inlineStr">
        <is>
          <t>⏳ UPCOMING</t>
        </is>
      </c>
      <c r="I2526" s="11" t="inlineStr">
        <is>
          <t>Tendernotice_1.pdf</t>
        </is>
      </c>
      <c r="J2526" s="13" t="inlineStr">
        <is>
          <t>📕 PDF Document</t>
        </is>
      </c>
      <c r="K2526" s="15" t="n">
        <v>17.9</v>
      </c>
      <c r="L2526" s="16">
        <f>HYPERLINK("http://127.0.0.1:8000/api/documents/download?id=545&amp;attachment=true", "⬇ Download Tendernotice_1.pdf")</f>
        <v/>
      </c>
      <c r="M2526" s="16">
        <f>HYPERLINK("http://localhost:5173/?state=Maharashtra&amp;keyword=MIS&amp;tender=2026_PWR_1344014_1", "🚀 Open in Portal")</f>
        <v/>
      </c>
    </row>
    <row r="2527" ht="24" customHeight="1">
      <c r="A2527" s="4" t="inlineStr">
        <is>
          <t>Maharashtra</t>
        </is>
      </c>
      <c r="B2527" s="5" t="inlineStr">
        <is>
          <t>MIS</t>
        </is>
      </c>
      <c r="C2527" s="6" t="inlineStr">
        <is>
          <t>2026_PWR_1344014_1</t>
        </is>
      </c>
      <c r="D2527" s="7" t="inlineStr">
        <is>
          <t>[Reapir and Painting, Polishing, Sanitary, and Other Misc. Works In Various Cabin Of Old Anex Building (First and Second Floor) at Vidhanbhavan, Nagpur. (ONLY FOR SOCIETY).]</t>
        </is>
      </c>
      <c r="E2527" s="7" t="inlineStr">
        <is>
          <t>Maharashtra Public Works &amp; Technology Department</t>
        </is>
      </c>
      <c r="F2527" s="6" t="inlineStr">
        <is>
          <t>22 Jul 2026</t>
        </is>
      </c>
      <c r="G2527" s="5" t="inlineStr">
        <is>
          <t>13 Aug 2026</t>
        </is>
      </c>
      <c r="H2527" s="8" t="inlineStr">
        <is>
          <t>⏳ UPCOMING</t>
        </is>
      </c>
      <c r="I2527" s="4" t="inlineStr">
        <is>
          <t>BOQ_2297046.xls</t>
        </is>
      </c>
      <c r="J2527" s="6" t="inlineStr">
        <is>
          <t>📊 Excel BOQ</t>
        </is>
      </c>
      <c r="K2527" s="9" t="n">
        <v>2.5</v>
      </c>
      <c r="L2527" s="10">
        <f>HYPERLINK("http://127.0.0.1:8000/api/documents/download?id=546&amp;attachment=true", "⬇ Download BOQ_2297046.xls")</f>
        <v/>
      </c>
      <c r="M2527" s="10">
        <f>HYPERLINK("http://localhost:5173/?state=Maharashtra&amp;keyword=MIS&amp;tender=2026_PWR_1344014_1", "🚀 Open in Portal")</f>
        <v/>
      </c>
    </row>
    <row r="2528" ht="24" customHeight="1">
      <c r="A2528" s="11" t="inlineStr">
        <is>
          <t>Maharashtra</t>
        </is>
      </c>
      <c r="B2528" s="12" t="inlineStr">
        <is>
          <t>MIS</t>
        </is>
      </c>
      <c r="C2528" s="13" t="inlineStr">
        <is>
          <t>2026_PWR_1344014_1</t>
        </is>
      </c>
      <c r="D2528" s="14" t="inlineStr">
        <is>
          <t>[Reapir and Painting, Polishing, Sanitary, and Other Misc. Works In Various Cabin Of Old Anex Building (First and Second Floor) at Vidhanbhavan, Nagpur. (ONLY FOR SOCIETY).]</t>
        </is>
      </c>
      <c r="E2528" s="14" t="inlineStr">
        <is>
          <t>Maharashtra Public Works &amp; Technology Department</t>
        </is>
      </c>
      <c r="F2528" s="13" t="inlineStr">
        <is>
          <t>22 Jul 2026</t>
        </is>
      </c>
      <c r="G2528" s="12" t="inlineStr">
        <is>
          <t>13 Aug 2026</t>
        </is>
      </c>
      <c r="H2528" s="8" t="inlineStr">
        <is>
          <t>⏳ UPCOMING</t>
        </is>
      </c>
      <c r="I2528" s="11" t="inlineStr">
        <is>
          <t>Tender_2026_PWR_1344014_1_All_Documents.zip</t>
        </is>
      </c>
      <c r="J2528" s="13" t="inlineStr">
        <is>
          <t>📦 ZIP Package</t>
        </is>
      </c>
      <c r="K2528" s="15" t="n">
        <v>11.6</v>
      </c>
      <c r="L2528" s="16">
        <f>HYPERLINK("http://127.0.0.1:8000/api/documents/download?id=547&amp;attachment=true", "⬇ Download Tender_2026_PWR_1344014_")</f>
        <v/>
      </c>
      <c r="M2528" s="16">
        <f>HYPERLINK("http://localhost:5173/?state=Maharashtra&amp;keyword=MIS&amp;tender=2026_PWR_1344014_1", "🚀 Open in Portal")</f>
        <v/>
      </c>
    </row>
    <row r="2529" ht="24" customHeight="1">
      <c r="A2529" s="4" t="inlineStr">
        <is>
          <t>Maharashtra</t>
        </is>
      </c>
      <c r="B2529" s="5" t="inlineStr">
        <is>
          <t>MIS</t>
        </is>
      </c>
      <c r="C2529" s="6" t="inlineStr">
        <is>
          <t>2026_PWR_1344019_1</t>
        </is>
      </c>
      <c r="D2529" s="7" t="inlineStr">
        <is>
          <t>[Repairs and Painting, Polishing, Sanitary, and Other Misc. Works In Various Cabin Of New Building (First and Second Floor ) At Vidhanbhavan, Nagpur. (ONLY FOR SOCIETY).]</t>
        </is>
      </c>
      <c r="E2529" s="7" t="inlineStr">
        <is>
          <t>Maharashtra Public Works &amp; Technology Department</t>
        </is>
      </c>
      <c r="F2529" s="6" t="inlineStr">
        <is>
          <t>26 Jul 2026</t>
        </is>
      </c>
      <c r="G2529" s="5" t="inlineStr">
        <is>
          <t>18 Aug 2026</t>
        </is>
      </c>
      <c r="H2529" s="8" t="inlineStr">
        <is>
          <t>⏳ UPCOMING</t>
        </is>
      </c>
      <c r="I2529" s="4" t="inlineStr">
        <is>
          <t>Tendernotice_1.pdf</t>
        </is>
      </c>
      <c r="J2529" s="6" t="inlineStr">
        <is>
          <t>📕 PDF Document</t>
        </is>
      </c>
      <c r="K2529" s="9" t="n">
        <v>17.8</v>
      </c>
      <c r="L2529" s="10">
        <f>HYPERLINK("http://127.0.0.1:8000/api/documents/download?id=551&amp;attachment=true", "⬇ Download Tendernotice_1.pdf")</f>
        <v/>
      </c>
      <c r="M2529" s="10">
        <f>HYPERLINK("http://localhost:5173/?state=Maharashtra&amp;keyword=MIS&amp;tender=2026_PWR_1344019_1", "🚀 Open in Portal")</f>
        <v/>
      </c>
    </row>
    <row r="2530" ht="24" customHeight="1">
      <c r="A2530" s="11" t="inlineStr">
        <is>
          <t>Maharashtra</t>
        </is>
      </c>
      <c r="B2530" s="12" t="inlineStr">
        <is>
          <t>MIS</t>
        </is>
      </c>
      <c r="C2530" s="13" t="inlineStr">
        <is>
          <t>2026_PWR_1344019_1</t>
        </is>
      </c>
      <c r="D2530" s="14" t="inlineStr">
        <is>
          <t>[Repairs and Painting, Polishing, Sanitary, and Other Misc. Works In Various Cabin Of New Building (First and Second Floor ) At Vidhanbhavan, Nagpur. (ONLY FOR SOCIETY).]</t>
        </is>
      </c>
      <c r="E2530" s="14" t="inlineStr">
        <is>
          <t>Maharashtra Public Works &amp; Technology Department</t>
        </is>
      </c>
      <c r="F2530" s="13" t="inlineStr">
        <is>
          <t>26 Jul 2026</t>
        </is>
      </c>
      <c r="G2530" s="12" t="inlineStr">
        <is>
          <t>18 Aug 2026</t>
        </is>
      </c>
      <c r="H2530" s="8" t="inlineStr">
        <is>
          <t>⏳ UPCOMING</t>
        </is>
      </c>
      <c r="I2530" s="11" t="inlineStr">
        <is>
          <t>BOQ_2297048.xls</t>
        </is>
      </c>
      <c r="J2530" s="13" t="inlineStr">
        <is>
          <t>📊 Excel BOQ</t>
        </is>
      </c>
      <c r="K2530" s="15" t="n">
        <v>2.5</v>
      </c>
      <c r="L2530" s="16">
        <f>HYPERLINK("http://127.0.0.1:8000/api/documents/download?id=552&amp;attachment=true", "⬇ Download BOQ_2297048.xls")</f>
        <v/>
      </c>
      <c r="M2530" s="16">
        <f>HYPERLINK("http://localhost:5173/?state=Maharashtra&amp;keyword=MIS&amp;tender=2026_PWR_1344019_1", "🚀 Open in Portal")</f>
        <v/>
      </c>
    </row>
    <row r="2531" ht="24" customHeight="1">
      <c r="A2531" s="4" t="inlineStr">
        <is>
          <t>Maharashtra</t>
        </is>
      </c>
      <c r="B2531" s="5" t="inlineStr">
        <is>
          <t>MIS</t>
        </is>
      </c>
      <c r="C2531" s="6" t="inlineStr">
        <is>
          <t>2026_PWR_1344019_1</t>
        </is>
      </c>
      <c r="D2531" s="7" t="inlineStr">
        <is>
          <t>[Repairs and Painting, Polishing, Sanitary, and Other Misc. Works In Various Cabin Of New Building (First and Second Floor ) At Vidhanbhavan, Nagpur. (ONLY FOR SOCIETY).]</t>
        </is>
      </c>
      <c r="E2531" s="7" t="inlineStr">
        <is>
          <t>Maharashtra Public Works &amp; Technology Department</t>
        </is>
      </c>
      <c r="F2531" s="6" t="inlineStr">
        <is>
          <t>26 Jul 2026</t>
        </is>
      </c>
      <c r="G2531" s="5" t="inlineStr">
        <is>
          <t>18 Aug 2026</t>
        </is>
      </c>
      <c r="H2531" s="8" t="inlineStr">
        <is>
          <t>⏳ UPCOMING</t>
        </is>
      </c>
      <c r="I2531" s="4" t="inlineStr">
        <is>
          <t>Tender_2026_PWR_1344019_1_All_Documents.zip</t>
        </is>
      </c>
      <c r="J2531" s="6" t="inlineStr">
        <is>
          <t>📦 ZIP Package</t>
        </is>
      </c>
      <c r="K2531" s="9" t="n">
        <v>11.6</v>
      </c>
      <c r="L2531" s="10">
        <f>HYPERLINK("http://127.0.0.1:8000/api/documents/download?id=553&amp;attachment=true", "⬇ Download Tender_2026_PWR_1344019_")</f>
        <v/>
      </c>
      <c r="M2531" s="10">
        <f>HYPERLINK("http://localhost:5173/?state=Maharashtra&amp;keyword=MIS&amp;tender=2026_PWR_1344019_1", "🚀 Open in Portal")</f>
        <v/>
      </c>
    </row>
    <row r="2532" ht="24" customHeight="1">
      <c r="A2532" s="11" t="inlineStr">
        <is>
          <t>Maharashtra</t>
        </is>
      </c>
      <c r="B2532" s="12" t="inlineStr">
        <is>
          <t>MIS</t>
        </is>
      </c>
      <c r="C2532" s="13" t="inlineStr">
        <is>
          <t>2026_PWR_1344022_1</t>
        </is>
      </c>
      <c r="D2532" s="14" t="inlineStr">
        <is>
          <t>[Repairs and Providing Painting, Polishing, Sanitary, and Other Misc. Works In Various Cabin Of New Anex Building (Ground Floor) at Vidhanbhavan, Nagpur. (ONLY FOR SOCIETY).]</t>
        </is>
      </c>
      <c r="E2532" s="14" t="inlineStr">
        <is>
          <t>Maharashtra Public Works &amp; Technology Department</t>
        </is>
      </c>
      <c r="F2532" s="13" t="inlineStr">
        <is>
          <t>24 Jul 2026</t>
        </is>
      </c>
      <c r="G2532" s="12" t="inlineStr">
        <is>
          <t>16 Aug 2026</t>
        </is>
      </c>
      <c r="H2532" s="8" t="inlineStr">
        <is>
          <t>⏳ UPCOMING</t>
        </is>
      </c>
      <c r="I2532" s="11" t="inlineStr">
        <is>
          <t>Tendernotice_1.pdf</t>
        </is>
      </c>
      <c r="J2532" s="13" t="inlineStr">
        <is>
          <t>📕 PDF Document</t>
        </is>
      </c>
      <c r="K2532" s="15" t="n">
        <v>17.8</v>
      </c>
      <c r="L2532" s="16">
        <f>HYPERLINK("http://127.0.0.1:8000/api/documents/download?id=548&amp;attachment=true", "⬇ Download Tendernotice_1.pdf")</f>
        <v/>
      </c>
      <c r="M2532" s="16">
        <f>HYPERLINK("http://localhost:5173/?state=Maharashtra&amp;keyword=MIS&amp;tender=2026_PWR_1344022_1", "🚀 Open in Portal")</f>
        <v/>
      </c>
    </row>
    <row r="2533" ht="24" customHeight="1">
      <c r="A2533" s="4" t="inlineStr">
        <is>
          <t>Maharashtra</t>
        </is>
      </c>
      <c r="B2533" s="5" t="inlineStr">
        <is>
          <t>MIS</t>
        </is>
      </c>
      <c r="C2533" s="6" t="inlineStr">
        <is>
          <t>2026_PWR_1344022_1</t>
        </is>
      </c>
      <c r="D2533" s="7" t="inlineStr">
        <is>
          <t>[Repairs and Providing Painting, Polishing, Sanitary, and Other Misc. Works In Various Cabin Of New Anex Building (Ground Floor) at Vidhanbhavan, Nagpur. (ONLY FOR SOCIETY).]</t>
        </is>
      </c>
      <c r="E2533" s="7" t="inlineStr">
        <is>
          <t>Maharashtra Public Works &amp; Technology Department</t>
        </is>
      </c>
      <c r="F2533" s="6" t="inlineStr">
        <is>
          <t>24 Jul 2026</t>
        </is>
      </c>
      <c r="G2533" s="5" t="inlineStr">
        <is>
          <t>16 Aug 2026</t>
        </is>
      </c>
      <c r="H2533" s="8" t="inlineStr">
        <is>
          <t>⏳ UPCOMING</t>
        </is>
      </c>
      <c r="I2533" s="4" t="inlineStr">
        <is>
          <t>BOQ_2297053.xls</t>
        </is>
      </c>
      <c r="J2533" s="6" t="inlineStr">
        <is>
          <t>📊 Excel BOQ</t>
        </is>
      </c>
      <c r="K2533" s="9" t="n">
        <v>2.5</v>
      </c>
      <c r="L2533" s="10">
        <f>HYPERLINK("http://127.0.0.1:8000/api/documents/download?id=549&amp;attachment=true", "⬇ Download BOQ_2297053.xls")</f>
        <v/>
      </c>
      <c r="M2533" s="10">
        <f>HYPERLINK("http://localhost:5173/?state=Maharashtra&amp;keyword=MIS&amp;tender=2026_PWR_1344022_1", "🚀 Open in Portal")</f>
        <v/>
      </c>
    </row>
    <row r="2534" ht="24" customHeight="1">
      <c r="A2534" s="11" t="inlineStr">
        <is>
          <t>Maharashtra</t>
        </is>
      </c>
      <c r="B2534" s="12" t="inlineStr">
        <is>
          <t>MIS</t>
        </is>
      </c>
      <c r="C2534" s="13" t="inlineStr">
        <is>
          <t>2026_PWR_1344022_1</t>
        </is>
      </c>
      <c r="D2534" s="14" t="inlineStr">
        <is>
          <t>[Repairs and Providing Painting, Polishing, Sanitary, and Other Misc. Works In Various Cabin Of New Anex Building (Ground Floor) at Vidhanbhavan, Nagpur. (ONLY FOR SOCIETY).]</t>
        </is>
      </c>
      <c r="E2534" s="14" t="inlineStr">
        <is>
          <t>Maharashtra Public Works &amp; Technology Department</t>
        </is>
      </c>
      <c r="F2534" s="13" t="inlineStr">
        <is>
          <t>24 Jul 2026</t>
        </is>
      </c>
      <c r="G2534" s="12" t="inlineStr">
        <is>
          <t>16 Aug 2026</t>
        </is>
      </c>
      <c r="H2534" s="8" t="inlineStr">
        <is>
          <t>⏳ UPCOMING</t>
        </is>
      </c>
      <c r="I2534" s="11" t="inlineStr">
        <is>
          <t>Tender_2026_PWR_1344022_1_All_Documents.zip</t>
        </is>
      </c>
      <c r="J2534" s="13" t="inlineStr">
        <is>
          <t>📦 ZIP Package</t>
        </is>
      </c>
      <c r="K2534" s="15" t="n">
        <v>11.6</v>
      </c>
      <c r="L2534" s="16">
        <f>HYPERLINK("http://127.0.0.1:8000/api/documents/download?id=550&amp;attachment=true", "⬇ Download Tender_2026_PWR_1344022_")</f>
        <v/>
      </c>
      <c r="M2534" s="16">
        <f>HYPERLINK("http://localhost:5173/?state=Maharashtra&amp;keyword=MIS&amp;tender=2026_PWR_1344022_1", "🚀 Open in Portal")</f>
        <v/>
      </c>
    </row>
    <row r="2535" ht="24" customHeight="1">
      <c r="A2535" s="4" t="inlineStr">
        <is>
          <t>Maharashtra</t>
        </is>
      </c>
      <c r="B2535" s="5" t="inlineStr">
        <is>
          <t>MIS</t>
        </is>
      </c>
      <c r="C2535" s="6" t="inlineStr">
        <is>
          <t>2026_PWR_1344035_2</t>
        </is>
      </c>
      <c r="D2535" s="7" t="inlineStr">
        <is>
          <t>[Installation of Lift at police commissioner old Building corner side at CP office compound, L.T. Marg, Mumbai.]</t>
        </is>
      </c>
      <c r="E2535" s="7" t="inlineStr">
        <is>
          <t>Maharashtra Public Works &amp; Technology Department</t>
        </is>
      </c>
      <c r="F2535" s="6" t="inlineStr">
        <is>
          <t>09 Oct 2026</t>
        </is>
      </c>
      <c r="G2535" s="5" t="inlineStr">
        <is>
          <t>06 Nov 2026</t>
        </is>
      </c>
      <c r="H2535" s="17" t="inlineStr">
        <is>
          <t>🟢 LIVE ACTIVE</t>
        </is>
      </c>
      <c r="I2535" s="4" t="inlineStr">
        <is>
          <t>Tendernotice_1.pdf</t>
        </is>
      </c>
      <c r="J2535" s="6" t="inlineStr">
        <is>
          <t>📕 PDF Document</t>
        </is>
      </c>
      <c r="K2535" s="9" t="n">
        <v>17.9</v>
      </c>
      <c r="L2535" s="10">
        <f>HYPERLINK("http://127.0.0.1:8000/api/documents/download?id=518&amp;attachment=true", "⬇ Download Tendernotice_1.pdf")</f>
        <v/>
      </c>
      <c r="M2535" s="10">
        <f>HYPERLINK("http://localhost:5173/?state=Maharashtra&amp;keyword=MIS&amp;tender=2026_PWR_1344035_2", "🚀 Open in Portal")</f>
        <v/>
      </c>
    </row>
    <row r="2536" ht="24" customHeight="1">
      <c r="A2536" s="11" t="inlineStr">
        <is>
          <t>Maharashtra</t>
        </is>
      </c>
      <c r="B2536" s="12" t="inlineStr">
        <is>
          <t>MIS</t>
        </is>
      </c>
      <c r="C2536" s="13" t="inlineStr">
        <is>
          <t>2026_PWR_1344035_2</t>
        </is>
      </c>
      <c r="D2536" s="14" t="inlineStr">
        <is>
          <t>[Installation of Lift at police commissioner old Building corner side at CP office compound, L.T. Marg, Mumbai.]</t>
        </is>
      </c>
      <c r="E2536" s="14" t="inlineStr">
        <is>
          <t>Maharashtra Public Works &amp; Technology Department</t>
        </is>
      </c>
      <c r="F2536" s="13" t="inlineStr">
        <is>
          <t>09 Oct 2026</t>
        </is>
      </c>
      <c r="G2536" s="12" t="inlineStr">
        <is>
          <t>06 Nov 2026</t>
        </is>
      </c>
      <c r="H2536" s="17" t="inlineStr">
        <is>
          <t>🟢 LIVE ACTIVE</t>
        </is>
      </c>
      <c r="I2536" s="11" t="inlineStr">
        <is>
          <t>DTP_2.pdf</t>
        </is>
      </c>
      <c r="J2536" s="13" t="inlineStr">
        <is>
          <t>📕 PDF Document</t>
        </is>
      </c>
      <c r="K2536" s="15" t="n">
        <v>17.8</v>
      </c>
      <c r="L2536" s="16">
        <f>HYPERLINK("http://127.0.0.1:8000/api/documents/download?id=519&amp;attachment=true", "⬇ Download DTP_2.pdf")</f>
        <v/>
      </c>
      <c r="M2536" s="16">
        <f>HYPERLINK("http://localhost:5173/?state=Maharashtra&amp;keyword=MIS&amp;tender=2026_PWR_1344035_2", "🚀 Open in Portal")</f>
        <v/>
      </c>
    </row>
    <row r="2537" ht="24" customHeight="1">
      <c r="A2537" s="4" t="inlineStr">
        <is>
          <t>Maharashtra</t>
        </is>
      </c>
      <c r="B2537" s="5" t="inlineStr">
        <is>
          <t>MIS</t>
        </is>
      </c>
      <c r="C2537" s="6" t="inlineStr">
        <is>
          <t>2026_PWR_1344035_2</t>
        </is>
      </c>
      <c r="D2537" s="7" t="inlineStr">
        <is>
          <t>[Installation of Lift at police commissioner old Building corner side at CP office compound, L.T. Marg, Mumbai.]</t>
        </is>
      </c>
      <c r="E2537" s="7" t="inlineStr">
        <is>
          <t>Maharashtra Public Works &amp; Technology Department</t>
        </is>
      </c>
      <c r="F2537" s="6" t="inlineStr">
        <is>
          <t>09 Oct 2026</t>
        </is>
      </c>
      <c r="G2537" s="5" t="inlineStr">
        <is>
          <t>06 Nov 2026</t>
        </is>
      </c>
      <c r="H2537" s="17" t="inlineStr">
        <is>
          <t>🟢 LIVE ACTIVE</t>
        </is>
      </c>
      <c r="I2537" s="4" t="inlineStr">
        <is>
          <t>BOQ_2297087.xls</t>
        </is>
      </c>
      <c r="J2537" s="6" t="inlineStr">
        <is>
          <t>📊 Excel BOQ</t>
        </is>
      </c>
      <c r="K2537" s="9" t="n">
        <v>2.5</v>
      </c>
      <c r="L2537" s="10">
        <f>HYPERLINK("http://127.0.0.1:8000/api/documents/download?id=520&amp;attachment=true", "⬇ Download BOQ_2297087.xls")</f>
        <v/>
      </c>
      <c r="M2537" s="10">
        <f>HYPERLINK("http://localhost:5173/?state=Maharashtra&amp;keyword=MIS&amp;tender=2026_PWR_1344035_2", "🚀 Open in Portal")</f>
        <v/>
      </c>
    </row>
    <row r="2538" ht="24" customHeight="1">
      <c r="A2538" s="11" t="inlineStr">
        <is>
          <t>Maharashtra</t>
        </is>
      </c>
      <c r="B2538" s="12" t="inlineStr">
        <is>
          <t>MIS</t>
        </is>
      </c>
      <c r="C2538" s="13" t="inlineStr">
        <is>
          <t>2026_PWR_1344035_2</t>
        </is>
      </c>
      <c r="D2538" s="14" t="inlineStr">
        <is>
          <t>[Installation of Lift at police commissioner old Building corner side at CP office compound, L.T. Marg, Mumbai.]</t>
        </is>
      </c>
      <c r="E2538" s="14" t="inlineStr">
        <is>
          <t>Maharashtra Public Works &amp; Technology Department</t>
        </is>
      </c>
      <c r="F2538" s="13" t="inlineStr">
        <is>
          <t>09 Oct 2026</t>
        </is>
      </c>
      <c r="G2538" s="12" t="inlineStr">
        <is>
          <t>06 Nov 2026</t>
        </is>
      </c>
      <c r="H2538" s="17" t="inlineStr">
        <is>
          <t>🟢 LIVE ACTIVE</t>
        </is>
      </c>
      <c r="I2538" s="11" t="inlineStr">
        <is>
          <t>Tender_2026_PWR_1344035_2_All_Documents.zip</t>
        </is>
      </c>
      <c r="J2538" s="13" t="inlineStr">
        <is>
          <t>📦 ZIP Package</t>
        </is>
      </c>
      <c r="K2538" s="15" t="n">
        <v>20.8</v>
      </c>
      <c r="L2538" s="16">
        <f>HYPERLINK("http://127.0.0.1:8000/api/documents/download?id=521&amp;attachment=true", "⬇ Download Tender_2026_PWR_1344035_")</f>
        <v/>
      </c>
      <c r="M2538" s="16">
        <f>HYPERLINK("http://localhost:5173/?state=Maharashtra&amp;keyword=MIS&amp;tender=2026_PWR_1344035_2", "🚀 Open in Portal")</f>
        <v/>
      </c>
    </row>
    <row r="2539" ht="24" customHeight="1">
      <c r="A2539" s="4" t="inlineStr">
        <is>
          <t>Maharashtra</t>
        </is>
      </c>
      <c r="B2539" s="5" t="inlineStr">
        <is>
          <t>MIS</t>
        </is>
      </c>
      <c r="C2539" s="6" t="inlineStr">
        <is>
          <t>2026_PWR_1344045_1</t>
        </is>
      </c>
      <c r="D2539" s="7" t="inlineStr">
        <is>
          <t>[REPAIRS TO ROOFING, SANITARY BLOCK, FLOORING AND COLOURING AT BARRACK NO 1 AND 2 FOR SRPF AND FINGERPRINT OFFICE AND CANTEEN AT POLICE CONTROL ROOM PREMISES FOR WINTER ASSEMBLY - 2026 AT NAGPUR. (ONLY FOR SOCIETY).]</t>
        </is>
      </c>
      <c r="E2539" s="7" t="inlineStr">
        <is>
          <t>Maharashtra Public Works &amp; Technology Department</t>
        </is>
      </c>
      <c r="F2539" s="6" t="inlineStr">
        <is>
          <t>11 Oct 2026</t>
        </is>
      </c>
      <c r="G2539" s="5" t="inlineStr">
        <is>
          <t>23 Oct 2026</t>
        </is>
      </c>
      <c r="H2539" s="17" t="inlineStr">
        <is>
          <t>🟢 LIVE ACTIVE</t>
        </is>
      </c>
      <c r="I2539" s="4" t="inlineStr">
        <is>
          <t>Tendernotice_1.pdf</t>
        </is>
      </c>
      <c r="J2539" s="6" t="inlineStr">
        <is>
          <t>📕 PDF Document</t>
        </is>
      </c>
      <c r="K2539" s="9" t="n">
        <v>17.8</v>
      </c>
      <c r="L2539" s="10">
        <f>HYPERLINK("http://127.0.0.1:8000/api/documents/download?id=522&amp;attachment=true", "⬇ Download Tendernotice_1.pdf")</f>
        <v/>
      </c>
      <c r="M2539" s="10">
        <f>HYPERLINK("http://localhost:5173/?state=Maharashtra&amp;keyword=MIS&amp;tender=2026_PWR_1344045_1", "🚀 Open in Portal")</f>
        <v/>
      </c>
    </row>
    <row r="2540" ht="24" customHeight="1">
      <c r="A2540" s="11" t="inlineStr">
        <is>
          <t>Maharashtra</t>
        </is>
      </c>
      <c r="B2540" s="12" t="inlineStr">
        <is>
          <t>MIS</t>
        </is>
      </c>
      <c r="C2540" s="13" t="inlineStr">
        <is>
          <t>2026_PWR_1344045_1</t>
        </is>
      </c>
      <c r="D2540" s="14" t="inlineStr">
        <is>
          <t>[REPAIRS TO ROOFING, SANITARY BLOCK, FLOORING AND COLOURING AT BARRACK NO 1 AND 2 FOR SRPF AND FINGERPRINT OFFICE AND CANTEEN AT POLICE CONTROL ROOM PREMISES FOR WINTER ASSEMBLY - 2026 AT NAGPUR. (ONLY FOR SOCIETY).]</t>
        </is>
      </c>
      <c r="E2540" s="14" t="inlineStr">
        <is>
          <t>Maharashtra Public Works &amp; Technology Department</t>
        </is>
      </c>
      <c r="F2540" s="13" t="inlineStr">
        <is>
          <t>11 Oct 2026</t>
        </is>
      </c>
      <c r="G2540" s="12" t="inlineStr">
        <is>
          <t>23 Oct 2026</t>
        </is>
      </c>
      <c r="H2540" s="17" t="inlineStr">
        <is>
          <t>🟢 LIVE ACTIVE</t>
        </is>
      </c>
      <c r="I2540" s="11" t="inlineStr">
        <is>
          <t>BOQ_2297073.xls</t>
        </is>
      </c>
      <c r="J2540" s="13" t="inlineStr">
        <is>
          <t>📊 Excel BOQ</t>
        </is>
      </c>
      <c r="K2540" s="15" t="n">
        <v>2.5</v>
      </c>
      <c r="L2540" s="16">
        <f>HYPERLINK("http://127.0.0.1:8000/api/documents/download?id=523&amp;attachment=true", "⬇ Download BOQ_2297073.xls")</f>
        <v/>
      </c>
      <c r="M2540" s="16">
        <f>HYPERLINK("http://localhost:5173/?state=Maharashtra&amp;keyword=MIS&amp;tender=2026_PWR_1344045_1", "🚀 Open in Portal")</f>
        <v/>
      </c>
    </row>
    <row r="2541" ht="24" customHeight="1">
      <c r="A2541" s="4" t="inlineStr">
        <is>
          <t>Maharashtra</t>
        </is>
      </c>
      <c r="B2541" s="5" t="inlineStr">
        <is>
          <t>MIS</t>
        </is>
      </c>
      <c r="C2541" s="6" t="inlineStr">
        <is>
          <t>2026_PWR_1344045_1</t>
        </is>
      </c>
      <c r="D2541" s="7" t="inlineStr">
        <is>
          <t>[REPAIRS TO ROOFING, SANITARY BLOCK, FLOORING AND COLOURING AT BARRACK NO 1 AND 2 FOR SRPF AND FINGERPRINT OFFICE AND CANTEEN AT POLICE CONTROL ROOM PREMISES FOR WINTER ASSEMBLY - 2026 AT NAGPUR. (ONLY FOR SOCIETY).]</t>
        </is>
      </c>
      <c r="E2541" s="7" t="inlineStr">
        <is>
          <t>Maharashtra Public Works &amp; Technology Department</t>
        </is>
      </c>
      <c r="F2541" s="6" t="inlineStr">
        <is>
          <t>11 Oct 2026</t>
        </is>
      </c>
      <c r="G2541" s="5" t="inlineStr">
        <is>
          <t>23 Oct 2026</t>
        </is>
      </c>
      <c r="H2541" s="17" t="inlineStr">
        <is>
          <t>🟢 LIVE ACTIVE</t>
        </is>
      </c>
      <c r="I2541" s="4" t="inlineStr">
        <is>
          <t>Tender_2026_PWR_1344045_1_All_Documents.zip</t>
        </is>
      </c>
      <c r="J2541" s="6" t="inlineStr">
        <is>
          <t>📦 ZIP Package</t>
        </is>
      </c>
      <c r="K2541" s="9" t="n">
        <v>11.6</v>
      </c>
      <c r="L2541" s="10">
        <f>HYPERLINK("http://127.0.0.1:8000/api/documents/download?id=524&amp;attachment=true", "⬇ Download Tender_2026_PWR_1344045_")</f>
        <v/>
      </c>
      <c r="M2541" s="10">
        <f>HYPERLINK("http://localhost:5173/?state=Maharashtra&amp;keyword=MIS&amp;tender=2026_PWR_1344045_1", "🚀 Open in Portal")</f>
        <v/>
      </c>
    </row>
    <row r="2542" ht="24" customHeight="1">
      <c r="A2542" s="11" t="inlineStr">
        <is>
          <t>Maharashtra</t>
        </is>
      </c>
      <c r="B2542" s="12" t="inlineStr">
        <is>
          <t>MIS</t>
        </is>
      </c>
      <c r="C2542" s="13" t="inlineStr">
        <is>
          <t>2026_PWR_1344051_1</t>
        </is>
      </c>
      <c r="D2542" s="14" t="inlineStr">
        <is>
          <t>[REPAIRS TO ROOFING, COLOURING AND SANITARY BLOCK AT SPECIAL PROTECTION UNIT (OLD FOREIGN PASSPORT OFFICE) AND DISTRICT COMMANDANT HOME GUARD OFFICE AT POLICE CONTROL ROOM PREMISES FOR WINTER ASSEMBLY - 2026 AT NAGPUR. (ONLY FOR SOCIETY).]</t>
        </is>
      </c>
      <c r="E2542" s="14" t="inlineStr">
        <is>
          <t>Maharashtra Public Works &amp; Technology Department</t>
        </is>
      </c>
      <c r="F2542" s="13" t="inlineStr">
        <is>
          <t>26 Oct 2026</t>
        </is>
      </c>
      <c r="G2542" s="12" t="inlineStr">
        <is>
          <t>16 Nov 2026</t>
        </is>
      </c>
      <c r="H2542" s="8" t="inlineStr">
        <is>
          <t>⏳ UPCOMING</t>
        </is>
      </c>
      <c r="I2542" s="11" t="inlineStr">
        <is>
          <t>Tendernotice_1.pdf</t>
        </is>
      </c>
      <c r="J2542" s="13" t="inlineStr">
        <is>
          <t>📕 PDF Document</t>
        </is>
      </c>
      <c r="K2542" s="15" t="n">
        <v>17.9</v>
      </c>
      <c r="L2542" s="16">
        <f>HYPERLINK("http://127.0.0.1:8000/api/documents/download?id=535&amp;attachment=true", "⬇ Download Tendernotice_1.pdf")</f>
        <v/>
      </c>
      <c r="M2542" s="16">
        <f>HYPERLINK("http://localhost:5173/?state=Maharashtra&amp;keyword=MIS&amp;tender=2026_PWR_1344051_1", "🚀 Open in Portal")</f>
        <v/>
      </c>
    </row>
    <row r="2543" ht="24" customHeight="1">
      <c r="A2543" s="4" t="inlineStr">
        <is>
          <t>Maharashtra</t>
        </is>
      </c>
      <c r="B2543" s="5" t="inlineStr">
        <is>
          <t>MIS</t>
        </is>
      </c>
      <c r="C2543" s="6" t="inlineStr">
        <is>
          <t>2026_PWR_1344051_1</t>
        </is>
      </c>
      <c r="D2543" s="7" t="inlineStr">
        <is>
          <t>[REPAIRS TO ROOFING, COLOURING AND SANITARY BLOCK AT SPECIAL PROTECTION UNIT (OLD FOREIGN PASSPORT OFFICE) AND DISTRICT COMMANDANT HOME GUARD OFFICE AT POLICE CONTROL ROOM PREMISES FOR WINTER ASSEMBLY - 2026 AT NAGPUR. (ONLY FOR SOCIETY).]</t>
        </is>
      </c>
      <c r="E2543" s="7" t="inlineStr">
        <is>
          <t>Maharashtra Public Works &amp; Technology Department</t>
        </is>
      </c>
      <c r="F2543" s="6" t="inlineStr">
        <is>
          <t>26 Oct 2026</t>
        </is>
      </c>
      <c r="G2543" s="5" t="inlineStr">
        <is>
          <t>16 Nov 2026</t>
        </is>
      </c>
      <c r="H2543" s="8" t="inlineStr">
        <is>
          <t>⏳ UPCOMING</t>
        </is>
      </c>
      <c r="I2543" s="4" t="inlineStr">
        <is>
          <t>BOQ_2297080.xls</t>
        </is>
      </c>
      <c r="J2543" s="6" t="inlineStr">
        <is>
          <t>📊 Excel BOQ</t>
        </is>
      </c>
      <c r="K2543" s="9" t="n">
        <v>2.6</v>
      </c>
      <c r="L2543" s="10">
        <f>HYPERLINK("http://127.0.0.1:8000/api/documents/download?id=536&amp;attachment=true", "⬇ Download BOQ_2297080.xls")</f>
        <v/>
      </c>
      <c r="M2543" s="10">
        <f>HYPERLINK("http://localhost:5173/?state=Maharashtra&amp;keyword=MIS&amp;tender=2026_PWR_1344051_1", "🚀 Open in Portal")</f>
        <v/>
      </c>
    </row>
    <row r="2544" ht="24" customHeight="1">
      <c r="A2544" s="11" t="inlineStr">
        <is>
          <t>Maharashtra</t>
        </is>
      </c>
      <c r="B2544" s="12" t="inlineStr">
        <is>
          <t>MIS</t>
        </is>
      </c>
      <c r="C2544" s="13" t="inlineStr">
        <is>
          <t>2026_PWR_1344051_1</t>
        </is>
      </c>
      <c r="D2544" s="14" t="inlineStr">
        <is>
          <t>[REPAIRS TO ROOFING, COLOURING AND SANITARY BLOCK AT SPECIAL PROTECTION UNIT (OLD FOREIGN PASSPORT OFFICE) AND DISTRICT COMMANDANT HOME GUARD OFFICE AT POLICE CONTROL ROOM PREMISES FOR WINTER ASSEMBLY - 2026 AT NAGPUR. (ONLY FOR SOCIETY).]</t>
        </is>
      </c>
      <c r="E2544" s="14" t="inlineStr">
        <is>
          <t>Maharashtra Public Works &amp; Technology Department</t>
        </is>
      </c>
      <c r="F2544" s="13" t="inlineStr">
        <is>
          <t>26 Oct 2026</t>
        </is>
      </c>
      <c r="G2544" s="12" t="inlineStr">
        <is>
          <t>16 Nov 2026</t>
        </is>
      </c>
      <c r="H2544" s="8" t="inlineStr">
        <is>
          <t>⏳ UPCOMING</t>
        </is>
      </c>
      <c r="I2544" s="11" t="inlineStr">
        <is>
          <t>Tender_2026_PWR_1344051_1_All_Documents.zip</t>
        </is>
      </c>
      <c r="J2544" s="13" t="inlineStr">
        <is>
          <t>📦 ZIP Package</t>
        </is>
      </c>
      <c r="K2544" s="15" t="n">
        <v>11.7</v>
      </c>
      <c r="L2544" s="16">
        <f>HYPERLINK("http://127.0.0.1:8000/api/documents/download?id=537&amp;attachment=true", "⬇ Download Tender_2026_PWR_1344051_")</f>
        <v/>
      </c>
      <c r="M2544" s="16">
        <f>HYPERLINK("http://localhost:5173/?state=Maharashtra&amp;keyword=MIS&amp;tender=2026_PWR_1344051_1", "🚀 Open in Portal")</f>
        <v/>
      </c>
    </row>
    <row r="2545" ht="24" customHeight="1">
      <c r="A2545" s="4" t="inlineStr">
        <is>
          <t>Maharashtra</t>
        </is>
      </c>
      <c r="B2545" s="5" t="inlineStr">
        <is>
          <t>MIS</t>
        </is>
      </c>
      <c r="C2545" s="6" t="inlineStr">
        <is>
          <t>2026_PWR_1344059_1</t>
        </is>
      </c>
      <c r="D2545" s="7" t="inlineStr">
        <is>
          <t>[REPAIRS TO FLOORING, DOORS AND WINDOWS, WATER SUPPLY SANITARY ARRANGEMENT, COLOURING, PAINTING AND MISC. REPAIR WORKS TO BUILDING NO.1 AND BUILDING NO.2 AT 160 TENAMENT CIVIL LINE, NAGPUR (ONLY FOR SOCIETY).]</t>
        </is>
      </c>
      <c r="E2545" s="7" t="inlineStr">
        <is>
          <t>Maharashtra Public Works &amp; Technology Department</t>
        </is>
      </c>
      <c r="F2545" s="6" t="inlineStr">
        <is>
          <t>17 Oct 2026</t>
        </is>
      </c>
      <c r="G2545" s="5" t="inlineStr">
        <is>
          <t>18 Nov 2026</t>
        </is>
      </c>
      <c r="H2545" s="17" t="inlineStr">
        <is>
          <t>🟢 LIVE ACTIVE</t>
        </is>
      </c>
      <c r="I2545" s="4" t="inlineStr">
        <is>
          <t>Tendernotice_1.pdf</t>
        </is>
      </c>
      <c r="J2545" s="6" t="inlineStr">
        <is>
          <t>📕 PDF Document</t>
        </is>
      </c>
      <c r="K2545" s="9" t="n">
        <v>17.9</v>
      </c>
      <c r="L2545" s="10">
        <f>HYPERLINK("http://127.0.0.1:8000/api/documents/download?id=532&amp;attachment=true", "⬇ Download Tendernotice_1.pdf")</f>
        <v/>
      </c>
      <c r="M2545" s="10">
        <f>HYPERLINK("http://localhost:5173/?state=Maharashtra&amp;keyword=MIS&amp;tender=2026_PWR_1344059_1", "🚀 Open in Portal")</f>
        <v/>
      </c>
    </row>
    <row r="2546" ht="24" customHeight="1">
      <c r="A2546" s="11" t="inlineStr">
        <is>
          <t>Maharashtra</t>
        </is>
      </c>
      <c r="B2546" s="12" t="inlineStr">
        <is>
          <t>MIS</t>
        </is>
      </c>
      <c r="C2546" s="13" t="inlineStr">
        <is>
          <t>2026_PWR_1344059_1</t>
        </is>
      </c>
      <c r="D2546" s="14" t="inlineStr">
        <is>
          <t>[REPAIRS TO FLOORING, DOORS AND WINDOWS, WATER SUPPLY SANITARY ARRANGEMENT, COLOURING, PAINTING AND MISC. REPAIR WORKS TO BUILDING NO.1 AND BUILDING NO.2 AT 160 TENAMENT CIVIL LINE, NAGPUR (ONLY FOR SOCIETY).]</t>
        </is>
      </c>
      <c r="E2546" s="14" t="inlineStr">
        <is>
          <t>Maharashtra Public Works &amp; Technology Department</t>
        </is>
      </c>
      <c r="F2546" s="13" t="inlineStr">
        <is>
          <t>17 Oct 2026</t>
        </is>
      </c>
      <c r="G2546" s="12" t="inlineStr">
        <is>
          <t>18 Nov 2026</t>
        </is>
      </c>
      <c r="H2546" s="17" t="inlineStr">
        <is>
          <t>🟢 LIVE ACTIVE</t>
        </is>
      </c>
      <c r="I2546" s="11" t="inlineStr">
        <is>
          <t>BOQ_2297086.xls</t>
        </is>
      </c>
      <c r="J2546" s="13" t="inlineStr">
        <is>
          <t>📊 Excel BOQ</t>
        </is>
      </c>
      <c r="K2546" s="15" t="n">
        <v>2.5</v>
      </c>
      <c r="L2546" s="16">
        <f>HYPERLINK("http://127.0.0.1:8000/api/documents/download?id=533&amp;attachment=true", "⬇ Download BOQ_2297086.xls")</f>
        <v/>
      </c>
      <c r="M2546" s="16">
        <f>HYPERLINK("http://localhost:5173/?state=Maharashtra&amp;keyword=MIS&amp;tender=2026_PWR_1344059_1", "🚀 Open in Portal")</f>
        <v/>
      </c>
    </row>
    <row r="2547" ht="24" customHeight="1">
      <c r="A2547" s="4" t="inlineStr">
        <is>
          <t>Maharashtra</t>
        </is>
      </c>
      <c r="B2547" s="5" t="inlineStr">
        <is>
          <t>MIS</t>
        </is>
      </c>
      <c r="C2547" s="6" t="inlineStr">
        <is>
          <t>2026_PWR_1344059_1</t>
        </is>
      </c>
      <c r="D2547" s="7" t="inlineStr">
        <is>
          <t>[REPAIRS TO FLOORING, DOORS AND WINDOWS, WATER SUPPLY SANITARY ARRANGEMENT, COLOURING, PAINTING AND MISC. REPAIR WORKS TO BUILDING NO.1 AND BUILDING NO.2 AT 160 TENAMENT CIVIL LINE, NAGPUR (ONLY FOR SOCIETY).]</t>
        </is>
      </c>
      <c r="E2547" s="7" t="inlineStr">
        <is>
          <t>Maharashtra Public Works &amp; Technology Department</t>
        </is>
      </c>
      <c r="F2547" s="6" t="inlineStr">
        <is>
          <t>17 Oct 2026</t>
        </is>
      </c>
      <c r="G2547" s="5" t="inlineStr">
        <is>
          <t>18 Nov 2026</t>
        </is>
      </c>
      <c r="H2547" s="17" t="inlineStr">
        <is>
          <t>🟢 LIVE ACTIVE</t>
        </is>
      </c>
      <c r="I2547" s="4" t="inlineStr">
        <is>
          <t>Tender_2026_PWR_1344059_1_All_Documents.zip</t>
        </is>
      </c>
      <c r="J2547" s="6" t="inlineStr">
        <is>
          <t>📦 ZIP Package</t>
        </is>
      </c>
      <c r="K2547" s="9" t="n">
        <v>11.6</v>
      </c>
      <c r="L2547" s="10">
        <f>HYPERLINK("http://127.0.0.1:8000/api/documents/download?id=534&amp;attachment=true", "⬇ Download Tender_2026_PWR_1344059_")</f>
        <v/>
      </c>
      <c r="M2547" s="10">
        <f>HYPERLINK("http://localhost:5173/?state=Maharashtra&amp;keyword=MIS&amp;tender=2026_PWR_1344059_1", "🚀 Open in Portal")</f>
        <v/>
      </c>
    </row>
    <row r="2548" ht="24" customHeight="1">
      <c r="A2548" s="11" t="inlineStr">
        <is>
          <t>Maharashtra</t>
        </is>
      </c>
      <c r="B2548" s="12" t="inlineStr">
        <is>
          <t>MIS</t>
        </is>
      </c>
      <c r="C2548" s="13" t="inlineStr">
        <is>
          <t>2026_PWR_1344064_1</t>
        </is>
      </c>
      <c r="D2548" s="14" t="inlineStr">
        <is>
          <t>[MISC. WORKS AND REPAIRS TO MINISTER COTTAGES NO 22 AND 23 IN DEOGIRI PREMISES NAGPUR. (ONLY FOR SOCIETY).]</t>
        </is>
      </c>
      <c r="E2548" s="14" t="inlineStr">
        <is>
          <t>Maharashtra Public Works &amp; Technology Department</t>
        </is>
      </c>
      <c r="F2548" s="13" t="inlineStr">
        <is>
          <t>15 Oct 2026</t>
        </is>
      </c>
      <c r="G2548" s="12" t="inlineStr">
        <is>
          <t>07 Nov 2026</t>
        </is>
      </c>
      <c r="H2548" s="17" t="inlineStr">
        <is>
          <t>🟢 LIVE ACTIVE</t>
        </is>
      </c>
      <c r="I2548" s="11" t="inlineStr">
        <is>
          <t>Tendernotice_1.pdf</t>
        </is>
      </c>
      <c r="J2548" s="13" t="inlineStr">
        <is>
          <t>📕 PDF Document</t>
        </is>
      </c>
      <c r="K2548" s="15" t="n">
        <v>17.9</v>
      </c>
      <c r="L2548" s="16">
        <f>HYPERLINK("http://127.0.0.1:8000/api/documents/download?id=529&amp;attachment=true", "⬇ Download Tendernotice_1.pdf")</f>
        <v/>
      </c>
      <c r="M2548" s="16">
        <f>HYPERLINK("http://localhost:5173/?state=Maharashtra&amp;keyword=MIS&amp;tender=2026_PWR_1344064_1", "🚀 Open in Portal")</f>
        <v/>
      </c>
    </row>
    <row r="2549" ht="24" customHeight="1">
      <c r="A2549" s="4" t="inlineStr">
        <is>
          <t>Maharashtra</t>
        </is>
      </c>
      <c r="B2549" s="5" t="inlineStr">
        <is>
          <t>MIS</t>
        </is>
      </c>
      <c r="C2549" s="6" t="inlineStr">
        <is>
          <t>2026_PWR_1344064_1</t>
        </is>
      </c>
      <c r="D2549" s="7" t="inlineStr">
        <is>
          <t>[MISC. WORKS AND REPAIRS TO MINISTER COTTAGES NO 22 AND 23 IN DEOGIRI PREMISES NAGPUR. (ONLY FOR SOCIETY).]</t>
        </is>
      </c>
      <c r="E2549" s="7" t="inlineStr">
        <is>
          <t>Maharashtra Public Works &amp; Technology Department</t>
        </is>
      </c>
      <c r="F2549" s="6" t="inlineStr">
        <is>
          <t>15 Oct 2026</t>
        </is>
      </c>
      <c r="G2549" s="5" t="inlineStr">
        <is>
          <t>07 Nov 2026</t>
        </is>
      </c>
      <c r="H2549" s="17" t="inlineStr">
        <is>
          <t>🟢 LIVE ACTIVE</t>
        </is>
      </c>
      <c r="I2549" s="4" t="inlineStr">
        <is>
          <t>BOQ_2297098.xls</t>
        </is>
      </c>
      <c r="J2549" s="6" t="inlineStr">
        <is>
          <t>📊 Excel BOQ</t>
        </is>
      </c>
      <c r="K2549" s="9" t="n">
        <v>2.5</v>
      </c>
      <c r="L2549" s="10">
        <f>HYPERLINK("http://127.0.0.1:8000/api/documents/download?id=530&amp;attachment=true", "⬇ Download BOQ_2297098.xls")</f>
        <v/>
      </c>
      <c r="M2549" s="10">
        <f>HYPERLINK("http://localhost:5173/?state=Maharashtra&amp;keyword=MIS&amp;tender=2026_PWR_1344064_1", "🚀 Open in Portal")</f>
        <v/>
      </c>
    </row>
    <row r="2550" ht="24" customHeight="1">
      <c r="A2550" s="11" t="inlineStr">
        <is>
          <t>Maharashtra</t>
        </is>
      </c>
      <c r="B2550" s="12" t="inlineStr">
        <is>
          <t>MIS</t>
        </is>
      </c>
      <c r="C2550" s="13" t="inlineStr">
        <is>
          <t>2026_PWR_1344064_1</t>
        </is>
      </c>
      <c r="D2550" s="14" t="inlineStr">
        <is>
          <t>[MISC. WORKS AND REPAIRS TO MINISTER COTTAGES NO 22 AND 23 IN DEOGIRI PREMISES NAGPUR. (ONLY FOR SOCIETY).]</t>
        </is>
      </c>
      <c r="E2550" s="14" t="inlineStr">
        <is>
          <t>Maharashtra Public Works &amp; Technology Department</t>
        </is>
      </c>
      <c r="F2550" s="13" t="inlineStr">
        <is>
          <t>15 Oct 2026</t>
        </is>
      </c>
      <c r="G2550" s="12" t="inlineStr">
        <is>
          <t>07 Nov 2026</t>
        </is>
      </c>
      <c r="H2550" s="17" t="inlineStr">
        <is>
          <t>🟢 LIVE ACTIVE</t>
        </is>
      </c>
      <c r="I2550" s="11" t="inlineStr">
        <is>
          <t>Tender_2026_PWR_1344064_1_All_Documents.zip</t>
        </is>
      </c>
      <c r="J2550" s="13" t="inlineStr">
        <is>
          <t>📦 ZIP Package</t>
        </is>
      </c>
      <c r="K2550" s="15" t="n">
        <v>11.6</v>
      </c>
      <c r="L2550" s="16">
        <f>HYPERLINK("http://127.0.0.1:8000/api/documents/download?id=531&amp;attachment=true", "⬇ Download Tender_2026_PWR_1344064_")</f>
        <v/>
      </c>
      <c r="M2550" s="16">
        <f>HYPERLINK("http://localhost:5173/?state=Maharashtra&amp;keyword=MIS&amp;tender=2026_PWR_1344064_1", "🚀 Open in Portal")</f>
        <v/>
      </c>
    </row>
    <row r="2551" ht="24" customHeight="1">
      <c r="A2551" s="4" t="inlineStr">
        <is>
          <t>Maharashtra</t>
        </is>
      </c>
      <c r="B2551" s="5" t="inlineStr">
        <is>
          <t>MIS</t>
        </is>
      </c>
      <c r="C2551" s="6" t="inlineStr">
        <is>
          <t>2026_PWR_1344072_1</t>
        </is>
      </c>
      <c r="D2551" s="7" t="inlineStr">
        <is>
          <t>[MISC WORKS AND REPAIRS TO MINISTER COTTAGES NO 24 TO 25 IN DEOGIRI BHAVAN PREMISES NAGPUR(ONLY FOR SOCIETY).]</t>
        </is>
      </c>
      <c r="E2551" s="7" t="inlineStr">
        <is>
          <t>Maharashtra Public Works &amp; Technology Department</t>
        </is>
      </c>
      <c r="F2551" s="6" t="inlineStr">
        <is>
          <t>19 Oct 2026</t>
        </is>
      </c>
      <c r="G2551" s="5" t="inlineStr">
        <is>
          <t>09 Nov 2026</t>
        </is>
      </c>
      <c r="H2551" s="17" t="inlineStr">
        <is>
          <t>🟢 LIVE ACTIVE</t>
        </is>
      </c>
      <c r="I2551" s="4" t="inlineStr">
        <is>
          <t>Tendernotice_1.pdf</t>
        </is>
      </c>
      <c r="J2551" s="6" t="inlineStr">
        <is>
          <t>📕 PDF Document</t>
        </is>
      </c>
      <c r="K2551" s="9" t="n">
        <v>17.9</v>
      </c>
      <c r="L2551" s="10">
        <f>HYPERLINK("http://127.0.0.1:8000/api/documents/download?id=538&amp;attachment=true", "⬇ Download Tendernotice_1.pdf")</f>
        <v/>
      </c>
      <c r="M2551" s="10">
        <f>HYPERLINK("http://localhost:5173/?state=Maharashtra&amp;keyword=MIS&amp;tender=2026_PWR_1344072_1", "🚀 Open in Portal")</f>
        <v/>
      </c>
    </row>
    <row r="2552" ht="24" customHeight="1">
      <c r="A2552" s="11" t="inlineStr">
        <is>
          <t>Maharashtra</t>
        </is>
      </c>
      <c r="B2552" s="12" t="inlineStr">
        <is>
          <t>MIS</t>
        </is>
      </c>
      <c r="C2552" s="13" t="inlineStr">
        <is>
          <t>2026_PWR_1344072_1</t>
        </is>
      </c>
      <c r="D2552" s="14" t="inlineStr">
        <is>
          <t>[MISC WORKS AND REPAIRS TO MINISTER COTTAGES NO 24 TO 25 IN DEOGIRI BHAVAN PREMISES NAGPUR(ONLY FOR SOCIETY).]</t>
        </is>
      </c>
      <c r="E2552" s="14" t="inlineStr">
        <is>
          <t>Maharashtra Public Works &amp; Technology Department</t>
        </is>
      </c>
      <c r="F2552" s="13" t="inlineStr">
        <is>
          <t>19 Oct 2026</t>
        </is>
      </c>
      <c r="G2552" s="12" t="inlineStr">
        <is>
          <t>09 Nov 2026</t>
        </is>
      </c>
      <c r="H2552" s="17" t="inlineStr">
        <is>
          <t>🟢 LIVE ACTIVE</t>
        </is>
      </c>
      <c r="I2552" s="11" t="inlineStr">
        <is>
          <t>BOQ_2297103.xls</t>
        </is>
      </c>
      <c r="J2552" s="13" t="inlineStr">
        <is>
          <t>📊 Excel BOQ</t>
        </is>
      </c>
      <c r="K2552" s="15" t="n">
        <v>2.5</v>
      </c>
      <c r="L2552" s="16">
        <f>HYPERLINK("http://127.0.0.1:8000/api/documents/download?id=539&amp;attachment=true", "⬇ Download BOQ_2297103.xls")</f>
        <v/>
      </c>
      <c r="M2552" s="16">
        <f>HYPERLINK("http://localhost:5173/?state=Maharashtra&amp;keyword=MIS&amp;tender=2026_PWR_1344072_1", "🚀 Open in Portal")</f>
        <v/>
      </c>
    </row>
    <row r="2553" ht="24" customHeight="1">
      <c r="A2553" s="4" t="inlineStr">
        <is>
          <t>Maharashtra</t>
        </is>
      </c>
      <c r="B2553" s="5" t="inlineStr">
        <is>
          <t>MIS</t>
        </is>
      </c>
      <c r="C2553" s="6" t="inlineStr">
        <is>
          <t>2026_PWR_1344072_1</t>
        </is>
      </c>
      <c r="D2553" s="7" t="inlineStr">
        <is>
          <t>[MISC WORKS AND REPAIRS TO MINISTER COTTAGES NO 24 TO 25 IN DEOGIRI BHAVAN PREMISES NAGPUR(ONLY FOR SOCIETY).]</t>
        </is>
      </c>
      <c r="E2553" s="7" t="inlineStr">
        <is>
          <t>Maharashtra Public Works &amp; Technology Department</t>
        </is>
      </c>
      <c r="F2553" s="6" t="inlineStr">
        <is>
          <t>19 Oct 2026</t>
        </is>
      </c>
      <c r="G2553" s="5" t="inlineStr">
        <is>
          <t>09 Nov 2026</t>
        </is>
      </c>
      <c r="H2553" s="17" t="inlineStr">
        <is>
          <t>🟢 LIVE ACTIVE</t>
        </is>
      </c>
      <c r="I2553" s="4" t="inlineStr">
        <is>
          <t>Tender_2026_PWR_1344072_1_All_Documents.zip</t>
        </is>
      </c>
      <c r="J2553" s="6" t="inlineStr">
        <is>
          <t>📦 ZIP Package</t>
        </is>
      </c>
      <c r="K2553" s="9" t="n">
        <v>11.6</v>
      </c>
      <c r="L2553" s="10">
        <f>HYPERLINK("http://127.0.0.1:8000/api/documents/download?id=540&amp;attachment=true", "⬇ Download Tender_2026_PWR_1344072_")</f>
        <v/>
      </c>
      <c r="M2553" s="10">
        <f>HYPERLINK("http://localhost:5173/?state=Maharashtra&amp;keyword=MIS&amp;tender=2026_PWR_1344072_1", "🚀 Open in Portal")</f>
        <v/>
      </c>
    </row>
    <row r="2554" ht="24" customHeight="1">
      <c r="A2554" s="11" t="inlineStr">
        <is>
          <t>Maharashtra</t>
        </is>
      </c>
      <c r="B2554" s="12" t="inlineStr">
        <is>
          <t>MIS</t>
        </is>
      </c>
      <c r="C2554" s="13" t="inlineStr">
        <is>
          <t>2026_PWR_1344079_1</t>
        </is>
      </c>
      <c r="D2554" s="14" t="inlineStr">
        <is>
          <t>[REPAIR AND REPLACEMENT OF FLOORING, DOOR AND WINDOWS, COLOURING, SANITARY, PLUMBING AND OTHER MISC. WORK TO TYPE-II, BUILDING NO1 IN THE PREMISES OF RAJNAGAR COLONY , NAGPUR. (ONLY FOR SOCIETY).]</t>
        </is>
      </c>
      <c r="E2554" s="14" t="inlineStr">
        <is>
          <t>Maharashtra Public Works &amp; Technology Department</t>
        </is>
      </c>
      <c r="F2554" s="13" t="inlineStr">
        <is>
          <t>07 Oct 2026</t>
        </is>
      </c>
      <c r="G2554" s="12" t="inlineStr">
        <is>
          <t>26 Oct 2026</t>
        </is>
      </c>
      <c r="H2554" s="17" t="inlineStr">
        <is>
          <t>🟢 LIVE ACTIVE</t>
        </is>
      </c>
      <c r="I2554" s="11" t="inlineStr">
        <is>
          <t>Tendernotice_1.pdf</t>
        </is>
      </c>
      <c r="J2554" s="13" t="inlineStr">
        <is>
          <t>📕 PDF Document</t>
        </is>
      </c>
      <c r="K2554" s="15" t="n">
        <v>17.9</v>
      </c>
      <c r="L2554" s="16">
        <f>HYPERLINK("http://127.0.0.1:8000/api/documents/download?id=515&amp;attachment=true", "⬇ Download Tendernotice_1.pdf")</f>
        <v/>
      </c>
      <c r="M2554" s="16">
        <f>HYPERLINK("http://localhost:5173/?state=Maharashtra&amp;keyword=MIS&amp;tender=2026_PWR_1344079_1", "🚀 Open in Portal")</f>
        <v/>
      </c>
    </row>
    <row r="2555" ht="24" customHeight="1">
      <c r="A2555" s="4" t="inlineStr">
        <is>
          <t>Maharashtra</t>
        </is>
      </c>
      <c r="B2555" s="5" t="inlineStr">
        <is>
          <t>MIS</t>
        </is>
      </c>
      <c r="C2555" s="6" t="inlineStr">
        <is>
          <t>2026_PWR_1344079_1</t>
        </is>
      </c>
      <c r="D2555" s="7" t="inlineStr">
        <is>
          <t>[REPAIR AND REPLACEMENT OF FLOORING, DOOR AND WINDOWS, COLOURING, SANITARY, PLUMBING AND OTHER MISC. WORK TO TYPE-II, BUILDING NO1 IN THE PREMISES OF RAJNAGAR COLONY , NAGPUR. (ONLY FOR SOCIETY).]</t>
        </is>
      </c>
      <c r="E2555" s="7" t="inlineStr">
        <is>
          <t>Maharashtra Public Works &amp; Technology Department</t>
        </is>
      </c>
      <c r="F2555" s="6" t="inlineStr">
        <is>
          <t>07 Oct 2026</t>
        </is>
      </c>
      <c r="G2555" s="5" t="inlineStr">
        <is>
          <t>26 Oct 2026</t>
        </is>
      </c>
      <c r="H2555" s="17" t="inlineStr">
        <is>
          <t>🟢 LIVE ACTIVE</t>
        </is>
      </c>
      <c r="I2555" s="4" t="inlineStr">
        <is>
          <t>BOQ_2297112.xls</t>
        </is>
      </c>
      <c r="J2555" s="6" t="inlineStr">
        <is>
          <t>📊 Excel BOQ</t>
        </is>
      </c>
      <c r="K2555" s="9" t="n">
        <v>2.5</v>
      </c>
      <c r="L2555" s="10">
        <f>HYPERLINK("http://127.0.0.1:8000/api/documents/download?id=516&amp;attachment=true", "⬇ Download BOQ_2297112.xls")</f>
        <v/>
      </c>
      <c r="M2555" s="10">
        <f>HYPERLINK("http://localhost:5173/?state=Maharashtra&amp;keyword=MIS&amp;tender=2026_PWR_1344079_1", "🚀 Open in Portal")</f>
        <v/>
      </c>
    </row>
    <row r="2556" ht="24" customHeight="1">
      <c r="A2556" s="11" t="inlineStr">
        <is>
          <t>Maharashtra</t>
        </is>
      </c>
      <c r="B2556" s="12" t="inlineStr">
        <is>
          <t>MIS</t>
        </is>
      </c>
      <c r="C2556" s="13" t="inlineStr">
        <is>
          <t>2026_PWR_1344079_1</t>
        </is>
      </c>
      <c r="D2556" s="14" t="inlineStr">
        <is>
          <t>[REPAIR AND REPLACEMENT OF FLOORING, DOOR AND WINDOWS, COLOURING, SANITARY, PLUMBING AND OTHER MISC. WORK TO TYPE-II, BUILDING NO1 IN THE PREMISES OF RAJNAGAR COLONY , NAGPUR. (ONLY FOR SOCIETY).]</t>
        </is>
      </c>
      <c r="E2556" s="14" t="inlineStr">
        <is>
          <t>Maharashtra Public Works &amp; Technology Department</t>
        </is>
      </c>
      <c r="F2556" s="13" t="inlineStr">
        <is>
          <t>07 Oct 2026</t>
        </is>
      </c>
      <c r="G2556" s="12" t="inlineStr">
        <is>
          <t>26 Oct 2026</t>
        </is>
      </c>
      <c r="H2556" s="17" t="inlineStr">
        <is>
          <t>🟢 LIVE ACTIVE</t>
        </is>
      </c>
      <c r="I2556" s="11" t="inlineStr">
        <is>
          <t>Tender_2026_PWR_1344079_1_All_Documents.zip</t>
        </is>
      </c>
      <c r="J2556" s="13" t="inlineStr">
        <is>
          <t>📦 ZIP Package</t>
        </is>
      </c>
      <c r="K2556" s="15" t="n">
        <v>11.6</v>
      </c>
      <c r="L2556" s="16">
        <f>HYPERLINK("http://127.0.0.1:8000/api/documents/download?id=517&amp;attachment=true", "⬇ Download Tender_2026_PWR_1344079_")</f>
        <v/>
      </c>
      <c r="M2556" s="16">
        <f>HYPERLINK("http://localhost:5173/?state=Maharashtra&amp;keyword=MIS&amp;tender=2026_PWR_1344079_1", "🚀 Open in Portal")</f>
        <v/>
      </c>
    </row>
    <row r="2557" ht="24" customHeight="1">
      <c r="A2557" s="4" t="inlineStr">
        <is>
          <t>Maharashtra</t>
        </is>
      </c>
      <c r="B2557" s="5" t="inlineStr">
        <is>
          <t>MIS</t>
        </is>
      </c>
      <c r="C2557" s="6" t="inlineStr">
        <is>
          <t>2026_TMC_1344057_1</t>
        </is>
      </c>
      <c r="D2557" s="7" t="inlineStr">
        <is>
          <t>[Supply, Installation, Commissioning and Annual Repair and Maintenance of Aeration Systems for Various Lakes within Thane Municipal Corporation Limits]</t>
        </is>
      </c>
      <c r="E2557" s="7" t="inlineStr">
        <is>
          <t>Maharashtra Public Works &amp; Technology Department</t>
        </is>
      </c>
      <c r="F2557" s="6" t="inlineStr">
        <is>
          <t>13 Oct 2026</t>
        </is>
      </c>
      <c r="G2557" s="5" t="inlineStr">
        <is>
          <t>22 Oct 2026</t>
        </is>
      </c>
      <c r="H2557" s="18" t="inlineStr">
        <is>
          <t>⚠️ CLOSING SOON</t>
        </is>
      </c>
      <c r="I2557" s="4" t="inlineStr">
        <is>
          <t>Tendernotice_1.pdf</t>
        </is>
      </c>
      <c r="J2557" s="6" t="inlineStr">
        <is>
          <t>📕 PDF Document</t>
        </is>
      </c>
      <c r="K2557" s="9" t="n">
        <v>17.9</v>
      </c>
      <c r="L2557" s="10">
        <f>HYPERLINK("http://127.0.0.1:8000/api/documents/download?id=525&amp;attachment=true", "⬇ Download Tendernotice_1.pdf")</f>
        <v/>
      </c>
      <c r="M2557" s="10">
        <f>HYPERLINK("http://localhost:5173/?state=Maharashtra&amp;keyword=MIS&amp;tender=2026_TMC_1344057_1", "🚀 Open in Portal")</f>
        <v/>
      </c>
    </row>
    <row r="2558" ht="24" customHeight="1">
      <c r="A2558" s="11" t="inlineStr">
        <is>
          <t>Maharashtra</t>
        </is>
      </c>
      <c r="B2558" s="12" t="inlineStr">
        <is>
          <t>MIS</t>
        </is>
      </c>
      <c r="C2558" s="13" t="inlineStr">
        <is>
          <t>2026_TMC_1344057_1</t>
        </is>
      </c>
      <c r="D2558" s="14" t="inlineStr">
        <is>
          <t>[Supply, Installation, Commissioning and Annual Repair and Maintenance of Aeration Systems for Various Lakes within Thane Municipal Corporation Limits]</t>
        </is>
      </c>
      <c r="E2558" s="14" t="inlineStr">
        <is>
          <t>Maharashtra Public Works &amp; Technology Department</t>
        </is>
      </c>
      <c r="F2558" s="13" t="inlineStr">
        <is>
          <t>13 Oct 2026</t>
        </is>
      </c>
      <c r="G2558" s="12" t="inlineStr">
        <is>
          <t>22 Oct 2026</t>
        </is>
      </c>
      <c r="H2558" s="18" t="inlineStr">
        <is>
          <t>⚠️ CLOSING SOON</t>
        </is>
      </c>
      <c r="I2558" s="11" t="inlineStr">
        <is>
          <t>TD_Supply_Installation_Maintenance_of_Aeration_machines.pdf</t>
        </is>
      </c>
      <c r="J2558" s="13" t="inlineStr">
        <is>
          <t>📕 PDF Document</t>
        </is>
      </c>
      <c r="K2558" s="15" t="n">
        <v>17.9</v>
      </c>
      <c r="L2558" s="16">
        <f>HYPERLINK("http://127.0.0.1:8000/api/documents/download?id=526&amp;attachment=true", "⬇ Download TD_Supply_Installation_M")</f>
        <v/>
      </c>
      <c r="M2558" s="16">
        <f>HYPERLINK("http://localhost:5173/?state=Maharashtra&amp;keyword=MIS&amp;tender=2026_TMC_1344057_1", "🚀 Open in Portal")</f>
        <v/>
      </c>
    </row>
    <row r="2559" ht="24" customHeight="1">
      <c r="A2559" s="4" t="inlineStr">
        <is>
          <t>Maharashtra</t>
        </is>
      </c>
      <c r="B2559" s="5" t="inlineStr">
        <is>
          <t>MIS</t>
        </is>
      </c>
      <c r="C2559" s="6" t="inlineStr">
        <is>
          <t>2026_TMC_1344057_1</t>
        </is>
      </c>
      <c r="D2559" s="7" t="inlineStr">
        <is>
          <t>[Supply, Installation, Commissioning and Annual Repair and Maintenance of Aeration Systems for Various Lakes within Thane Municipal Corporation Limits]</t>
        </is>
      </c>
      <c r="E2559" s="7" t="inlineStr">
        <is>
          <t>Maharashtra Public Works &amp; Technology Department</t>
        </is>
      </c>
      <c r="F2559" s="6" t="inlineStr">
        <is>
          <t>13 Oct 2026</t>
        </is>
      </c>
      <c r="G2559" s="5" t="inlineStr">
        <is>
          <t>22 Oct 2026</t>
        </is>
      </c>
      <c r="H2559" s="18" t="inlineStr">
        <is>
          <t>⚠️ CLOSING SOON</t>
        </is>
      </c>
      <c r="I2559" s="4" t="inlineStr">
        <is>
          <t>BOQ_2297090.xls</t>
        </is>
      </c>
      <c r="J2559" s="6" t="inlineStr">
        <is>
          <t>📊 Excel BOQ</t>
        </is>
      </c>
      <c r="K2559" s="9" t="n">
        <v>2.5</v>
      </c>
      <c r="L2559" s="10">
        <f>HYPERLINK("http://127.0.0.1:8000/api/documents/download?id=527&amp;attachment=true", "⬇ Download BOQ_2297090.xls")</f>
        <v/>
      </c>
      <c r="M2559" s="10">
        <f>HYPERLINK("http://localhost:5173/?state=Maharashtra&amp;keyword=MIS&amp;tender=2026_TMC_1344057_1", "🚀 Open in Portal")</f>
        <v/>
      </c>
    </row>
    <row r="2560" ht="24" customHeight="1">
      <c r="A2560" s="11" t="inlineStr">
        <is>
          <t>Maharashtra</t>
        </is>
      </c>
      <c r="B2560" s="12" t="inlineStr">
        <is>
          <t>MIS</t>
        </is>
      </c>
      <c r="C2560" s="13" t="inlineStr">
        <is>
          <t>2026_TMC_1344057_1</t>
        </is>
      </c>
      <c r="D2560" s="14" t="inlineStr">
        <is>
          <t>[Supply, Installation, Commissioning and Annual Repair and Maintenance of Aeration Systems for Various Lakes within Thane Municipal Corporation Limits]</t>
        </is>
      </c>
      <c r="E2560" s="14" t="inlineStr">
        <is>
          <t>Maharashtra Public Works &amp; Technology Department</t>
        </is>
      </c>
      <c r="F2560" s="13" t="inlineStr">
        <is>
          <t>13 Oct 2026</t>
        </is>
      </c>
      <c r="G2560" s="12" t="inlineStr">
        <is>
          <t>22 Oct 2026</t>
        </is>
      </c>
      <c r="H2560" s="18" t="inlineStr">
        <is>
          <t>⚠️ CLOSING SOON</t>
        </is>
      </c>
      <c r="I2560" s="11" t="inlineStr">
        <is>
          <t>Tender_2026_TMC_1344057_1_All_Documents.zip</t>
        </is>
      </c>
      <c r="J2560" s="13" t="inlineStr">
        <is>
          <t>📦 ZIP Package</t>
        </is>
      </c>
      <c r="K2560" s="15" t="n">
        <v>21</v>
      </c>
      <c r="L2560" s="16">
        <f>HYPERLINK("http://127.0.0.1:8000/api/documents/download?id=528&amp;attachment=true", "⬇ Download Tender_2026_TMC_1344057_")</f>
        <v/>
      </c>
      <c r="M2560" s="16">
        <f>HYPERLINK("http://localhost:5173/?state=Maharashtra&amp;keyword=MIS&amp;tender=2026_TMC_1344057_1", "🚀 Open in Portal")</f>
        <v/>
      </c>
    </row>
    <row r="2561" ht="24" customHeight="1">
      <c r="A2561" s="4" t="inlineStr">
        <is>
          <t>Maharashtra</t>
        </is>
      </c>
      <c r="B2561" s="5" t="inlineStr">
        <is>
          <t>Mapping</t>
        </is>
      </c>
      <c r="C2561" s="6" t="inlineStr">
        <is>
          <t>2026_MAH_4815612_90</t>
        </is>
      </c>
      <c r="D2561" s="7" t="inlineStr">
        <is>
          <t>Mapping-Based High Resolution Satellite Imagery Land Use &amp; Land Cover Spatial Mapping</t>
        </is>
      </c>
      <c r="E2561" s="7" t="inlineStr">
        <is>
          <t>DEPARTMENT OF SCIENCE, TECHNOLOGY &amp; REMOTE SENSING</t>
        </is>
      </c>
      <c r="F2561" s="6" t="inlineStr">
        <is>
          <t>15 Aug 2026</t>
        </is>
      </c>
      <c r="G2561" s="5" t="inlineStr">
        <is>
          <t>07 Sep 2026</t>
        </is>
      </c>
      <c r="H2561" s="8" t="inlineStr">
        <is>
          <t>⏳ UPCOMING</t>
        </is>
      </c>
      <c r="I2561" s="4" t="inlineStr">
        <is>
          <t>Tendernotice_2026_MAH_4815612_90.pdf</t>
        </is>
      </c>
      <c r="J2561" s="6" t="inlineStr">
        <is>
          <t>📕 PDF Document</t>
        </is>
      </c>
      <c r="K2561" s="9" t="n">
        <v>17.9</v>
      </c>
      <c r="L2561" s="10">
        <f>HYPERLINK("http://127.0.0.1:8000/api/documents/download?id=3213&amp;attachment=true", "⬇ Download Tendernotice_2026_MAH_48")</f>
        <v/>
      </c>
      <c r="M2561" s="10">
        <f>HYPERLINK("http://localhost:5173/?state=Maharashtra&amp;keyword=Mapping&amp;tender=2026_MAH_4815612_90", "🚀 Open in Portal")</f>
        <v/>
      </c>
    </row>
    <row r="2562" ht="24" customHeight="1">
      <c r="A2562" s="11" t="inlineStr">
        <is>
          <t>Maharashtra</t>
        </is>
      </c>
      <c r="B2562" s="12" t="inlineStr">
        <is>
          <t>Mapping</t>
        </is>
      </c>
      <c r="C2562" s="13" t="inlineStr">
        <is>
          <t>2026_MAH_4815612_90</t>
        </is>
      </c>
      <c r="D2562" s="14" t="inlineStr">
        <is>
          <t>Mapping-Based High Resolution Satellite Imagery Land Use &amp; Land Cover Spatial Mapping</t>
        </is>
      </c>
      <c r="E2562" s="14" t="inlineStr">
        <is>
          <t>DEPARTMENT OF SCIENCE, TECHNOLOGY &amp; REMOTE SENSING</t>
        </is>
      </c>
      <c r="F2562" s="13" t="inlineStr">
        <is>
          <t>15 Aug 2026</t>
        </is>
      </c>
      <c r="G2562" s="12" t="inlineStr">
        <is>
          <t>07 Sep 2026</t>
        </is>
      </c>
      <c r="H2562" s="8" t="inlineStr">
        <is>
          <t>⏳ UPCOMING</t>
        </is>
      </c>
      <c r="I2562" s="11" t="inlineStr">
        <is>
          <t>Technical_RFP_Specification_Mapping.pdf</t>
        </is>
      </c>
      <c r="J2562" s="13" t="inlineStr">
        <is>
          <t>📕 PDF Document</t>
        </is>
      </c>
      <c r="K2562" s="15" t="n">
        <v>17.9</v>
      </c>
      <c r="L2562" s="16">
        <f>HYPERLINK("http://127.0.0.1:8000/api/documents/download?id=3214&amp;attachment=true", "⬇ Download Technical_RFP_Specificat")</f>
        <v/>
      </c>
      <c r="M2562" s="16">
        <f>HYPERLINK("http://localhost:5173/?state=Maharashtra&amp;keyword=Mapping&amp;tender=2026_MAH_4815612_90", "🚀 Open in Portal")</f>
        <v/>
      </c>
    </row>
    <row r="2563" ht="24" customHeight="1">
      <c r="A2563" s="4" t="inlineStr">
        <is>
          <t>Maharashtra</t>
        </is>
      </c>
      <c r="B2563" s="5" t="inlineStr">
        <is>
          <t>Mapping</t>
        </is>
      </c>
      <c r="C2563" s="6" t="inlineStr">
        <is>
          <t>2026_MAH_4815612_90</t>
        </is>
      </c>
      <c r="D2563" s="7" t="inlineStr">
        <is>
          <t>Mapping-Based High Resolution Satellite Imagery Land Use &amp; Land Cover Spatial Mapping</t>
        </is>
      </c>
      <c r="E2563" s="7" t="inlineStr">
        <is>
          <t>DEPARTMENT OF SCIENCE, TECHNOLOGY &amp; REMOTE SENSING</t>
        </is>
      </c>
      <c r="F2563" s="6" t="inlineStr">
        <is>
          <t>15 Aug 2026</t>
        </is>
      </c>
      <c r="G2563" s="5" t="inlineStr">
        <is>
          <t>07 Sep 2026</t>
        </is>
      </c>
      <c r="H2563" s="8" t="inlineStr">
        <is>
          <t>⏳ UPCOMING</t>
        </is>
      </c>
      <c r="I2563" s="4" t="inlineStr">
        <is>
          <t>BOQ_Financial_Schedule_2026_MAH_4815612_90.xlsx</t>
        </is>
      </c>
      <c r="J2563" s="6" t="inlineStr">
        <is>
          <t>📊 Excel BOQ</t>
        </is>
      </c>
      <c r="K2563" s="9" t="n">
        <v>2.5</v>
      </c>
      <c r="L2563" s="10">
        <f>HYPERLINK("http://127.0.0.1:8000/api/documents/download?id=3215&amp;attachment=true", "⬇ Download BOQ_Financial_Schedule_2")</f>
        <v/>
      </c>
      <c r="M2563" s="10">
        <f>HYPERLINK("http://localhost:5173/?state=Maharashtra&amp;keyword=Mapping&amp;tender=2026_MAH_4815612_90", "🚀 Open in Portal")</f>
        <v/>
      </c>
    </row>
    <row r="2564" ht="24" customHeight="1">
      <c r="A2564" s="11" t="inlineStr">
        <is>
          <t>Maharashtra</t>
        </is>
      </c>
      <c r="B2564" s="12" t="inlineStr">
        <is>
          <t>Mapping</t>
        </is>
      </c>
      <c r="C2564" s="13" t="inlineStr">
        <is>
          <t>2026_MAH_4815612_90</t>
        </is>
      </c>
      <c r="D2564" s="14" t="inlineStr">
        <is>
          <t>Mapping-Based High Resolution Satellite Imagery Land Use &amp; Land Cover Spatial Mapping</t>
        </is>
      </c>
      <c r="E2564" s="14" t="inlineStr">
        <is>
          <t>DEPARTMENT OF SCIENCE, TECHNOLOGY &amp; REMOTE SENSING</t>
        </is>
      </c>
      <c r="F2564" s="13" t="inlineStr">
        <is>
          <t>15 Aug 2026</t>
        </is>
      </c>
      <c r="G2564" s="12" t="inlineStr">
        <is>
          <t>07 Sep 2026</t>
        </is>
      </c>
      <c r="H2564" s="8" t="inlineStr">
        <is>
          <t>⏳ UPCOMING</t>
        </is>
      </c>
      <c r="I2564" s="11" t="inlineStr">
        <is>
          <t>Tender_2026_MAH_4815612_90_All_Documents.zip</t>
        </is>
      </c>
      <c r="J2564" s="13" t="inlineStr">
        <is>
          <t>📦 ZIP Package</t>
        </is>
      </c>
      <c r="K2564" s="15" t="n">
        <v>45</v>
      </c>
      <c r="L2564" s="16">
        <f>HYPERLINK("https://mahatenders.gov.in/tender/2026_MAH_4815612_90", "⬇ Download Tender_2026_MAH_4815612_")</f>
        <v/>
      </c>
      <c r="M2564" s="16">
        <f>HYPERLINK("http://localhost:5173/?state=Maharashtra&amp;keyword=Mapping&amp;tender=2026_MAH_4815612_90", "🚀 Open in Portal")</f>
        <v/>
      </c>
    </row>
    <row r="2565" ht="24" customHeight="1">
      <c r="A2565" s="4" t="inlineStr">
        <is>
          <t>Maharashtra</t>
        </is>
      </c>
      <c r="B2565" s="5" t="inlineStr">
        <is>
          <t>Design</t>
        </is>
      </c>
      <c r="C2565" s="6" t="inlineStr">
        <is>
          <t>2026_CCCA_1322912_1</t>
        </is>
      </c>
      <c r="D2565" s="7" t="inlineStr">
        <is>
          <t>[Allocation of Designated Reservoir Area on Lease for Fisheries and Other Aquaculture Activities in Majalgaon Reservoir under the jurisdiction of the Godavari Marathwada Irrigation Development Corporation (GMIDC), Water Resources Department, Governmen]</t>
        </is>
      </c>
      <c r="E2565" s="7" t="inlineStr">
        <is>
          <t>Maharashtra Public Works &amp; Technology Department</t>
        </is>
      </c>
      <c r="F2565" s="6" t="inlineStr">
        <is>
          <t>30 Aug 2026</t>
        </is>
      </c>
      <c r="G2565" s="5" t="inlineStr">
        <is>
          <t>21 Sep 2026</t>
        </is>
      </c>
      <c r="H2565" s="8" t="inlineStr">
        <is>
          <t>⏳ UPCOMING</t>
        </is>
      </c>
      <c r="I2565" s="4" t="inlineStr">
        <is>
          <t>Tendernotice_1.pdf</t>
        </is>
      </c>
      <c r="J2565" s="6" t="inlineStr">
        <is>
          <t>📕 PDF Document</t>
        </is>
      </c>
      <c r="K2565" s="9" t="n">
        <v>17.9</v>
      </c>
      <c r="L2565" s="10">
        <f>HYPERLINK("http://127.0.0.1:8000/api/documents/download?id=453&amp;attachment=true", "⬇ Download Tendernotice_1.pdf")</f>
        <v/>
      </c>
      <c r="M2565" s="10">
        <f>HYPERLINK("http://localhost:5173/?state=Maharashtra&amp;keyword=Design&amp;tender=2026_CCCA_1322912_1", "🚀 Open in Portal")</f>
        <v/>
      </c>
    </row>
    <row r="2566" ht="24" customHeight="1">
      <c r="A2566" s="11" t="inlineStr">
        <is>
          <t>Maharashtra</t>
        </is>
      </c>
      <c r="B2566" s="12" t="inlineStr">
        <is>
          <t>Design</t>
        </is>
      </c>
      <c r="C2566" s="13" t="inlineStr">
        <is>
          <t>2026_CCCA_1322912_1</t>
        </is>
      </c>
      <c r="D2566" s="14" t="inlineStr">
        <is>
          <t>[Allocation of Designated Reservoir Area on Lease for Fisheries and Other Aquaculture Activities in Majalgaon Reservoir under the jurisdiction of the Godavari Marathwada Irrigation Development Corporation (GMIDC), Water Resources Department, Governmen]</t>
        </is>
      </c>
      <c r="E2566" s="14" t="inlineStr">
        <is>
          <t>Maharashtra Public Works &amp; Technology Department</t>
        </is>
      </c>
      <c r="F2566" s="13" t="inlineStr">
        <is>
          <t>30 Aug 2026</t>
        </is>
      </c>
      <c r="G2566" s="12" t="inlineStr">
        <is>
          <t>21 Sep 2026</t>
        </is>
      </c>
      <c r="H2566" s="8" t="inlineStr">
        <is>
          <t>⏳ UPCOMING</t>
        </is>
      </c>
      <c r="I2566" s="11" t="inlineStr">
        <is>
          <t>04_SBD.pdf</t>
        </is>
      </c>
      <c r="J2566" s="13" t="inlineStr">
        <is>
          <t>📕 PDF Document</t>
        </is>
      </c>
      <c r="K2566" s="15" t="n">
        <v>17.9</v>
      </c>
      <c r="L2566" s="16">
        <f>HYPERLINK("http://127.0.0.1:8000/api/documents/download?id=454&amp;attachment=true", "⬇ Download 04_SBD.pdf")</f>
        <v/>
      </c>
      <c r="M2566" s="16">
        <f>HYPERLINK("http://localhost:5173/?state=Maharashtra&amp;keyword=Design&amp;tender=2026_CCCA_1322912_1", "🚀 Open in Portal")</f>
        <v/>
      </c>
    </row>
    <row r="2567" ht="24" customHeight="1">
      <c r="A2567" s="4" t="inlineStr">
        <is>
          <t>Maharashtra</t>
        </is>
      </c>
      <c r="B2567" s="5" t="inlineStr">
        <is>
          <t>Design</t>
        </is>
      </c>
      <c r="C2567" s="6" t="inlineStr">
        <is>
          <t>2026_CCCA_1322912_1</t>
        </is>
      </c>
      <c r="D2567" s="7" t="inlineStr">
        <is>
          <t>[Allocation of Designated Reservoir Area on Lease for Fisheries and Other Aquaculture Activities in Majalgaon Reservoir under the jurisdiction of the Godavari Marathwada Irrigation Development Corporation (GMIDC), Water Resources Department, Governmen]</t>
        </is>
      </c>
      <c r="E2567" s="7" t="inlineStr">
        <is>
          <t>Maharashtra Public Works &amp; Technology Department</t>
        </is>
      </c>
      <c r="F2567" s="6" t="inlineStr">
        <is>
          <t>30 Aug 2026</t>
        </is>
      </c>
      <c r="G2567" s="5" t="inlineStr">
        <is>
          <t>21 Sep 2026</t>
        </is>
      </c>
      <c r="H2567" s="8" t="inlineStr">
        <is>
          <t>⏳ UPCOMING</t>
        </is>
      </c>
      <c r="I2567" s="4" t="inlineStr">
        <is>
          <t>BOQ_2266168.xls</t>
        </is>
      </c>
      <c r="J2567" s="6" t="inlineStr">
        <is>
          <t>📊 Excel BOQ</t>
        </is>
      </c>
      <c r="K2567" s="9" t="n">
        <v>2.5</v>
      </c>
      <c r="L2567" s="10">
        <f>HYPERLINK("http://127.0.0.1:8000/api/documents/download?id=455&amp;attachment=true", "⬇ Download BOQ_2266168.xls")</f>
        <v/>
      </c>
      <c r="M2567" s="10">
        <f>HYPERLINK("http://localhost:5173/?state=Maharashtra&amp;keyword=Design&amp;tender=2026_CCCA_1322912_1", "🚀 Open in Portal")</f>
        <v/>
      </c>
    </row>
    <row r="2568" ht="24" customHeight="1">
      <c r="A2568" s="11" t="inlineStr">
        <is>
          <t>Maharashtra</t>
        </is>
      </c>
      <c r="B2568" s="12" t="inlineStr">
        <is>
          <t>Design</t>
        </is>
      </c>
      <c r="C2568" s="13" t="inlineStr">
        <is>
          <t>2026_CCCA_1322912_1</t>
        </is>
      </c>
      <c r="D2568" s="14" t="inlineStr">
        <is>
          <t>[Allocation of Designated Reservoir Area on Lease for Fisheries and Other Aquaculture Activities in Majalgaon Reservoir under the jurisdiction of the Godavari Marathwada Irrigation Development Corporation (GMIDC), Water Resources Department, Governmen]</t>
        </is>
      </c>
      <c r="E2568" s="14" t="inlineStr">
        <is>
          <t>Maharashtra Public Works &amp; Technology Department</t>
        </is>
      </c>
      <c r="F2568" s="13" t="inlineStr">
        <is>
          <t>30 Aug 2026</t>
        </is>
      </c>
      <c r="G2568" s="12" t="inlineStr">
        <is>
          <t>21 Sep 2026</t>
        </is>
      </c>
      <c r="H2568" s="8" t="inlineStr">
        <is>
          <t>⏳ UPCOMING</t>
        </is>
      </c>
      <c r="I2568" s="11" t="inlineStr">
        <is>
          <t>Tender_2026_CCCA_1322912_1_All_Documents.zip</t>
        </is>
      </c>
      <c r="J2568" s="13" t="inlineStr">
        <is>
          <t>📦 ZIP Package</t>
        </is>
      </c>
      <c r="K2568" s="15" t="n">
        <v>20.9</v>
      </c>
      <c r="L2568" s="16">
        <f>HYPERLINK("http://127.0.0.1:8000/api/documents/download?id=456&amp;attachment=true", "⬇ Download Tender_2026_CCCA_1322912")</f>
        <v/>
      </c>
      <c r="M2568" s="16">
        <f>HYPERLINK("http://localhost:5173/?state=Maharashtra&amp;keyword=Design&amp;tender=2026_CCCA_1322912_1", "🚀 Open in Portal")</f>
        <v/>
      </c>
    </row>
    <row r="2569" ht="24" customHeight="1">
      <c r="A2569" s="4" t="inlineStr">
        <is>
          <t>Maharashtra</t>
        </is>
      </c>
      <c r="B2569" s="5" t="inlineStr">
        <is>
          <t>Design</t>
        </is>
      </c>
      <c r="C2569" s="6" t="inlineStr">
        <is>
          <t>2026_DOAWB_1328250_2</t>
        </is>
      </c>
      <c r="D2569" s="7" t="inlineStr">
        <is>
          <t>[Survey, Design, Fabrication, Supply, Installation, Testing and Commissioning Of Total 34.33 Kwp Of On Grid Connected Rooftop Solar Pvpower Plant including Comprehensive Maintenance Contract (CMC) For 3 Years]</t>
        </is>
      </c>
      <c r="E2569" s="7" t="inlineStr">
        <is>
          <t>Maharashtra Public Works &amp; Technology Department</t>
        </is>
      </c>
      <c r="F2569" s="6" t="inlineStr">
        <is>
          <t>05 Aug 2026</t>
        </is>
      </c>
      <c r="G2569" s="5" t="inlineStr">
        <is>
          <t>27 Aug 2026</t>
        </is>
      </c>
      <c r="H2569" s="8" t="inlineStr">
        <is>
          <t>⏳ UPCOMING</t>
        </is>
      </c>
      <c r="I2569" s="4" t="inlineStr">
        <is>
          <t>Tendernotice_1.pdf</t>
        </is>
      </c>
      <c r="J2569" s="6" t="inlineStr">
        <is>
          <t>📕 PDF Document</t>
        </is>
      </c>
      <c r="K2569" s="9" t="n">
        <v>17.9</v>
      </c>
      <c r="L2569" s="10">
        <f>HYPERLINK("http://127.0.0.1:8000/api/documents/download?id=567&amp;attachment=true", "⬇ Download Tendernotice_1.pdf")</f>
        <v/>
      </c>
      <c r="M2569" s="10">
        <f>HYPERLINK("http://localhost:5173/?state=Maharashtra&amp;keyword=Design&amp;tender=2026_DOAWB_1328250_2", "🚀 Open in Portal")</f>
        <v/>
      </c>
    </row>
    <row r="2570" ht="24" customHeight="1">
      <c r="A2570" s="11" t="inlineStr">
        <is>
          <t>Maharashtra</t>
        </is>
      </c>
      <c r="B2570" s="12" t="inlineStr">
        <is>
          <t>Design</t>
        </is>
      </c>
      <c r="C2570" s="13" t="inlineStr">
        <is>
          <t>2026_DOAWB_1328250_2</t>
        </is>
      </c>
      <c r="D2570" s="14" t="inlineStr">
        <is>
          <t>[Survey, Design, Fabrication, Supply, Installation, Testing and Commissioning Of Total 34.33 Kwp Of On Grid Connected Rooftop Solar Pvpower Plant including Comprehensive Maintenance Contract (CMC) For 3 Years]</t>
        </is>
      </c>
      <c r="E2570" s="14" t="inlineStr">
        <is>
          <t>Maharashtra Public Works &amp; Technology Department</t>
        </is>
      </c>
      <c r="F2570" s="13" t="inlineStr">
        <is>
          <t>05 Aug 2026</t>
        </is>
      </c>
      <c r="G2570" s="12" t="inlineStr">
        <is>
          <t>27 Aug 2026</t>
        </is>
      </c>
      <c r="H2570" s="8" t="inlineStr">
        <is>
          <t>⏳ UPCOMING</t>
        </is>
      </c>
      <c r="I2570" s="11" t="inlineStr">
        <is>
          <t>RrFBK.pdf</t>
        </is>
      </c>
      <c r="J2570" s="13" t="inlineStr">
        <is>
          <t>📕 PDF Document</t>
        </is>
      </c>
      <c r="K2570" s="15" t="n">
        <v>17.8</v>
      </c>
      <c r="L2570" s="16">
        <f>HYPERLINK("http://127.0.0.1:8000/api/documents/download?id=568&amp;attachment=true", "⬇ Download RrFBK.pdf")</f>
        <v/>
      </c>
      <c r="M2570" s="16">
        <f>HYPERLINK("http://localhost:5173/?state=Maharashtra&amp;keyword=Design&amp;tender=2026_DOAWB_1328250_2", "🚀 Open in Portal")</f>
        <v/>
      </c>
    </row>
    <row r="2571" ht="24" customHeight="1">
      <c r="A2571" s="4" t="inlineStr">
        <is>
          <t>Maharashtra</t>
        </is>
      </c>
      <c r="B2571" s="5" t="inlineStr">
        <is>
          <t>Design</t>
        </is>
      </c>
      <c r="C2571" s="6" t="inlineStr">
        <is>
          <t>2026_DOAWB_1328250_2</t>
        </is>
      </c>
      <c r="D2571" s="7" t="inlineStr">
        <is>
          <t>[Survey, Design, Fabrication, Supply, Installation, Testing and Commissioning Of Total 34.33 Kwp Of On Grid Connected Rooftop Solar Pvpower Plant including Comprehensive Maintenance Contract (CMC) For 3 Years]</t>
        </is>
      </c>
      <c r="E2571" s="7" t="inlineStr">
        <is>
          <t>Maharashtra Public Works &amp; Technology Department</t>
        </is>
      </c>
      <c r="F2571" s="6" t="inlineStr">
        <is>
          <t>05 Aug 2026</t>
        </is>
      </c>
      <c r="G2571" s="5" t="inlineStr">
        <is>
          <t>27 Aug 2026</t>
        </is>
      </c>
      <c r="H2571" s="8" t="inlineStr">
        <is>
          <t>⏳ UPCOMING</t>
        </is>
      </c>
      <c r="I2571" s="4" t="inlineStr">
        <is>
          <t>BOQ_2296963.xls</t>
        </is>
      </c>
      <c r="J2571" s="6" t="inlineStr">
        <is>
          <t>📊 Excel BOQ</t>
        </is>
      </c>
      <c r="K2571" s="9" t="n">
        <v>2.5</v>
      </c>
      <c r="L2571" s="10">
        <f>HYPERLINK("http://127.0.0.1:8000/api/documents/download?id=569&amp;attachment=true", "⬇ Download BOQ_2296963.xls")</f>
        <v/>
      </c>
      <c r="M2571" s="10">
        <f>HYPERLINK("http://localhost:5173/?state=Maharashtra&amp;keyword=Design&amp;tender=2026_DOAWB_1328250_2", "🚀 Open in Portal")</f>
        <v/>
      </c>
    </row>
    <row r="2572" ht="24" customHeight="1">
      <c r="A2572" s="11" t="inlineStr">
        <is>
          <t>Maharashtra</t>
        </is>
      </c>
      <c r="B2572" s="12" t="inlineStr">
        <is>
          <t>Design</t>
        </is>
      </c>
      <c r="C2572" s="13" t="inlineStr">
        <is>
          <t>2026_DOAWB_1328250_2</t>
        </is>
      </c>
      <c r="D2572" s="14" t="inlineStr">
        <is>
          <t>[Survey, Design, Fabrication, Supply, Installation, Testing and Commissioning Of Total 34.33 Kwp Of On Grid Connected Rooftop Solar Pvpower Plant including Comprehensive Maintenance Contract (CMC) For 3 Years]</t>
        </is>
      </c>
      <c r="E2572" s="14" t="inlineStr">
        <is>
          <t>Maharashtra Public Works &amp; Technology Department</t>
        </is>
      </c>
      <c r="F2572" s="13" t="inlineStr">
        <is>
          <t>05 Aug 2026</t>
        </is>
      </c>
      <c r="G2572" s="12" t="inlineStr">
        <is>
          <t>27 Aug 2026</t>
        </is>
      </c>
      <c r="H2572" s="8" t="inlineStr">
        <is>
          <t>⏳ UPCOMING</t>
        </is>
      </c>
      <c r="I2572" s="11" t="inlineStr">
        <is>
          <t>Tender_2026_DOAWB_1328250_2_All_Documents.zip</t>
        </is>
      </c>
      <c r="J2572" s="13" t="inlineStr">
        <is>
          <t>📦 ZIP Package</t>
        </is>
      </c>
      <c r="K2572" s="15" t="n">
        <v>21</v>
      </c>
      <c r="L2572" s="16">
        <f>HYPERLINK("http://127.0.0.1:8000/api/documents/download?id=570&amp;attachment=true", "⬇ Download Tender_2026_DOAWB_132825")</f>
        <v/>
      </c>
      <c r="M2572" s="16">
        <f>HYPERLINK("http://localhost:5173/?state=Maharashtra&amp;keyword=Design&amp;tender=2026_DOAWB_1328250_2", "🚀 Open in Portal")</f>
        <v/>
      </c>
    </row>
    <row r="2573" ht="24" customHeight="1">
      <c r="A2573" s="4" t="inlineStr">
        <is>
          <t>Maharashtra</t>
        </is>
      </c>
      <c r="B2573" s="5" t="inlineStr">
        <is>
          <t>Design</t>
        </is>
      </c>
      <c r="C2573" s="6" t="inlineStr">
        <is>
          <t>2026_PWR_1343738_1</t>
        </is>
      </c>
      <c r="D2573" s="7" t="inlineStr">
        <is>
          <t>[Appointment of NDMC Registered Architect for Architectural, Planning, Designing, Structural and MEP Consultancy Services for the Planning and Construction of Government Residential Quarters at Old Maharashtra Sadan, New Delhi.]</t>
        </is>
      </c>
      <c r="E2573" s="7" t="inlineStr">
        <is>
          <t>Maharashtra Public Works &amp; Technology Department</t>
        </is>
      </c>
      <c r="F2573" s="6" t="inlineStr">
        <is>
          <t>20 Aug 2026</t>
        </is>
      </c>
      <c r="G2573" s="5" t="inlineStr">
        <is>
          <t>11 Sep 2026</t>
        </is>
      </c>
      <c r="H2573" s="8" t="inlineStr">
        <is>
          <t>⏳ UPCOMING</t>
        </is>
      </c>
      <c r="I2573" s="4" t="inlineStr">
        <is>
          <t>Tendernotice_1.pdf</t>
        </is>
      </c>
      <c r="J2573" s="6" t="inlineStr">
        <is>
          <t>📕 PDF Document</t>
        </is>
      </c>
      <c r="K2573" s="9" t="n">
        <v>17.8</v>
      </c>
      <c r="L2573" s="10">
        <f>HYPERLINK("http://127.0.0.1:8000/api/documents/download?id=1100&amp;attachment=true", "⬇ Download Tendernotice_1.pdf")</f>
        <v/>
      </c>
      <c r="M2573" s="10">
        <f>HYPERLINK("http://localhost:5173/?state=Maharashtra&amp;keyword=Design&amp;tender=2026_PWR_1343738_1", "🚀 Open in Portal")</f>
        <v/>
      </c>
    </row>
    <row r="2574" ht="24" customHeight="1">
      <c r="A2574" s="11" t="inlineStr">
        <is>
          <t>Maharashtra</t>
        </is>
      </c>
      <c r="B2574" s="12" t="inlineStr">
        <is>
          <t>Design</t>
        </is>
      </c>
      <c r="C2574" s="13" t="inlineStr">
        <is>
          <t>2026_PWR_1343738_1</t>
        </is>
      </c>
      <c r="D2574" s="14" t="inlineStr">
        <is>
          <t>[Appointment of NDMC Registered Architect for Architectural, Planning, Designing, Structural and MEP Consultancy Services for the Planning and Construction of Government Residential Quarters at Old Maharashtra Sadan, New Delhi.]</t>
        </is>
      </c>
      <c r="E2574" s="14" t="inlineStr">
        <is>
          <t>Maharashtra Public Works &amp; Technology Department</t>
        </is>
      </c>
      <c r="F2574" s="13" t="inlineStr">
        <is>
          <t>20 Aug 2026</t>
        </is>
      </c>
      <c r="G2574" s="12" t="inlineStr">
        <is>
          <t>11 Sep 2026</t>
        </is>
      </c>
      <c r="H2574" s="8" t="inlineStr">
        <is>
          <t>⏳ UPCOMING</t>
        </is>
      </c>
      <c r="I2574" s="11" t="inlineStr">
        <is>
          <t>Delhi_RFP.pdf</t>
        </is>
      </c>
      <c r="J2574" s="13" t="inlineStr">
        <is>
          <t>📕 PDF Document</t>
        </is>
      </c>
      <c r="K2574" s="15" t="n">
        <v>17.8</v>
      </c>
      <c r="L2574" s="16">
        <f>HYPERLINK("http://127.0.0.1:8000/api/documents/download?id=1101&amp;attachment=true", "⬇ Download Delhi_RFP.pdf")</f>
        <v/>
      </c>
      <c r="M2574" s="16">
        <f>HYPERLINK("http://localhost:5173/?state=Maharashtra&amp;keyword=Design&amp;tender=2026_PWR_1343738_1", "🚀 Open in Portal")</f>
        <v/>
      </c>
    </row>
    <row r="2575" ht="24" customHeight="1">
      <c r="A2575" s="4" t="inlineStr">
        <is>
          <t>Maharashtra</t>
        </is>
      </c>
      <c r="B2575" s="5" t="inlineStr">
        <is>
          <t>Design</t>
        </is>
      </c>
      <c r="C2575" s="6" t="inlineStr">
        <is>
          <t>2026_PWR_1343738_1</t>
        </is>
      </c>
      <c r="D2575" s="7" t="inlineStr">
        <is>
          <t>[Appointment of NDMC Registered Architect for Architectural, Planning, Designing, Structural and MEP Consultancy Services for the Planning and Construction of Government Residential Quarters at Old Maharashtra Sadan, New Delhi.]</t>
        </is>
      </c>
      <c r="E2575" s="7" t="inlineStr">
        <is>
          <t>Maharashtra Public Works &amp; Technology Department</t>
        </is>
      </c>
      <c r="F2575" s="6" t="inlineStr">
        <is>
          <t>20 Aug 2026</t>
        </is>
      </c>
      <c r="G2575" s="5" t="inlineStr">
        <is>
          <t>11 Sep 2026</t>
        </is>
      </c>
      <c r="H2575" s="8" t="inlineStr">
        <is>
          <t>⏳ UPCOMING</t>
        </is>
      </c>
      <c r="I2575" s="4" t="inlineStr">
        <is>
          <t>BOQ_2296706.xls</t>
        </is>
      </c>
      <c r="J2575" s="6" t="inlineStr">
        <is>
          <t>📊 Excel BOQ</t>
        </is>
      </c>
      <c r="K2575" s="9" t="n">
        <v>2.5</v>
      </c>
      <c r="L2575" s="10">
        <f>HYPERLINK("http://127.0.0.1:8000/api/documents/download?id=1102&amp;attachment=true", "⬇ Download BOQ_2296706.xls")</f>
        <v/>
      </c>
      <c r="M2575" s="10">
        <f>HYPERLINK("http://localhost:5173/?state=Maharashtra&amp;keyword=Design&amp;tender=2026_PWR_1343738_1", "🚀 Open in Portal")</f>
        <v/>
      </c>
    </row>
    <row r="2576" ht="24" customHeight="1">
      <c r="A2576" s="11" t="inlineStr">
        <is>
          <t>Maharashtra</t>
        </is>
      </c>
      <c r="B2576" s="12" t="inlineStr">
        <is>
          <t>Design</t>
        </is>
      </c>
      <c r="C2576" s="13" t="inlineStr">
        <is>
          <t>2026_PWR_1343738_1</t>
        </is>
      </c>
      <c r="D2576" s="14" t="inlineStr">
        <is>
          <t>[Appointment of NDMC Registered Architect for Architectural, Planning, Designing, Structural and MEP Consultancy Services for the Planning and Construction of Government Residential Quarters at Old Maharashtra Sadan, New Delhi.]</t>
        </is>
      </c>
      <c r="E2576" s="14" t="inlineStr">
        <is>
          <t>Maharashtra Public Works &amp; Technology Department</t>
        </is>
      </c>
      <c r="F2576" s="13" t="inlineStr">
        <is>
          <t>20 Aug 2026</t>
        </is>
      </c>
      <c r="G2576" s="12" t="inlineStr">
        <is>
          <t>11 Sep 2026</t>
        </is>
      </c>
      <c r="H2576" s="8" t="inlineStr">
        <is>
          <t>⏳ UPCOMING</t>
        </is>
      </c>
      <c r="I2576" s="11" t="inlineStr">
        <is>
          <t>Tender_2026_PWR_1343738_1_All_Documents.zip</t>
        </is>
      </c>
      <c r="J2576" s="13" t="inlineStr">
        <is>
          <t>📦 ZIP Package</t>
        </is>
      </c>
      <c r="K2576" s="15" t="n">
        <v>20.8</v>
      </c>
      <c r="L2576" s="16">
        <f>HYPERLINK("http://127.0.0.1:8000/api/documents/download?id=1103&amp;attachment=true", "⬇ Download Tender_2026_PWR_1343738_")</f>
        <v/>
      </c>
      <c r="M2576" s="16">
        <f>HYPERLINK("http://localhost:5173/?state=Maharashtra&amp;keyword=Design&amp;tender=2026_PWR_1343738_1", "🚀 Open in Portal")</f>
        <v/>
      </c>
    </row>
    <row r="2577" ht="24" customHeight="1">
      <c r="A2577" s="4" t="inlineStr">
        <is>
          <t>Maharashtra</t>
        </is>
      </c>
      <c r="B2577" s="5" t="inlineStr">
        <is>
          <t>Digital</t>
        </is>
      </c>
      <c r="C2577" s="6" t="inlineStr">
        <is>
          <t>2026_SCDLR_1343715_1</t>
        </is>
      </c>
      <c r="D2577" s="7" t="inlineStr">
        <is>
          <t>[Selection of an Agency for field-based grievance redressal facilitation for Shet Rasta and allied digital services of Revenue, Registration and Land Records]</t>
        </is>
      </c>
      <c r="E2577" s="7" t="inlineStr">
        <is>
          <t>Maharashtra Public Works &amp; Technology Department</t>
        </is>
      </c>
      <c r="F2577" s="6" t="inlineStr">
        <is>
          <t>25 Oct 2026</t>
        </is>
      </c>
      <c r="G2577" s="5" t="inlineStr">
        <is>
          <t>15 Nov 2026</t>
        </is>
      </c>
      <c r="H2577" s="8" t="inlineStr">
        <is>
          <t>⏳ UPCOMING</t>
        </is>
      </c>
      <c r="I2577" s="4" t="inlineStr">
        <is>
          <t>Tendernotice_1.pdf</t>
        </is>
      </c>
      <c r="J2577" s="6" t="inlineStr">
        <is>
          <t>📕 PDF Document</t>
        </is>
      </c>
      <c r="K2577" s="9" t="n">
        <v>17.9</v>
      </c>
      <c r="L2577" s="10">
        <f>HYPERLINK("http://127.0.0.1:8000/api/documents/download?id=1104&amp;attachment=true", "⬇ Download Tendernotice_1.pdf")</f>
        <v/>
      </c>
      <c r="M2577" s="10">
        <f>HYPERLINK("http://localhost:5173/?state=Maharashtra&amp;keyword=Digital&amp;tender=2026_SCDLR_1343715_1", "🚀 Open in Portal")</f>
        <v/>
      </c>
    </row>
    <row r="2578" ht="24" customHeight="1">
      <c r="A2578" s="11" t="inlineStr">
        <is>
          <t>Maharashtra</t>
        </is>
      </c>
      <c r="B2578" s="12" t="inlineStr">
        <is>
          <t>Digital</t>
        </is>
      </c>
      <c r="C2578" s="13" t="inlineStr">
        <is>
          <t>2026_SCDLR_1343715_1</t>
        </is>
      </c>
      <c r="D2578" s="14" t="inlineStr">
        <is>
          <t>[Selection of an Agency for field-based grievance redressal facilitation for Shet Rasta and allied digital services of Revenue, Registration and Land Records]</t>
        </is>
      </c>
      <c r="E2578" s="14" t="inlineStr">
        <is>
          <t>Maharashtra Public Works &amp; Technology Department</t>
        </is>
      </c>
      <c r="F2578" s="13" t="inlineStr">
        <is>
          <t>25 Oct 2026</t>
        </is>
      </c>
      <c r="G2578" s="12" t="inlineStr">
        <is>
          <t>15 Nov 2026</t>
        </is>
      </c>
      <c r="H2578" s="8" t="inlineStr">
        <is>
          <t>⏳ UPCOMING</t>
        </is>
      </c>
      <c r="I2578" s="11" t="inlineStr">
        <is>
          <t>EOI.pdf</t>
        </is>
      </c>
      <c r="J2578" s="13" t="inlineStr">
        <is>
          <t>📕 PDF Document</t>
        </is>
      </c>
      <c r="K2578" s="15" t="n">
        <v>17.8</v>
      </c>
      <c r="L2578" s="16">
        <f>HYPERLINK("http://127.0.0.1:8000/api/documents/download?id=1105&amp;attachment=true", "⬇ Download EOI.pdf")</f>
        <v/>
      </c>
      <c r="M2578" s="16">
        <f>HYPERLINK("http://localhost:5173/?state=Maharashtra&amp;keyword=Digital&amp;tender=2026_SCDLR_1343715_1", "🚀 Open in Portal")</f>
        <v/>
      </c>
    </row>
    <row r="2579" ht="24" customHeight="1">
      <c r="A2579" s="4" t="inlineStr">
        <is>
          <t>Maharashtra</t>
        </is>
      </c>
      <c r="B2579" s="5" t="inlineStr">
        <is>
          <t>Digital</t>
        </is>
      </c>
      <c r="C2579" s="6" t="inlineStr">
        <is>
          <t>2026_SCDLR_1343715_1</t>
        </is>
      </c>
      <c r="D2579" s="7" t="inlineStr">
        <is>
          <t>[Selection of an Agency for field-based grievance redressal facilitation for Shet Rasta and allied digital services of Revenue, Registration and Land Records]</t>
        </is>
      </c>
      <c r="E2579" s="7" t="inlineStr">
        <is>
          <t>Maharashtra Public Works &amp; Technology Department</t>
        </is>
      </c>
      <c r="F2579" s="6" t="inlineStr">
        <is>
          <t>25 Oct 2026</t>
        </is>
      </c>
      <c r="G2579" s="5" t="inlineStr">
        <is>
          <t>15 Nov 2026</t>
        </is>
      </c>
      <c r="H2579" s="8" t="inlineStr">
        <is>
          <t>⏳ UPCOMING</t>
        </is>
      </c>
      <c r="I2579" s="4" t="inlineStr">
        <is>
          <t>Tender_2026_SCDLR_1343715_1_All_Documents.zip</t>
        </is>
      </c>
      <c r="J2579" s="6" t="inlineStr">
        <is>
          <t>📦 ZIP Package</t>
        </is>
      </c>
      <c r="K2579" s="9" t="n">
        <v>18.5</v>
      </c>
      <c r="L2579" s="10">
        <f>HYPERLINK("http://127.0.0.1:8000/api/documents/download?id=1106&amp;attachment=true", "⬇ Download Tender_2026_SCDLR_134371")</f>
        <v/>
      </c>
      <c r="M2579" s="10">
        <f>HYPERLINK("http://localhost:5173/?state=Maharashtra&amp;keyword=Digital&amp;tender=2026_SCDLR_1343715_1", "🚀 Open in Portal")</f>
        <v/>
      </c>
    </row>
    <row r="2580" ht="24" customHeight="1">
      <c r="A2580" s="11" t="inlineStr">
        <is>
          <t>Maharashtra</t>
        </is>
      </c>
      <c r="B2580" s="12" t="inlineStr">
        <is>
          <t>Development</t>
        </is>
      </c>
      <c r="C2580" s="13" t="inlineStr">
        <is>
          <t>2026_CCCA_1322912_1</t>
        </is>
      </c>
      <c r="D2580" s="14" t="inlineStr">
        <is>
          <t>[Allocation of Designated Reservoir Area on Lease for Fisheries and Other Aquaculture Activities in Majalgaon Reservoir under the jurisdiction of the Godavari Marathwada Irrigation Development Corporation (GMIDC), Water Resources Department, Governmen]</t>
        </is>
      </c>
      <c r="E2580" s="14" t="inlineStr">
        <is>
          <t>Maharashtra Public Works &amp; Technology Department</t>
        </is>
      </c>
      <c r="F2580" s="13" t="inlineStr">
        <is>
          <t>30 Aug 2026</t>
        </is>
      </c>
      <c r="G2580" s="12" t="inlineStr">
        <is>
          <t>21 Sep 2026</t>
        </is>
      </c>
      <c r="H2580" s="8" t="inlineStr">
        <is>
          <t>⏳ UPCOMING</t>
        </is>
      </c>
      <c r="I2580" s="11" t="inlineStr">
        <is>
          <t>Tendernotice_1.pdf</t>
        </is>
      </c>
      <c r="J2580" s="13" t="inlineStr">
        <is>
          <t>📕 PDF Document</t>
        </is>
      </c>
      <c r="K2580" s="15" t="n">
        <v>17.9</v>
      </c>
      <c r="L2580" s="16">
        <f>HYPERLINK("http://127.0.0.1:8000/api/documents/download?id=453&amp;attachment=true", "⬇ Download Tendernotice_1.pdf")</f>
        <v/>
      </c>
      <c r="M2580" s="16">
        <f>HYPERLINK("http://localhost:5173/?state=Maharashtra&amp;keyword=Development&amp;tender=2026_CCCA_1322912_1", "🚀 Open in Portal")</f>
        <v/>
      </c>
    </row>
    <row r="2581" ht="24" customHeight="1">
      <c r="A2581" s="4" t="inlineStr">
        <is>
          <t>Maharashtra</t>
        </is>
      </c>
      <c r="B2581" s="5" t="inlineStr">
        <is>
          <t>Development</t>
        </is>
      </c>
      <c r="C2581" s="6" t="inlineStr">
        <is>
          <t>2026_CCCA_1322912_1</t>
        </is>
      </c>
      <c r="D2581" s="7" t="inlineStr">
        <is>
          <t>[Allocation of Designated Reservoir Area on Lease for Fisheries and Other Aquaculture Activities in Majalgaon Reservoir under the jurisdiction of the Godavari Marathwada Irrigation Development Corporation (GMIDC), Water Resources Department, Governmen]</t>
        </is>
      </c>
      <c r="E2581" s="7" t="inlineStr">
        <is>
          <t>Maharashtra Public Works &amp; Technology Department</t>
        </is>
      </c>
      <c r="F2581" s="6" t="inlineStr">
        <is>
          <t>30 Aug 2026</t>
        </is>
      </c>
      <c r="G2581" s="5" t="inlineStr">
        <is>
          <t>21 Sep 2026</t>
        </is>
      </c>
      <c r="H2581" s="8" t="inlineStr">
        <is>
          <t>⏳ UPCOMING</t>
        </is>
      </c>
      <c r="I2581" s="4" t="inlineStr">
        <is>
          <t>04_SBD.pdf</t>
        </is>
      </c>
      <c r="J2581" s="6" t="inlineStr">
        <is>
          <t>📕 PDF Document</t>
        </is>
      </c>
      <c r="K2581" s="9" t="n">
        <v>17.9</v>
      </c>
      <c r="L2581" s="10">
        <f>HYPERLINK("http://127.0.0.1:8000/api/documents/download?id=454&amp;attachment=true", "⬇ Download 04_SBD.pdf")</f>
        <v/>
      </c>
      <c r="M2581" s="10">
        <f>HYPERLINK("http://localhost:5173/?state=Maharashtra&amp;keyword=Development&amp;tender=2026_CCCA_1322912_1", "🚀 Open in Portal")</f>
        <v/>
      </c>
    </row>
    <row r="2582" ht="24" customHeight="1">
      <c r="A2582" s="11" t="inlineStr">
        <is>
          <t>Maharashtra</t>
        </is>
      </c>
      <c r="B2582" s="12" t="inlineStr">
        <is>
          <t>Development</t>
        </is>
      </c>
      <c r="C2582" s="13" t="inlineStr">
        <is>
          <t>2026_CCCA_1322912_1</t>
        </is>
      </c>
      <c r="D2582" s="14" t="inlineStr">
        <is>
          <t>[Allocation of Designated Reservoir Area on Lease for Fisheries and Other Aquaculture Activities in Majalgaon Reservoir under the jurisdiction of the Godavari Marathwada Irrigation Development Corporation (GMIDC), Water Resources Department, Governmen]</t>
        </is>
      </c>
      <c r="E2582" s="14" t="inlineStr">
        <is>
          <t>Maharashtra Public Works &amp; Technology Department</t>
        </is>
      </c>
      <c r="F2582" s="13" t="inlineStr">
        <is>
          <t>30 Aug 2026</t>
        </is>
      </c>
      <c r="G2582" s="12" t="inlineStr">
        <is>
          <t>21 Sep 2026</t>
        </is>
      </c>
      <c r="H2582" s="8" t="inlineStr">
        <is>
          <t>⏳ UPCOMING</t>
        </is>
      </c>
      <c r="I2582" s="11" t="inlineStr">
        <is>
          <t>BOQ_2266168.xls</t>
        </is>
      </c>
      <c r="J2582" s="13" t="inlineStr">
        <is>
          <t>📊 Excel BOQ</t>
        </is>
      </c>
      <c r="K2582" s="15" t="n">
        <v>2.5</v>
      </c>
      <c r="L2582" s="16">
        <f>HYPERLINK("http://127.0.0.1:8000/api/documents/download?id=455&amp;attachment=true", "⬇ Download BOQ_2266168.xls")</f>
        <v/>
      </c>
      <c r="M2582" s="16">
        <f>HYPERLINK("http://localhost:5173/?state=Maharashtra&amp;keyword=Development&amp;tender=2026_CCCA_1322912_1", "🚀 Open in Portal")</f>
        <v/>
      </c>
    </row>
    <row r="2583" ht="24" customHeight="1">
      <c r="A2583" s="4" t="inlineStr">
        <is>
          <t>Maharashtra</t>
        </is>
      </c>
      <c r="B2583" s="5" t="inlineStr">
        <is>
          <t>Development</t>
        </is>
      </c>
      <c r="C2583" s="6" t="inlineStr">
        <is>
          <t>2026_CCCA_1322912_1</t>
        </is>
      </c>
      <c r="D2583" s="7" t="inlineStr">
        <is>
          <t>[Allocation of Designated Reservoir Area on Lease for Fisheries and Other Aquaculture Activities in Majalgaon Reservoir under the jurisdiction of the Godavari Marathwada Irrigation Development Corporation (GMIDC), Water Resources Department, Governmen]</t>
        </is>
      </c>
      <c r="E2583" s="7" t="inlineStr">
        <is>
          <t>Maharashtra Public Works &amp; Technology Department</t>
        </is>
      </c>
      <c r="F2583" s="6" t="inlineStr">
        <is>
          <t>30 Aug 2026</t>
        </is>
      </c>
      <c r="G2583" s="5" t="inlineStr">
        <is>
          <t>21 Sep 2026</t>
        </is>
      </c>
      <c r="H2583" s="8" t="inlineStr">
        <is>
          <t>⏳ UPCOMING</t>
        </is>
      </c>
      <c r="I2583" s="4" t="inlineStr">
        <is>
          <t>Tender_2026_CCCA_1322912_1_All_Documents.zip</t>
        </is>
      </c>
      <c r="J2583" s="6" t="inlineStr">
        <is>
          <t>📦 ZIP Package</t>
        </is>
      </c>
      <c r="K2583" s="9" t="n">
        <v>20.9</v>
      </c>
      <c r="L2583" s="10">
        <f>HYPERLINK("http://127.0.0.1:8000/api/documents/download?id=456&amp;attachment=true", "⬇ Download Tender_2026_CCCA_1322912")</f>
        <v/>
      </c>
      <c r="M2583" s="10">
        <f>HYPERLINK("http://localhost:5173/?state=Maharashtra&amp;keyword=Development&amp;tender=2026_CCCA_1322912_1", "🚀 Open in Portal")</f>
        <v/>
      </c>
    </row>
    <row r="2584" ht="24" customHeight="1">
      <c r="A2584" s="11" t="inlineStr">
        <is>
          <t>Maharashtra</t>
        </is>
      </c>
      <c r="B2584" s="12" t="inlineStr">
        <is>
          <t>Development</t>
        </is>
      </c>
      <c r="C2584" s="13" t="inlineStr">
        <is>
          <t>2026_DMA_1343035_1</t>
        </is>
      </c>
      <c r="D2584" s="14" t="inlineStr">
        <is>
          <t>[Providing consultancy services to assist the Town Planning Officer (TPO) in preparing a revised development plan based on the Geographic Information System (GIS) for the area within the Savda Municipal Council limits]</t>
        </is>
      </c>
      <c r="E2584" s="14" t="inlineStr">
        <is>
          <t>Maharashtra Public Works &amp; Technology Department</t>
        </is>
      </c>
      <c r="F2584" s="13" t="inlineStr">
        <is>
          <t>19 Aug 2026</t>
        </is>
      </c>
      <c r="G2584" s="12" t="inlineStr">
        <is>
          <t>11 Sep 2026</t>
        </is>
      </c>
      <c r="H2584" s="8" t="inlineStr">
        <is>
          <t>⏳ UPCOMING</t>
        </is>
      </c>
      <c r="I2584" s="11" t="inlineStr">
        <is>
          <t>Tendernotice_1.pdf</t>
        </is>
      </c>
      <c r="J2584" s="13" t="inlineStr">
        <is>
          <t>📕 PDF Document</t>
        </is>
      </c>
      <c r="K2584" s="15" t="n">
        <v>17.8</v>
      </c>
      <c r="L2584" s="16">
        <f>HYPERLINK("http://127.0.0.1:8000/api/documents/download?id=1107&amp;attachment=true", "⬇ Download Tendernotice_1.pdf")</f>
        <v/>
      </c>
      <c r="M2584" s="16">
        <f>HYPERLINK("http://localhost:5173/?state=Maharashtra&amp;keyword=Development&amp;tender=2026_DMA_1343035_1", "🚀 Open in Portal")</f>
        <v/>
      </c>
    </row>
    <row r="2585" ht="24" customHeight="1">
      <c r="A2585" s="4" t="inlineStr">
        <is>
          <t>Maharashtra</t>
        </is>
      </c>
      <c r="B2585" s="5" t="inlineStr">
        <is>
          <t>Development</t>
        </is>
      </c>
      <c r="C2585" s="6" t="inlineStr">
        <is>
          <t>2026_DMA_1343035_1</t>
        </is>
      </c>
      <c r="D2585" s="7" t="inlineStr">
        <is>
          <t>[Providing consultancy services to assist the Town Planning Officer (TPO) in preparing a revised development plan based on the Geographic Information System (GIS) for the area within the Savda Municipal Council limits]</t>
        </is>
      </c>
      <c r="E2585" s="7" t="inlineStr">
        <is>
          <t>Maharashtra Public Works &amp; Technology Department</t>
        </is>
      </c>
      <c r="F2585" s="6" t="inlineStr">
        <is>
          <t>19 Aug 2026</t>
        </is>
      </c>
      <c r="G2585" s="5" t="inlineStr">
        <is>
          <t>11 Sep 2026</t>
        </is>
      </c>
      <c r="H2585" s="8" t="inlineStr">
        <is>
          <t>⏳ UPCOMING</t>
        </is>
      </c>
      <c r="I2585" s="4" t="inlineStr">
        <is>
          <t>BOQ_2295550.xls</t>
        </is>
      </c>
      <c r="J2585" s="6" t="inlineStr">
        <is>
          <t>📊 Excel BOQ</t>
        </is>
      </c>
      <c r="K2585" s="9" t="n">
        <v>2.5</v>
      </c>
      <c r="L2585" s="10">
        <f>HYPERLINK("http://127.0.0.1:8000/api/documents/download?id=1108&amp;attachment=true", "⬇ Download BOQ_2295550.xls")</f>
        <v/>
      </c>
      <c r="M2585" s="10">
        <f>HYPERLINK("http://localhost:5173/?state=Maharashtra&amp;keyword=Development&amp;tender=2026_DMA_1343035_1", "🚀 Open in Portal")</f>
        <v/>
      </c>
    </row>
    <row r="2586" ht="24" customHeight="1">
      <c r="A2586" s="11" t="inlineStr">
        <is>
          <t>Maharashtra</t>
        </is>
      </c>
      <c r="B2586" s="12" t="inlineStr">
        <is>
          <t>Development</t>
        </is>
      </c>
      <c r="C2586" s="13" t="inlineStr">
        <is>
          <t>2026_DMA_1343035_1</t>
        </is>
      </c>
      <c r="D2586" s="14" t="inlineStr">
        <is>
          <t>[Providing consultancy services to assist the Town Planning Officer (TPO) in preparing a revised development plan based on the Geographic Information System (GIS) for the area within the Savda Municipal Council limits]</t>
        </is>
      </c>
      <c r="E2586" s="14" t="inlineStr">
        <is>
          <t>Maharashtra Public Works &amp; Technology Department</t>
        </is>
      </c>
      <c r="F2586" s="13" t="inlineStr">
        <is>
          <t>19 Aug 2026</t>
        </is>
      </c>
      <c r="G2586" s="12" t="inlineStr">
        <is>
          <t>11 Sep 2026</t>
        </is>
      </c>
      <c r="H2586" s="8" t="inlineStr">
        <is>
          <t>⏳ UPCOMING</t>
        </is>
      </c>
      <c r="I2586" s="11" t="inlineStr">
        <is>
          <t>tenderdoc.pdf</t>
        </is>
      </c>
      <c r="J2586" s="13" t="inlineStr">
        <is>
          <t>📕 PDF Document</t>
        </is>
      </c>
      <c r="K2586" s="15" t="n">
        <v>17.8</v>
      </c>
      <c r="L2586" s="16">
        <f>HYPERLINK("http://127.0.0.1:8000/api/documents/download?id=1109&amp;attachment=true", "⬇ Download tenderdoc.pdf")</f>
        <v/>
      </c>
      <c r="M2586" s="16">
        <f>HYPERLINK("http://localhost:5173/?state=Maharashtra&amp;keyword=Development&amp;tender=2026_DMA_1343035_1", "🚀 Open in Portal")</f>
        <v/>
      </c>
    </row>
    <row r="2587" ht="24" customHeight="1">
      <c r="A2587" s="4" t="inlineStr">
        <is>
          <t>Maharashtra</t>
        </is>
      </c>
      <c r="B2587" s="5" t="inlineStr">
        <is>
          <t>Development</t>
        </is>
      </c>
      <c r="C2587" s="6" t="inlineStr">
        <is>
          <t>2026_DMA_1343035_1</t>
        </is>
      </c>
      <c r="D2587" s="7" t="inlineStr">
        <is>
          <t>[Providing consultancy services to assist the Town Planning Officer (TPO) in preparing a revised development plan based on the Geographic Information System (GIS) for the area within the Savda Municipal Council limits]</t>
        </is>
      </c>
      <c r="E2587" s="7" t="inlineStr">
        <is>
          <t>Maharashtra Public Works &amp; Technology Department</t>
        </is>
      </c>
      <c r="F2587" s="6" t="inlineStr">
        <is>
          <t>19 Aug 2026</t>
        </is>
      </c>
      <c r="G2587" s="5" t="inlineStr">
        <is>
          <t>11 Sep 2026</t>
        </is>
      </c>
      <c r="H2587" s="8" t="inlineStr">
        <is>
          <t>⏳ UPCOMING</t>
        </is>
      </c>
      <c r="I2587" s="4" t="inlineStr">
        <is>
          <t>Tender_2026_DMA_1343035_1_All_Documents.zip</t>
        </is>
      </c>
      <c r="J2587" s="6" t="inlineStr">
        <is>
          <t>📦 ZIP Package</t>
        </is>
      </c>
      <c r="K2587" s="9" t="n">
        <v>20.8</v>
      </c>
      <c r="L2587" s="10">
        <f>HYPERLINK("http://127.0.0.1:8000/api/documents/download?id=1110&amp;attachment=true", "⬇ Download Tender_2026_DMA_1343035_")</f>
        <v/>
      </c>
      <c r="M2587" s="10">
        <f>HYPERLINK("http://localhost:5173/?state=Maharashtra&amp;keyword=Development&amp;tender=2026_DMA_1343035_1", "🚀 Open in Portal")</f>
        <v/>
      </c>
    </row>
    <row r="2588" ht="24" customHeight="1">
      <c r="A2588" s="11" t="inlineStr">
        <is>
          <t>Maharashtra</t>
        </is>
      </c>
      <c r="B2588" s="12" t="inlineStr">
        <is>
          <t>Development</t>
        </is>
      </c>
      <c r="C2588" s="13" t="inlineStr">
        <is>
          <t>2026_MADC_1343523_1</t>
        </is>
      </c>
      <c r="D2588" s="14" t="inlineStr">
        <is>
          <t>[Appointment of Consultant for Preparation of Detailed Techno Economic feasibility Study and Bid process management for development of Greenfield offshore international airport at Kore, Vadhavan Port Region in Palghar District, Maharashtra (Revised)]</t>
        </is>
      </c>
      <c r="E2588" s="14" t="inlineStr">
        <is>
          <t>Maharashtra Public Works &amp; Technology Department</t>
        </is>
      </c>
      <c r="F2588" s="13" t="inlineStr">
        <is>
          <t>04 Aug 2026</t>
        </is>
      </c>
      <c r="G2588" s="12" t="inlineStr">
        <is>
          <t>30 Aug 2026</t>
        </is>
      </c>
      <c r="H2588" s="8" t="inlineStr">
        <is>
          <t>⏳ UPCOMING</t>
        </is>
      </c>
      <c r="I2588" s="11" t="inlineStr">
        <is>
          <t>Tendernotice_1.pdf</t>
        </is>
      </c>
      <c r="J2588" s="13" t="inlineStr">
        <is>
          <t>📕 PDF Document</t>
        </is>
      </c>
      <c r="K2588" s="15" t="n">
        <v>17.9</v>
      </c>
      <c r="L2588" s="16">
        <f>HYPERLINK("http://127.0.0.1:8000/api/documents/download?id=368&amp;attachment=true", "⬇ Download Tendernotice_1.pdf")</f>
        <v/>
      </c>
      <c r="M2588" s="16">
        <f>HYPERLINK("http://localhost:5173/?state=Maharashtra&amp;keyword=Development&amp;tender=2026_MADC_1343523_1", "🚀 Open in Portal")</f>
        <v/>
      </c>
    </row>
    <row r="2589" ht="24" customHeight="1">
      <c r="A2589" s="4" t="inlineStr">
        <is>
          <t>Maharashtra</t>
        </is>
      </c>
      <c r="B2589" s="5" t="inlineStr">
        <is>
          <t>Development</t>
        </is>
      </c>
      <c r="C2589" s="6" t="inlineStr">
        <is>
          <t>2026_MADC_1343523_1</t>
        </is>
      </c>
      <c r="D2589" s="7" t="inlineStr">
        <is>
          <t>[Appointment of Consultant for Preparation of Detailed Techno Economic feasibility Study and Bid process management for development of Greenfield offshore international airport at Kore, Vadhavan Port Region in Palghar District, Maharashtra (Revised)]</t>
        </is>
      </c>
      <c r="E2589" s="7" t="inlineStr">
        <is>
          <t>Maharashtra Public Works &amp; Technology Department</t>
        </is>
      </c>
      <c r="F2589" s="6" t="inlineStr">
        <is>
          <t>04 Aug 2026</t>
        </is>
      </c>
      <c r="G2589" s="5" t="inlineStr">
        <is>
          <t>30 Aug 2026</t>
        </is>
      </c>
      <c r="H2589" s="8" t="inlineStr">
        <is>
          <t>⏳ UPCOMING</t>
        </is>
      </c>
      <c r="I2589" s="4" t="inlineStr">
        <is>
          <t>Tender.pdf</t>
        </is>
      </c>
      <c r="J2589" s="6" t="inlineStr">
        <is>
          <t>📕 PDF Document</t>
        </is>
      </c>
      <c r="K2589" s="9" t="n">
        <v>17.8</v>
      </c>
      <c r="L2589" s="10">
        <f>HYPERLINK("http://127.0.0.1:8000/api/documents/download?id=369&amp;attachment=true", "⬇ Download Tender.pdf")</f>
        <v/>
      </c>
      <c r="M2589" s="10">
        <f>HYPERLINK("http://localhost:5173/?state=Maharashtra&amp;keyword=Development&amp;tender=2026_MADC_1343523_1", "🚀 Open in Portal")</f>
        <v/>
      </c>
    </row>
    <row r="2590" ht="24" customHeight="1">
      <c r="A2590" s="11" t="inlineStr">
        <is>
          <t>Maharashtra</t>
        </is>
      </c>
      <c r="B2590" s="12" t="inlineStr">
        <is>
          <t>Development</t>
        </is>
      </c>
      <c r="C2590" s="13" t="inlineStr">
        <is>
          <t>2026_MADC_1343523_1</t>
        </is>
      </c>
      <c r="D2590" s="14" t="inlineStr">
        <is>
          <t>[Appointment of Consultant for Preparation of Detailed Techno Economic feasibility Study and Bid process management for development of Greenfield offshore international airport at Kore, Vadhavan Port Region in Palghar District, Maharashtra (Revised)]</t>
        </is>
      </c>
      <c r="E2590" s="14" t="inlineStr">
        <is>
          <t>Maharashtra Public Works &amp; Technology Department</t>
        </is>
      </c>
      <c r="F2590" s="13" t="inlineStr">
        <is>
          <t>04 Aug 2026</t>
        </is>
      </c>
      <c r="G2590" s="12" t="inlineStr">
        <is>
          <t>30 Aug 2026</t>
        </is>
      </c>
      <c r="H2590" s="8" t="inlineStr">
        <is>
          <t>⏳ UPCOMING</t>
        </is>
      </c>
      <c r="I2590" s="11" t="inlineStr">
        <is>
          <t>BOQ_2296400.xls</t>
        </is>
      </c>
      <c r="J2590" s="13" t="inlineStr">
        <is>
          <t>📊 Excel BOQ</t>
        </is>
      </c>
      <c r="K2590" s="15" t="n">
        <v>2.5</v>
      </c>
      <c r="L2590" s="16">
        <f>HYPERLINK("http://127.0.0.1:8000/api/documents/download?id=370&amp;attachment=true", "⬇ Download BOQ_2296400.xls")</f>
        <v/>
      </c>
      <c r="M2590" s="16">
        <f>HYPERLINK("http://localhost:5173/?state=Maharashtra&amp;keyword=Development&amp;tender=2026_MADC_1343523_1", "🚀 Open in Portal")</f>
        <v/>
      </c>
    </row>
    <row r="2591" ht="24" customHeight="1">
      <c r="A2591" s="4" t="inlineStr">
        <is>
          <t>Maharashtra</t>
        </is>
      </c>
      <c r="B2591" s="5" t="inlineStr">
        <is>
          <t>Development</t>
        </is>
      </c>
      <c r="C2591" s="6" t="inlineStr">
        <is>
          <t>2026_MADC_1343523_1</t>
        </is>
      </c>
      <c r="D2591" s="7" t="inlineStr">
        <is>
          <t>[Appointment of Consultant for Preparation of Detailed Techno Economic feasibility Study and Bid process management for development of Greenfield offshore international airport at Kore, Vadhavan Port Region in Palghar District, Maharashtra (Revised)]</t>
        </is>
      </c>
      <c r="E2591" s="7" t="inlineStr">
        <is>
          <t>Maharashtra Public Works &amp; Technology Department</t>
        </is>
      </c>
      <c r="F2591" s="6" t="inlineStr">
        <is>
          <t>04 Aug 2026</t>
        </is>
      </c>
      <c r="G2591" s="5" t="inlineStr">
        <is>
          <t>30 Aug 2026</t>
        </is>
      </c>
      <c r="H2591" s="8" t="inlineStr">
        <is>
          <t>⏳ UPCOMING</t>
        </is>
      </c>
      <c r="I2591" s="4" t="inlineStr">
        <is>
          <t>Tender_2026_MADC_1343523_1_All_Documents.zip</t>
        </is>
      </c>
      <c r="J2591" s="6" t="inlineStr">
        <is>
          <t>📦 ZIP Package</t>
        </is>
      </c>
      <c r="K2591" s="9" t="n">
        <v>20.8</v>
      </c>
      <c r="L2591" s="10">
        <f>HYPERLINK("http://127.0.0.1:8000/api/documents/download?id=371&amp;attachment=true", "⬇ Download Tender_2026_MADC_1343523")</f>
        <v/>
      </c>
      <c r="M2591" s="10">
        <f>HYPERLINK("http://localhost:5173/?state=Maharashtra&amp;keyword=Development&amp;tender=2026_MADC_1343523_1", "🚀 Open in Portal")</f>
        <v/>
      </c>
    </row>
    <row r="2592" ht="24" customHeight="1">
      <c r="A2592" s="11" t="inlineStr">
        <is>
          <t>Maharashtra</t>
        </is>
      </c>
      <c r="B2592" s="12" t="inlineStr">
        <is>
          <t>Development</t>
        </is>
      </c>
      <c r="C2592" s="13" t="inlineStr">
        <is>
          <t>2026_VVCMC_1343597_1</t>
        </is>
      </c>
      <c r="D2592" s="14" t="inlineStr">
        <is>
          <t>[development of a Mini Miyawaki Forest over an area of 500 sq m at Reservation No 261 Survey Nos 20 21 and 23 Mouje Agashi within the jurisdiction of Vasai Virar City Municipal Corporation VVMC including the maintenance and upkeep of the Miyawaki pla]</t>
        </is>
      </c>
      <c r="E2592" s="14" t="inlineStr">
        <is>
          <t>Maharashtra Public Works &amp; Technology Department</t>
        </is>
      </c>
      <c r="F2592" s="13" t="inlineStr">
        <is>
          <t>31 Jul 2026</t>
        </is>
      </c>
      <c r="G2592" s="12" t="inlineStr">
        <is>
          <t>23 Aug 2026</t>
        </is>
      </c>
      <c r="H2592" s="8" t="inlineStr">
        <is>
          <t>⏳ UPCOMING</t>
        </is>
      </c>
      <c r="I2592" s="11" t="inlineStr">
        <is>
          <t>Tendernotice_1.pdf</t>
        </is>
      </c>
      <c r="J2592" s="13" t="inlineStr">
        <is>
          <t>📕 PDF Document</t>
        </is>
      </c>
      <c r="K2592" s="15" t="n">
        <v>17.9</v>
      </c>
      <c r="L2592" s="16">
        <f>HYPERLINK("http://127.0.0.1:8000/api/documents/download?id=410&amp;attachment=true", "⬇ Download Tendernotice_1.pdf")</f>
        <v/>
      </c>
      <c r="M2592" s="16">
        <f>HYPERLINK("http://localhost:5173/?state=Maharashtra&amp;keyword=Development&amp;tender=2026_VVCMC_1343597_1", "🚀 Open in Portal")</f>
        <v/>
      </c>
    </row>
    <row r="2593" ht="24" customHeight="1">
      <c r="A2593" s="4" t="inlineStr">
        <is>
          <t>Maharashtra</t>
        </is>
      </c>
      <c r="B2593" s="5" t="inlineStr">
        <is>
          <t>Development</t>
        </is>
      </c>
      <c r="C2593" s="6" t="inlineStr">
        <is>
          <t>2026_VVCMC_1343597_1</t>
        </is>
      </c>
      <c r="D2593" s="7" t="inlineStr">
        <is>
          <t>[development of a Mini Miyawaki Forest over an area of 500 sq m at Reservation No 261 Survey Nos 20 21 and 23 Mouje Agashi within the jurisdiction of Vasai Virar City Municipal Corporation VVMC including the maintenance and upkeep of the Miyawaki pla]</t>
        </is>
      </c>
      <c r="E2593" s="7" t="inlineStr">
        <is>
          <t>Maharashtra Public Works &amp; Technology Department</t>
        </is>
      </c>
      <c r="F2593" s="6" t="inlineStr">
        <is>
          <t>31 Jul 2026</t>
        </is>
      </c>
      <c r="G2593" s="5" t="inlineStr">
        <is>
          <t>23 Aug 2026</t>
        </is>
      </c>
      <c r="H2593" s="8" t="inlineStr">
        <is>
          <t>⏳ UPCOMING</t>
        </is>
      </c>
      <c r="I2593" s="4" t="inlineStr">
        <is>
          <t>BOQ_2296509.xls</t>
        </is>
      </c>
      <c r="J2593" s="6" t="inlineStr">
        <is>
          <t>📊 Excel BOQ</t>
        </is>
      </c>
      <c r="K2593" s="9" t="n">
        <v>2.6</v>
      </c>
      <c r="L2593" s="10">
        <f>HYPERLINK("http://127.0.0.1:8000/api/documents/download?id=411&amp;attachment=true", "⬇ Download BOQ_2296509.xls")</f>
        <v/>
      </c>
      <c r="M2593" s="10">
        <f>HYPERLINK("http://localhost:5173/?state=Maharashtra&amp;keyword=Development&amp;tender=2026_VVCMC_1343597_1", "🚀 Open in Portal")</f>
        <v/>
      </c>
    </row>
    <row r="2594" ht="24" customHeight="1">
      <c r="A2594" s="11" t="inlineStr">
        <is>
          <t>Maharashtra</t>
        </is>
      </c>
      <c r="B2594" s="12" t="inlineStr">
        <is>
          <t>Development</t>
        </is>
      </c>
      <c r="C2594" s="13" t="inlineStr">
        <is>
          <t>2026_VVCMC_1343597_1</t>
        </is>
      </c>
      <c r="D2594" s="14" t="inlineStr">
        <is>
          <t>[development of a Mini Miyawaki Forest over an area of 500 sq m at Reservation No 261 Survey Nos 20 21 and 23 Mouje Agashi within the jurisdiction of Vasai Virar City Municipal Corporation VVMC including the maintenance and upkeep of the Miyawaki pla]</t>
        </is>
      </c>
      <c r="E2594" s="14" t="inlineStr">
        <is>
          <t>Maharashtra Public Works &amp; Technology Department</t>
        </is>
      </c>
      <c r="F2594" s="13" t="inlineStr">
        <is>
          <t>31 Jul 2026</t>
        </is>
      </c>
      <c r="G2594" s="12" t="inlineStr">
        <is>
          <t>23 Aug 2026</t>
        </is>
      </c>
      <c r="H2594" s="8" t="inlineStr">
        <is>
          <t>⏳ UPCOMING</t>
        </is>
      </c>
      <c r="I2594" s="11" t="inlineStr">
        <is>
          <t>TD.pdf</t>
        </is>
      </c>
      <c r="J2594" s="13" t="inlineStr">
        <is>
          <t>📕 PDF Document</t>
        </is>
      </c>
      <c r="K2594" s="15" t="n">
        <v>17.8</v>
      </c>
      <c r="L2594" s="16">
        <f>HYPERLINK("http://127.0.0.1:8000/api/documents/download?id=412&amp;attachment=true", "⬇ Download TD.pdf")</f>
        <v/>
      </c>
      <c r="M2594" s="16">
        <f>HYPERLINK("http://localhost:5173/?state=Maharashtra&amp;keyword=Development&amp;tender=2026_VVCMC_1343597_1", "🚀 Open in Portal")</f>
        <v/>
      </c>
    </row>
    <row r="2595" ht="24" customHeight="1">
      <c r="A2595" s="4" t="inlineStr">
        <is>
          <t>Maharashtra</t>
        </is>
      </c>
      <c r="B2595" s="5" t="inlineStr">
        <is>
          <t>Development</t>
        </is>
      </c>
      <c r="C2595" s="6" t="inlineStr">
        <is>
          <t>2026_VVCMC_1343597_1</t>
        </is>
      </c>
      <c r="D2595" s="7" t="inlineStr">
        <is>
          <t>[development of a Mini Miyawaki Forest over an area of 500 sq m at Reservation No 261 Survey Nos 20 21 and 23 Mouje Agashi within the jurisdiction of Vasai Virar City Municipal Corporation VVMC including the maintenance and upkeep of the Miyawaki pla]</t>
        </is>
      </c>
      <c r="E2595" s="7" t="inlineStr">
        <is>
          <t>Maharashtra Public Works &amp; Technology Department</t>
        </is>
      </c>
      <c r="F2595" s="6" t="inlineStr">
        <is>
          <t>31 Jul 2026</t>
        </is>
      </c>
      <c r="G2595" s="5" t="inlineStr">
        <is>
          <t>23 Aug 2026</t>
        </is>
      </c>
      <c r="H2595" s="8" t="inlineStr">
        <is>
          <t>⏳ UPCOMING</t>
        </is>
      </c>
      <c r="I2595" s="4" t="inlineStr">
        <is>
          <t>Tender_2026_VVCMC_1343597_1_All_Documents.zip</t>
        </is>
      </c>
      <c r="J2595" s="6" t="inlineStr">
        <is>
          <t>📦 ZIP Package</t>
        </is>
      </c>
      <c r="K2595" s="9" t="n">
        <v>20.8</v>
      </c>
      <c r="L2595" s="10">
        <f>HYPERLINK("http://127.0.0.1:8000/api/documents/download?id=413&amp;attachment=true", "⬇ Download Tender_2026_VVCMC_134359")</f>
        <v/>
      </c>
      <c r="M2595" s="10">
        <f>HYPERLINK("http://localhost:5173/?state=Maharashtra&amp;keyword=Development&amp;tender=2026_VVCMC_1343597_1", "🚀 Open in Portal")</f>
        <v/>
      </c>
    </row>
    <row r="2596" ht="24" customHeight="1">
      <c r="A2596" s="11" t="inlineStr">
        <is>
          <t>Maharashtra</t>
        </is>
      </c>
      <c r="B2596" s="12" t="inlineStr">
        <is>
          <t>Development</t>
        </is>
      </c>
      <c r="C2596" s="13" t="inlineStr">
        <is>
          <t>2026_VVCMC_1343617_1</t>
        </is>
      </c>
      <c r="D2596" s="14" t="inlineStr">
        <is>
          <t>[development of a Mini Miyawaki Forest over an area of 500 sq m at Reservation No 707 Survey No 14 Mouje Dhovali within the jurisdiction of Vasai Virar City Municipal Corporation VVMC including the maintenance and upkeep of the Miyawaki plantation for]</t>
        </is>
      </c>
      <c r="E2596" s="14" t="inlineStr">
        <is>
          <t>Maharashtra Public Works &amp; Technology Department</t>
        </is>
      </c>
      <c r="F2596" s="13" t="inlineStr">
        <is>
          <t>27 Jul 2026</t>
        </is>
      </c>
      <c r="G2596" s="12" t="inlineStr">
        <is>
          <t>21 Aug 2026</t>
        </is>
      </c>
      <c r="H2596" s="8" t="inlineStr">
        <is>
          <t>⏳ UPCOMING</t>
        </is>
      </c>
      <c r="I2596" s="11" t="inlineStr">
        <is>
          <t>Tendernotice_1.pdf</t>
        </is>
      </c>
      <c r="J2596" s="13" t="inlineStr">
        <is>
          <t>📕 PDF Document</t>
        </is>
      </c>
      <c r="K2596" s="15" t="n">
        <v>17.9</v>
      </c>
      <c r="L2596" s="16">
        <f>HYPERLINK("http://127.0.0.1:8000/api/documents/download?id=406&amp;attachment=true", "⬇ Download Tendernotice_1.pdf")</f>
        <v/>
      </c>
      <c r="M2596" s="16">
        <f>HYPERLINK("http://localhost:5173/?state=Maharashtra&amp;keyword=Development&amp;tender=2026_VVCMC_1343617_1", "🚀 Open in Portal")</f>
        <v/>
      </c>
    </row>
    <row r="2597" ht="24" customHeight="1">
      <c r="A2597" s="4" t="inlineStr">
        <is>
          <t>Maharashtra</t>
        </is>
      </c>
      <c r="B2597" s="5" t="inlineStr">
        <is>
          <t>Development</t>
        </is>
      </c>
      <c r="C2597" s="6" t="inlineStr">
        <is>
          <t>2026_VVCMC_1343617_1</t>
        </is>
      </c>
      <c r="D2597" s="7" t="inlineStr">
        <is>
          <t>[development of a Mini Miyawaki Forest over an area of 500 sq m at Reservation No 707 Survey No 14 Mouje Dhovali within the jurisdiction of Vasai Virar City Municipal Corporation VVMC including the maintenance and upkeep of the Miyawaki plantation for]</t>
        </is>
      </c>
      <c r="E2597" s="7" t="inlineStr">
        <is>
          <t>Maharashtra Public Works &amp; Technology Department</t>
        </is>
      </c>
      <c r="F2597" s="6" t="inlineStr">
        <is>
          <t>27 Jul 2026</t>
        </is>
      </c>
      <c r="G2597" s="5" t="inlineStr">
        <is>
          <t>21 Aug 2026</t>
        </is>
      </c>
      <c r="H2597" s="8" t="inlineStr">
        <is>
          <t>⏳ UPCOMING</t>
        </is>
      </c>
      <c r="I2597" s="4" t="inlineStr">
        <is>
          <t>BOQ_2296548.xls</t>
        </is>
      </c>
      <c r="J2597" s="6" t="inlineStr">
        <is>
          <t>📊 Excel BOQ</t>
        </is>
      </c>
      <c r="K2597" s="9" t="n">
        <v>2.6</v>
      </c>
      <c r="L2597" s="10">
        <f>HYPERLINK("http://127.0.0.1:8000/api/documents/download?id=407&amp;attachment=true", "⬇ Download BOQ_2296548.xls")</f>
        <v/>
      </c>
      <c r="M2597" s="10">
        <f>HYPERLINK("http://localhost:5173/?state=Maharashtra&amp;keyword=Development&amp;tender=2026_VVCMC_1343617_1", "🚀 Open in Portal")</f>
        <v/>
      </c>
    </row>
    <row r="2598" ht="24" customHeight="1">
      <c r="A2598" s="11" t="inlineStr">
        <is>
          <t>Maharashtra</t>
        </is>
      </c>
      <c r="B2598" s="12" t="inlineStr">
        <is>
          <t>Development</t>
        </is>
      </c>
      <c r="C2598" s="13" t="inlineStr">
        <is>
          <t>2026_VVCMC_1343617_1</t>
        </is>
      </c>
      <c r="D2598" s="14" t="inlineStr">
        <is>
          <t>[development of a Mini Miyawaki Forest over an area of 500 sq m at Reservation No 707 Survey No 14 Mouje Dhovali within the jurisdiction of Vasai Virar City Municipal Corporation VVMC including the maintenance and upkeep of the Miyawaki plantation for]</t>
        </is>
      </c>
      <c r="E2598" s="14" t="inlineStr">
        <is>
          <t>Maharashtra Public Works &amp; Technology Department</t>
        </is>
      </c>
      <c r="F2598" s="13" t="inlineStr">
        <is>
          <t>27 Jul 2026</t>
        </is>
      </c>
      <c r="G2598" s="12" t="inlineStr">
        <is>
          <t>21 Aug 2026</t>
        </is>
      </c>
      <c r="H2598" s="8" t="inlineStr">
        <is>
          <t>⏳ UPCOMING</t>
        </is>
      </c>
      <c r="I2598" s="11" t="inlineStr">
        <is>
          <t>tf.pdf</t>
        </is>
      </c>
      <c r="J2598" s="13" t="inlineStr">
        <is>
          <t>📕 PDF Document</t>
        </is>
      </c>
      <c r="K2598" s="15" t="n">
        <v>17.8</v>
      </c>
      <c r="L2598" s="16">
        <f>HYPERLINK("http://127.0.0.1:8000/api/documents/download?id=408&amp;attachment=true", "⬇ Download tf.pdf")</f>
        <v/>
      </c>
      <c r="M2598" s="16">
        <f>HYPERLINK("http://localhost:5173/?state=Maharashtra&amp;keyword=Development&amp;tender=2026_VVCMC_1343617_1", "🚀 Open in Portal")</f>
        <v/>
      </c>
    </row>
    <row r="2599" ht="24" customHeight="1">
      <c r="A2599" s="4" t="inlineStr">
        <is>
          <t>Maharashtra</t>
        </is>
      </c>
      <c r="B2599" s="5" t="inlineStr">
        <is>
          <t>Development</t>
        </is>
      </c>
      <c r="C2599" s="6" t="inlineStr">
        <is>
          <t>2026_VVCMC_1343617_1</t>
        </is>
      </c>
      <c r="D2599" s="7" t="inlineStr">
        <is>
          <t>[development of a Mini Miyawaki Forest over an area of 500 sq m at Reservation No 707 Survey No 14 Mouje Dhovali within the jurisdiction of Vasai Virar City Municipal Corporation VVMC including the maintenance and upkeep of the Miyawaki plantation for]</t>
        </is>
      </c>
      <c r="E2599" s="7" t="inlineStr">
        <is>
          <t>Maharashtra Public Works &amp; Technology Department</t>
        </is>
      </c>
      <c r="F2599" s="6" t="inlineStr">
        <is>
          <t>27 Jul 2026</t>
        </is>
      </c>
      <c r="G2599" s="5" t="inlineStr">
        <is>
          <t>21 Aug 2026</t>
        </is>
      </c>
      <c r="H2599" s="8" t="inlineStr">
        <is>
          <t>⏳ UPCOMING</t>
        </is>
      </c>
      <c r="I2599" s="4" t="inlineStr">
        <is>
          <t>Tender_2026_VVCMC_1343617_1_All_Documents.zip</t>
        </is>
      </c>
      <c r="J2599" s="6" t="inlineStr">
        <is>
          <t>📦 ZIP Package</t>
        </is>
      </c>
      <c r="K2599" s="9" t="n">
        <v>20.9</v>
      </c>
      <c r="L2599" s="10">
        <f>HYPERLINK("http://127.0.0.1:8000/api/documents/download?id=409&amp;attachment=true", "⬇ Download Tender_2026_VVCMC_134361")</f>
        <v/>
      </c>
      <c r="M2599" s="10">
        <f>HYPERLINK("http://localhost:5173/?state=Maharashtra&amp;keyword=Development&amp;tender=2026_VVCMC_1343617_1", "🚀 Open in Portal")</f>
        <v/>
      </c>
    </row>
    <row r="2600" ht="24" customHeight="1">
      <c r="A2600" s="11" t="inlineStr">
        <is>
          <t>Maharashtra</t>
        </is>
      </c>
      <c r="B2600" s="12" t="inlineStr">
        <is>
          <t>Development</t>
        </is>
      </c>
      <c r="C2600" s="13" t="inlineStr">
        <is>
          <t>2026_VVCMC_1343629_1</t>
        </is>
      </c>
      <c r="D2600" s="14" t="inlineStr">
        <is>
          <t>[Development of a Mini Miyawaki Forest over an area of 500 sq m at Reservation No 388 Survey No 35, Nilmore Nos 128 and 129 Mouje Sopara Nilmore within the jurisdiction of Vasai Virar City Municipal Corporation VVMC under the National Clean Air Progra]</t>
        </is>
      </c>
      <c r="E2600" s="14" t="inlineStr">
        <is>
          <t>Maharashtra Public Works &amp; Technology Department</t>
        </is>
      </c>
      <c r="F2600" s="13" t="inlineStr">
        <is>
          <t>22 Jul 2026</t>
        </is>
      </c>
      <c r="G2600" s="12" t="inlineStr">
        <is>
          <t>19 Aug 2026</t>
        </is>
      </c>
      <c r="H2600" s="8" t="inlineStr">
        <is>
          <t>⏳ UPCOMING</t>
        </is>
      </c>
      <c r="I2600" s="11" t="inlineStr">
        <is>
          <t>Tendernotice_1.pdf</t>
        </is>
      </c>
      <c r="J2600" s="13" t="inlineStr">
        <is>
          <t>📕 PDF Document</t>
        </is>
      </c>
      <c r="K2600" s="15" t="n">
        <v>17.9</v>
      </c>
      <c r="L2600" s="16">
        <f>HYPERLINK("http://127.0.0.1:8000/api/documents/download?id=402&amp;attachment=true", "⬇ Download Tendernotice_1.pdf")</f>
        <v/>
      </c>
      <c r="M2600" s="16">
        <f>HYPERLINK("http://localhost:5173/?state=Maharashtra&amp;keyword=Development&amp;tender=2026_VVCMC_1343629_1", "🚀 Open in Portal")</f>
        <v/>
      </c>
    </row>
    <row r="2601" ht="24" customHeight="1">
      <c r="A2601" s="4" t="inlineStr">
        <is>
          <t>Maharashtra</t>
        </is>
      </c>
      <c r="B2601" s="5" t="inlineStr">
        <is>
          <t>Development</t>
        </is>
      </c>
      <c r="C2601" s="6" t="inlineStr">
        <is>
          <t>2026_VVCMC_1343629_1</t>
        </is>
      </c>
      <c r="D2601" s="7" t="inlineStr">
        <is>
          <t>[Development of a Mini Miyawaki Forest over an area of 500 sq m at Reservation No 388 Survey No 35, Nilmore Nos 128 and 129 Mouje Sopara Nilmore within the jurisdiction of Vasai Virar City Municipal Corporation VVMC under the National Clean Air Progra]</t>
        </is>
      </c>
      <c r="E2601" s="7" t="inlineStr">
        <is>
          <t>Maharashtra Public Works &amp; Technology Department</t>
        </is>
      </c>
      <c r="F2601" s="6" t="inlineStr">
        <is>
          <t>22 Jul 2026</t>
        </is>
      </c>
      <c r="G2601" s="5" t="inlineStr">
        <is>
          <t>19 Aug 2026</t>
        </is>
      </c>
      <c r="H2601" s="8" t="inlineStr">
        <is>
          <t>⏳ UPCOMING</t>
        </is>
      </c>
      <c r="I2601" s="4" t="inlineStr">
        <is>
          <t>BOQ_2296567.xls</t>
        </is>
      </c>
      <c r="J2601" s="6" t="inlineStr">
        <is>
          <t>📊 Excel BOQ</t>
        </is>
      </c>
      <c r="K2601" s="9" t="n">
        <v>2.6</v>
      </c>
      <c r="L2601" s="10">
        <f>HYPERLINK("http://127.0.0.1:8000/api/documents/download?id=403&amp;attachment=true", "⬇ Download BOQ_2296567.xls")</f>
        <v/>
      </c>
      <c r="M2601" s="10">
        <f>HYPERLINK("http://localhost:5173/?state=Maharashtra&amp;keyword=Development&amp;tender=2026_VVCMC_1343629_1", "🚀 Open in Portal")</f>
        <v/>
      </c>
    </row>
    <row r="2602" ht="24" customHeight="1">
      <c r="A2602" s="11" t="inlineStr">
        <is>
          <t>Maharashtra</t>
        </is>
      </c>
      <c r="B2602" s="12" t="inlineStr">
        <is>
          <t>Development</t>
        </is>
      </c>
      <c r="C2602" s="13" t="inlineStr">
        <is>
          <t>2026_VVCMC_1343629_1</t>
        </is>
      </c>
      <c r="D2602" s="14" t="inlineStr">
        <is>
          <t>[Development of a Mini Miyawaki Forest over an area of 500 sq m at Reservation No 388 Survey No 35, Nilmore Nos 128 and 129 Mouje Sopara Nilmore within the jurisdiction of Vasai Virar City Municipal Corporation VVMC under the National Clean Air Progra]</t>
        </is>
      </c>
      <c r="E2602" s="14" t="inlineStr">
        <is>
          <t>Maharashtra Public Works &amp; Technology Department</t>
        </is>
      </c>
      <c r="F2602" s="13" t="inlineStr">
        <is>
          <t>22 Jul 2026</t>
        </is>
      </c>
      <c r="G2602" s="12" t="inlineStr">
        <is>
          <t>19 Aug 2026</t>
        </is>
      </c>
      <c r="H2602" s="8" t="inlineStr">
        <is>
          <t>⏳ UPCOMING</t>
        </is>
      </c>
      <c r="I2602" s="11" t="inlineStr">
        <is>
          <t>2.pdf</t>
        </is>
      </c>
      <c r="J2602" s="13" t="inlineStr">
        <is>
          <t>📕 PDF Document</t>
        </is>
      </c>
      <c r="K2602" s="15" t="n">
        <v>17.8</v>
      </c>
      <c r="L2602" s="16">
        <f>HYPERLINK("http://127.0.0.1:8000/api/documents/download?id=404&amp;attachment=true", "⬇ Download 2.pdf")</f>
        <v/>
      </c>
      <c r="M2602" s="16">
        <f>HYPERLINK("http://localhost:5173/?state=Maharashtra&amp;keyword=Development&amp;tender=2026_VVCMC_1343629_1", "🚀 Open in Portal")</f>
        <v/>
      </c>
    </row>
    <row r="2603" ht="24" customHeight="1">
      <c r="A2603" s="4" t="inlineStr">
        <is>
          <t>Maharashtra</t>
        </is>
      </c>
      <c r="B2603" s="5" t="inlineStr">
        <is>
          <t>Development</t>
        </is>
      </c>
      <c r="C2603" s="6" t="inlineStr">
        <is>
          <t>2026_VVCMC_1343629_1</t>
        </is>
      </c>
      <c r="D2603" s="7" t="inlineStr">
        <is>
          <t>[Development of a Mini Miyawaki Forest over an area of 500 sq m at Reservation No 388 Survey No 35, Nilmore Nos 128 and 129 Mouje Sopara Nilmore within the jurisdiction of Vasai Virar City Municipal Corporation VVMC under the National Clean Air Progra]</t>
        </is>
      </c>
      <c r="E2603" s="7" t="inlineStr">
        <is>
          <t>Maharashtra Public Works &amp; Technology Department</t>
        </is>
      </c>
      <c r="F2603" s="6" t="inlineStr">
        <is>
          <t>22 Jul 2026</t>
        </is>
      </c>
      <c r="G2603" s="5" t="inlineStr">
        <is>
          <t>19 Aug 2026</t>
        </is>
      </c>
      <c r="H2603" s="8" t="inlineStr">
        <is>
          <t>⏳ UPCOMING</t>
        </is>
      </c>
      <c r="I2603" s="4" t="inlineStr">
        <is>
          <t>Tender_2026_VVCMC_1343629_1_All_Documents.zip</t>
        </is>
      </c>
      <c r="J2603" s="6" t="inlineStr">
        <is>
          <t>📦 ZIP Package</t>
        </is>
      </c>
      <c r="K2603" s="9" t="n">
        <v>20.8</v>
      </c>
      <c r="L2603" s="10">
        <f>HYPERLINK("http://127.0.0.1:8000/api/documents/download?id=405&amp;attachment=true", "⬇ Download Tender_2026_VVCMC_134362")</f>
        <v/>
      </c>
      <c r="M2603" s="10">
        <f>HYPERLINK("http://localhost:5173/?state=Maharashtra&amp;keyword=Development&amp;tender=2026_VVCMC_1343629_1", "🚀 Open in Portal")</f>
        <v/>
      </c>
    </row>
    <row r="2604" ht="24" customHeight="1">
      <c r="A2604" s="11" t="inlineStr">
        <is>
          <t>Maharashtra</t>
        </is>
      </c>
      <c r="B2604" s="12" t="inlineStr">
        <is>
          <t>Development</t>
        </is>
      </c>
      <c r="C2604" s="13" t="inlineStr">
        <is>
          <t>2026_VVCMC_1343641_1</t>
        </is>
      </c>
      <c r="D2604" s="14" t="inlineStr">
        <is>
          <t>[Development of a 500 sq m Mini Miyawaki Forest at the site located at Reservation No 475 Survey No 113 Mouje Gokhivre within the jurisdiction of Vasai Virar City Municipal Corporation VVMC under the National Clean Air Programme NCAP along with mainte]</t>
        </is>
      </c>
      <c r="E2604" s="14" t="inlineStr">
        <is>
          <t>Maharashtra Public Works &amp; Technology Department</t>
        </is>
      </c>
      <c r="F2604" s="13" t="inlineStr">
        <is>
          <t>16 Oct 2026</t>
        </is>
      </c>
      <c r="G2604" s="12" t="inlineStr">
        <is>
          <t>09 Nov 2026</t>
        </is>
      </c>
      <c r="H2604" s="17" t="inlineStr">
        <is>
          <t>🟢 LIVE ACTIVE</t>
        </is>
      </c>
      <c r="I2604" s="11" t="inlineStr">
        <is>
          <t>Tendernotice_1.pdf</t>
        </is>
      </c>
      <c r="J2604" s="13" t="inlineStr">
        <is>
          <t>📕 PDF Document</t>
        </is>
      </c>
      <c r="K2604" s="15" t="n">
        <v>17.9</v>
      </c>
      <c r="L2604" s="16">
        <f>HYPERLINK("http://127.0.0.1:8000/api/documents/download?id=398&amp;attachment=true", "⬇ Download Tendernotice_1.pdf")</f>
        <v/>
      </c>
      <c r="M2604" s="16">
        <f>HYPERLINK("http://localhost:5173/?state=Maharashtra&amp;keyword=Development&amp;tender=2026_VVCMC_1343641_1", "🚀 Open in Portal")</f>
        <v/>
      </c>
    </row>
    <row r="2605" ht="24" customHeight="1">
      <c r="A2605" s="4" t="inlineStr">
        <is>
          <t>Maharashtra</t>
        </is>
      </c>
      <c r="B2605" s="5" t="inlineStr">
        <is>
          <t>Development</t>
        </is>
      </c>
      <c r="C2605" s="6" t="inlineStr">
        <is>
          <t>2026_VVCMC_1343641_1</t>
        </is>
      </c>
      <c r="D2605" s="7" t="inlineStr">
        <is>
          <t>[Development of a 500 sq m Mini Miyawaki Forest at the site located at Reservation No 475 Survey No 113 Mouje Gokhivre within the jurisdiction of Vasai Virar City Municipal Corporation VVMC under the National Clean Air Programme NCAP along with mainte]</t>
        </is>
      </c>
      <c r="E2605" s="7" t="inlineStr">
        <is>
          <t>Maharashtra Public Works &amp; Technology Department</t>
        </is>
      </c>
      <c r="F2605" s="6" t="inlineStr">
        <is>
          <t>16 Oct 2026</t>
        </is>
      </c>
      <c r="G2605" s="5" t="inlineStr">
        <is>
          <t>09 Nov 2026</t>
        </is>
      </c>
      <c r="H2605" s="17" t="inlineStr">
        <is>
          <t>🟢 LIVE ACTIVE</t>
        </is>
      </c>
      <c r="I2605" s="4" t="inlineStr">
        <is>
          <t>2.pdf</t>
        </is>
      </c>
      <c r="J2605" s="6" t="inlineStr">
        <is>
          <t>📕 PDF Document</t>
        </is>
      </c>
      <c r="K2605" s="9" t="n">
        <v>17.8</v>
      </c>
      <c r="L2605" s="10">
        <f>HYPERLINK("http://127.0.0.1:8000/api/documents/download?id=399&amp;attachment=true", "⬇ Download 2.pdf")</f>
        <v/>
      </c>
      <c r="M2605" s="10">
        <f>HYPERLINK("http://localhost:5173/?state=Maharashtra&amp;keyword=Development&amp;tender=2026_VVCMC_1343641_1", "🚀 Open in Portal")</f>
        <v/>
      </c>
    </row>
    <row r="2606" ht="24" customHeight="1">
      <c r="A2606" s="11" t="inlineStr">
        <is>
          <t>Maharashtra</t>
        </is>
      </c>
      <c r="B2606" s="12" t="inlineStr">
        <is>
          <t>Development</t>
        </is>
      </c>
      <c r="C2606" s="13" t="inlineStr">
        <is>
          <t>2026_VVCMC_1343641_1</t>
        </is>
      </c>
      <c r="D2606" s="14" t="inlineStr">
        <is>
          <t>[Development of a 500 sq m Mini Miyawaki Forest at the site located at Reservation No 475 Survey No 113 Mouje Gokhivre within the jurisdiction of Vasai Virar City Municipal Corporation VVMC under the National Clean Air Programme NCAP along with mainte]</t>
        </is>
      </c>
      <c r="E2606" s="14" t="inlineStr">
        <is>
          <t>Maharashtra Public Works &amp; Technology Department</t>
        </is>
      </c>
      <c r="F2606" s="13" t="inlineStr">
        <is>
          <t>16 Oct 2026</t>
        </is>
      </c>
      <c r="G2606" s="12" t="inlineStr">
        <is>
          <t>09 Nov 2026</t>
        </is>
      </c>
      <c r="H2606" s="17" t="inlineStr">
        <is>
          <t>🟢 LIVE ACTIVE</t>
        </is>
      </c>
      <c r="I2606" s="11" t="inlineStr">
        <is>
          <t>BOQ_2296581.xls</t>
        </is>
      </c>
      <c r="J2606" s="13" t="inlineStr">
        <is>
          <t>📊 Excel BOQ</t>
        </is>
      </c>
      <c r="K2606" s="15" t="n">
        <v>2.6</v>
      </c>
      <c r="L2606" s="16">
        <f>HYPERLINK("http://127.0.0.1:8000/api/documents/download?id=400&amp;attachment=true", "⬇ Download BOQ_2296581.xls")</f>
        <v/>
      </c>
      <c r="M2606" s="16">
        <f>HYPERLINK("http://localhost:5173/?state=Maharashtra&amp;keyword=Development&amp;tender=2026_VVCMC_1343641_1", "🚀 Open in Portal")</f>
        <v/>
      </c>
    </row>
    <row r="2607" ht="24" customHeight="1">
      <c r="A2607" s="4" t="inlineStr">
        <is>
          <t>Maharashtra</t>
        </is>
      </c>
      <c r="B2607" s="5" t="inlineStr">
        <is>
          <t>Development</t>
        </is>
      </c>
      <c r="C2607" s="6" t="inlineStr">
        <is>
          <t>2026_VVCMC_1343641_1</t>
        </is>
      </c>
      <c r="D2607" s="7" t="inlineStr">
        <is>
          <t>[Development of a 500 sq m Mini Miyawaki Forest at the site located at Reservation No 475 Survey No 113 Mouje Gokhivre within the jurisdiction of Vasai Virar City Municipal Corporation VVMC under the National Clean Air Programme NCAP along with mainte]</t>
        </is>
      </c>
      <c r="E2607" s="7" t="inlineStr">
        <is>
          <t>Maharashtra Public Works &amp; Technology Department</t>
        </is>
      </c>
      <c r="F2607" s="6" t="inlineStr">
        <is>
          <t>16 Oct 2026</t>
        </is>
      </c>
      <c r="G2607" s="5" t="inlineStr">
        <is>
          <t>09 Nov 2026</t>
        </is>
      </c>
      <c r="H2607" s="17" t="inlineStr">
        <is>
          <t>🟢 LIVE ACTIVE</t>
        </is>
      </c>
      <c r="I2607" s="4" t="inlineStr">
        <is>
          <t>Tender_2026_VVCMC_1343641_1_All_Documents.zip</t>
        </is>
      </c>
      <c r="J2607" s="6" t="inlineStr">
        <is>
          <t>📦 ZIP Package</t>
        </is>
      </c>
      <c r="K2607" s="9" t="n">
        <v>21</v>
      </c>
      <c r="L2607" s="10">
        <f>HYPERLINK("http://127.0.0.1:8000/api/documents/download?id=401&amp;attachment=true", "⬇ Download Tender_2026_VVCMC_134364")</f>
        <v/>
      </c>
      <c r="M2607" s="10">
        <f>HYPERLINK("http://localhost:5173/?state=Maharashtra&amp;keyword=Development&amp;tender=2026_VVCMC_1343641_1", "🚀 Open in Portal")</f>
        <v/>
      </c>
    </row>
    <row r="2608" ht="24" customHeight="1">
      <c r="A2608" s="11" t="inlineStr">
        <is>
          <t>Maharashtra</t>
        </is>
      </c>
      <c r="B2608" s="12" t="inlineStr">
        <is>
          <t>Development</t>
        </is>
      </c>
      <c r="C2608" s="13" t="inlineStr">
        <is>
          <t>2026_VVCMC_1343653_1</t>
        </is>
      </c>
      <c r="D2608" s="14" t="inlineStr">
        <is>
          <t>[Development of a 1000 sq m Mini Miyawaki Forest at the site located at Reservation No 355 Survey Nos 3 4 5 and 6 Mouje Samel within the jurisdiction of Vasai Virar City Municipal Corporation VVMC under the National Clean Air Programme NCAP along wit]</t>
        </is>
      </c>
      <c r="E2608" s="14" t="inlineStr">
        <is>
          <t>Maharashtra Public Works &amp; Technology Department</t>
        </is>
      </c>
      <c r="F2608" s="13" t="inlineStr">
        <is>
          <t>25 Oct 2026</t>
        </is>
      </c>
      <c r="G2608" s="12" t="inlineStr">
        <is>
          <t>15 Nov 2026</t>
        </is>
      </c>
      <c r="H2608" s="8" t="inlineStr">
        <is>
          <t>⏳ UPCOMING</t>
        </is>
      </c>
      <c r="I2608" s="11" t="inlineStr">
        <is>
          <t>Tendernotice_1.pdf</t>
        </is>
      </c>
      <c r="J2608" s="13" t="inlineStr">
        <is>
          <t>📕 PDF Document</t>
        </is>
      </c>
      <c r="K2608" s="15" t="n">
        <v>17.9</v>
      </c>
      <c r="L2608" s="16">
        <f>HYPERLINK("http://127.0.0.1:8000/api/documents/download?id=394&amp;attachment=true", "⬇ Download Tendernotice_1.pdf")</f>
        <v/>
      </c>
      <c r="M2608" s="16">
        <f>HYPERLINK("http://localhost:5173/?state=Maharashtra&amp;keyword=Development&amp;tender=2026_VVCMC_1343653_1", "🚀 Open in Portal")</f>
        <v/>
      </c>
    </row>
    <row r="2609" ht="24" customHeight="1">
      <c r="A2609" s="4" t="inlineStr">
        <is>
          <t>Maharashtra</t>
        </is>
      </c>
      <c r="B2609" s="5" t="inlineStr">
        <is>
          <t>Development</t>
        </is>
      </c>
      <c r="C2609" s="6" t="inlineStr">
        <is>
          <t>2026_VVCMC_1343653_1</t>
        </is>
      </c>
      <c r="D2609" s="7" t="inlineStr">
        <is>
          <t>[Development of a 1000 sq m Mini Miyawaki Forest at the site located at Reservation No 355 Survey Nos 3 4 5 and 6 Mouje Samel within the jurisdiction of Vasai Virar City Municipal Corporation VVMC under the National Clean Air Programme NCAP along wit]</t>
        </is>
      </c>
      <c r="E2609" s="7" t="inlineStr">
        <is>
          <t>Maharashtra Public Works &amp; Technology Department</t>
        </is>
      </c>
      <c r="F2609" s="6" t="inlineStr">
        <is>
          <t>25 Oct 2026</t>
        </is>
      </c>
      <c r="G2609" s="5" t="inlineStr">
        <is>
          <t>15 Nov 2026</t>
        </is>
      </c>
      <c r="H2609" s="8" t="inlineStr">
        <is>
          <t>⏳ UPCOMING</t>
        </is>
      </c>
      <c r="I2609" s="4" t="inlineStr">
        <is>
          <t>2.pdf</t>
        </is>
      </c>
      <c r="J2609" s="6" t="inlineStr">
        <is>
          <t>📕 PDF Document</t>
        </is>
      </c>
      <c r="K2609" s="9" t="n">
        <v>17.8</v>
      </c>
      <c r="L2609" s="10">
        <f>HYPERLINK("http://127.0.0.1:8000/api/documents/download?id=395&amp;attachment=true", "⬇ Download 2.pdf")</f>
        <v/>
      </c>
      <c r="M2609" s="10">
        <f>HYPERLINK("http://localhost:5173/?state=Maharashtra&amp;keyword=Development&amp;tender=2026_VVCMC_1343653_1", "🚀 Open in Portal")</f>
        <v/>
      </c>
    </row>
    <row r="2610" ht="24" customHeight="1">
      <c r="A2610" s="11" t="inlineStr">
        <is>
          <t>Maharashtra</t>
        </is>
      </c>
      <c r="B2610" s="12" t="inlineStr">
        <is>
          <t>Development</t>
        </is>
      </c>
      <c r="C2610" s="13" t="inlineStr">
        <is>
          <t>2026_VVCMC_1343653_1</t>
        </is>
      </c>
      <c r="D2610" s="14" t="inlineStr">
        <is>
          <t>[Development of a 1000 sq m Mini Miyawaki Forest at the site located at Reservation No 355 Survey Nos 3 4 5 and 6 Mouje Samel within the jurisdiction of Vasai Virar City Municipal Corporation VVMC under the National Clean Air Programme NCAP along wit]</t>
        </is>
      </c>
      <c r="E2610" s="14" t="inlineStr">
        <is>
          <t>Maharashtra Public Works &amp; Technology Department</t>
        </is>
      </c>
      <c r="F2610" s="13" t="inlineStr">
        <is>
          <t>25 Oct 2026</t>
        </is>
      </c>
      <c r="G2610" s="12" t="inlineStr">
        <is>
          <t>15 Nov 2026</t>
        </is>
      </c>
      <c r="H2610" s="8" t="inlineStr">
        <is>
          <t>⏳ UPCOMING</t>
        </is>
      </c>
      <c r="I2610" s="11" t="inlineStr">
        <is>
          <t>BOQ_2296603.xls</t>
        </is>
      </c>
      <c r="J2610" s="13" t="inlineStr">
        <is>
          <t>📊 Excel BOQ</t>
        </is>
      </c>
      <c r="K2610" s="15" t="n">
        <v>2.6</v>
      </c>
      <c r="L2610" s="16">
        <f>HYPERLINK("http://127.0.0.1:8000/api/documents/download?id=396&amp;attachment=true", "⬇ Download BOQ_2296603.xls")</f>
        <v/>
      </c>
      <c r="M2610" s="16">
        <f>HYPERLINK("http://localhost:5173/?state=Maharashtra&amp;keyword=Development&amp;tender=2026_VVCMC_1343653_1", "🚀 Open in Portal")</f>
        <v/>
      </c>
    </row>
    <row r="2611" ht="24" customHeight="1">
      <c r="A2611" s="4" t="inlineStr">
        <is>
          <t>Maharashtra</t>
        </is>
      </c>
      <c r="B2611" s="5" t="inlineStr">
        <is>
          <t>Development</t>
        </is>
      </c>
      <c r="C2611" s="6" t="inlineStr">
        <is>
          <t>2026_VVCMC_1343653_1</t>
        </is>
      </c>
      <c r="D2611" s="7" t="inlineStr">
        <is>
          <t>[Development of a 1000 sq m Mini Miyawaki Forest at the site located at Reservation No 355 Survey Nos 3 4 5 and 6 Mouje Samel within the jurisdiction of Vasai Virar City Municipal Corporation VVMC under the National Clean Air Programme NCAP along wit]</t>
        </is>
      </c>
      <c r="E2611" s="7" t="inlineStr">
        <is>
          <t>Maharashtra Public Works &amp; Technology Department</t>
        </is>
      </c>
      <c r="F2611" s="6" t="inlineStr">
        <is>
          <t>25 Oct 2026</t>
        </is>
      </c>
      <c r="G2611" s="5" t="inlineStr">
        <is>
          <t>15 Nov 2026</t>
        </is>
      </c>
      <c r="H2611" s="8" t="inlineStr">
        <is>
          <t>⏳ UPCOMING</t>
        </is>
      </c>
      <c r="I2611" s="4" t="inlineStr">
        <is>
          <t>Tender_2026_VVCMC_1343653_1_All_Documents.zip</t>
        </is>
      </c>
      <c r="J2611" s="6" t="inlineStr">
        <is>
          <t>📦 ZIP Package</t>
        </is>
      </c>
      <c r="K2611" s="9" t="n">
        <v>20.9</v>
      </c>
      <c r="L2611" s="10">
        <f>HYPERLINK("http://127.0.0.1:8000/api/documents/download?id=397&amp;attachment=true", "⬇ Download Tender_2026_VVCMC_134365")</f>
        <v/>
      </c>
      <c r="M2611" s="10">
        <f>HYPERLINK("http://localhost:5173/?state=Maharashtra&amp;keyword=Development&amp;tender=2026_VVCMC_1343653_1", "🚀 Open in Portal")</f>
        <v/>
      </c>
    </row>
    <row r="2612" ht="24" customHeight="1">
      <c r="A2612" s="11" t="inlineStr">
        <is>
          <t>Maharashtra</t>
        </is>
      </c>
      <c r="B2612" s="12" t="inlineStr">
        <is>
          <t>Development</t>
        </is>
      </c>
      <c r="C2612" s="13" t="inlineStr">
        <is>
          <t>2026_VVCMC_1343667_1</t>
        </is>
      </c>
      <c r="D2612" s="14" t="inlineStr">
        <is>
          <t>[Development of a 1 000 sq m Mini Miyawaki Forest at Reservation No 526, Survey Nos 3 and 4 located at Mouje Sativali within the jurisdiction of Vasai Virar City Municipal Corporation VVMC under the National Clean Air Programme NCAP along with mainten]</t>
        </is>
      </c>
      <c r="E2612" s="14" t="inlineStr">
        <is>
          <t>Maharashtra Public Works &amp; Technology Department</t>
        </is>
      </c>
      <c r="F2612" s="13" t="inlineStr">
        <is>
          <t>06 Oct 2026</t>
        </is>
      </c>
      <c r="G2612" s="12" t="inlineStr">
        <is>
          <t>10 Nov 2026</t>
        </is>
      </c>
      <c r="H2612" s="17" t="inlineStr">
        <is>
          <t>🟢 LIVE ACTIVE</t>
        </is>
      </c>
      <c r="I2612" s="11" t="inlineStr">
        <is>
          <t>Tendernotice_1.pdf</t>
        </is>
      </c>
      <c r="J2612" s="13" t="inlineStr">
        <is>
          <t>📕 PDF Document</t>
        </is>
      </c>
      <c r="K2612" s="15" t="n">
        <v>17.9</v>
      </c>
      <c r="L2612" s="16">
        <f>HYPERLINK("http://127.0.0.1:8000/api/documents/download?id=390&amp;attachment=true", "⬇ Download Tendernotice_1.pdf")</f>
        <v/>
      </c>
      <c r="M2612" s="16">
        <f>HYPERLINK("http://localhost:5173/?state=Maharashtra&amp;keyword=Development&amp;tender=2026_VVCMC_1343667_1", "🚀 Open in Portal")</f>
        <v/>
      </c>
    </row>
    <row r="2613" ht="24" customHeight="1">
      <c r="A2613" s="4" t="inlineStr">
        <is>
          <t>Maharashtra</t>
        </is>
      </c>
      <c r="B2613" s="5" t="inlineStr">
        <is>
          <t>Development</t>
        </is>
      </c>
      <c r="C2613" s="6" t="inlineStr">
        <is>
          <t>2026_VVCMC_1343667_1</t>
        </is>
      </c>
      <c r="D2613" s="7" t="inlineStr">
        <is>
          <t>[Development of a 1 000 sq m Mini Miyawaki Forest at Reservation No 526, Survey Nos 3 and 4 located at Mouje Sativali within the jurisdiction of Vasai Virar City Municipal Corporation VVMC under the National Clean Air Programme NCAP along with mainten]</t>
        </is>
      </c>
      <c r="E2613" s="7" t="inlineStr">
        <is>
          <t>Maharashtra Public Works &amp; Technology Department</t>
        </is>
      </c>
      <c r="F2613" s="6" t="inlineStr">
        <is>
          <t>06 Oct 2026</t>
        </is>
      </c>
      <c r="G2613" s="5" t="inlineStr">
        <is>
          <t>10 Nov 2026</t>
        </is>
      </c>
      <c r="H2613" s="17" t="inlineStr">
        <is>
          <t>🟢 LIVE ACTIVE</t>
        </is>
      </c>
      <c r="I2613" s="4" t="inlineStr">
        <is>
          <t>3.pdf</t>
        </is>
      </c>
      <c r="J2613" s="6" t="inlineStr">
        <is>
          <t>📕 PDF Document</t>
        </is>
      </c>
      <c r="K2613" s="9" t="n">
        <v>17.8</v>
      </c>
      <c r="L2613" s="10">
        <f>HYPERLINK("http://127.0.0.1:8000/api/documents/download?id=391&amp;attachment=true", "⬇ Download 3.pdf")</f>
        <v/>
      </c>
      <c r="M2613" s="10">
        <f>HYPERLINK("http://localhost:5173/?state=Maharashtra&amp;keyword=Development&amp;tender=2026_VVCMC_1343667_1", "🚀 Open in Portal")</f>
        <v/>
      </c>
    </row>
    <row r="2614" ht="24" customHeight="1">
      <c r="A2614" s="11" t="inlineStr">
        <is>
          <t>Maharashtra</t>
        </is>
      </c>
      <c r="B2614" s="12" t="inlineStr">
        <is>
          <t>Development</t>
        </is>
      </c>
      <c r="C2614" s="13" t="inlineStr">
        <is>
          <t>2026_VVCMC_1343667_1</t>
        </is>
      </c>
      <c r="D2614" s="14" t="inlineStr">
        <is>
          <t>[Development of a 1 000 sq m Mini Miyawaki Forest at Reservation No 526, Survey Nos 3 and 4 located at Mouje Sativali within the jurisdiction of Vasai Virar City Municipal Corporation VVMC under the National Clean Air Programme NCAP along with mainten]</t>
        </is>
      </c>
      <c r="E2614" s="14" t="inlineStr">
        <is>
          <t>Maharashtra Public Works &amp; Technology Department</t>
        </is>
      </c>
      <c r="F2614" s="13" t="inlineStr">
        <is>
          <t>06 Oct 2026</t>
        </is>
      </c>
      <c r="G2614" s="12" t="inlineStr">
        <is>
          <t>10 Nov 2026</t>
        </is>
      </c>
      <c r="H2614" s="17" t="inlineStr">
        <is>
          <t>🟢 LIVE ACTIVE</t>
        </is>
      </c>
      <c r="I2614" s="11" t="inlineStr">
        <is>
          <t>BOQ_2296618.xls</t>
        </is>
      </c>
      <c r="J2614" s="13" t="inlineStr">
        <is>
          <t>📊 Excel BOQ</t>
        </is>
      </c>
      <c r="K2614" s="15" t="n">
        <v>2.6</v>
      </c>
      <c r="L2614" s="16">
        <f>HYPERLINK("http://127.0.0.1:8000/api/documents/download?id=392&amp;attachment=true", "⬇ Download BOQ_2296618.xls")</f>
        <v/>
      </c>
      <c r="M2614" s="16">
        <f>HYPERLINK("http://localhost:5173/?state=Maharashtra&amp;keyword=Development&amp;tender=2026_VVCMC_1343667_1", "🚀 Open in Portal")</f>
        <v/>
      </c>
    </row>
    <row r="2615" ht="24" customHeight="1">
      <c r="A2615" s="4" t="inlineStr">
        <is>
          <t>Maharashtra</t>
        </is>
      </c>
      <c r="B2615" s="5" t="inlineStr">
        <is>
          <t>Development</t>
        </is>
      </c>
      <c r="C2615" s="6" t="inlineStr">
        <is>
          <t>2026_VVCMC_1343667_1</t>
        </is>
      </c>
      <c r="D2615" s="7" t="inlineStr">
        <is>
          <t>[Development of a 1 000 sq m Mini Miyawaki Forest at Reservation No 526, Survey Nos 3 and 4 located at Mouje Sativali within the jurisdiction of Vasai Virar City Municipal Corporation VVMC under the National Clean Air Programme NCAP along with mainten]</t>
        </is>
      </c>
      <c r="E2615" s="7" t="inlineStr">
        <is>
          <t>Maharashtra Public Works &amp; Technology Department</t>
        </is>
      </c>
      <c r="F2615" s="6" t="inlineStr">
        <is>
          <t>06 Oct 2026</t>
        </is>
      </c>
      <c r="G2615" s="5" t="inlineStr">
        <is>
          <t>10 Nov 2026</t>
        </is>
      </c>
      <c r="H2615" s="17" t="inlineStr">
        <is>
          <t>🟢 LIVE ACTIVE</t>
        </is>
      </c>
      <c r="I2615" s="4" t="inlineStr">
        <is>
          <t>Tender_2026_VVCMC_1343667_1_All_Documents.zip</t>
        </is>
      </c>
      <c r="J2615" s="6" t="inlineStr">
        <is>
          <t>📦 ZIP Package</t>
        </is>
      </c>
      <c r="K2615" s="9" t="n">
        <v>20.8</v>
      </c>
      <c r="L2615" s="10">
        <f>HYPERLINK("http://127.0.0.1:8000/api/documents/download?id=393&amp;attachment=true", "⬇ Download Tender_2026_VVCMC_134366")</f>
        <v/>
      </c>
      <c r="M2615" s="10">
        <f>HYPERLINK("http://localhost:5173/?state=Maharashtra&amp;keyword=Development&amp;tender=2026_VVCMC_1343667_1", "🚀 Open in Portal")</f>
        <v/>
      </c>
    </row>
    <row r="2616" ht="24" customHeight="1">
      <c r="A2616" s="11" t="inlineStr">
        <is>
          <t>Manipur</t>
        </is>
      </c>
      <c r="B2616" s="12" t="inlineStr">
        <is>
          <t>GIS</t>
        </is>
      </c>
      <c r="C2616" s="13" t="inlineStr">
        <is>
          <t>2026_MAN_2008963_28</t>
        </is>
      </c>
      <c r="D2616" s="14" t="inlineStr">
        <is>
          <t>GIS-Based Drone LiDAR Survey &amp; Web GIS Geodatabase Integration for Smart Infrastructure</t>
        </is>
      </c>
      <c r="E2616" s="14" t="inlineStr">
        <is>
          <t>DIRECTORATE OF MUNICIPAL URBAN INFRASTRUCTURE</t>
        </is>
      </c>
      <c r="F2616" s="13" t="inlineStr">
        <is>
          <t>25 Jul 2026</t>
        </is>
      </c>
      <c r="G2616" s="12" t="inlineStr">
        <is>
          <t>21 Aug 2026</t>
        </is>
      </c>
      <c r="H2616" s="8" t="inlineStr">
        <is>
          <t>⏳ UPCOMING</t>
        </is>
      </c>
      <c r="I2616" s="11" t="inlineStr">
        <is>
          <t>Tendernotice_2026_MAN_2008963_28.pdf</t>
        </is>
      </c>
      <c r="J2616" s="13" t="inlineStr">
        <is>
          <t>📕 PDF Document</t>
        </is>
      </c>
      <c r="K2616" s="15" t="n">
        <v>17.9</v>
      </c>
      <c r="L2616" s="16">
        <f>HYPERLINK("http://127.0.0.1:8000/api/documents/download?id=3169&amp;attachment=true", "⬇ Download Tendernotice_2026_MAN_20")</f>
        <v/>
      </c>
      <c r="M2616" s="16">
        <f>HYPERLINK("http://localhost:5173/?state=Manipur&amp;keyword=GIS&amp;tender=2026_MAN_2008963_28", "🚀 Open in Portal")</f>
        <v/>
      </c>
    </row>
    <row r="2617" ht="24" customHeight="1">
      <c r="A2617" s="4" t="inlineStr">
        <is>
          <t>Manipur</t>
        </is>
      </c>
      <c r="B2617" s="5" t="inlineStr">
        <is>
          <t>GIS</t>
        </is>
      </c>
      <c r="C2617" s="6" t="inlineStr">
        <is>
          <t>2026_MAN_2008963_28</t>
        </is>
      </c>
      <c r="D2617" s="7" t="inlineStr">
        <is>
          <t>GIS-Based Drone LiDAR Survey &amp; Web GIS Geodatabase Integration for Smart Infrastructure</t>
        </is>
      </c>
      <c r="E2617" s="7" t="inlineStr">
        <is>
          <t>DIRECTORATE OF MUNICIPAL URBAN INFRASTRUCTURE</t>
        </is>
      </c>
      <c r="F2617" s="6" t="inlineStr">
        <is>
          <t>25 Jul 2026</t>
        </is>
      </c>
      <c r="G2617" s="5" t="inlineStr">
        <is>
          <t>21 Aug 2026</t>
        </is>
      </c>
      <c r="H2617" s="8" t="inlineStr">
        <is>
          <t>⏳ UPCOMING</t>
        </is>
      </c>
      <c r="I2617" s="4" t="inlineStr">
        <is>
          <t>Technical_RFP_Specification_GIS.pdf</t>
        </is>
      </c>
      <c r="J2617" s="6" t="inlineStr">
        <is>
          <t>📕 PDF Document</t>
        </is>
      </c>
      <c r="K2617" s="9" t="n">
        <v>17.9</v>
      </c>
      <c r="L2617" s="10">
        <f>HYPERLINK("http://127.0.0.1:8000/api/documents/download?id=3170&amp;attachment=true", "⬇ Download Technical_RFP_Specificat")</f>
        <v/>
      </c>
      <c r="M2617" s="10">
        <f>HYPERLINK("http://localhost:5173/?state=Manipur&amp;keyword=GIS&amp;tender=2026_MAN_2008963_28", "🚀 Open in Portal")</f>
        <v/>
      </c>
    </row>
    <row r="2618" ht="24" customHeight="1">
      <c r="A2618" s="11" t="inlineStr">
        <is>
          <t>Manipur</t>
        </is>
      </c>
      <c r="B2618" s="12" t="inlineStr">
        <is>
          <t>GIS</t>
        </is>
      </c>
      <c r="C2618" s="13" t="inlineStr">
        <is>
          <t>2026_MAN_2008963_28</t>
        </is>
      </c>
      <c r="D2618" s="14" t="inlineStr">
        <is>
          <t>GIS-Based Drone LiDAR Survey &amp; Web GIS Geodatabase Integration for Smart Infrastructure</t>
        </is>
      </c>
      <c r="E2618" s="14" t="inlineStr">
        <is>
          <t>DIRECTORATE OF MUNICIPAL URBAN INFRASTRUCTURE</t>
        </is>
      </c>
      <c r="F2618" s="13" t="inlineStr">
        <is>
          <t>25 Jul 2026</t>
        </is>
      </c>
      <c r="G2618" s="12" t="inlineStr">
        <is>
          <t>21 Aug 2026</t>
        </is>
      </c>
      <c r="H2618" s="8" t="inlineStr">
        <is>
          <t>⏳ UPCOMING</t>
        </is>
      </c>
      <c r="I2618" s="11" t="inlineStr">
        <is>
          <t>BOQ_Financial_Schedule_2026_MAN_2008963_28.xlsx</t>
        </is>
      </c>
      <c r="J2618" s="13" t="inlineStr">
        <is>
          <t>📊 Excel BOQ</t>
        </is>
      </c>
      <c r="K2618" s="15" t="n">
        <v>2.5</v>
      </c>
      <c r="L2618" s="16">
        <f>HYPERLINK("http://127.0.0.1:8000/api/documents/download?id=3171&amp;attachment=true", "⬇ Download BOQ_Financial_Schedule_2")</f>
        <v/>
      </c>
      <c r="M2618" s="16">
        <f>HYPERLINK("http://localhost:5173/?state=Manipur&amp;keyword=GIS&amp;tender=2026_MAN_2008963_28", "🚀 Open in Portal")</f>
        <v/>
      </c>
    </row>
    <row r="2619" ht="24" customHeight="1">
      <c r="A2619" s="4" t="inlineStr">
        <is>
          <t>Manipur</t>
        </is>
      </c>
      <c r="B2619" s="5" t="inlineStr">
        <is>
          <t>GIS</t>
        </is>
      </c>
      <c r="C2619" s="6" t="inlineStr">
        <is>
          <t>2026_MAN_2008963_28</t>
        </is>
      </c>
      <c r="D2619" s="7" t="inlineStr">
        <is>
          <t>GIS-Based Drone LiDAR Survey &amp; Web GIS Geodatabase Integration for Smart Infrastructure</t>
        </is>
      </c>
      <c r="E2619" s="7" t="inlineStr">
        <is>
          <t>DIRECTORATE OF MUNICIPAL URBAN INFRASTRUCTURE</t>
        </is>
      </c>
      <c r="F2619" s="6" t="inlineStr">
        <is>
          <t>25 Jul 2026</t>
        </is>
      </c>
      <c r="G2619" s="5" t="inlineStr">
        <is>
          <t>21 Aug 2026</t>
        </is>
      </c>
      <c r="H2619" s="8" t="inlineStr">
        <is>
          <t>⏳ UPCOMING</t>
        </is>
      </c>
      <c r="I2619" s="4" t="inlineStr">
        <is>
          <t>Tender_2026_MAN_2008963_28_All_Documents.zip</t>
        </is>
      </c>
      <c r="J2619" s="6" t="inlineStr">
        <is>
          <t>📦 ZIP Package</t>
        </is>
      </c>
      <c r="K2619" s="9" t="n">
        <v>45</v>
      </c>
      <c r="L2619" s="10">
        <f>HYPERLINK("https://manipurtenders.gov.in/tender/2026_MAN_2008963_28", "⬇ Download Tender_2026_MAN_2008963_")</f>
        <v/>
      </c>
      <c r="M2619" s="10">
        <f>HYPERLINK("http://localhost:5173/?state=Manipur&amp;keyword=GIS&amp;tender=2026_MAN_2008963_28", "🚀 Open in Portal")</f>
        <v/>
      </c>
    </row>
    <row r="2620" ht="24" customHeight="1">
      <c r="A2620" s="11" t="inlineStr">
        <is>
          <t>Manipur</t>
        </is>
      </c>
      <c r="B2620" s="12" t="inlineStr">
        <is>
          <t>ICT</t>
        </is>
      </c>
      <c r="C2620" s="13" t="inlineStr">
        <is>
          <t>2026_DFE_3500_1</t>
        </is>
      </c>
      <c r="D2620" s="14" t="inlineStr">
        <is>
          <t>[Design, Supply, Construction, Installation of 10 TDP capacity solid waste management plant of 10 Nos in 10 Hill Districts.]</t>
        </is>
      </c>
      <c r="E2620" s="14" t="inlineStr">
        <is>
          <t>Manipur Public Works &amp; Technology Department</t>
        </is>
      </c>
      <c r="F2620" s="13" t="inlineStr">
        <is>
          <t>03 Oct 2026</t>
        </is>
      </c>
      <c r="G2620" s="12" t="inlineStr">
        <is>
          <t>22 Oct 2026</t>
        </is>
      </c>
      <c r="H2620" s="18" t="inlineStr">
        <is>
          <t>⚠️ CLOSING SOON</t>
        </is>
      </c>
      <c r="I2620" s="11" t="inlineStr">
        <is>
          <t>Tendernotice_1.pdf</t>
        </is>
      </c>
      <c r="J2620" s="13" t="inlineStr">
        <is>
          <t>📕 PDF Document</t>
        </is>
      </c>
      <c r="K2620" s="15" t="n">
        <v>17.8</v>
      </c>
      <c r="L2620" s="16">
        <f>HYPERLINK("http://127.0.0.1:8000/api/documents/download?id=2326&amp;attachment=true", "⬇ Download Tendernotice_1.pdf")</f>
        <v/>
      </c>
      <c r="M2620" s="16">
        <f>HYPERLINK("http://localhost:5173/?state=Manipur&amp;keyword=ICT&amp;tender=2026_DFE_3500_1", "🚀 Open in Portal")</f>
        <v/>
      </c>
    </row>
    <row r="2621" ht="24" customHeight="1">
      <c r="A2621" s="4" t="inlineStr">
        <is>
          <t>Manipur</t>
        </is>
      </c>
      <c r="B2621" s="5" t="inlineStr">
        <is>
          <t>ICT</t>
        </is>
      </c>
      <c r="C2621" s="6" t="inlineStr">
        <is>
          <t>2026_DFE_3500_1</t>
        </is>
      </c>
      <c r="D2621" s="7" t="inlineStr">
        <is>
          <t>[Design, Supply, Construction, Installation of 10 TDP capacity solid waste management plant of 10 Nos in 10 Hill Districts.]</t>
        </is>
      </c>
      <c r="E2621" s="7" t="inlineStr">
        <is>
          <t>Manipur Public Works &amp; Technology Department</t>
        </is>
      </c>
      <c r="F2621" s="6" t="inlineStr">
        <is>
          <t>03 Oct 2026</t>
        </is>
      </c>
      <c r="G2621" s="5" t="inlineStr">
        <is>
          <t>22 Oct 2026</t>
        </is>
      </c>
      <c r="H2621" s="18" t="inlineStr">
        <is>
          <t>⚠️ CLOSING SOON</t>
        </is>
      </c>
      <c r="I2621" s="4" t="inlineStr">
        <is>
          <t>BOQ_3815.xls</t>
        </is>
      </c>
      <c r="J2621" s="6" t="inlineStr">
        <is>
          <t>📊 Excel BOQ</t>
        </is>
      </c>
      <c r="K2621" s="9" t="n">
        <v>2.5</v>
      </c>
      <c r="L2621" s="10">
        <f>HYPERLINK("http://127.0.0.1:8000/api/documents/download?id=2327&amp;attachment=true", "⬇ Download BOQ_3815.xls")</f>
        <v/>
      </c>
      <c r="M2621" s="10">
        <f>HYPERLINK("http://localhost:5173/?state=Manipur&amp;keyword=ICT&amp;tender=2026_DFE_3500_1", "🚀 Open in Portal")</f>
        <v/>
      </c>
    </row>
    <row r="2622" ht="24" customHeight="1">
      <c r="A2622" s="11" t="inlineStr">
        <is>
          <t>Manipur</t>
        </is>
      </c>
      <c r="B2622" s="12" t="inlineStr">
        <is>
          <t>ICT</t>
        </is>
      </c>
      <c r="C2622" s="13" t="inlineStr">
        <is>
          <t>2026_DFE_3500_1</t>
        </is>
      </c>
      <c r="D2622" s="14" t="inlineStr">
        <is>
          <t>[Design, Supply, Construction, Installation of 10 TDP capacity solid waste management plant of 10 Nos in 10 Hill Districts.]</t>
        </is>
      </c>
      <c r="E2622" s="14" t="inlineStr">
        <is>
          <t>Manipur Public Works &amp; Technology Department</t>
        </is>
      </c>
      <c r="F2622" s="13" t="inlineStr">
        <is>
          <t>03 Oct 2026</t>
        </is>
      </c>
      <c r="G2622" s="12" t="inlineStr">
        <is>
          <t>22 Oct 2026</t>
        </is>
      </c>
      <c r="H2622" s="18" t="inlineStr">
        <is>
          <t>⚠️ CLOSING SOON</t>
        </is>
      </c>
      <c r="I2622" s="11" t="inlineStr">
        <is>
          <t>Tender_Document.pdf</t>
        </is>
      </c>
      <c r="J2622" s="13" t="inlineStr">
        <is>
          <t>📕 PDF Document</t>
        </is>
      </c>
      <c r="K2622" s="15" t="n">
        <v>17.8</v>
      </c>
      <c r="L2622" s="16">
        <f>HYPERLINK("http://127.0.0.1:8000/api/documents/download?id=2328&amp;attachment=true", "⬇ Download Tender_Document.pdf")</f>
        <v/>
      </c>
      <c r="M2622" s="16">
        <f>HYPERLINK("http://localhost:5173/?state=Manipur&amp;keyword=ICT&amp;tender=2026_DFE_3500_1", "🚀 Open in Portal")</f>
        <v/>
      </c>
    </row>
    <row r="2623" ht="24" customHeight="1">
      <c r="A2623" s="4" t="inlineStr">
        <is>
          <t>Manipur</t>
        </is>
      </c>
      <c r="B2623" s="5" t="inlineStr">
        <is>
          <t>ICT</t>
        </is>
      </c>
      <c r="C2623" s="6" t="inlineStr">
        <is>
          <t>2026_DFE_3500_1</t>
        </is>
      </c>
      <c r="D2623" s="7" t="inlineStr">
        <is>
          <t>[Design, Supply, Construction, Installation of 10 TDP capacity solid waste management plant of 10 Nos in 10 Hill Districts.]</t>
        </is>
      </c>
      <c r="E2623" s="7" t="inlineStr">
        <is>
          <t>Manipur Public Works &amp; Technology Department</t>
        </is>
      </c>
      <c r="F2623" s="6" t="inlineStr">
        <is>
          <t>03 Oct 2026</t>
        </is>
      </c>
      <c r="G2623" s="5" t="inlineStr">
        <is>
          <t>22 Oct 2026</t>
        </is>
      </c>
      <c r="H2623" s="18" t="inlineStr">
        <is>
          <t>⚠️ CLOSING SOON</t>
        </is>
      </c>
      <c r="I2623" s="4" t="inlineStr">
        <is>
          <t>Tender_2026_DFE_3500_1_All_Documents.zip</t>
        </is>
      </c>
      <c r="J2623" s="6" t="inlineStr">
        <is>
          <t>📦 ZIP Package</t>
        </is>
      </c>
      <c r="K2623" s="9" t="n">
        <v>20.8</v>
      </c>
      <c r="L2623" s="10">
        <f>HYPERLINK("http://127.0.0.1:8000/api/documents/download?id=2329&amp;attachment=true", "⬇ Download Tender_2026_DFE_3500_1_A")</f>
        <v/>
      </c>
      <c r="M2623" s="10">
        <f>HYPERLINK("http://localhost:5173/?state=Manipur&amp;keyword=ICT&amp;tender=2026_DFE_3500_1", "🚀 Open in Portal")</f>
        <v/>
      </c>
    </row>
    <row r="2624" ht="24" customHeight="1">
      <c r="A2624" s="11" t="inlineStr">
        <is>
          <t>Manipur</t>
        </is>
      </c>
      <c r="B2624" s="12" t="inlineStr">
        <is>
          <t>ICT</t>
        </is>
      </c>
      <c r="C2624" s="13" t="inlineStr">
        <is>
          <t>2026_HFW_3522_1</t>
        </is>
      </c>
      <c r="D2624" s="14" t="inlineStr">
        <is>
          <t>[Construction of RCC Retaining Wall at 50 Bedded Ayush Hospital, Keirao Bitra, Imphal East District Manipur.]</t>
        </is>
      </c>
      <c r="E2624" s="14" t="inlineStr">
        <is>
          <t>Manipur Public Works &amp; Technology Department</t>
        </is>
      </c>
      <c r="F2624" s="13" t="inlineStr">
        <is>
          <t>06 Aug 2026</t>
        </is>
      </c>
      <c r="G2624" s="12" t="inlineStr">
        <is>
          <t>31 Aug 2026</t>
        </is>
      </c>
      <c r="H2624" s="8" t="inlineStr">
        <is>
          <t>⏳ UPCOMING</t>
        </is>
      </c>
      <c r="I2624" s="11" t="inlineStr">
        <is>
          <t>Tendernotice_1.pdf</t>
        </is>
      </c>
      <c r="J2624" s="13" t="inlineStr">
        <is>
          <t>📕 PDF Document</t>
        </is>
      </c>
      <c r="K2624" s="15" t="n">
        <v>17.8</v>
      </c>
      <c r="L2624" s="16">
        <f>HYPERLINK("http://127.0.0.1:8000/api/documents/download?id=2320&amp;attachment=true", "⬇ Download Tendernotice_1.pdf")</f>
        <v/>
      </c>
      <c r="M2624" s="16">
        <f>HYPERLINK("http://localhost:5173/?state=Manipur&amp;keyword=ICT&amp;tender=2026_HFW_3522_1", "🚀 Open in Portal")</f>
        <v/>
      </c>
    </row>
    <row r="2625" ht="24" customHeight="1">
      <c r="A2625" s="4" t="inlineStr">
        <is>
          <t>Manipur</t>
        </is>
      </c>
      <c r="B2625" s="5" t="inlineStr">
        <is>
          <t>ICT</t>
        </is>
      </c>
      <c r="C2625" s="6" t="inlineStr">
        <is>
          <t>2026_HFW_3522_1</t>
        </is>
      </c>
      <c r="D2625" s="7" t="inlineStr">
        <is>
          <t>[Construction of RCC Retaining Wall at 50 Bedded Ayush Hospital, Keirao Bitra, Imphal East District Manipur.]</t>
        </is>
      </c>
      <c r="E2625" s="7" t="inlineStr">
        <is>
          <t>Manipur Public Works &amp; Technology Department</t>
        </is>
      </c>
      <c r="F2625" s="6" t="inlineStr">
        <is>
          <t>06 Aug 2026</t>
        </is>
      </c>
      <c r="G2625" s="5" t="inlineStr">
        <is>
          <t>31 Aug 2026</t>
        </is>
      </c>
      <c r="H2625" s="8" t="inlineStr">
        <is>
          <t>⏳ UPCOMING</t>
        </is>
      </c>
      <c r="I2625" s="4" t="inlineStr">
        <is>
          <t>BOQ_3837.xls</t>
        </is>
      </c>
      <c r="J2625" s="6" t="inlineStr">
        <is>
          <t>📊 Excel BOQ</t>
        </is>
      </c>
      <c r="K2625" s="9" t="n">
        <v>2.5</v>
      </c>
      <c r="L2625" s="10">
        <f>HYPERLINK("http://127.0.0.1:8000/api/documents/download?id=2321&amp;attachment=true", "⬇ Download BOQ_3837.xls")</f>
        <v/>
      </c>
      <c r="M2625" s="10">
        <f>HYPERLINK("http://localhost:5173/?state=Manipur&amp;keyword=ICT&amp;tender=2026_HFW_3522_1", "🚀 Open in Portal")</f>
        <v/>
      </c>
    </row>
    <row r="2626" ht="24" customHeight="1">
      <c r="A2626" s="11" t="inlineStr">
        <is>
          <t>Manipur</t>
        </is>
      </c>
      <c r="B2626" s="12" t="inlineStr">
        <is>
          <t>ICT</t>
        </is>
      </c>
      <c r="C2626" s="13" t="inlineStr">
        <is>
          <t>2026_HFW_3522_1</t>
        </is>
      </c>
      <c r="D2626" s="14" t="inlineStr">
        <is>
          <t>[Construction of RCC Retaining Wall at 50 Bedded Ayush Hospital, Keirao Bitra, Imphal East District Manipur.]</t>
        </is>
      </c>
      <c r="E2626" s="14" t="inlineStr">
        <is>
          <t>Manipur Public Works &amp; Technology Department</t>
        </is>
      </c>
      <c r="F2626" s="13" t="inlineStr">
        <is>
          <t>06 Aug 2026</t>
        </is>
      </c>
      <c r="G2626" s="12" t="inlineStr">
        <is>
          <t>31 Aug 2026</t>
        </is>
      </c>
      <c r="H2626" s="8" t="inlineStr">
        <is>
          <t>⏳ UPCOMING</t>
        </is>
      </c>
      <c r="I2626" s="11" t="inlineStr">
        <is>
          <t>Tender_2026_HFW_3522_1_All_Documents.zip</t>
        </is>
      </c>
      <c r="J2626" s="13" t="inlineStr">
        <is>
          <t>📦 ZIP Package</t>
        </is>
      </c>
      <c r="K2626" s="15" t="n">
        <v>11.5</v>
      </c>
      <c r="L2626" s="16">
        <f>HYPERLINK("http://127.0.0.1:8000/api/documents/download?id=2322&amp;attachment=true", "⬇ Download Tender_2026_HFW_3522_1_A")</f>
        <v/>
      </c>
      <c r="M2626" s="16">
        <f>HYPERLINK("http://localhost:5173/?state=Manipur&amp;keyword=ICT&amp;tender=2026_HFW_3522_1", "🚀 Open in Portal")</f>
        <v/>
      </c>
    </row>
    <row r="2627" ht="24" customHeight="1">
      <c r="A2627" s="4" t="inlineStr">
        <is>
          <t>Manipur</t>
        </is>
      </c>
      <c r="B2627" s="5" t="inlineStr">
        <is>
          <t>ICT</t>
        </is>
      </c>
      <c r="C2627" s="6" t="inlineStr">
        <is>
          <t>2026_MoIT_3501_1</t>
        </is>
      </c>
      <c r="D2627" s="7" t="inlineStr">
        <is>
          <t>[SELECTION OF SYSTEM INTEGRATOR FOR DESIGN, SUPPLY, INSTALLATION, TESTING, COMMISSIONING, INTEGRATION, OPERATION AND MAINTENANCE OF INTEGRATED ICT INFRASTRUCTURE FOR IT SEZ BUILDING-II, MANTRIPUKHRI, MANIPUR.]</t>
        </is>
      </c>
      <c r="E2627" s="7" t="inlineStr">
        <is>
          <t>Manipur Public Works &amp; Technology Department</t>
        </is>
      </c>
      <c r="F2627" s="6" t="inlineStr">
        <is>
          <t>04 Sep 2026</t>
        </is>
      </c>
      <c r="G2627" s="5" t="inlineStr">
        <is>
          <t>25 Sep 2026</t>
        </is>
      </c>
      <c r="H2627" s="8" t="inlineStr">
        <is>
          <t>⏳ UPCOMING</t>
        </is>
      </c>
      <c r="I2627" s="4" t="inlineStr">
        <is>
          <t>Tendernotice_1.pdf</t>
        </is>
      </c>
      <c r="J2627" s="6" t="inlineStr">
        <is>
          <t>📕 PDF Document</t>
        </is>
      </c>
      <c r="K2627" s="9" t="n">
        <v>17.8</v>
      </c>
      <c r="L2627" s="10">
        <f>HYPERLINK("http://127.0.0.1:8000/api/documents/download?id=2323&amp;attachment=true", "⬇ Download Tendernotice_1.pdf")</f>
        <v/>
      </c>
      <c r="M2627" s="10">
        <f>HYPERLINK("http://localhost:5173/?state=Manipur&amp;keyword=ICT&amp;tender=2026_MoIT_3501_1", "🚀 Open in Portal")</f>
        <v/>
      </c>
    </row>
    <row r="2628" ht="24" customHeight="1">
      <c r="A2628" s="11" t="inlineStr">
        <is>
          <t>Manipur</t>
        </is>
      </c>
      <c r="B2628" s="12" t="inlineStr">
        <is>
          <t>ICT</t>
        </is>
      </c>
      <c r="C2628" s="13" t="inlineStr">
        <is>
          <t>2026_MoIT_3501_1</t>
        </is>
      </c>
      <c r="D2628" s="14" t="inlineStr">
        <is>
          <t>[SELECTION OF SYSTEM INTEGRATOR FOR DESIGN, SUPPLY, INSTALLATION, TESTING, COMMISSIONING, INTEGRATION, OPERATION AND MAINTENANCE OF INTEGRATED ICT INFRASTRUCTURE FOR IT SEZ BUILDING-II, MANTRIPUKHRI, MANIPUR.]</t>
        </is>
      </c>
      <c r="E2628" s="14" t="inlineStr">
        <is>
          <t>Manipur Public Works &amp; Technology Department</t>
        </is>
      </c>
      <c r="F2628" s="13" t="inlineStr">
        <is>
          <t>04 Sep 2026</t>
        </is>
      </c>
      <c r="G2628" s="12" t="inlineStr">
        <is>
          <t>25 Sep 2026</t>
        </is>
      </c>
      <c r="H2628" s="8" t="inlineStr">
        <is>
          <t>⏳ UPCOMING</t>
        </is>
      </c>
      <c r="I2628" s="11" t="inlineStr">
        <is>
          <t>BOQ_3816.xls</t>
        </is>
      </c>
      <c r="J2628" s="13" t="inlineStr">
        <is>
          <t>📊 Excel BOQ</t>
        </is>
      </c>
      <c r="K2628" s="15" t="n">
        <v>2.5</v>
      </c>
      <c r="L2628" s="16">
        <f>HYPERLINK("http://127.0.0.1:8000/api/documents/download?id=2324&amp;attachment=true", "⬇ Download BOQ_3816.xls")</f>
        <v/>
      </c>
      <c r="M2628" s="16">
        <f>HYPERLINK("http://localhost:5173/?state=Manipur&amp;keyword=ICT&amp;tender=2026_MoIT_3501_1", "🚀 Open in Portal")</f>
        <v/>
      </c>
    </row>
    <row r="2629" ht="24" customHeight="1">
      <c r="A2629" s="4" t="inlineStr">
        <is>
          <t>Manipur</t>
        </is>
      </c>
      <c r="B2629" s="5" t="inlineStr">
        <is>
          <t>ICT</t>
        </is>
      </c>
      <c r="C2629" s="6" t="inlineStr">
        <is>
          <t>2026_MoIT_3501_1</t>
        </is>
      </c>
      <c r="D2629" s="7" t="inlineStr">
        <is>
          <t>[SELECTION OF SYSTEM INTEGRATOR FOR DESIGN, SUPPLY, INSTALLATION, TESTING, COMMISSIONING, INTEGRATION, OPERATION AND MAINTENANCE OF INTEGRATED ICT INFRASTRUCTURE FOR IT SEZ BUILDING-II, MANTRIPUKHRI, MANIPUR.]</t>
        </is>
      </c>
      <c r="E2629" s="7" t="inlineStr">
        <is>
          <t>Manipur Public Works &amp; Technology Department</t>
        </is>
      </c>
      <c r="F2629" s="6" t="inlineStr">
        <is>
          <t>04 Sep 2026</t>
        </is>
      </c>
      <c r="G2629" s="5" t="inlineStr">
        <is>
          <t>25 Sep 2026</t>
        </is>
      </c>
      <c r="H2629" s="8" t="inlineStr">
        <is>
          <t>⏳ UPCOMING</t>
        </is>
      </c>
      <c r="I2629" s="4" t="inlineStr">
        <is>
          <t>Tender_2026_MoIT_3501_1_All_Documents.zip</t>
        </is>
      </c>
      <c r="J2629" s="6" t="inlineStr">
        <is>
          <t>📦 ZIP Package</t>
        </is>
      </c>
      <c r="K2629" s="9" t="n">
        <v>11.6</v>
      </c>
      <c r="L2629" s="10">
        <f>HYPERLINK("http://127.0.0.1:8000/api/documents/download?id=2325&amp;attachment=true", "⬇ Download Tender_2026_MoIT_3501_1_")</f>
        <v/>
      </c>
      <c r="M2629" s="10">
        <f>HYPERLINK("http://localhost:5173/?state=Manipur&amp;keyword=ICT&amp;tender=2026_MoIT_3501_1", "🚀 Open in Portal")</f>
        <v/>
      </c>
    </row>
    <row r="2630" ht="24" customHeight="1">
      <c r="A2630" s="11" t="inlineStr">
        <is>
          <t>Manipur</t>
        </is>
      </c>
      <c r="B2630" s="12" t="inlineStr">
        <is>
          <t>ICT</t>
        </is>
      </c>
      <c r="C2630" s="13" t="inlineStr">
        <is>
          <t>2026_TAH_3488_1</t>
        </is>
      </c>
      <c r="D2630" s="14" t="inlineStr">
        <is>
          <t>[Construction of School Bulding, Teachers Quarter and Rain Water Harvesting Structures at Pu Shankar Kane Vidyalaya Ngalaimou, Churachandpur, Churachandpur District, Manipur]</t>
        </is>
      </c>
      <c r="E2630" s="14" t="inlineStr">
        <is>
          <t>Manipur Public Works &amp; Technology Department</t>
        </is>
      </c>
      <c r="F2630" s="13" t="inlineStr">
        <is>
          <t>22 Oct 2026</t>
        </is>
      </c>
      <c r="G2630" s="12" t="inlineStr">
        <is>
          <t>12 Nov 2026</t>
        </is>
      </c>
      <c r="H2630" s="8" t="inlineStr">
        <is>
          <t>⏳ UPCOMING</t>
        </is>
      </c>
      <c r="I2630" s="11" t="inlineStr">
        <is>
          <t>Tendernotice_1.pdf</t>
        </is>
      </c>
      <c r="J2630" s="13" t="inlineStr">
        <is>
          <t>📕 PDF Document</t>
        </is>
      </c>
      <c r="K2630" s="15" t="n">
        <v>17.8</v>
      </c>
      <c r="L2630" s="16">
        <f>HYPERLINK("http://127.0.0.1:8000/api/documents/download?id=2338&amp;attachment=true", "⬇ Download Tendernotice_1.pdf")</f>
        <v/>
      </c>
      <c r="M2630" s="16">
        <f>HYPERLINK("http://localhost:5173/?state=Manipur&amp;keyword=ICT&amp;tender=2026_TAH_3488_1", "🚀 Open in Portal")</f>
        <v/>
      </c>
    </row>
    <row r="2631" ht="24" customHeight="1">
      <c r="A2631" s="4" t="inlineStr">
        <is>
          <t>Manipur</t>
        </is>
      </c>
      <c r="B2631" s="5" t="inlineStr">
        <is>
          <t>ICT</t>
        </is>
      </c>
      <c r="C2631" s="6" t="inlineStr">
        <is>
          <t>2026_TAH_3488_1</t>
        </is>
      </c>
      <c r="D2631" s="7" t="inlineStr">
        <is>
          <t>[Construction of School Bulding, Teachers Quarter and Rain Water Harvesting Structures at Pu Shankar Kane Vidyalaya Ngalaimou, Churachandpur, Churachandpur District, Manipur]</t>
        </is>
      </c>
      <c r="E2631" s="7" t="inlineStr">
        <is>
          <t>Manipur Public Works &amp; Technology Department</t>
        </is>
      </c>
      <c r="F2631" s="6" t="inlineStr">
        <is>
          <t>22 Oct 2026</t>
        </is>
      </c>
      <c r="G2631" s="5" t="inlineStr">
        <is>
          <t>12 Nov 2026</t>
        </is>
      </c>
      <c r="H2631" s="8" t="inlineStr">
        <is>
          <t>⏳ UPCOMING</t>
        </is>
      </c>
      <c r="I2631" s="4" t="inlineStr">
        <is>
          <t>CHURACHANDPUR.rar</t>
        </is>
      </c>
      <c r="J2631" s="6" t="inlineStr">
        <is>
          <t>📄 RAR</t>
        </is>
      </c>
      <c r="K2631" s="9" t="n">
        <v>17.8</v>
      </c>
      <c r="L2631" s="10">
        <f>HYPERLINK("http://127.0.0.1:8000/api/documents/download?id=2339&amp;attachment=true", "⬇ Download CHURACHANDPUR.rar")</f>
        <v/>
      </c>
      <c r="M2631" s="10">
        <f>HYPERLINK("http://localhost:5173/?state=Manipur&amp;keyword=ICT&amp;tender=2026_TAH_3488_1", "🚀 Open in Portal")</f>
        <v/>
      </c>
    </row>
    <row r="2632" ht="24" customHeight="1">
      <c r="A2632" s="11" t="inlineStr">
        <is>
          <t>Manipur</t>
        </is>
      </c>
      <c r="B2632" s="12" t="inlineStr">
        <is>
          <t>ICT</t>
        </is>
      </c>
      <c r="C2632" s="13" t="inlineStr">
        <is>
          <t>2026_TAH_3488_1</t>
        </is>
      </c>
      <c r="D2632" s="14" t="inlineStr">
        <is>
          <t>[Construction of School Bulding, Teachers Quarter and Rain Water Harvesting Structures at Pu Shankar Kane Vidyalaya Ngalaimou, Churachandpur, Churachandpur District, Manipur]</t>
        </is>
      </c>
      <c r="E2632" s="14" t="inlineStr">
        <is>
          <t>Manipur Public Works &amp; Technology Department</t>
        </is>
      </c>
      <c r="F2632" s="13" t="inlineStr">
        <is>
          <t>22 Oct 2026</t>
        </is>
      </c>
      <c r="G2632" s="12" t="inlineStr">
        <is>
          <t>12 Nov 2026</t>
        </is>
      </c>
      <c r="H2632" s="8" t="inlineStr">
        <is>
          <t>⏳ UPCOMING</t>
        </is>
      </c>
      <c r="I2632" s="11" t="inlineStr">
        <is>
          <t>BOQ_3803.xls</t>
        </is>
      </c>
      <c r="J2632" s="13" t="inlineStr">
        <is>
          <t>📊 Excel BOQ</t>
        </is>
      </c>
      <c r="K2632" s="15" t="n">
        <v>2.5</v>
      </c>
      <c r="L2632" s="16">
        <f>HYPERLINK("http://127.0.0.1:8000/api/documents/download?id=2340&amp;attachment=true", "⬇ Download BOQ_3803.xls")</f>
        <v/>
      </c>
      <c r="M2632" s="16">
        <f>HYPERLINK("http://localhost:5173/?state=Manipur&amp;keyword=ICT&amp;tender=2026_TAH_3488_1", "🚀 Open in Portal")</f>
        <v/>
      </c>
    </row>
    <row r="2633" ht="24" customHeight="1">
      <c r="A2633" s="4" t="inlineStr">
        <is>
          <t>Manipur</t>
        </is>
      </c>
      <c r="B2633" s="5" t="inlineStr">
        <is>
          <t>ICT</t>
        </is>
      </c>
      <c r="C2633" s="6" t="inlineStr">
        <is>
          <t>2026_TAH_3488_1</t>
        </is>
      </c>
      <c r="D2633" s="7" t="inlineStr">
        <is>
          <t>[Construction of School Bulding, Teachers Quarter and Rain Water Harvesting Structures at Pu Shankar Kane Vidyalaya Ngalaimou, Churachandpur, Churachandpur District, Manipur]</t>
        </is>
      </c>
      <c r="E2633" s="7" t="inlineStr">
        <is>
          <t>Manipur Public Works &amp; Technology Department</t>
        </is>
      </c>
      <c r="F2633" s="6" t="inlineStr">
        <is>
          <t>22 Oct 2026</t>
        </is>
      </c>
      <c r="G2633" s="5" t="inlineStr">
        <is>
          <t>12 Nov 2026</t>
        </is>
      </c>
      <c r="H2633" s="8" t="inlineStr">
        <is>
          <t>⏳ UPCOMING</t>
        </is>
      </c>
      <c r="I2633" s="4" t="inlineStr">
        <is>
          <t>Tender_2026_TAH_3488_1_All_Documents.zip</t>
        </is>
      </c>
      <c r="J2633" s="6" t="inlineStr">
        <is>
          <t>📦 ZIP Package</t>
        </is>
      </c>
      <c r="K2633" s="9" t="n">
        <v>20.8</v>
      </c>
      <c r="L2633" s="10">
        <f>HYPERLINK("http://127.0.0.1:8000/api/documents/download?id=2341&amp;attachment=true", "⬇ Download Tender_2026_TAH_3488_1_A")</f>
        <v/>
      </c>
      <c r="M2633" s="10">
        <f>HYPERLINK("http://localhost:5173/?state=Manipur&amp;keyword=ICT&amp;tender=2026_TAH_3488_1", "🚀 Open in Portal")</f>
        <v/>
      </c>
    </row>
    <row r="2634" ht="24" customHeight="1">
      <c r="A2634" s="11" t="inlineStr">
        <is>
          <t>Manipur</t>
        </is>
      </c>
      <c r="B2634" s="12" t="inlineStr">
        <is>
          <t>ICT</t>
        </is>
      </c>
      <c r="C2634" s="13" t="inlineStr">
        <is>
          <t>2026_TAH_3489_1</t>
        </is>
      </c>
      <c r="D2634" s="14" t="inlineStr">
        <is>
          <t>[Construction of School Bulding, Teachers Quarter and Rain Water Harvesting Structures at Pou Shankar Kane Vidyalaya Tamenglong, Tamenglong District, Manipur]</t>
        </is>
      </c>
      <c r="E2634" s="14" t="inlineStr">
        <is>
          <t>Manipur Public Works &amp; Technology Department</t>
        </is>
      </c>
      <c r="F2634" s="13" t="inlineStr">
        <is>
          <t>30 Aug 2026</t>
        </is>
      </c>
      <c r="G2634" s="12" t="inlineStr">
        <is>
          <t>29 Sep 2026</t>
        </is>
      </c>
      <c r="H2634" s="8" t="inlineStr">
        <is>
          <t>⏳ UPCOMING</t>
        </is>
      </c>
      <c r="I2634" s="11" t="inlineStr">
        <is>
          <t>Tendernotice_1.pdf</t>
        </is>
      </c>
      <c r="J2634" s="13" t="inlineStr">
        <is>
          <t>📕 PDF Document</t>
        </is>
      </c>
      <c r="K2634" s="15" t="n">
        <v>17.8</v>
      </c>
      <c r="L2634" s="16">
        <f>HYPERLINK("http://127.0.0.1:8000/api/documents/download?id=2334&amp;attachment=true", "⬇ Download Tendernotice_1.pdf")</f>
        <v/>
      </c>
      <c r="M2634" s="16">
        <f>HYPERLINK("http://localhost:5173/?state=Manipur&amp;keyword=ICT&amp;tender=2026_TAH_3489_1", "🚀 Open in Portal")</f>
        <v/>
      </c>
    </row>
    <row r="2635" ht="24" customHeight="1">
      <c r="A2635" s="4" t="inlineStr">
        <is>
          <t>Manipur</t>
        </is>
      </c>
      <c r="B2635" s="5" t="inlineStr">
        <is>
          <t>ICT</t>
        </is>
      </c>
      <c r="C2635" s="6" t="inlineStr">
        <is>
          <t>2026_TAH_3489_1</t>
        </is>
      </c>
      <c r="D2635" s="7" t="inlineStr">
        <is>
          <t>[Construction of School Bulding, Teachers Quarter and Rain Water Harvesting Structures at Pou Shankar Kane Vidyalaya Tamenglong, Tamenglong District, Manipur]</t>
        </is>
      </c>
      <c r="E2635" s="7" t="inlineStr">
        <is>
          <t>Manipur Public Works &amp; Technology Department</t>
        </is>
      </c>
      <c r="F2635" s="6" t="inlineStr">
        <is>
          <t>30 Aug 2026</t>
        </is>
      </c>
      <c r="G2635" s="5" t="inlineStr">
        <is>
          <t>29 Sep 2026</t>
        </is>
      </c>
      <c r="H2635" s="8" t="inlineStr">
        <is>
          <t>⏳ UPCOMING</t>
        </is>
      </c>
      <c r="I2635" s="4" t="inlineStr">
        <is>
          <t>TAMENGLONG.rar</t>
        </is>
      </c>
      <c r="J2635" s="6" t="inlineStr">
        <is>
          <t>📄 RAR</t>
        </is>
      </c>
      <c r="K2635" s="9" t="n">
        <v>17.8</v>
      </c>
      <c r="L2635" s="10">
        <f>HYPERLINK("http://127.0.0.1:8000/api/documents/download?id=2335&amp;attachment=true", "⬇ Download TAMENGLONG.rar")</f>
        <v/>
      </c>
      <c r="M2635" s="10">
        <f>HYPERLINK("http://localhost:5173/?state=Manipur&amp;keyword=ICT&amp;tender=2026_TAH_3489_1", "🚀 Open in Portal")</f>
        <v/>
      </c>
    </row>
    <row r="2636" ht="24" customHeight="1">
      <c r="A2636" s="11" t="inlineStr">
        <is>
          <t>Manipur</t>
        </is>
      </c>
      <c r="B2636" s="12" t="inlineStr">
        <is>
          <t>ICT</t>
        </is>
      </c>
      <c r="C2636" s="13" t="inlineStr">
        <is>
          <t>2026_TAH_3489_1</t>
        </is>
      </c>
      <c r="D2636" s="14" t="inlineStr">
        <is>
          <t>[Construction of School Bulding, Teachers Quarter and Rain Water Harvesting Structures at Pou Shankar Kane Vidyalaya Tamenglong, Tamenglong District, Manipur]</t>
        </is>
      </c>
      <c r="E2636" s="14" t="inlineStr">
        <is>
          <t>Manipur Public Works &amp; Technology Department</t>
        </is>
      </c>
      <c r="F2636" s="13" t="inlineStr">
        <is>
          <t>30 Aug 2026</t>
        </is>
      </c>
      <c r="G2636" s="12" t="inlineStr">
        <is>
          <t>29 Sep 2026</t>
        </is>
      </c>
      <c r="H2636" s="8" t="inlineStr">
        <is>
          <t>⏳ UPCOMING</t>
        </is>
      </c>
      <c r="I2636" s="11" t="inlineStr">
        <is>
          <t>BOQ_3804.xls</t>
        </is>
      </c>
      <c r="J2636" s="13" t="inlineStr">
        <is>
          <t>📊 Excel BOQ</t>
        </is>
      </c>
      <c r="K2636" s="15" t="n">
        <v>2.5</v>
      </c>
      <c r="L2636" s="16">
        <f>HYPERLINK("http://127.0.0.1:8000/api/documents/download?id=2336&amp;attachment=true", "⬇ Download BOQ_3804.xls")</f>
        <v/>
      </c>
      <c r="M2636" s="16">
        <f>HYPERLINK("http://localhost:5173/?state=Manipur&amp;keyword=ICT&amp;tender=2026_TAH_3489_1", "🚀 Open in Portal")</f>
        <v/>
      </c>
    </row>
    <row r="2637" ht="24" customHeight="1">
      <c r="A2637" s="4" t="inlineStr">
        <is>
          <t>Manipur</t>
        </is>
      </c>
      <c r="B2637" s="5" t="inlineStr">
        <is>
          <t>ICT</t>
        </is>
      </c>
      <c r="C2637" s="6" t="inlineStr">
        <is>
          <t>2026_TAH_3489_1</t>
        </is>
      </c>
      <c r="D2637" s="7" t="inlineStr">
        <is>
          <t>[Construction of School Bulding, Teachers Quarter and Rain Water Harvesting Structures at Pou Shankar Kane Vidyalaya Tamenglong, Tamenglong District, Manipur]</t>
        </is>
      </c>
      <c r="E2637" s="7" t="inlineStr">
        <is>
          <t>Manipur Public Works &amp; Technology Department</t>
        </is>
      </c>
      <c r="F2637" s="6" t="inlineStr">
        <is>
          <t>30 Aug 2026</t>
        </is>
      </c>
      <c r="G2637" s="5" t="inlineStr">
        <is>
          <t>29 Sep 2026</t>
        </is>
      </c>
      <c r="H2637" s="8" t="inlineStr">
        <is>
          <t>⏳ UPCOMING</t>
        </is>
      </c>
      <c r="I2637" s="4" t="inlineStr">
        <is>
          <t>Tender_2026_TAH_3489_1_All_Documents.zip</t>
        </is>
      </c>
      <c r="J2637" s="6" t="inlineStr">
        <is>
          <t>📦 ZIP Package</t>
        </is>
      </c>
      <c r="K2637" s="9" t="n">
        <v>20.8</v>
      </c>
      <c r="L2637" s="10">
        <f>HYPERLINK("http://127.0.0.1:8000/api/documents/download?id=2337&amp;attachment=true", "⬇ Download Tender_2026_TAH_3489_1_A")</f>
        <v/>
      </c>
      <c r="M2637" s="10">
        <f>HYPERLINK("http://localhost:5173/?state=Manipur&amp;keyword=ICT&amp;tender=2026_TAH_3489_1", "🚀 Open in Portal")</f>
        <v/>
      </c>
    </row>
    <row r="2638" ht="24" customHeight="1">
      <c r="A2638" s="11" t="inlineStr">
        <is>
          <t>Manipur</t>
        </is>
      </c>
      <c r="B2638" s="12" t="inlineStr">
        <is>
          <t>ICT</t>
        </is>
      </c>
      <c r="C2638" s="13" t="inlineStr">
        <is>
          <t>2026_TAH_3490_1</t>
        </is>
      </c>
      <c r="D2638" s="14" t="inlineStr">
        <is>
          <t>[Construction of School Bulding, Teachers Quarter and Rain Water Harvesting Structures at Oja Shankar Kane Vidyalaya Kharasom, Chingai Subdivision, Ukhrul District, Manipur]</t>
        </is>
      </c>
      <c r="E2638" s="14" t="inlineStr">
        <is>
          <t>Manipur Public Works &amp; Technology Department</t>
        </is>
      </c>
      <c r="F2638" s="13" t="inlineStr">
        <is>
          <t>02 Aug 2026</t>
        </is>
      </c>
      <c r="G2638" s="12" t="inlineStr">
        <is>
          <t>24 Aug 2026</t>
        </is>
      </c>
      <c r="H2638" s="8" t="inlineStr">
        <is>
          <t>⏳ UPCOMING</t>
        </is>
      </c>
      <c r="I2638" s="11" t="inlineStr">
        <is>
          <t>Tendernotice_1.pdf</t>
        </is>
      </c>
      <c r="J2638" s="13" t="inlineStr">
        <is>
          <t>📕 PDF Document</t>
        </is>
      </c>
      <c r="K2638" s="15" t="n">
        <v>17.8</v>
      </c>
      <c r="L2638" s="16">
        <f>HYPERLINK("http://127.0.0.1:8000/api/documents/download?id=2330&amp;attachment=true", "⬇ Download Tendernotice_1.pdf")</f>
        <v/>
      </c>
      <c r="M2638" s="16">
        <f>HYPERLINK("http://localhost:5173/?state=Manipur&amp;keyword=ICT&amp;tender=2026_TAH_3490_1", "🚀 Open in Portal")</f>
        <v/>
      </c>
    </row>
    <row r="2639" ht="24" customHeight="1">
      <c r="A2639" s="4" t="inlineStr">
        <is>
          <t>Manipur</t>
        </is>
      </c>
      <c r="B2639" s="5" t="inlineStr">
        <is>
          <t>ICT</t>
        </is>
      </c>
      <c r="C2639" s="6" t="inlineStr">
        <is>
          <t>2026_TAH_3490_1</t>
        </is>
      </c>
      <c r="D2639" s="7" t="inlineStr">
        <is>
          <t>[Construction of School Bulding, Teachers Quarter and Rain Water Harvesting Structures at Oja Shankar Kane Vidyalaya Kharasom, Chingai Subdivision, Ukhrul District, Manipur]</t>
        </is>
      </c>
      <c r="E2639" s="7" t="inlineStr">
        <is>
          <t>Manipur Public Works &amp; Technology Department</t>
        </is>
      </c>
      <c r="F2639" s="6" t="inlineStr">
        <is>
          <t>02 Aug 2026</t>
        </is>
      </c>
      <c r="G2639" s="5" t="inlineStr">
        <is>
          <t>24 Aug 2026</t>
        </is>
      </c>
      <c r="H2639" s="8" t="inlineStr">
        <is>
          <t>⏳ UPCOMING</t>
        </is>
      </c>
      <c r="I2639" s="4" t="inlineStr">
        <is>
          <t>UKHRUL.rar</t>
        </is>
      </c>
      <c r="J2639" s="6" t="inlineStr">
        <is>
          <t>📄 RAR</t>
        </is>
      </c>
      <c r="K2639" s="9" t="n">
        <v>17.8</v>
      </c>
      <c r="L2639" s="10">
        <f>HYPERLINK("http://127.0.0.1:8000/api/documents/download?id=2331&amp;attachment=true", "⬇ Download UKHRUL.rar")</f>
        <v/>
      </c>
      <c r="M2639" s="10">
        <f>HYPERLINK("http://localhost:5173/?state=Manipur&amp;keyword=ICT&amp;tender=2026_TAH_3490_1", "🚀 Open in Portal")</f>
        <v/>
      </c>
    </row>
    <row r="2640" ht="24" customHeight="1">
      <c r="A2640" s="11" t="inlineStr">
        <is>
          <t>Manipur</t>
        </is>
      </c>
      <c r="B2640" s="12" t="inlineStr">
        <is>
          <t>ICT</t>
        </is>
      </c>
      <c r="C2640" s="13" t="inlineStr">
        <is>
          <t>2026_TAH_3490_1</t>
        </is>
      </c>
      <c r="D2640" s="14" t="inlineStr">
        <is>
          <t>[Construction of School Bulding, Teachers Quarter and Rain Water Harvesting Structures at Oja Shankar Kane Vidyalaya Kharasom, Chingai Subdivision, Ukhrul District, Manipur]</t>
        </is>
      </c>
      <c r="E2640" s="14" t="inlineStr">
        <is>
          <t>Manipur Public Works &amp; Technology Department</t>
        </is>
      </c>
      <c r="F2640" s="13" t="inlineStr">
        <is>
          <t>02 Aug 2026</t>
        </is>
      </c>
      <c r="G2640" s="12" t="inlineStr">
        <is>
          <t>24 Aug 2026</t>
        </is>
      </c>
      <c r="H2640" s="8" t="inlineStr">
        <is>
          <t>⏳ UPCOMING</t>
        </is>
      </c>
      <c r="I2640" s="11" t="inlineStr">
        <is>
          <t>BOQ_3805.xls</t>
        </is>
      </c>
      <c r="J2640" s="13" t="inlineStr">
        <is>
          <t>📊 Excel BOQ</t>
        </is>
      </c>
      <c r="K2640" s="15" t="n">
        <v>2.5</v>
      </c>
      <c r="L2640" s="16">
        <f>HYPERLINK("http://127.0.0.1:8000/api/documents/download?id=2332&amp;attachment=true", "⬇ Download BOQ_3805.xls")</f>
        <v/>
      </c>
      <c r="M2640" s="16">
        <f>HYPERLINK("http://localhost:5173/?state=Manipur&amp;keyword=ICT&amp;tender=2026_TAH_3490_1", "🚀 Open in Portal")</f>
        <v/>
      </c>
    </row>
    <row r="2641" ht="24" customHeight="1">
      <c r="A2641" s="4" t="inlineStr">
        <is>
          <t>Manipur</t>
        </is>
      </c>
      <c r="B2641" s="5" t="inlineStr">
        <is>
          <t>ICT</t>
        </is>
      </c>
      <c r="C2641" s="6" t="inlineStr">
        <is>
          <t>2026_TAH_3490_1</t>
        </is>
      </c>
      <c r="D2641" s="7" t="inlineStr">
        <is>
          <t>[Construction of School Bulding, Teachers Quarter and Rain Water Harvesting Structures at Oja Shankar Kane Vidyalaya Kharasom, Chingai Subdivision, Ukhrul District, Manipur]</t>
        </is>
      </c>
      <c r="E2641" s="7" t="inlineStr">
        <is>
          <t>Manipur Public Works &amp; Technology Department</t>
        </is>
      </c>
      <c r="F2641" s="6" t="inlineStr">
        <is>
          <t>02 Aug 2026</t>
        </is>
      </c>
      <c r="G2641" s="5" t="inlineStr">
        <is>
          <t>24 Aug 2026</t>
        </is>
      </c>
      <c r="H2641" s="8" t="inlineStr">
        <is>
          <t>⏳ UPCOMING</t>
        </is>
      </c>
      <c r="I2641" s="4" t="inlineStr">
        <is>
          <t>Tender_2026_TAH_3490_1_All_Documents.zip</t>
        </is>
      </c>
      <c r="J2641" s="6" t="inlineStr">
        <is>
          <t>📦 ZIP Package</t>
        </is>
      </c>
      <c r="K2641" s="9" t="n">
        <v>20.8</v>
      </c>
      <c r="L2641" s="10">
        <f>HYPERLINK("http://127.0.0.1:8000/api/documents/download?id=2333&amp;attachment=true", "⬇ Download Tender_2026_TAH_3490_1_A")</f>
        <v/>
      </c>
      <c r="M2641" s="10">
        <f>HYPERLINK("http://localhost:5173/?state=Manipur&amp;keyword=ICT&amp;tender=2026_TAH_3490_1", "🚀 Open in Portal")</f>
        <v/>
      </c>
    </row>
    <row r="2642" ht="24" customHeight="1">
      <c r="A2642" s="11" t="inlineStr">
        <is>
          <t>Manipur</t>
        </is>
      </c>
      <c r="B2642" s="12" t="inlineStr">
        <is>
          <t>Spatial</t>
        </is>
      </c>
      <c r="C2642" s="13" t="inlineStr">
        <is>
          <t>2026_MAN_1822533_53</t>
        </is>
      </c>
      <c r="D2642" s="14" t="inlineStr">
        <is>
          <t>Spatial-Based Geospatial Road Asset Inventory &amp; Pavement Condition Digital Survey</t>
        </is>
      </c>
      <c r="E2642" s="14" t="inlineStr">
        <is>
          <t>PUBLIC WORKS &amp; HIGHWAYS DEPARTMENT</t>
        </is>
      </c>
      <c r="F2642" s="13" t="inlineStr">
        <is>
          <t>27 Sep 2026</t>
        </is>
      </c>
      <c r="G2642" s="12" t="inlineStr">
        <is>
          <t>22 Oct 2026</t>
        </is>
      </c>
      <c r="H2642" s="18" t="inlineStr">
        <is>
          <t>⚠️ CLOSING SOON</t>
        </is>
      </c>
      <c r="I2642" s="11" t="inlineStr">
        <is>
          <t>Tendernotice_2026_MAN_1822533_53.pdf</t>
        </is>
      </c>
      <c r="J2642" s="13" t="inlineStr">
        <is>
          <t>📕 PDF Document</t>
        </is>
      </c>
      <c r="K2642" s="15" t="n">
        <v>17.9</v>
      </c>
      <c r="L2642" s="16">
        <f>HYPERLINK("http://127.0.0.1:8000/api/documents/download?id=3101&amp;attachment=true", "⬇ Download Tendernotice_2026_MAN_18")</f>
        <v/>
      </c>
      <c r="M2642" s="16">
        <f>HYPERLINK("http://localhost:5173/?state=Manipur&amp;keyword=Spatial&amp;tender=2026_MAN_1822533_53", "🚀 Open in Portal")</f>
        <v/>
      </c>
    </row>
    <row r="2643" ht="24" customHeight="1">
      <c r="A2643" s="4" t="inlineStr">
        <is>
          <t>Manipur</t>
        </is>
      </c>
      <c r="B2643" s="5" t="inlineStr">
        <is>
          <t>Spatial</t>
        </is>
      </c>
      <c r="C2643" s="6" t="inlineStr">
        <is>
          <t>2026_MAN_1822533_53</t>
        </is>
      </c>
      <c r="D2643" s="7" t="inlineStr">
        <is>
          <t>Spatial-Based Geospatial Road Asset Inventory &amp; Pavement Condition Digital Survey</t>
        </is>
      </c>
      <c r="E2643" s="7" t="inlineStr">
        <is>
          <t>PUBLIC WORKS &amp; HIGHWAYS DEPARTMENT</t>
        </is>
      </c>
      <c r="F2643" s="6" t="inlineStr">
        <is>
          <t>27 Sep 2026</t>
        </is>
      </c>
      <c r="G2643" s="5" t="inlineStr">
        <is>
          <t>22 Oct 2026</t>
        </is>
      </c>
      <c r="H2643" s="18" t="inlineStr">
        <is>
          <t>⚠️ CLOSING SOON</t>
        </is>
      </c>
      <c r="I2643" s="4" t="inlineStr">
        <is>
          <t>Technical_RFP_Specification_Spatial.pdf</t>
        </is>
      </c>
      <c r="J2643" s="6" t="inlineStr">
        <is>
          <t>📕 PDF Document</t>
        </is>
      </c>
      <c r="K2643" s="9" t="n">
        <v>17.9</v>
      </c>
      <c r="L2643" s="10">
        <f>HYPERLINK("http://127.0.0.1:8000/api/documents/download?id=3102&amp;attachment=true", "⬇ Download Technical_RFP_Specificat")</f>
        <v/>
      </c>
      <c r="M2643" s="10">
        <f>HYPERLINK("http://localhost:5173/?state=Manipur&amp;keyword=Spatial&amp;tender=2026_MAN_1822533_53", "🚀 Open in Portal")</f>
        <v/>
      </c>
    </row>
    <row r="2644" ht="24" customHeight="1">
      <c r="A2644" s="11" t="inlineStr">
        <is>
          <t>Manipur</t>
        </is>
      </c>
      <c r="B2644" s="12" t="inlineStr">
        <is>
          <t>Spatial</t>
        </is>
      </c>
      <c r="C2644" s="13" t="inlineStr">
        <is>
          <t>2026_MAN_1822533_53</t>
        </is>
      </c>
      <c r="D2644" s="14" t="inlineStr">
        <is>
          <t>Spatial-Based Geospatial Road Asset Inventory &amp; Pavement Condition Digital Survey</t>
        </is>
      </c>
      <c r="E2644" s="14" t="inlineStr">
        <is>
          <t>PUBLIC WORKS &amp; HIGHWAYS DEPARTMENT</t>
        </is>
      </c>
      <c r="F2644" s="13" t="inlineStr">
        <is>
          <t>27 Sep 2026</t>
        </is>
      </c>
      <c r="G2644" s="12" t="inlineStr">
        <is>
          <t>22 Oct 2026</t>
        </is>
      </c>
      <c r="H2644" s="18" t="inlineStr">
        <is>
          <t>⚠️ CLOSING SOON</t>
        </is>
      </c>
      <c r="I2644" s="11" t="inlineStr">
        <is>
          <t>BOQ_Financial_Schedule_2026_MAN_1822533_53.xlsx</t>
        </is>
      </c>
      <c r="J2644" s="13" t="inlineStr">
        <is>
          <t>📊 Excel BOQ</t>
        </is>
      </c>
      <c r="K2644" s="15" t="n">
        <v>2.4</v>
      </c>
      <c r="L2644" s="16">
        <f>HYPERLINK("http://127.0.0.1:8000/api/documents/download?id=3103&amp;attachment=true", "⬇ Download BOQ_Financial_Schedule_2")</f>
        <v/>
      </c>
      <c r="M2644" s="16">
        <f>HYPERLINK("http://localhost:5173/?state=Manipur&amp;keyword=Spatial&amp;tender=2026_MAN_1822533_53", "🚀 Open in Portal")</f>
        <v/>
      </c>
    </row>
    <row r="2645" ht="24" customHeight="1">
      <c r="A2645" s="4" t="inlineStr">
        <is>
          <t>Manipur</t>
        </is>
      </c>
      <c r="B2645" s="5" t="inlineStr">
        <is>
          <t>Spatial</t>
        </is>
      </c>
      <c r="C2645" s="6" t="inlineStr">
        <is>
          <t>2026_MAN_1822533_53</t>
        </is>
      </c>
      <c r="D2645" s="7" t="inlineStr">
        <is>
          <t>Spatial-Based Geospatial Road Asset Inventory &amp; Pavement Condition Digital Survey</t>
        </is>
      </c>
      <c r="E2645" s="7" t="inlineStr">
        <is>
          <t>PUBLIC WORKS &amp; HIGHWAYS DEPARTMENT</t>
        </is>
      </c>
      <c r="F2645" s="6" t="inlineStr">
        <is>
          <t>27 Sep 2026</t>
        </is>
      </c>
      <c r="G2645" s="5" t="inlineStr">
        <is>
          <t>22 Oct 2026</t>
        </is>
      </c>
      <c r="H2645" s="18" t="inlineStr">
        <is>
          <t>⚠️ CLOSING SOON</t>
        </is>
      </c>
      <c r="I2645" s="4" t="inlineStr">
        <is>
          <t>Tender_2026_MAN_1822533_53_All_Documents.zip</t>
        </is>
      </c>
      <c r="J2645" s="6" t="inlineStr">
        <is>
          <t>📦 ZIP Package</t>
        </is>
      </c>
      <c r="K2645" s="9" t="n">
        <v>45</v>
      </c>
      <c r="L2645" s="10">
        <f>HYPERLINK("https://manipurtenders.gov.in/tender/2026_MAN_1822533_53", "⬇ Download Tender_2026_MAN_1822533_")</f>
        <v/>
      </c>
      <c r="M2645" s="10">
        <f>HYPERLINK("http://localhost:5173/?state=Manipur&amp;keyword=Spatial&amp;tender=2026_MAN_1822533_53", "🚀 Open in Portal")</f>
        <v/>
      </c>
    </row>
    <row r="2646" ht="24" customHeight="1">
      <c r="A2646" s="11" t="inlineStr">
        <is>
          <t>Manipur</t>
        </is>
      </c>
      <c r="B2646" s="12" t="inlineStr">
        <is>
          <t>Mapping</t>
        </is>
      </c>
      <c r="C2646" s="13" t="inlineStr">
        <is>
          <t>2026_MAN_4966907_74</t>
        </is>
      </c>
      <c r="D2646" s="14" t="inlineStr">
        <is>
          <t>Mapping-Based High Resolution Satellite Imagery Land Use &amp; Land Cover Spatial Mapping</t>
        </is>
      </c>
      <c r="E2646" s="14" t="inlineStr">
        <is>
          <t>DEPARTMENT OF SCIENCE, TECHNOLOGY &amp; REMOTE SENSING</t>
        </is>
      </c>
      <c r="F2646" s="13" t="inlineStr">
        <is>
          <t>20 Aug 2026</t>
        </is>
      </c>
      <c r="G2646" s="12" t="inlineStr">
        <is>
          <t>19 Sep 2026</t>
        </is>
      </c>
      <c r="H2646" s="8" t="inlineStr">
        <is>
          <t>⏳ UPCOMING</t>
        </is>
      </c>
      <c r="I2646" s="11" t="inlineStr">
        <is>
          <t>Tendernotice_2026_MAN_4966907_74.pdf</t>
        </is>
      </c>
      <c r="J2646" s="13" t="inlineStr">
        <is>
          <t>📕 PDF Document</t>
        </is>
      </c>
      <c r="K2646" s="15" t="n">
        <v>17.9</v>
      </c>
      <c r="L2646" s="16">
        <f>HYPERLINK("http://127.0.0.1:8000/api/documents/download?id=3321&amp;attachment=true", "⬇ Download Tendernotice_2026_MAN_49")</f>
        <v/>
      </c>
      <c r="M2646" s="16">
        <f>HYPERLINK("http://localhost:5173/?state=Manipur&amp;keyword=Mapping&amp;tender=2026_MAN_4966907_74", "🚀 Open in Portal")</f>
        <v/>
      </c>
    </row>
    <row r="2647" ht="24" customHeight="1">
      <c r="A2647" s="4" t="inlineStr">
        <is>
          <t>Manipur</t>
        </is>
      </c>
      <c r="B2647" s="5" t="inlineStr">
        <is>
          <t>Mapping</t>
        </is>
      </c>
      <c r="C2647" s="6" t="inlineStr">
        <is>
          <t>2026_MAN_4966907_74</t>
        </is>
      </c>
      <c r="D2647" s="7" t="inlineStr">
        <is>
          <t>Mapping-Based High Resolution Satellite Imagery Land Use &amp; Land Cover Spatial Mapping</t>
        </is>
      </c>
      <c r="E2647" s="7" t="inlineStr">
        <is>
          <t>DEPARTMENT OF SCIENCE, TECHNOLOGY &amp; REMOTE SENSING</t>
        </is>
      </c>
      <c r="F2647" s="6" t="inlineStr">
        <is>
          <t>20 Aug 2026</t>
        </is>
      </c>
      <c r="G2647" s="5" t="inlineStr">
        <is>
          <t>19 Sep 2026</t>
        </is>
      </c>
      <c r="H2647" s="8" t="inlineStr">
        <is>
          <t>⏳ UPCOMING</t>
        </is>
      </c>
      <c r="I2647" s="4" t="inlineStr">
        <is>
          <t>Technical_RFP_Specification_Mapping.pdf</t>
        </is>
      </c>
      <c r="J2647" s="6" t="inlineStr">
        <is>
          <t>📕 PDF Document</t>
        </is>
      </c>
      <c r="K2647" s="9" t="n">
        <v>17.9</v>
      </c>
      <c r="L2647" s="10">
        <f>HYPERLINK("http://127.0.0.1:8000/api/documents/download?id=3322&amp;attachment=true", "⬇ Download Technical_RFP_Specificat")</f>
        <v/>
      </c>
      <c r="M2647" s="10">
        <f>HYPERLINK("http://localhost:5173/?state=Manipur&amp;keyword=Mapping&amp;tender=2026_MAN_4966907_74", "🚀 Open in Portal")</f>
        <v/>
      </c>
    </row>
    <row r="2648" ht="24" customHeight="1">
      <c r="A2648" s="11" t="inlineStr">
        <is>
          <t>Manipur</t>
        </is>
      </c>
      <c r="B2648" s="12" t="inlineStr">
        <is>
          <t>Mapping</t>
        </is>
      </c>
      <c r="C2648" s="13" t="inlineStr">
        <is>
          <t>2026_MAN_4966907_74</t>
        </is>
      </c>
      <c r="D2648" s="14" t="inlineStr">
        <is>
          <t>Mapping-Based High Resolution Satellite Imagery Land Use &amp; Land Cover Spatial Mapping</t>
        </is>
      </c>
      <c r="E2648" s="14" t="inlineStr">
        <is>
          <t>DEPARTMENT OF SCIENCE, TECHNOLOGY &amp; REMOTE SENSING</t>
        </is>
      </c>
      <c r="F2648" s="13" t="inlineStr">
        <is>
          <t>20 Aug 2026</t>
        </is>
      </c>
      <c r="G2648" s="12" t="inlineStr">
        <is>
          <t>19 Sep 2026</t>
        </is>
      </c>
      <c r="H2648" s="8" t="inlineStr">
        <is>
          <t>⏳ UPCOMING</t>
        </is>
      </c>
      <c r="I2648" s="11" t="inlineStr">
        <is>
          <t>BOQ_Financial_Schedule_2026_MAN_4966907_74.xlsx</t>
        </is>
      </c>
      <c r="J2648" s="13" t="inlineStr">
        <is>
          <t>📊 Excel BOQ</t>
        </is>
      </c>
      <c r="K2648" s="15" t="n">
        <v>2.5</v>
      </c>
      <c r="L2648" s="16">
        <f>HYPERLINK("http://127.0.0.1:8000/api/documents/download?id=3323&amp;attachment=true", "⬇ Download BOQ_Financial_Schedule_2")</f>
        <v/>
      </c>
      <c r="M2648" s="16">
        <f>HYPERLINK("http://localhost:5173/?state=Manipur&amp;keyword=Mapping&amp;tender=2026_MAN_4966907_74", "🚀 Open in Portal")</f>
        <v/>
      </c>
    </row>
    <row r="2649" ht="24" customHeight="1">
      <c r="A2649" s="4" t="inlineStr">
        <is>
          <t>Manipur</t>
        </is>
      </c>
      <c r="B2649" s="5" t="inlineStr">
        <is>
          <t>Mapping</t>
        </is>
      </c>
      <c r="C2649" s="6" t="inlineStr">
        <is>
          <t>2026_MAN_4966907_74</t>
        </is>
      </c>
      <c r="D2649" s="7" t="inlineStr">
        <is>
          <t>Mapping-Based High Resolution Satellite Imagery Land Use &amp; Land Cover Spatial Mapping</t>
        </is>
      </c>
      <c r="E2649" s="7" t="inlineStr">
        <is>
          <t>DEPARTMENT OF SCIENCE, TECHNOLOGY &amp; REMOTE SENSING</t>
        </is>
      </c>
      <c r="F2649" s="6" t="inlineStr">
        <is>
          <t>20 Aug 2026</t>
        </is>
      </c>
      <c r="G2649" s="5" t="inlineStr">
        <is>
          <t>19 Sep 2026</t>
        </is>
      </c>
      <c r="H2649" s="8" t="inlineStr">
        <is>
          <t>⏳ UPCOMING</t>
        </is>
      </c>
      <c r="I2649" s="4" t="inlineStr">
        <is>
          <t>Tender_2026_MAN_4966907_74_All_Documents.zip</t>
        </is>
      </c>
      <c r="J2649" s="6" t="inlineStr">
        <is>
          <t>📦 ZIP Package</t>
        </is>
      </c>
      <c r="K2649" s="9" t="n">
        <v>45</v>
      </c>
      <c r="L2649" s="10">
        <f>HYPERLINK("https://manipurtenders.gov.in/tender/2026_MAN_4966907_74", "⬇ Download Tender_2026_MAN_4966907_")</f>
        <v/>
      </c>
      <c r="M2649" s="10">
        <f>HYPERLINK("http://localhost:5173/?state=Manipur&amp;keyword=Mapping&amp;tender=2026_MAN_4966907_74", "🚀 Open in Portal")</f>
        <v/>
      </c>
    </row>
    <row r="2650" ht="24" customHeight="1">
      <c r="A2650" s="11" t="inlineStr">
        <is>
          <t>Manipur</t>
        </is>
      </c>
      <c r="B2650" s="12" t="inlineStr">
        <is>
          <t>Design</t>
        </is>
      </c>
      <c r="C2650" s="13" t="inlineStr">
        <is>
          <t>2026_DFE_3500_1</t>
        </is>
      </c>
      <c r="D2650" s="14" t="inlineStr">
        <is>
          <t>[Design, Supply, Construction, Installation of 10 TDP capacity solid waste management plant of 10 Nos in 10 Hill Districts.]</t>
        </is>
      </c>
      <c r="E2650" s="14" t="inlineStr">
        <is>
          <t>Manipur Public Works &amp; Technology Department</t>
        </is>
      </c>
      <c r="F2650" s="13" t="inlineStr">
        <is>
          <t>03 Oct 2026</t>
        </is>
      </c>
      <c r="G2650" s="12" t="inlineStr">
        <is>
          <t>22 Oct 2026</t>
        </is>
      </c>
      <c r="H2650" s="18" t="inlineStr">
        <is>
          <t>⚠️ CLOSING SOON</t>
        </is>
      </c>
      <c r="I2650" s="11" t="inlineStr">
        <is>
          <t>Tendernotice_1.pdf</t>
        </is>
      </c>
      <c r="J2650" s="13" t="inlineStr">
        <is>
          <t>📕 PDF Document</t>
        </is>
      </c>
      <c r="K2650" s="15" t="n">
        <v>17.8</v>
      </c>
      <c r="L2650" s="16">
        <f>HYPERLINK("http://127.0.0.1:8000/api/documents/download?id=2326&amp;attachment=true", "⬇ Download Tendernotice_1.pdf")</f>
        <v/>
      </c>
      <c r="M2650" s="16">
        <f>HYPERLINK("http://localhost:5173/?state=Manipur&amp;keyword=Design&amp;tender=2026_DFE_3500_1", "🚀 Open in Portal")</f>
        <v/>
      </c>
    </row>
    <row r="2651" ht="24" customHeight="1">
      <c r="A2651" s="4" t="inlineStr">
        <is>
          <t>Manipur</t>
        </is>
      </c>
      <c r="B2651" s="5" t="inlineStr">
        <is>
          <t>Design</t>
        </is>
      </c>
      <c r="C2651" s="6" t="inlineStr">
        <is>
          <t>2026_DFE_3500_1</t>
        </is>
      </c>
      <c r="D2651" s="7" t="inlineStr">
        <is>
          <t>[Design, Supply, Construction, Installation of 10 TDP capacity solid waste management plant of 10 Nos in 10 Hill Districts.]</t>
        </is>
      </c>
      <c r="E2651" s="7" t="inlineStr">
        <is>
          <t>Manipur Public Works &amp; Technology Department</t>
        </is>
      </c>
      <c r="F2651" s="6" t="inlineStr">
        <is>
          <t>03 Oct 2026</t>
        </is>
      </c>
      <c r="G2651" s="5" t="inlineStr">
        <is>
          <t>22 Oct 2026</t>
        </is>
      </c>
      <c r="H2651" s="18" t="inlineStr">
        <is>
          <t>⚠️ CLOSING SOON</t>
        </is>
      </c>
      <c r="I2651" s="4" t="inlineStr">
        <is>
          <t>BOQ_3815.xls</t>
        </is>
      </c>
      <c r="J2651" s="6" t="inlineStr">
        <is>
          <t>📊 Excel BOQ</t>
        </is>
      </c>
      <c r="K2651" s="9" t="n">
        <v>2.5</v>
      </c>
      <c r="L2651" s="10">
        <f>HYPERLINK("http://127.0.0.1:8000/api/documents/download?id=2327&amp;attachment=true", "⬇ Download BOQ_3815.xls")</f>
        <v/>
      </c>
      <c r="M2651" s="10">
        <f>HYPERLINK("http://localhost:5173/?state=Manipur&amp;keyword=Design&amp;tender=2026_DFE_3500_1", "🚀 Open in Portal")</f>
        <v/>
      </c>
    </row>
    <row r="2652" ht="24" customHeight="1">
      <c r="A2652" s="11" t="inlineStr">
        <is>
          <t>Manipur</t>
        </is>
      </c>
      <c r="B2652" s="12" t="inlineStr">
        <is>
          <t>Design</t>
        </is>
      </c>
      <c r="C2652" s="13" t="inlineStr">
        <is>
          <t>2026_DFE_3500_1</t>
        </is>
      </c>
      <c r="D2652" s="14" t="inlineStr">
        <is>
          <t>[Design, Supply, Construction, Installation of 10 TDP capacity solid waste management plant of 10 Nos in 10 Hill Districts.]</t>
        </is>
      </c>
      <c r="E2652" s="14" t="inlineStr">
        <is>
          <t>Manipur Public Works &amp; Technology Department</t>
        </is>
      </c>
      <c r="F2652" s="13" t="inlineStr">
        <is>
          <t>03 Oct 2026</t>
        </is>
      </c>
      <c r="G2652" s="12" t="inlineStr">
        <is>
          <t>22 Oct 2026</t>
        </is>
      </c>
      <c r="H2652" s="18" t="inlineStr">
        <is>
          <t>⚠️ CLOSING SOON</t>
        </is>
      </c>
      <c r="I2652" s="11" t="inlineStr">
        <is>
          <t>Tender_Document.pdf</t>
        </is>
      </c>
      <c r="J2652" s="13" t="inlineStr">
        <is>
          <t>📕 PDF Document</t>
        </is>
      </c>
      <c r="K2652" s="15" t="n">
        <v>17.8</v>
      </c>
      <c r="L2652" s="16">
        <f>HYPERLINK("http://127.0.0.1:8000/api/documents/download?id=2328&amp;attachment=true", "⬇ Download Tender_Document.pdf")</f>
        <v/>
      </c>
      <c r="M2652" s="16">
        <f>HYPERLINK("http://localhost:5173/?state=Manipur&amp;keyword=Design&amp;tender=2026_DFE_3500_1", "🚀 Open in Portal")</f>
        <v/>
      </c>
    </row>
    <row r="2653" ht="24" customHeight="1">
      <c r="A2653" s="4" t="inlineStr">
        <is>
          <t>Manipur</t>
        </is>
      </c>
      <c r="B2653" s="5" t="inlineStr">
        <is>
          <t>Design</t>
        </is>
      </c>
      <c r="C2653" s="6" t="inlineStr">
        <is>
          <t>2026_DFE_3500_1</t>
        </is>
      </c>
      <c r="D2653" s="7" t="inlineStr">
        <is>
          <t>[Design, Supply, Construction, Installation of 10 TDP capacity solid waste management plant of 10 Nos in 10 Hill Districts.]</t>
        </is>
      </c>
      <c r="E2653" s="7" t="inlineStr">
        <is>
          <t>Manipur Public Works &amp; Technology Department</t>
        </is>
      </c>
      <c r="F2653" s="6" t="inlineStr">
        <is>
          <t>03 Oct 2026</t>
        </is>
      </c>
      <c r="G2653" s="5" t="inlineStr">
        <is>
          <t>22 Oct 2026</t>
        </is>
      </c>
      <c r="H2653" s="18" t="inlineStr">
        <is>
          <t>⚠️ CLOSING SOON</t>
        </is>
      </c>
      <c r="I2653" s="4" t="inlineStr">
        <is>
          <t>Tender_2026_DFE_3500_1_All_Documents.zip</t>
        </is>
      </c>
      <c r="J2653" s="6" t="inlineStr">
        <is>
          <t>📦 ZIP Package</t>
        </is>
      </c>
      <c r="K2653" s="9" t="n">
        <v>20.8</v>
      </c>
      <c r="L2653" s="10">
        <f>HYPERLINK("http://127.0.0.1:8000/api/documents/download?id=2329&amp;attachment=true", "⬇ Download Tender_2026_DFE_3500_1_A")</f>
        <v/>
      </c>
      <c r="M2653" s="10">
        <f>HYPERLINK("http://localhost:5173/?state=Manipur&amp;keyword=Design&amp;tender=2026_DFE_3500_1", "🚀 Open in Portal")</f>
        <v/>
      </c>
    </row>
    <row r="2654" ht="24" customHeight="1">
      <c r="A2654" s="11" t="inlineStr">
        <is>
          <t>Manipur</t>
        </is>
      </c>
      <c r="B2654" s="12" t="inlineStr">
        <is>
          <t>Design</t>
        </is>
      </c>
      <c r="C2654" s="13" t="inlineStr">
        <is>
          <t>2026_MoIT_3501_1</t>
        </is>
      </c>
      <c r="D2654" s="14" t="inlineStr">
        <is>
          <t>[SELECTION OF SYSTEM INTEGRATOR FOR DESIGN, SUPPLY, INSTALLATION, TESTING, COMMISSIONING, INTEGRATION, OPERATION AND MAINTENANCE OF INTEGRATED ICT INFRASTRUCTURE FOR IT SEZ BUILDING-II, MANTRIPUKHRI, MANIPUR.]</t>
        </is>
      </c>
      <c r="E2654" s="14" t="inlineStr">
        <is>
          <t>Manipur Public Works &amp; Technology Department</t>
        </is>
      </c>
      <c r="F2654" s="13" t="inlineStr">
        <is>
          <t>04 Sep 2026</t>
        </is>
      </c>
      <c r="G2654" s="12" t="inlineStr">
        <is>
          <t>25 Sep 2026</t>
        </is>
      </c>
      <c r="H2654" s="8" t="inlineStr">
        <is>
          <t>⏳ UPCOMING</t>
        </is>
      </c>
      <c r="I2654" s="11" t="inlineStr">
        <is>
          <t>Tendernotice_1.pdf</t>
        </is>
      </c>
      <c r="J2654" s="13" t="inlineStr">
        <is>
          <t>📕 PDF Document</t>
        </is>
      </c>
      <c r="K2654" s="15" t="n">
        <v>17.8</v>
      </c>
      <c r="L2654" s="16">
        <f>HYPERLINK("http://127.0.0.1:8000/api/documents/download?id=2323&amp;attachment=true", "⬇ Download Tendernotice_1.pdf")</f>
        <v/>
      </c>
      <c r="M2654" s="16">
        <f>HYPERLINK("http://localhost:5173/?state=Manipur&amp;keyword=Design&amp;tender=2026_MoIT_3501_1", "🚀 Open in Portal")</f>
        <v/>
      </c>
    </row>
    <row r="2655" ht="24" customHeight="1">
      <c r="A2655" s="4" t="inlineStr">
        <is>
          <t>Manipur</t>
        </is>
      </c>
      <c r="B2655" s="5" t="inlineStr">
        <is>
          <t>Design</t>
        </is>
      </c>
      <c r="C2655" s="6" t="inlineStr">
        <is>
          <t>2026_MoIT_3501_1</t>
        </is>
      </c>
      <c r="D2655" s="7" t="inlineStr">
        <is>
          <t>[SELECTION OF SYSTEM INTEGRATOR FOR DESIGN, SUPPLY, INSTALLATION, TESTING, COMMISSIONING, INTEGRATION, OPERATION AND MAINTENANCE OF INTEGRATED ICT INFRASTRUCTURE FOR IT SEZ BUILDING-II, MANTRIPUKHRI, MANIPUR.]</t>
        </is>
      </c>
      <c r="E2655" s="7" t="inlineStr">
        <is>
          <t>Manipur Public Works &amp; Technology Department</t>
        </is>
      </c>
      <c r="F2655" s="6" t="inlineStr">
        <is>
          <t>04 Sep 2026</t>
        </is>
      </c>
      <c r="G2655" s="5" t="inlineStr">
        <is>
          <t>25 Sep 2026</t>
        </is>
      </c>
      <c r="H2655" s="8" t="inlineStr">
        <is>
          <t>⏳ UPCOMING</t>
        </is>
      </c>
      <c r="I2655" s="4" t="inlineStr">
        <is>
          <t>BOQ_3816.xls</t>
        </is>
      </c>
      <c r="J2655" s="6" t="inlineStr">
        <is>
          <t>📊 Excel BOQ</t>
        </is>
      </c>
      <c r="K2655" s="9" t="n">
        <v>2.5</v>
      </c>
      <c r="L2655" s="10">
        <f>HYPERLINK("http://127.0.0.1:8000/api/documents/download?id=2324&amp;attachment=true", "⬇ Download BOQ_3816.xls")</f>
        <v/>
      </c>
      <c r="M2655" s="10">
        <f>HYPERLINK("http://localhost:5173/?state=Manipur&amp;keyword=Design&amp;tender=2026_MoIT_3501_1", "🚀 Open in Portal")</f>
        <v/>
      </c>
    </row>
    <row r="2656" ht="24" customHeight="1">
      <c r="A2656" s="11" t="inlineStr">
        <is>
          <t>Manipur</t>
        </is>
      </c>
      <c r="B2656" s="12" t="inlineStr">
        <is>
          <t>Design</t>
        </is>
      </c>
      <c r="C2656" s="13" t="inlineStr">
        <is>
          <t>2026_MoIT_3501_1</t>
        </is>
      </c>
      <c r="D2656" s="14" t="inlineStr">
        <is>
          <t>[SELECTION OF SYSTEM INTEGRATOR FOR DESIGN, SUPPLY, INSTALLATION, TESTING, COMMISSIONING, INTEGRATION, OPERATION AND MAINTENANCE OF INTEGRATED ICT INFRASTRUCTURE FOR IT SEZ BUILDING-II, MANTRIPUKHRI, MANIPUR.]</t>
        </is>
      </c>
      <c r="E2656" s="14" t="inlineStr">
        <is>
          <t>Manipur Public Works &amp; Technology Department</t>
        </is>
      </c>
      <c r="F2656" s="13" t="inlineStr">
        <is>
          <t>04 Sep 2026</t>
        </is>
      </c>
      <c r="G2656" s="12" t="inlineStr">
        <is>
          <t>25 Sep 2026</t>
        </is>
      </c>
      <c r="H2656" s="8" t="inlineStr">
        <is>
          <t>⏳ UPCOMING</t>
        </is>
      </c>
      <c r="I2656" s="11" t="inlineStr">
        <is>
          <t>Tender_2026_MoIT_3501_1_All_Documents.zip</t>
        </is>
      </c>
      <c r="J2656" s="13" t="inlineStr">
        <is>
          <t>📦 ZIP Package</t>
        </is>
      </c>
      <c r="K2656" s="15" t="n">
        <v>11.6</v>
      </c>
      <c r="L2656" s="16">
        <f>HYPERLINK("http://127.0.0.1:8000/api/documents/download?id=2325&amp;attachment=true", "⬇ Download Tender_2026_MoIT_3501_1_")</f>
        <v/>
      </c>
      <c r="M2656" s="16">
        <f>HYPERLINK("http://localhost:5173/?state=Manipur&amp;keyword=Design&amp;tender=2026_MoIT_3501_1", "🚀 Open in Portal")</f>
        <v/>
      </c>
    </row>
    <row r="2657" ht="24" customHeight="1">
      <c r="A2657" s="4" t="inlineStr">
        <is>
          <t>Meghalaya</t>
        </is>
      </c>
      <c r="B2657" s="5" t="inlineStr">
        <is>
          <t>GIS</t>
        </is>
      </c>
      <c r="C2657" s="6" t="inlineStr">
        <is>
          <t>2026_MEG_4709154_22</t>
        </is>
      </c>
      <c r="D2657" s="7" t="inlineStr">
        <is>
          <t>GIS-Based Drone LiDAR Survey &amp; Web GIS Geodatabase Integration for Smart Infrastructure</t>
        </is>
      </c>
      <c r="E2657" s="7" t="inlineStr">
        <is>
          <t>DIRECTORATE OF MUNICIPAL URBAN INFRASTRUCTURE</t>
        </is>
      </c>
      <c r="F2657" s="6" t="inlineStr">
        <is>
          <t>28 Sep 2026</t>
        </is>
      </c>
      <c r="G2657" s="5" t="inlineStr">
        <is>
          <t>24 Oct 2026</t>
        </is>
      </c>
      <c r="H2657" s="17" t="inlineStr">
        <is>
          <t>🟢 LIVE ACTIVE</t>
        </is>
      </c>
      <c r="I2657" s="4" t="inlineStr">
        <is>
          <t>Portal Notice (Online Submission)</t>
        </is>
      </c>
      <c r="J2657" s="6" t="inlineStr">
        <is>
          <t>📄 NOTICE</t>
        </is>
      </c>
      <c r="K2657" s="9" t="inlineStr">
        <is>
          <t>-</t>
        </is>
      </c>
      <c r="L2657" s="10">
        <f>HYPERLINK("https://meghalayatenders.gov.in/tender/2026_MEG_4709154_22", "⬇ Download Portal Notice (Online Su")</f>
        <v/>
      </c>
      <c r="M2657" s="10">
        <f>HYPERLINK("http://localhost:5173/?state=Meghalaya&amp;keyword=GIS&amp;tender=2026_MEG_4709154_22", "🚀 Open in Portal")</f>
        <v/>
      </c>
    </row>
    <row r="2658" ht="24" customHeight="1">
      <c r="A2658" s="11" t="inlineStr">
        <is>
          <t>Meghalaya</t>
        </is>
      </c>
      <c r="B2658" s="12" t="inlineStr">
        <is>
          <t>GIS</t>
        </is>
      </c>
      <c r="C2658" s="13" t="inlineStr">
        <is>
          <t>2026_MEG_9620913_27</t>
        </is>
      </c>
      <c r="D2658" s="14" t="inlineStr">
        <is>
          <t>GIS-Based Drone LiDAR Survey &amp; Web GIS Geodatabase Integration for Smart Infrastructure</t>
        </is>
      </c>
      <c r="E2658" s="14" t="inlineStr">
        <is>
          <t>DIRECTORATE OF MUNICIPAL URBAN INFRASTRUCTURE</t>
        </is>
      </c>
      <c r="F2658" s="13" t="inlineStr">
        <is>
          <t>31 Aug 2026</t>
        </is>
      </c>
      <c r="G2658" s="12" t="inlineStr">
        <is>
          <t>22 Sep 2026</t>
        </is>
      </c>
      <c r="H2658" s="8" t="inlineStr">
        <is>
          <t>⏳ UPCOMING</t>
        </is>
      </c>
      <c r="I2658" s="11" t="inlineStr">
        <is>
          <t>Tendernotice_2026_MEG_9620913_27.pdf</t>
        </is>
      </c>
      <c r="J2658" s="13" t="inlineStr">
        <is>
          <t>📕 PDF Document</t>
        </is>
      </c>
      <c r="K2658" s="15" t="n">
        <v>17.9</v>
      </c>
      <c r="L2658" s="16">
        <f>HYPERLINK("http://127.0.0.1:8000/api/documents/download?id=3145&amp;attachment=true", "⬇ Download Tendernotice_2026_MEG_96")</f>
        <v/>
      </c>
      <c r="M2658" s="16">
        <f>HYPERLINK("http://localhost:5173/?state=Meghalaya&amp;keyword=GIS&amp;tender=2026_MEG_9620913_27", "🚀 Open in Portal")</f>
        <v/>
      </c>
    </row>
    <row r="2659" ht="24" customHeight="1">
      <c r="A2659" s="4" t="inlineStr">
        <is>
          <t>Meghalaya</t>
        </is>
      </c>
      <c r="B2659" s="5" t="inlineStr">
        <is>
          <t>GIS</t>
        </is>
      </c>
      <c r="C2659" s="6" t="inlineStr">
        <is>
          <t>2026_MEG_9620913_27</t>
        </is>
      </c>
      <c r="D2659" s="7" t="inlineStr">
        <is>
          <t>GIS-Based Drone LiDAR Survey &amp; Web GIS Geodatabase Integration for Smart Infrastructure</t>
        </is>
      </c>
      <c r="E2659" s="7" t="inlineStr">
        <is>
          <t>DIRECTORATE OF MUNICIPAL URBAN INFRASTRUCTURE</t>
        </is>
      </c>
      <c r="F2659" s="6" t="inlineStr">
        <is>
          <t>31 Aug 2026</t>
        </is>
      </c>
      <c r="G2659" s="5" t="inlineStr">
        <is>
          <t>22 Sep 2026</t>
        </is>
      </c>
      <c r="H2659" s="8" t="inlineStr">
        <is>
          <t>⏳ UPCOMING</t>
        </is>
      </c>
      <c r="I2659" s="4" t="inlineStr">
        <is>
          <t>Technical_RFP_Specification_GIS.pdf</t>
        </is>
      </c>
      <c r="J2659" s="6" t="inlineStr">
        <is>
          <t>📕 PDF Document</t>
        </is>
      </c>
      <c r="K2659" s="9" t="n">
        <v>17.9</v>
      </c>
      <c r="L2659" s="10">
        <f>HYPERLINK("http://127.0.0.1:8000/api/documents/download?id=3146&amp;attachment=true", "⬇ Download Technical_RFP_Specificat")</f>
        <v/>
      </c>
      <c r="M2659" s="10">
        <f>HYPERLINK("http://localhost:5173/?state=Meghalaya&amp;keyword=GIS&amp;tender=2026_MEG_9620913_27", "🚀 Open in Portal")</f>
        <v/>
      </c>
    </row>
    <row r="2660" ht="24" customHeight="1">
      <c r="A2660" s="11" t="inlineStr">
        <is>
          <t>Meghalaya</t>
        </is>
      </c>
      <c r="B2660" s="12" t="inlineStr">
        <is>
          <t>GIS</t>
        </is>
      </c>
      <c r="C2660" s="13" t="inlineStr">
        <is>
          <t>2026_MEG_9620913_27</t>
        </is>
      </c>
      <c r="D2660" s="14" t="inlineStr">
        <is>
          <t>GIS-Based Drone LiDAR Survey &amp; Web GIS Geodatabase Integration for Smart Infrastructure</t>
        </is>
      </c>
      <c r="E2660" s="14" t="inlineStr">
        <is>
          <t>DIRECTORATE OF MUNICIPAL URBAN INFRASTRUCTURE</t>
        </is>
      </c>
      <c r="F2660" s="13" t="inlineStr">
        <is>
          <t>31 Aug 2026</t>
        </is>
      </c>
      <c r="G2660" s="12" t="inlineStr">
        <is>
          <t>22 Sep 2026</t>
        </is>
      </c>
      <c r="H2660" s="8" t="inlineStr">
        <is>
          <t>⏳ UPCOMING</t>
        </is>
      </c>
      <c r="I2660" s="11" t="inlineStr">
        <is>
          <t>BOQ_Financial_Schedule_2026_MEG_9620913_27.xlsx</t>
        </is>
      </c>
      <c r="J2660" s="13" t="inlineStr">
        <is>
          <t>📊 Excel BOQ</t>
        </is>
      </c>
      <c r="K2660" s="15" t="n">
        <v>2.5</v>
      </c>
      <c r="L2660" s="16">
        <f>HYPERLINK("http://127.0.0.1:8000/api/documents/download?id=3147&amp;attachment=true", "⬇ Download BOQ_Financial_Schedule_2")</f>
        <v/>
      </c>
      <c r="M2660" s="16">
        <f>HYPERLINK("http://localhost:5173/?state=Meghalaya&amp;keyword=GIS&amp;tender=2026_MEG_9620913_27", "🚀 Open in Portal")</f>
        <v/>
      </c>
    </row>
    <row r="2661" ht="24" customHeight="1">
      <c r="A2661" s="4" t="inlineStr">
        <is>
          <t>Meghalaya</t>
        </is>
      </c>
      <c r="B2661" s="5" t="inlineStr">
        <is>
          <t>GIS</t>
        </is>
      </c>
      <c r="C2661" s="6" t="inlineStr">
        <is>
          <t>2026_MEG_9620913_27</t>
        </is>
      </c>
      <c r="D2661" s="7" t="inlineStr">
        <is>
          <t>GIS-Based Drone LiDAR Survey &amp; Web GIS Geodatabase Integration for Smart Infrastructure</t>
        </is>
      </c>
      <c r="E2661" s="7" t="inlineStr">
        <is>
          <t>DIRECTORATE OF MUNICIPAL URBAN INFRASTRUCTURE</t>
        </is>
      </c>
      <c r="F2661" s="6" t="inlineStr">
        <is>
          <t>31 Aug 2026</t>
        </is>
      </c>
      <c r="G2661" s="5" t="inlineStr">
        <is>
          <t>22 Sep 2026</t>
        </is>
      </c>
      <c r="H2661" s="8" t="inlineStr">
        <is>
          <t>⏳ UPCOMING</t>
        </is>
      </c>
      <c r="I2661" s="4" t="inlineStr">
        <is>
          <t>Tender_2026_MEG_9620913_27_All_Documents.zip</t>
        </is>
      </c>
      <c r="J2661" s="6" t="inlineStr">
        <is>
          <t>📦 ZIP Package</t>
        </is>
      </c>
      <c r="K2661" s="9" t="n">
        <v>45</v>
      </c>
      <c r="L2661" s="10">
        <f>HYPERLINK("https://meghalayatenders.gov.in/tender/2026_MEG_9620913_27", "⬇ Download Tender_2026_MEG_9620913_")</f>
        <v/>
      </c>
      <c r="M2661" s="10">
        <f>HYPERLINK("http://localhost:5173/?state=Meghalaya&amp;keyword=GIS&amp;tender=2026_MEG_9620913_27", "🚀 Open in Portal")</f>
        <v/>
      </c>
    </row>
    <row r="2662" ht="24" customHeight="1">
      <c r="A2662" s="11" t="inlineStr">
        <is>
          <t>Meghalaya</t>
        </is>
      </c>
      <c r="B2662" s="12" t="inlineStr">
        <is>
          <t>GIS</t>
        </is>
      </c>
      <c r="C2662" s="13" t="inlineStr">
        <is>
          <t>MEGH-IT-2026-5521</t>
        </is>
      </c>
      <c r="D2662" s="14" t="inlineStr">
        <is>
          <t>GIS-based Spring-shed Mapping &amp; Climate Change Vulnerability Assessment</t>
        </is>
      </c>
      <c r="E2662" s="14" t="inlineStr">
        <is>
          <t>MEGHALAYA BASIN DEVELOPMENT AUTHORITY (MBDA)-Shillong</t>
        </is>
      </c>
      <c r="F2662" s="13" t="inlineStr">
        <is>
          <t>07 Aug 2026</t>
        </is>
      </c>
      <c r="G2662" s="12" t="inlineStr">
        <is>
          <t>29 Aug 2026</t>
        </is>
      </c>
      <c r="H2662" s="8" t="inlineStr">
        <is>
          <t>⏳ UPCOMING</t>
        </is>
      </c>
      <c r="I2662" s="11" t="inlineStr">
        <is>
          <t>Meghalaya_Springshed_GIS_RFP.pdf</t>
        </is>
      </c>
      <c r="J2662" s="13" t="inlineStr">
        <is>
          <t>📕 PDF Document</t>
        </is>
      </c>
      <c r="K2662" s="15" t="n">
        <v>17.9</v>
      </c>
      <c r="L2662" s="16">
        <f>HYPERLINK("http://127.0.0.1:8000/api/documents/download?id=2834&amp;attachment=true", "⬇ Download Meghalaya_Springshed_GIS")</f>
        <v/>
      </c>
      <c r="M2662" s="16">
        <f>HYPERLINK("http://localhost:5173/?state=Meghalaya&amp;keyword=GIS&amp;tender=MEGH-IT-2026-5521", "🚀 Open in Portal")</f>
        <v/>
      </c>
    </row>
    <row r="2663" ht="24" customHeight="1">
      <c r="A2663" s="4" t="inlineStr">
        <is>
          <t>Meghalaya</t>
        </is>
      </c>
      <c r="B2663" s="5" t="inlineStr">
        <is>
          <t>GIS</t>
        </is>
      </c>
      <c r="C2663" s="6" t="inlineStr">
        <is>
          <t>MEGH-IT-2026-5521</t>
        </is>
      </c>
      <c r="D2663" s="7" t="inlineStr">
        <is>
          <t>GIS-based Spring-shed Mapping &amp; Climate Change Vulnerability Assessment</t>
        </is>
      </c>
      <c r="E2663" s="7" t="inlineStr">
        <is>
          <t>MEGHALAYA BASIN DEVELOPMENT AUTHORITY (MBDA)-Shillong</t>
        </is>
      </c>
      <c r="F2663" s="6" t="inlineStr">
        <is>
          <t>07 Aug 2026</t>
        </is>
      </c>
      <c r="G2663" s="5" t="inlineStr">
        <is>
          <t>29 Aug 2026</t>
        </is>
      </c>
      <c r="H2663" s="8" t="inlineStr">
        <is>
          <t>⏳ UPCOMING</t>
        </is>
      </c>
      <c r="I2663" s="4" t="inlineStr">
        <is>
          <t>Spring_Inventory_Protocol.pdf</t>
        </is>
      </c>
      <c r="J2663" s="6" t="inlineStr">
        <is>
          <t>📕 PDF Document</t>
        </is>
      </c>
      <c r="K2663" s="9" t="n">
        <v>17.9</v>
      </c>
      <c r="L2663" s="10">
        <f>HYPERLINK("http://127.0.0.1:8000/api/documents/download?id=2835&amp;attachment=true", "⬇ Download Spring_Inventory_Protoco")</f>
        <v/>
      </c>
      <c r="M2663" s="10">
        <f>HYPERLINK("http://localhost:5173/?state=Meghalaya&amp;keyword=GIS&amp;tender=MEGH-IT-2026-5521", "🚀 Open in Portal")</f>
        <v/>
      </c>
    </row>
    <row r="2664" ht="24" customHeight="1">
      <c r="A2664" s="11" t="inlineStr">
        <is>
          <t>Meghalaya</t>
        </is>
      </c>
      <c r="B2664" s="12" t="inlineStr">
        <is>
          <t>GIS</t>
        </is>
      </c>
      <c r="C2664" s="13" t="inlineStr">
        <is>
          <t>MEGH-IT-2026-5521</t>
        </is>
      </c>
      <c r="D2664" s="14" t="inlineStr">
        <is>
          <t>GIS-based Spring-shed Mapping &amp; Climate Change Vulnerability Assessment</t>
        </is>
      </c>
      <c r="E2664" s="14" t="inlineStr">
        <is>
          <t>MEGHALAYA BASIN DEVELOPMENT AUTHORITY (MBDA)-Shillong</t>
        </is>
      </c>
      <c r="F2664" s="13" t="inlineStr">
        <is>
          <t>07 Aug 2026</t>
        </is>
      </c>
      <c r="G2664" s="12" t="inlineStr">
        <is>
          <t>29 Aug 2026</t>
        </is>
      </c>
      <c r="H2664" s="8" t="inlineStr">
        <is>
          <t>⏳ UPCOMING</t>
        </is>
      </c>
      <c r="I2664" s="11" t="inlineStr">
        <is>
          <t>Tender_MEGH-IT-2026-5521_All_Documents.zip</t>
        </is>
      </c>
      <c r="J2664" s="13" t="inlineStr">
        <is>
          <t>📦 ZIP Package</t>
        </is>
      </c>
      <c r="K2664" s="15" t="n">
        <v>18.5</v>
      </c>
      <c r="L2664" s="16">
        <f>HYPERLINK("http://127.0.0.1:8000/api/documents/download?id=2836&amp;attachment=true", "⬇ Download Tender_MEGH-IT-2026-5521")</f>
        <v/>
      </c>
      <c r="M2664" s="16">
        <f>HYPERLINK("http://localhost:5173/?state=Meghalaya&amp;keyword=GIS&amp;tender=MEGH-IT-2026-5521", "🚀 Open in Portal")</f>
        <v/>
      </c>
    </row>
    <row r="2665" ht="24" customHeight="1">
      <c r="A2665" s="4" t="inlineStr">
        <is>
          <t>Meghalaya</t>
        </is>
      </c>
      <c r="B2665" s="5" t="inlineStr">
        <is>
          <t>ICT</t>
        </is>
      </c>
      <c r="C2665" s="6" t="inlineStr">
        <is>
          <t>2026_MEG_9594470_96</t>
        </is>
      </c>
      <c r="D2665" s="7" t="inlineStr">
        <is>
          <t>ICT-Based Cloud Data Center Modernization &amp; Statewide Integrated Video Command Analytics</t>
        </is>
      </c>
      <c r="E2665" s="7" t="inlineStr">
        <is>
          <t>DEPARTMENT OF INFORMATION TECHNOLOGY &amp; e-GOVERNANCE</t>
        </is>
      </c>
      <c r="F2665" s="6" t="inlineStr">
        <is>
          <t>03 Aug 2026</t>
        </is>
      </c>
      <c r="G2665" s="5" t="inlineStr">
        <is>
          <t>28 Aug 2026</t>
        </is>
      </c>
      <c r="H2665" s="8" t="inlineStr">
        <is>
          <t>⏳ UPCOMING</t>
        </is>
      </c>
      <c r="I2665" s="4" t="inlineStr">
        <is>
          <t>Tendernotice_2026_MEG_9594470_96.pdf</t>
        </is>
      </c>
      <c r="J2665" s="6" t="inlineStr">
        <is>
          <t>📕 PDF Document</t>
        </is>
      </c>
      <c r="K2665" s="9" t="n">
        <v>17.9</v>
      </c>
      <c r="L2665" s="10">
        <f>HYPERLINK("http://127.0.0.1:8000/api/documents/download?id=3141&amp;attachment=true", "⬇ Download Tendernotice_2026_MEG_95")</f>
        <v/>
      </c>
      <c r="M2665" s="10">
        <f>HYPERLINK("http://localhost:5173/?state=Meghalaya&amp;keyword=ICT&amp;tender=2026_MEG_9594470_96", "🚀 Open in Portal")</f>
        <v/>
      </c>
    </row>
    <row r="2666" ht="24" customHeight="1">
      <c r="A2666" s="11" t="inlineStr">
        <is>
          <t>Meghalaya</t>
        </is>
      </c>
      <c r="B2666" s="12" t="inlineStr">
        <is>
          <t>ICT</t>
        </is>
      </c>
      <c r="C2666" s="13" t="inlineStr">
        <is>
          <t>2026_MEG_9594470_96</t>
        </is>
      </c>
      <c r="D2666" s="14" t="inlineStr">
        <is>
          <t>ICT-Based Cloud Data Center Modernization &amp; Statewide Integrated Video Command Analytics</t>
        </is>
      </c>
      <c r="E2666" s="14" t="inlineStr">
        <is>
          <t>DEPARTMENT OF INFORMATION TECHNOLOGY &amp; e-GOVERNANCE</t>
        </is>
      </c>
      <c r="F2666" s="13" t="inlineStr">
        <is>
          <t>03 Aug 2026</t>
        </is>
      </c>
      <c r="G2666" s="12" t="inlineStr">
        <is>
          <t>28 Aug 2026</t>
        </is>
      </c>
      <c r="H2666" s="8" t="inlineStr">
        <is>
          <t>⏳ UPCOMING</t>
        </is>
      </c>
      <c r="I2666" s="11" t="inlineStr">
        <is>
          <t>Technical_RFP_Specification_ICT.pdf</t>
        </is>
      </c>
      <c r="J2666" s="13" t="inlineStr">
        <is>
          <t>📕 PDF Document</t>
        </is>
      </c>
      <c r="K2666" s="15" t="n">
        <v>17.9</v>
      </c>
      <c r="L2666" s="16">
        <f>HYPERLINK("http://127.0.0.1:8000/api/documents/download?id=3142&amp;attachment=true", "⬇ Download Technical_RFP_Specificat")</f>
        <v/>
      </c>
      <c r="M2666" s="16">
        <f>HYPERLINK("http://localhost:5173/?state=Meghalaya&amp;keyword=ICT&amp;tender=2026_MEG_9594470_96", "🚀 Open in Portal")</f>
        <v/>
      </c>
    </row>
    <row r="2667" ht="24" customHeight="1">
      <c r="A2667" s="4" t="inlineStr">
        <is>
          <t>Meghalaya</t>
        </is>
      </c>
      <c r="B2667" s="5" t="inlineStr">
        <is>
          <t>ICT</t>
        </is>
      </c>
      <c r="C2667" s="6" t="inlineStr">
        <is>
          <t>2026_MEG_9594470_96</t>
        </is>
      </c>
      <c r="D2667" s="7" t="inlineStr">
        <is>
          <t>ICT-Based Cloud Data Center Modernization &amp; Statewide Integrated Video Command Analytics</t>
        </is>
      </c>
      <c r="E2667" s="7" t="inlineStr">
        <is>
          <t>DEPARTMENT OF INFORMATION TECHNOLOGY &amp; e-GOVERNANCE</t>
        </is>
      </c>
      <c r="F2667" s="6" t="inlineStr">
        <is>
          <t>03 Aug 2026</t>
        </is>
      </c>
      <c r="G2667" s="5" t="inlineStr">
        <is>
          <t>28 Aug 2026</t>
        </is>
      </c>
      <c r="H2667" s="8" t="inlineStr">
        <is>
          <t>⏳ UPCOMING</t>
        </is>
      </c>
      <c r="I2667" s="4" t="inlineStr">
        <is>
          <t>BOQ_Financial_Schedule_2026_MEG_9594470_96.xlsx</t>
        </is>
      </c>
      <c r="J2667" s="6" t="inlineStr">
        <is>
          <t>📊 Excel BOQ</t>
        </is>
      </c>
      <c r="K2667" s="9" t="n">
        <v>2.5</v>
      </c>
      <c r="L2667" s="10">
        <f>HYPERLINK("http://127.0.0.1:8000/api/documents/download?id=3143&amp;attachment=true", "⬇ Download BOQ_Financial_Schedule_2")</f>
        <v/>
      </c>
      <c r="M2667" s="10">
        <f>HYPERLINK("http://localhost:5173/?state=Meghalaya&amp;keyword=ICT&amp;tender=2026_MEG_9594470_96", "🚀 Open in Portal")</f>
        <v/>
      </c>
    </row>
    <row r="2668" ht="24" customHeight="1">
      <c r="A2668" s="11" t="inlineStr">
        <is>
          <t>Meghalaya</t>
        </is>
      </c>
      <c r="B2668" s="12" t="inlineStr">
        <is>
          <t>ICT</t>
        </is>
      </c>
      <c r="C2668" s="13" t="inlineStr">
        <is>
          <t>2026_MEG_9594470_96</t>
        </is>
      </c>
      <c r="D2668" s="14" t="inlineStr">
        <is>
          <t>ICT-Based Cloud Data Center Modernization &amp; Statewide Integrated Video Command Analytics</t>
        </is>
      </c>
      <c r="E2668" s="14" t="inlineStr">
        <is>
          <t>DEPARTMENT OF INFORMATION TECHNOLOGY &amp; e-GOVERNANCE</t>
        </is>
      </c>
      <c r="F2668" s="13" t="inlineStr">
        <is>
          <t>03 Aug 2026</t>
        </is>
      </c>
      <c r="G2668" s="12" t="inlineStr">
        <is>
          <t>28 Aug 2026</t>
        </is>
      </c>
      <c r="H2668" s="8" t="inlineStr">
        <is>
          <t>⏳ UPCOMING</t>
        </is>
      </c>
      <c r="I2668" s="11" t="inlineStr">
        <is>
          <t>Tender_2026_MEG_9594470_96_All_Documents.zip</t>
        </is>
      </c>
      <c r="J2668" s="13" t="inlineStr">
        <is>
          <t>📦 ZIP Package</t>
        </is>
      </c>
      <c r="K2668" s="15" t="n">
        <v>45</v>
      </c>
      <c r="L2668" s="16">
        <f>HYPERLINK("https://meghalayatenders.gov.in/tender/2026_MEG_9594470_96", "⬇ Download Tender_2026_MEG_9594470_")</f>
        <v/>
      </c>
      <c r="M2668" s="16">
        <f>HYPERLINK("http://localhost:5173/?state=Meghalaya&amp;keyword=ICT&amp;tender=2026_MEG_9594470_96", "🚀 Open in Portal")</f>
        <v/>
      </c>
    </row>
    <row r="2669" ht="24" customHeight="1">
      <c r="A2669" s="4" t="inlineStr">
        <is>
          <t>Meghalaya</t>
        </is>
      </c>
      <c r="B2669" s="5" t="inlineStr">
        <is>
          <t>Agriculture</t>
        </is>
      </c>
      <c r="C2669" s="6" t="inlineStr">
        <is>
          <t>MEGH-AGRI-2026-3398</t>
        </is>
      </c>
      <c r="D2669" s="7" t="inlineStr">
        <is>
          <t>Lakadong Turmeric Mission Supply Chain MIS &amp; Mobile Procurement Application</t>
        </is>
      </c>
      <c r="E2669" s="7" t="inlineStr">
        <is>
          <t>DEPARTMENT OF AGRICULTURE &amp; FARMERS WELFARE-Shillong</t>
        </is>
      </c>
      <c r="F2669" s="6" t="inlineStr">
        <is>
          <t>05 Sep 2026</t>
        </is>
      </c>
      <c r="G2669" s="5" t="inlineStr">
        <is>
          <t>30 Sep 2026</t>
        </is>
      </c>
      <c r="H2669" s="8" t="inlineStr">
        <is>
          <t>⏳ UPCOMING</t>
        </is>
      </c>
      <c r="I2669" s="4" t="inlineStr">
        <is>
          <t>Lakadong_Turmeric_MIS_RFP.pdf</t>
        </is>
      </c>
      <c r="J2669" s="6" t="inlineStr">
        <is>
          <t>📕 PDF Document</t>
        </is>
      </c>
      <c r="K2669" s="9" t="n">
        <v>17.9</v>
      </c>
      <c r="L2669" s="10">
        <f>HYPERLINK("http://127.0.0.1:8000/api/documents/download?id=2837&amp;attachment=true", "⬇ Download Lakadong_Turmeric_MIS_RF")</f>
        <v/>
      </c>
      <c r="M2669" s="10">
        <f>HYPERLINK("http://localhost:5173/?state=Meghalaya&amp;keyword=Agriculture&amp;tender=MEGH-AGRI-2026-3398", "🚀 Open in Portal")</f>
        <v/>
      </c>
    </row>
    <row r="2670" ht="24" customHeight="1">
      <c r="A2670" s="11" t="inlineStr">
        <is>
          <t>Meghalaya</t>
        </is>
      </c>
      <c r="B2670" s="12" t="inlineStr">
        <is>
          <t>Agriculture</t>
        </is>
      </c>
      <c r="C2670" s="13" t="inlineStr">
        <is>
          <t>MEGH-AGRI-2026-3398</t>
        </is>
      </c>
      <c r="D2670" s="14" t="inlineStr">
        <is>
          <t>Lakadong Turmeric Mission Supply Chain MIS &amp; Mobile Procurement Application</t>
        </is>
      </c>
      <c r="E2670" s="14" t="inlineStr">
        <is>
          <t>DEPARTMENT OF AGRICULTURE &amp; FARMERS WELFARE-Shillong</t>
        </is>
      </c>
      <c r="F2670" s="13" t="inlineStr">
        <is>
          <t>05 Sep 2026</t>
        </is>
      </c>
      <c r="G2670" s="12" t="inlineStr">
        <is>
          <t>30 Sep 2026</t>
        </is>
      </c>
      <c r="H2670" s="8" t="inlineStr">
        <is>
          <t>⏳ UPCOMING</t>
        </is>
      </c>
      <c r="I2670" s="11" t="inlineStr">
        <is>
          <t>Curcumin_Traceability_Standards.pdf</t>
        </is>
      </c>
      <c r="J2670" s="13" t="inlineStr">
        <is>
          <t>📕 PDF Document</t>
        </is>
      </c>
      <c r="K2670" s="15" t="n">
        <v>17.9</v>
      </c>
      <c r="L2670" s="16">
        <f>HYPERLINK("http://127.0.0.1:8000/api/documents/download?id=2838&amp;attachment=true", "⬇ Download Curcumin_Traceability_St")</f>
        <v/>
      </c>
      <c r="M2670" s="16">
        <f>HYPERLINK("http://localhost:5173/?state=Meghalaya&amp;keyword=Agriculture&amp;tender=MEGH-AGRI-2026-3398", "🚀 Open in Portal")</f>
        <v/>
      </c>
    </row>
    <row r="2671" ht="24" customHeight="1">
      <c r="A2671" s="4" t="inlineStr">
        <is>
          <t>Meghalaya</t>
        </is>
      </c>
      <c r="B2671" s="5" t="inlineStr">
        <is>
          <t>Agriculture</t>
        </is>
      </c>
      <c r="C2671" s="6" t="inlineStr">
        <is>
          <t>MEGH-AGRI-2026-3398</t>
        </is>
      </c>
      <c r="D2671" s="7" t="inlineStr">
        <is>
          <t>Lakadong Turmeric Mission Supply Chain MIS &amp; Mobile Procurement Application</t>
        </is>
      </c>
      <c r="E2671" s="7" t="inlineStr">
        <is>
          <t>DEPARTMENT OF AGRICULTURE &amp; FARMERS WELFARE-Shillong</t>
        </is>
      </c>
      <c r="F2671" s="6" t="inlineStr">
        <is>
          <t>05 Sep 2026</t>
        </is>
      </c>
      <c r="G2671" s="5" t="inlineStr">
        <is>
          <t>30 Sep 2026</t>
        </is>
      </c>
      <c r="H2671" s="8" t="inlineStr">
        <is>
          <t>⏳ UPCOMING</t>
        </is>
      </c>
      <c r="I2671" s="4" t="inlineStr">
        <is>
          <t>Tender_MEGH-AGRI-2026-3398_All_Documents.zip</t>
        </is>
      </c>
      <c r="J2671" s="6" t="inlineStr">
        <is>
          <t>📦 ZIP Package</t>
        </is>
      </c>
      <c r="K2671" s="9" t="n">
        <v>18.6</v>
      </c>
      <c r="L2671" s="10">
        <f>HYPERLINK("http://127.0.0.1:8000/api/documents/download?id=3020&amp;attachment=true", "⬇ Download Tender_MEGH-AGRI-2026-33")</f>
        <v/>
      </c>
      <c r="M2671" s="10">
        <f>HYPERLINK("http://localhost:5173/?state=Meghalaya&amp;keyword=Agriculture&amp;tender=MEGH-AGRI-2026-3398", "🚀 Open in Portal")</f>
        <v/>
      </c>
    </row>
    <row r="2672" ht="24" customHeight="1">
      <c r="A2672" s="11" t="inlineStr">
        <is>
          <t>Meghalaya</t>
        </is>
      </c>
      <c r="B2672" s="12" t="inlineStr">
        <is>
          <t>Forest</t>
        </is>
      </c>
      <c r="C2672" s="13" t="inlineStr">
        <is>
          <t>2026_MEG_7052662_13</t>
        </is>
      </c>
      <c r="D2672" s="14" t="inlineStr">
        <is>
          <t>Forest-Based Satellite-Based Forest Canopy Density &amp; Wildlife Corridor Spatial Monitoring</t>
        </is>
      </c>
      <c r="E2672" s="14" t="inlineStr">
        <is>
          <t>STATE FOREST &amp; ENVIRONMENT DEPARTMENT</t>
        </is>
      </c>
      <c r="F2672" s="13" t="inlineStr">
        <is>
          <t>15 Sep 2026</t>
        </is>
      </c>
      <c r="G2672" s="12" t="inlineStr">
        <is>
          <t>10 Oct 2026</t>
        </is>
      </c>
      <c r="H2672" s="8" t="inlineStr">
        <is>
          <t>⏳ UPCOMING</t>
        </is>
      </c>
      <c r="I2672" s="11" t="inlineStr">
        <is>
          <t>Tendernotice_2026_MEG_7052662_13.pdf</t>
        </is>
      </c>
      <c r="J2672" s="13" t="inlineStr">
        <is>
          <t>📕 PDF Document</t>
        </is>
      </c>
      <c r="K2672" s="15" t="n">
        <v>17.9</v>
      </c>
      <c r="L2672" s="16">
        <f>HYPERLINK("http://127.0.0.1:8000/api/documents/download?id=3377&amp;attachment=true", "⬇ Download Tendernotice_2026_MEG_70")</f>
        <v/>
      </c>
      <c r="M2672" s="16">
        <f>HYPERLINK("http://localhost:5173/?state=Meghalaya&amp;keyword=Forest&amp;tender=2026_MEG_7052662_13", "🚀 Open in Portal")</f>
        <v/>
      </c>
    </row>
    <row r="2673" ht="24" customHeight="1">
      <c r="A2673" s="4" t="inlineStr">
        <is>
          <t>Meghalaya</t>
        </is>
      </c>
      <c r="B2673" s="5" t="inlineStr">
        <is>
          <t>Forest</t>
        </is>
      </c>
      <c r="C2673" s="6" t="inlineStr">
        <is>
          <t>2026_MEG_7052662_13</t>
        </is>
      </c>
      <c r="D2673" s="7" t="inlineStr">
        <is>
          <t>Forest-Based Satellite-Based Forest Canopy Density &amp; Wildlife Corridor Spatial Monitoring</t>
        </is>
      </c>
      <c r="E2673" s="7" t="inlineStr">
        <is>
          <t>STATE FOREST &amp; ENVIRONMENT DEPARTMENT</t>
        </is>
      </c>
      <c r="F2673" s="6" t="inlineStr">
        <is>
          <t>15 Sep 2026</t>
        </is>
      </c>
      <c r="G2673" s="5" t="inlineStr">
        <is>
          <t>10 Oct 2026</t>
        </is>
      </c>
      <c r="H2673" s="8" t="inlineStr">
        <is>
          <t>⏳ UPCOMING</t>
        </is>
      </c>
      <c r="I2673" s="4" t="inlineStr">
        <is>
          <t>Technical_RFP_Specification_Forest.pdf</t>
        </is>
      </c>
      <c r="J2673" s="6" t="inlineStr">
        <is>
          <t>📕 PDF Document</t>
        </is>
      </c>
      <c r="K2673" s="9" t="n">
        <v>17.9</v>
      </c>
      <c r="L2673" s="10">
        <f>HYPERLINK("http://127.0.0.1:8000/api/documents/download?id=3378&amp;attachment=true", "⬇ Download Technical_RFP_Specificat")</f>
        <v/>
      </c>
      <c r="M2673" s="10">
        <f>HYPERLINK("http://localhost:5173/?state=Meghalaya&amp;keyword=Forest&amp;tender=2026_MEG_7052662_13", "🚀 Open in Portal")</f>
        <v/>
      </c>
    </row>
    <row r="2674" ht="24" customHeight="1">
      <c r="A2674" s="11" t="inlineStr">
        <is>
          <t>Meghalaya</t>
        </is>
      </c>
      <c r="B2674" s="12" t="inlineStr">
        <is>
          <t>Forest</t>
        </is>
      </c>
      <c r="C2674" s="13" t="inlineStr">
        <is>
          <t>2026_MEG_7052662_13</t>
        </is>
      </c>
      <c r="D2674" s="14" t="inlineStr">
        <is>
          <t>Forest-Based Satellite-Based Forest Canopy Density &amp; Wildlife Corridor Spatial Monitoring</t>
        </is>
      </c>
      <c r="E2674" s="14" t="inlineStr">
        <is>
          <t>STATE FOREST &amp; ENVIRONMENT DEPARTMENT</t>
        </is>
      </c>
      <c r="F2674" s="13" t="inlineStr">
        <is>
          <t>15 Sep 2026</t>
        </is>
      </c>
      <c r="G2674" s="12" t="inlineStr">
        <is>
          <t>10 Oct 2026</t>
        </is>
      </c>
      <c r="H2674" s="8" t="inlineStr">
        <is>
          <t>⏳ UPCOMING</t>
        </is>
      </c>
      <c r="I2674" s="11" t="inlineStr">
        <is>
          <t>BOQ_Financial_Schedule_2026_MEG_7052662_13.xlsx</t>
        </is>
      </c>
      <c r="J2674" s="13" t="inlineStr">
        <is>
          <t>📊 Excel BOQ</t>
        </is>
      </c>
      <c r="K2674" s="15" t="n">
        <v>2.5</v>
      </c>
      <c r="L2674" s="16">
        <f>HYPERLINK("http://127.0.0.1:8000/api/documents/download?id=3379&amp;attachment=true", "⬇ Download BOQ_Financial_Schedule_2")</f>
        <v/>
      </c>
      <c r="M2674" s="16">
        <f>HYPERLINK("http://localhost:5173/?state=Meghalaya&amp;keyword=Forest&amp;tender=2026_MEG_7052662_13", "🚀 Open in Portal")</f>
        <v/>
      </c>
    </row>
    <row r="2675" ht="24" customHeight="1">
      <c r="A2675" s="4" t="inlineStr">
        <is>
          <t>Meghalaya</t>
        </is>
      </c>
      <c r="B2675" s="5" t="inlineStr">
        <is>
          <t>Forest</t>
        </is>
      </c>
      <c r="C2675" s="6" t="inlineStr">
        <is>
          <t>2026_MEG_7052662_13</t>
        </is>
      </c>
      <c r="D2675" s="7" t="inlineStr">
        <is>
          <t>Forest-Based Satellite-Based Forest Canopy Density &amp; Wildlife Corridor Spatial Monitoring</t>
        </is>
      </c>
      <c r="E2675" s="7" t="inlineStr">
        <is>
          <t>STATE FOREST &amp; ENVIRONMENT DEPARTMENT</t>
        </is>
      </c>
      <c r="F2675" s="6" t="inlineStr">
        <is>
          <t>15 Sep 2026</t>
        </is>
      </c>
      <c r="G2675" s="5" t="inlineStr">
        <is>
          <t>10 Oct 2026</t>
        </is>
      </c>
      <c r="H2675" s="8" t="inlineStr">
        <is>
          <t>⏳ UPCOMING</t>
        </is>
      </c>
      <c r="I2675" s="4" t="inlineStr">
        <is>
          <t>Tender_2026_MEG_7052662_13_All_Documents.zip</t>
        </is>
      </c>
      <c r="J2675" s="6" t="inlineStr">
        <is>
          <t>📦 ZIP Package</t>
        </is>
      </c>
      <c r="K2675" s="9" t="n">
        <v>45</v>
      </c>
      <c r="L2675" s="10">
        <f>HYPERLINK("https://meghalayatenders.gov.in/tender/2026_MEG_7052662_13", "⬇ Download Tender_2026_MEG_7052662_")</f>
        <v/>
      </c>
      <c r="M2675" s="10">
        <f>HYPERLINK("http://localhost:5173/?state=Meghalaya&amp;keyword=Forest&amp;tender=2026_MEG_7052662_13", "🚀 Open in Portal")</f>
        <v/>
      </c>
    </row>
    <row r="2676" ht="24" customHeight="1">
      <c r="A2676" s="11" t="inlineStr">
        <is>
          <t>Meghalaya</t>
        </is>
      </c>
      <c r="B2676" s="12" t="inlineStr">
        <is>
          <t>Forest</t>
        </is>
      </c>
      <c r="C2676" s="13" t="inlineStr">
        <is>
          <t>MEGH-FOREST-2026-7712</t>
        </is>
      </c>
      <c r="D2676" s="14" t="inlineStr">
        <is>
          <t>Community Sacred Groves Geo-tagging &amp; Ecological Forest Restoration Portal</t>
        </is>
      </c>
      <c r="E2676" s="14" t="inlineStr">
        <is>
          <t>FORESTS &amp; ENVIRONMENT DEPARTMENT-Sylvan House, Shillong</t>
        </is>
      </c>
      <c r="F2676" s="13" t="inlineStr">
        <is>
          <t>04 Oct 2026</t>
        </is>
      </c>
      <c r="G2676" s="12" t="inlineStr">
        <is>
          <t>23 Oct 2026</t>
        </is>
      </c>
      <c r="H2676" s="17" t="inlineStr">
        <is>
          <t>🟢 LIVE ACTIVE</t>
        </is>
      </c>
      <c r="I2676" s="11" t="inlineStr">
        <is>
          <t>Sacred_Groves_Conservation_RFP.pdf</t>
        </is>
      </c>
      <c r="J2676" s="13" t="inlineStr">
        <is>
          <t>📕 PDF Document</t>
        </is>
      </c>
      <c r="K2676" s="15" t="n">
        <v>17.9</v>
      </c>
      <c r="L2676" s="16">
        <f>HYPERLINK("http://127.0.0.1:8000/api/documents/download?id=2839&amp;attachment=true", "⬇ Download Sacred_Groves_Conservati")</f>
        <v/>
      </c>
      <c r="M2676" s="16">
        <f>HYPERLINK("http://localhost:5173/?state=Meghalaya&amp;keyword=Forest&amp;tender=MEGH-FOREST-2026-7712", "🚀 Open in Portal")</f>
        <v/>
      </c>
    </row>
    <row r="2677" ht="24" customHeight="1">
      <c r="A2677" s="4" t="inlineStr">
        <is>
          <t>Meghalaya</t>
        </is>
      </c>
      <c r="B2677" s="5" t="inlineStr">
        <is>
          <t>Forest</t>
        </is>
      </c>
      <c r="C2677" s="6" t="inlineStr">
        <is>
          <t>MEGH-FOREST-2026-7712</t>
        </is>
      </c>
      <c r="D2677" s="7" t="inlineStr">
        <is>
          <t>Community Sacred Groves Geo-tagging &amp; Ecological Forest Restoration Portal</t>
        </is>
      </c>
      <c r="E2677" s="7" t="inlineStr">
        <is>
          <t>FORESTS &amp; ENVIRONMENT DEPARTMENT-Sylvan House, Shillong</t>
        </is>
      </c>
      <c r="F2677" s="6" t="inlineStr">
        <is>
          <t>04 Oct 2026</t>
        </is>
      </c>
      <c r="G2677" s="5" t="inlineStr">
        <is>
          <t>23 Oct 2026</t>
        </is>
      </c>
      <c r="H2677" s="17" t="inlineStr">
        <is>
          <t>🟢 LIVE ACTIVE</t>
        </is>
      </c>
      <c r="I2677" s="4" t="inlineStr">
        <is>
          <t>Ecological_Survey_Guidelines.pdf</t>
        </is>
      </c>
      <c r="J2677" s="6" t="inlineStr">
        <is>
          <t>📕 PDF Document</t>
        </is>
      </c>
      <c r="K2677" s="9" t="n">
        <v>17.9</v>
      </c>
      <c r="L2677" s="10">
        <f>HYPERLINK("http://127.0.0.1:8000/api/documents/download?id=2840&amp;attachment=true", "⬇ Download Ecological_Survey_Guidel")</f>
        <v/>
      </c>
      <c r="M2677" s="10">
        <f>HYPERLINK("http://localhost:5173/?state=Meghalaya&amp;keyword=Forest&amp;tender=MEGH-FOREST-2026-7712", "🚀 Open in Portal")</f>
        <v/>
      </c>
    </row>
    <row r="2678" ht="24" customHeight="1">
      <c r="A2678" s="11" t="inlineStr">
        <is>
          <t>Meghalaya</t>
        </is>
      </c>
      <c r="B2678" s="12" t="inlineStr">
        <is>
          <t>Forest</t>
        </is>
      </c>
      <c r="C2678" s="13" t="inlineStr">
        <is>
          <t>MEGH-FOREST-2026-7712</t>
        </is>
      </c>
      <c r="D2678" s="14" t="inlineStr">
        <is>
          <t>Community Sacred Groves Geo-tagging &amp; Ecological Forest Restoration Portal</t>
        </is>
      </c>
      <c r="E2678" s="14" t="inlineStr">
        <is>
          <t>FORESTS &amp; ENVIRONMENT DEPARTMENT-Sylvan House, Shillong</t>
        </is>
      </c>
      <c r="F2678" s="13" t="inlineStr">
        <is>
          <t>04 Oct 2026</t>
        </is>
      </c>
      <c r="G2678" s="12" t="inlineStr">
        <is>
          <t>23 Oct 2026</t>
        </is>
      </c>
      <c r="H2678" s="17" t="inlineStr">
        <is>
          <t>🟢 LIVE ACTIVE</t>
        </is>
      </c>
      <c r="I2678" s="11" t="inlineStr">
        <is>
          <t>Tender_MEGH-FOREST-2026-7712_All_Documents.zip</t>
        </is>
      </c>
      <c r="J2678" s="13" t="inlineStr">
        <is>
          <t>📦 ZIP Package</t>
        </is>
      </c>
      <c r="K2678" s="15" t="n">
        <v>18.8</v>
      </c>
      <c r="L2678" s="16">
        <f>HYPERLINK("http://127.0.0.1:8000/api/documents/download?id=3021&amp;attachment=true", "⬇ Download Tender_MEGH-FOREST-2026-")</f>
        <v/>
      </c>
      <c r="M2678" s="16">
        <f>HYPERLINK("http://localhost:5173/?state=Meghalaya&amp;keyword=Forest&amp;tender=MEGH-FOREST-2026-7712", "🚀 Open in Portal")</f>
        <v/>
      </c>
    </row>
    <row r="2679" ht="24" customHeight="1">
      <c r="A2679" s="4" t="inlineStr">
        <is>
          <t>Meghalaya</t>
        </is>
      </c>
      <c r="B2679" s="5" t="inlineStr">
        <is>
          <t>Climate Change</t>
        </is>
      </c>
      <c r="C2679" s="6" t="inlineStr">
        <is>
          <t>MEGH-IT-2026-5521</t>
        </is>
      </c>
      <c r="D2679" s="7" t="inlineStr">
        <is>
          <t>GIS-based Spring-shed Mapping &amp; Climate Change Vulnerability Assessment</t>
        </is>
      </c>
      <c r="E2679" s="7" t="inlineStr">
        <is>
          <t>MEGHALAYA BASIN DEVELOPMENT AUTHORITY (MBDA)-Shillong</t>
        </is>
      </c>
      <c r="F2679" s="6" t="inlineStr">
        <is>
          <t>07 Aug 2026</t>
        </is>
      </c>
      <c r="G2679" s="5" t="inlineStr">
        <is>
          <t>29 Aug 2026</t>
        </is>
      </c>
      <c r="H2679" s="8" t="inlineStr">
        <is>
          <t>⏳ UPCOMING</t>
        </is>
      </c>
      <c r="I2679" s="4" t="inlineStr">
        <is>
          <t>Meghalaya_Springshed_GIS_RFP.pdf</t>
        </is>
      </c>
      <c r="J2679" s="6" t="inlineStr">
        <is>
          <t>📕 PDF Document</t>
        </is>
      </c>
      <c r="K2679" s="9" t="n">
        <v>17.9</v>
      </c>
      <c r="L2679" s="10">
        <f>HYPERLINK("http://127.0.0.1:8000/api/documents/download?id=2834&amp;attachment=true", "⬇ Download Meghalaya_Springshed_GIS")</f>
        <v/>
      </c>
      <c r="M2679" s="10">
        <f>HYPERLINK("http://localhost:5173/?state=Meghalaya&amp;keyword=Climate%20Change&amp;tender=MEGH-IT-2026-5521", "🚀 Open in Portal")</f>
        <v/>
      </c>
    </row>
    <row r="2680" ht="24" customHeight="1">
      <c r="A2680" s="11" t="inlineStr">
        <is>
          <t>Meghalaya</t>
        </is>
      </c>
      <c r="B2680" s="12" t="inlineStr">
        <is>
          <t>Climate Change</t>
        </is>
      </c>
      <c r="C2680" s="13" t="inlineStr">
        <is>
          <t>MEGH-IT-2026-5521</t>
        </is>
      </c>
      <c r="D2680" s="14" t="inlineStr">
        <is>
          <t>GIS-based Spring-shed Mapping &amp; Climate Change Vulnerability Assessment</t>
        </is>
      </c>
      <c r="E2680" s="14" t="inlineStr">
        <is>
          <t>MEGHALAYA BASIN DEVELOPMENT AUTHORITY (MBDA)-Shillong</t>
        </is>
      </c>
      <c r="F2680" s="13" t="inlineStr">
        <is>
          <t>07 Aug 2026</t>
        </is>
      </c>
      <c r="G2680" s="12" t="inlineStr">
        <is>
          <t>29 Aug 2026</t>
        </is>
      </c>
      <c r="H2680" s="8" t="inlineStr">
        <is>
          <t>⏳ UPCOMING</t>
        </is>
      </c>
      <c r="I2680" s="11" t="inlineStr">
        <is>
          <t>Spring_Inventory_Protocol.pdf</t>
        </is>
      </c>
      <c r="J2680" s="13" t="inlineStr">
        <is>
          <t>📕 PDF Document</t>
        </is>
      </c>
      <c r="K2680" s="15" t="n">
        <v>17.9</v>
      </c>
      <c r="L2680" s="16">
        <f>HYPERLINK("http://127.0.0.1:8000/api/documents/download?id=2835&amp;attachment=true", "⬇ Download Spring_Inventory_Protoco")</f>
        <v/>
      </c>
      <c r="M2680" s="16">
        <f>HYPERLINK("http://localhost:5173/?state=Meghalaya&amp;keyword=Climate%20Change&amp;tender=MEGH-IT-2026-5521", "🚀 Open in Portal")</f>
        <v/>
      </c>
    </row>
    <row r="2681" ht="24" customHeight="1">
      <c r="A2681" s="4" t="inlineStr">
        <is>
          <t>Meghalaya</t>
        </is>
      </c>
      <c r="B2681" s="5" t="inlineStr">
        <is>
          <t>Climate Change</t>
        </is>
      </c>
      <c r="C2681" s="6" t="inlineStr">
        <is>
          <t>MEGH-IT-2026-5521</t>
        </is>
      </c>
      <c r="D2681" s="7" t="inlineStr">
        <is>
          <t>GIS-based Spring-shed Mapping &amp; Climate Change Vulnerability Assessment</t>
        </is>
      </c>
      <c r="E2681" s="7" t="inlineStr">
        <is>
          <t>MEGHALAYA BASIN DEVELOPMENT AUTHORITY (MBDA)-Shillong</t>
        </is>
      </c>
      <c r="F2681" s="6" t="inlineStr">
        <is>
          <t>07 Aug 2026</t>
        </is>
      </c>
      <c r="G2681" s="5" t="inlineStr">
        <is>
          <t>29 Aug 2026</t>
        </is>
      </c>
      <c r="H2681" s="8" t="inlineStr">
        <is>
          <t>⏳ UPCOMING</t>
        </is>
      </c>
      <c r="I2681" s="4" t="inlineStr">
        <is>
          <t>Tender_MEGH-IT-2026-5521_All_Documents.zip</t>
        </is>
      </c>
      <c r="J2681" s="6" t="inlineStr">
        <is>
          <t>📦 ZIP Package</t>
        </is>
      </c>
      <c r="K2681" s="9" t="n">
        <v>18.5</v>
      </c>
      <c r="L2681" s="10">
        <f>HYPERLINK("http://127.0.0.1:8000/api/documents/download?id=2836&amp;attachment=true", "⬇ Download Tender_MEGH-IT-2026-5521")</f>
        <v/>
      </c>
      <c r="M2681" s="10">
        <f>HYPERLINK("http://localhost:5173/?state=Meghalaya&amp;keyword=Climate%20Change&amp;tender=MEGH-IT-2026-5521", "🚀 Open in Portal")</f>
        <v/>
      </c>
    </row>
    <row r="2682" ht="24" customHeight="1">
      <c r="A2682" s="11" t="inlineStr">
        <is>
          <t>Meghalaya</t>
        </is>
      </c>
      <c r="B2682" s="12" t="inlineStr">
        <is>
          <t>Environment</t>
        </is>
      </c>
      <c r="C2682" s="13" t="inlineStr">
        <is>
          <t>MEGH-FOREST-2026-7712</t>
        </is>
      </c>
      <c r="D2682" s="14" t="inlineStr">
        <is>
          <t>Community Sacred Groves Geo-tagging &amp; Ecological Forest Restoration Portal</t>
        </is>
      </c>
      <c r="E2682" s="14" t="inlineStr">
        <is>
          <t>FORESTS &amp; ENVIRONMENT DEPARTMENT-Sylvan House, Shillong</t>
        </is>
      </c>
      <c r="F2682" s="13" t="inlineStr">
        <is>
          <t>04 Oct 2026</t>
        </is>
      </c>
      <c r="G2682" s="12" t="inlineStr">
        <is>
          <t>23 Oct 2026</t>
        </is>
      </c>
      <c r="H2682" s="17" t="inlineStr">
        <is>
          <t>🟢 LIVE ACTIVE</t>
        </is>
      </c>
      <c r="I2682" s="11" t="inlineStr">
        <is>
          <t>Sacred_Groves_Conservation_RFP.pdf</t>
        </is>
      </c>
      <c r="J2682" s="13" t="inlineStr">
        <is>
          <t>📕 PDF Document</t>
        </is>
      </c>
      <c r="K2682" s="15" t="n">
        <v>17.9</v>
      </c>
      <c r="L2682" s="16">
        <f>HYPERLINK("http://127.0.0.1:8000/api/documents/download?id=2839&amp;attachment=true", "⬇ Download Sacred_Groves_Conservati")</f>
        <v/>
      </c>
      <c r="M2682" s="16">
        <f>HYPERLINK("http://localhost:5173/?state=Meghalaya&amp;keyword=Environment&amp;tender=MEGH-FOREST-2026-7712", "🚀 Open in Portal")</f>
        <v/>
      </c>
    </row>
    <row r="2683" ht="24" customHeight="1">
      <c r="A2683" s="4" t="inlineStr">
        <is>
          <t>Meghalaya</t>
        </is>
      </c>
      <c r="B2683" s="5" t="inlineStr">
        <is>
          <t>Environment</t>
        </is>
      </c>
      <c r="C2683" s="6" t="inlineStr">
        <is>
          <t>MEGH-FOREST-2026-7712</t>
        </is>
      </c>
      <c r="D2683" s="7" t="inlineStr">
        <is>
          <t>Community Sacred Groves Geo-tagging &amp; Ecological Forest Restoration Portal</t>
        </is>
      </c>
      <c r="E2683" s="7" t="inlineStr">
        <is>
          <t>FORESTS &amp; ENVIRONMENT DEPARTMENT-Sylvan House, Shillong</t>
        </is>
      </c>
      <c r="F2683" s="6" t="inlineStr">
        <is>
          <t>04 Oct 2026</t>
        </is>
      </c>
      <c r="G2683" s="5" t="inlineStr">
        <is>
          <t>23 Oct 2026</t>
        </is>
      </c>
      <c r="H2683" s="17" t="inlineStr">
        <is>
          <t>🟢 LIVE ACTIVE</t>
        </is>
      </c>
      <c r="I2683" s="4" t="inlineStr">
        <is>
          <t>Ecological_Survey_Guidelines.pdf</t>
        </is>
      </c>
      <c r="J2683" s="6" t="inlineStr">
        <is>
          <t>📕 PDF Document</t>
        </is>
      </c>
      <c r="K2683" s="9" t="n">
        <v>17.9</v>
      </c>
      <c r="L2683" s="10">
        <f>HYPERLINK("http://127.0.0.1:8000/api/documents/download?id=2840&amp;attachment=true", "⬇ Download Ecological_Survey_Guidel")</f>
        <v/>
      </c>
      <c r="M2683" s="10">
        <f>HYPERLINK("http://localhost:5173/?state=Meghalaya&amp;keyword=Environment&amp;tender=MEGH-FOREST-2026-7712", "🚀 Open in Portal")</f>
        <v/>
      </c>
    </row>
    <row r="2684" ht="24" customHeight="1">
      <c r="A2684" s="11" t="inlineStr">
        <is>
          <t>Meghalaya</t>
        </is>
      </c>
      <c r="B2684" s="12" t="inlineStr">
        <is>
          <t>Environment</t>
        </is>
      </c>
      <c r="C2684" s="13" t="inlineStr">
        <is>
          <t>MEGH-FOREST-2026-7712</t>
        </is>
      </c>
      <c r="D2684" s="14" t="inlineStr">
        <is>
          <t>Community Sacred Groves Geo-tagging &amp; Ecological Forest Restoration Portal</t>
        </is>
      </c>
      <c r="E2684" s="14" t="inlineStr">
        <is>
          <t>FORESTS &amp; ENVIRONMENT DEPARTMENT-Sylvan House, Shillong</t>
        </is>
      </c>
      <c r="F2684" s="13" t="inlineStr">
        <is>
          <t>04 Oct 2026</t>
        </is>
      </c>
      <c r="G2684" s="12" t="inlineStr">
        <is>
          <t>23 Oct 2026</t>
        </is>
      </c>
      <c r="H2684" s="17" t="inlineStr">
        <is>
          <t>🟢 LIVE ACTIVE</t>
        </is>
      </c>
      <c r="I2684" s="11" t="inlineStr">
        <is>
          <t>Tender_MEGH-FOREST-2026-7712_All_Documents.zip</t>
        </is>
      </c>
      <c r="J2684" s="13" t="inlineStr">
        <is>
          <t>📦 ZIP Package</t>
        </is>
      </c>
      <c r="K2684" s="15" t="n">
        <v>18.8</v>
      </c>
      <c r="L2684" s="16">
        <f>HYPERLINK("http://127.0.0.1:8000/api/documents/download?id=3021&amp;attachment=true", "⬇ Download Tender_MEGH-FOREST-2026-")</f>
        <v/>
      </c>
      <c r="M2684" s="16">
        <f>HYPERLINK("http://localhost:5173/?state=Meghalaya&amp;keyword=Environment&amp;tender=MEGH-FOREST-2026-7712", "🚀 Open in Portal")</f>
        <v/>
      </c>
    </row>
    <row r="2685" ht="24" customHeight="1">
      <c r="A2685" s="4" t="inlineStr">
        <is>
          <t>Meghalaya</t>
        </is>
      </c>
      <c r="B2685" s="5" t="inlineStr">
        <is>
          <t>Environment</t>
        </is>
      </c>
      <c r="C2685" s="6" t="inlineStr">
        <is>
          <t>MEGH-IT-2026-5521</t>
        </is>
      </c>
      <c r="D2685" s="7" t="inlineStr">
        <is>
          <t>GIS-based Spring-shed Mapping &amp; Climate Change Vulnerability Assessment</t>
        </is>
      </c>
      <c r="E2685" s="7" t="inlineStr">
        <is>
          <t>MEGHALAYA BASIN DEVELOPMENT AUTHORITY (MBDA)-Shillong</t>
        </is>
      </c>
      <c r="F2685" s="6" t="inlineStr">
        <is>
          <t>07 Aug 2026</t>
        </is>
      </c>
      <c r="G2685" s="5" t="inlineStr">
        <is>
          <t>29 Aug 2026</t>
        </is>
      </c>
      <c r="H2685" s="8" t="inlineStr">
        <is>
          <t>⏳ UPCOMING</t>
        </is>
      </c>
      <c r="I2685" s="4" t="inlineStr">
        <is>
          <t>Meghalaya_Springshed_GIS_RFP.pdf</t>
        </is>
      </c>
      <c r="J2685" s="6" t="inlineStr">
        <is>
          <t>📕 PDF Document</t>
        </is>
      </c>
      <c r="K2685" s="9" t="n">
        <v>17.9</v>
      </c>
      <c r="L2685" s="10">
        <f>HYPERLINK("http://127.0.0.1:8000/api/documents/download?id=2834&amp;attachment=true", "⬇ Download Meghalaya_Springshed_GIS")</f>
        <v/>
      </c>
      <c r="M2685" s="10">
        <f>HYPERLINK("http://localhost:5173/?state=Meghalaya&amp;keyword=Environment&amp;tender=MEGH-IT-2026-5521", "🚀 Open in Portal")</f>
        <v/>
      </c>
    </row>
    <row r="2686" ht="24" customHeight="1">
      <c r="A2686" s="11" t="inlineStr">
        <is>
          <t>Meghalaya</t>
        </is>
      </c>
      <c r="B2686" s="12" t="inlineStr">
        <is>
          <t>Environment</t>
        </is>
      </c>
      <c r="C2686" s="13" t="inlineStr">
        <is>
          <t>MEGH-IT-2026-5521</t>
        </is>
      </c>
      <c r="D2686" s="14" t="inlineStr">
        <is>
          <t>GIS-based Spring-shed Mapping &amp; Climate Change Vulnerability Assessment</t>
        </is>
      </c>
      <c r="E2686" s="14" t="inlineStr">
        <is>
          <t>MEGHALAYA BASIN DEVELOPMENT AUTHORITY (MBDA)-Shillong</t>
        </is>
      </c>
      <c r="F2686" s="13" t="inlineStr">
        <is>
          <t>07 Aug 2026</t>
        </is>
      </c>
      <c r="G2686" s="12" t="inlineStr">
        <is>
          <t>29 Aug 2026</t>
        </is>
      </c>
      <c r="H2686" s="8" t="inlineStr">
        <is>
          <t>⏳ UPCOMING</t>
        </is>
      </c>
      <c r="I2686" s="11" t="inlineStr">
        <is>
          <t>Spring_Inventory_Protocol.pdf</t>
        </is>
      </c>
      <c r="J2686" s="13" t="inlineStr">
        <is>
          <t>📕 PDF Document</t>
        </is>
      </c>
      <c r="K2686" s="15" t="n">
        <v>17.9</v>
      </c>
      <c r="L2686" s="16">
        <f>HYPERLINK("http://127.0.0.1:8000/api/documents/download?id=2835&amp;attachment=true", "⬇ Download Spring_Inventory_Protoco")</f>
        <v/>
      </c>
      <c r="M2686" s="16">
        <f>HYPERLINK("http://localhost:5173/?state=Meghalaya&amp;keyword=Environment&amp;tender=MEGH-IT-2026-5521", "🚀 Open in Portal")</f>
        <v/>
      </c>
    </row>
    <row r="2687" ht="24" customHeight="1">
      <c r="A2687" s="4" t="inlineStr">
        <is>
          <t>Meghalaya</t>
        </is>
      </c>
      <c r="B2687" s="5" t="inlineStr">
        <is>
          <t>Environment</t>
        </is>
      </c>
      <c r="C2687" s="6" t="inlineStr">
        <is>
          <t>MEGH-IT-2026-5521</t>
        </is>
      </c>
      <c r="D2687" s="7" t="inlineStr">
        <is>
          <t>GIS-based Spring-shed Mapping &amp; Climate Change Vulnerability Assessment</t>
        </is>
      </c>
      <c r="E2687" s="7" t="inlineStr">
        <is>
          <t>MEGHALAYA BASIN DEVELOPMENT AUTHORITY (MBDA)-Shillong</t>
        </is>
      </c>
      <c r="F2687" s="6" t="inlineStr">
        <is>
          <t>07 Aug 2026</t>
        </is>
      </c>
      <c r="G2687" s="5" t="inlineStr">
        <is>
          <t>29 Aug 2026</t>
        </is>
      </c>
      <c r="H2687" s="8" t="inlineStr">
        <is>
          <t>⏳ UPCOMING</t>
        </is>
      </c>
      <c r="I2687" s="4" t="inlineStr">
        <is>
          <t>Tender_MEGH-IT-2026-5521_All_Documents.zip</t>
        </is>
      </c>
      <c r="J2687" s="6" t="inlineStr">
        <is>
          <t>📦 ZIP Package</t>
        </is>
      </c>
      <c r="K2687" s="9" t="n">
        <v>18.5</v>
      </c>
      <c r="L2687" s="10">
        <f>HYPERLINK("http://127.0.0.1:8000/api/documents/download?id=2836&amp;attachment=true", "⬇ Download Tender_MEGH-IT-2026-5521")</f>
        <v/>
      </c>
      <c r="M2687" s="10">
        <f>HYPERLINK("http://localhost:5173/?state=Meghalaya&amp;keyword=Environment&amp;tender=MEGH-IT-2026-5521", "🚀 Open in Portal")</f>
        <v/>
      </c>
    </row>
    <row r="2688" ht="24" customHeight="1">
      <c r="A2688" s="11" t="inlineStr">
        <is>
          <t>Meghalaya</t>
        </is>
      </c>
      <c r="B2688" s="12" t="inlineStr">
        <is>
          <t>Water Resources</t>
        </is>
      </c>
      <c r="C2688" s="13" t="inlineStr">
        <is>
          <t>MEGH-IT-2026-5521</t>
        </is>
      </c>
      <c r="D2688" s="14" t="inlineStr">
        <is>
          <t>GIS-based Spring-shed Mapping &amp; Climate Change Vulnerability Assessment</t>
        </is>
      </c>
      <c r="E2688" s="14" t="inlineStr">
        <is>
          <t>MEGHALAYA BASIN DEVELOPMENT AUTHORITY (MBDA)-Shillong</t>
        </is>
      </c>
      <c r="F2688" s="13" t="inlineStr">
        <is>
          <t>07 Aug 2026</t>
        </is>
      </c>
      <c r="G2688" s="12" t="inlineStr">
        <is>
          <t>29 Aug 2026</t>
        </is>
      </c>
      <c r="H2688" s="8" t="inlineStr">
        <is>
          <t>⏳ UPCOMING</t>
        </is>
      </c>
      <c r="I2688" s="11" t="inlineStr">
        <is>
          <t>Meghalaya_Springshed_GIS_RFP.pdf</t>
        </is>
      </c>
      <c r="J2688" s="13" t="inlineStr">
        <is>
          <t>📕 PDF Document</t>
        </is>
      </c>
      <c r="K2688" s="15" t="n">
        <v>17.9</v>
      </c>
      <c r="L2688" s="16">
        <f>HYPERLINK("http://127.0.0.1:8000/api/documents/download?id=2834&amp;attachment=true", "⬇ Download Meghalaya_Springshed_GIS")</f>
        <v/>
      </c>
      <c r="M2688" s="16">
        <f>HYPERLINK("http://localhost:5173/?state=Meghalaya&amp;keyword=Water%20Resources&amp;tender=MEGH-IT-2026-5521", "🚀 Open in Portal")</f>
        <v/>
      </c>
    </row>
    <row r="2689" ht="24" customHeight="1">
      <c r="A2689" s="4" t="inlineStr">
        <is>
          <t>Meghalaya</t>
        </is>
      </c>
      <c r="B2689" s="5" t="inlineStr">
        <is>
          <t>Water Resources</t>
        </is>
      </c>
      <c r="C2689" s="6" t="inlineStr">
        <is>
          <t>MEGH-IT-2026-5521</t>
        </is>
      </c>
      <c r="D2689" s="7" t="inlineStr">
        <is>
          <t>GIS-based Spring-shed Mapping &amp; Climate Change Vulnerability Assessment</t>
        </is>
      </c>
      <c r="E2689" s="7" t="inlineStr">
        <is>
          <t>MEGHALAYA BASIN DEVELOPMENT AUTHORITY (MBDA)-Shillong</t>
        </is>
      </c>
      <c r="F2689" s="6" t="inlineStr">
        <is>
          <t>07 Aug 2026</t>
        </is>
      </c>
      <c r="G2689" s="5" t="inlineStr">
        <is>
          <t>29 Aug 2026</t>
        </is>
      </c>
      <c r="H2689" s="8" t="inlineStr">
        <is>
          <t>⏳ UPCOMING</t>
        </is>
      </c>
      <c r="I2689" s="4" t="inlineStr">
        <is>
          <t>Spring_Inventory_Protocol.pdf</t>
        </is>
      </c>
      <c r="J2689" s="6" t="inlineStr">
        <is>
          <t>📕 PDF Document</t>
        </is>
      </c>
      <c r="K2689" s="9" t="n">
        <v>17.9</v>
      </c>
      <c r="L2689" s="10">
        <f>HYPERLINK("http://127.0.0.1:8000/api/documents/download?id=2835&amp;attachment=true", "⬇ Download Spring_Inventory_Protoco")</f>
        <v/>
      </c>
      <c r="M2689" s="10">
        <f>HYPERLINK("http://localhost:5173/?state=Meghalaya&amp;keyword=Water%20Resources&amp;tender=MEGH-IT-2026-5521", "🚀 Open in Portal")</f>
        <v/>
      </c>
    </row>
    <row r="2690" ht="24" customHeight="1">
      <c r="A2690" s="11" t="inlineStr">
        <is>
          <t>Meghalaya</t>
        </is>
      </c>
      <c r="B2690" s="12" t="inlineStr">
        <is>
          <t>Water Resources</t>
        </is>
      </c>
      <c r="C2690" s="13" t="inlineStr">
        <is>
          <t>MEGH-IT-2026-5521</t>
        </is>
      </c>
      <c r="D2690" s="14" t="inlineStr">
        <is>
          <t>GIS-based Spring-shed Mapping &amp; Climate Change Vulnerability Assessment</t>
        </is>
      </c>
      <c r="E2690" s="14" t="inlineStr">
        <is>
          <t>MEGHALAYA BASIN DEVELOPMENT AUTHORITY (MBDA)-Shillong</t>
        </is>
      </c>
      <c r="F2690" s="13" t="inlineStr">
        <is>
          <t>07 Aug 2026</t>
        </is>
      </c>
      <c r="G2690" s="12" t="inlineStr">
        <is>
          <t>29 Aug 2026</t>
        </is>
      </c>
      <c r="H2690" s="8" t="inlineStr">
        <is>
          <t>⏳ UPCOMING</t>
        </is>
      </c>
      <c r="I2690" s="11" t="inlineStr">
        <is>
          <t>Tender_MEGH-IT-2026-5521_All_Documents.zip</t>
        </is>
      </c>
      <c r="J2690" s="13" t="inlineStr">
        <is>
          <t>📦 ZIP Package</t>
        </is>
      </c>
      <c r="K2690" s="15" t="n">
        <v>18.5</v>
      </c>
      <c r="L2690" s="16">
        <f>HYPERLINK("http://127.0.0.1:8000/api/documents/download?id=2836&amp;attachment=true", "⬇ Download Tender_MEGH-IT-2026-5521")</f>
        <v/>
      </c>
      <c r="M2690" s="16">
        <f>HYPERLINK("http://localhost:5173/?state=Meghalaya&amp;keyword=Water%20Resources&amp;tender=MEGH-IT-2026-5521", "🚀 Open in Portal")</f>
        <v/>
      </c>
    </row>
    <row r="2691" ht="24" customHeight="1">
      <c r="A2691" s="4" t="inlineStr">
        <is>
          <t>Meghalaya</t>
        </is>
      </c>
      <c r="B2691" s="5" t="inlineStr">
        <is>
          <t>Spatial</t>
        </is>
      </c>
      <c r="C2691" s="6" t="inlineStr">
        <is>
          <t>2026_MEG_4850358_87</t>
        </is>
      </c>
      <c r="D2691" s="7" t="inlineStr">
        <is>
          <t>Spatial-Based Geospatial Road Asset Inventory &amp; Pavement Condition Digital Survey</t>
        </is>
      </c>
      <c r="E2691" s="7" t="inlineStr">
        <is>
          <t>PUBLIC WORKS &amp; HIGHWAYS DEPARTMENT</t>
        </is>
      </c>
      <c r="F2691" s="6" t="inlineStr">
        <is>
          <t>26 Jul 2026</t>
        </is>
      </c>
      <c r="G2691" s="5" t="inlineStr">
        <is>
          <t>22 Aug 2026</t>
        </is>
      </c>
      <c r="H2691" s="8" t="inlineStr">
        <is>
          <t>⏳ UPCOMING</t>
        </is>
      </c>
      <c r="I2691" s="4" t="inlineStr">
        <is>
          <t>Tendernotice_2026_MEG_4850358_87.pdf</t>
        </is>
      </c>
      <c r="J2691" s="6" t="inlineStr">
        <is>
          <t>📕 PDF Document</t>
        </is>
      </c>
      <c r="K2691" s="9" t="n">
        <v>17.9</v>
      </c>
      <c r="L2691" s="10">
        <f>HYPERLINK("http://127.0.0.1:8000/api/documents/download?id=3217&amp;attachment=true", "⬇ Download Tendernotice_2026_MEG_48")</f>
        <v/>
      </c>
      <c r="M2691" s="10">
        <f>HYPERLINK("http://localhost:5173/?state=Meghalaya&amp;keyword=Spatial&amp;tender=2026_MEG_4850358_87", "🚀 Open in Portal")</f>
        <v/>
      </c>
    </row>
    <row r="2692" ht="24" customHeight="1">
      <c r="A2692" s="11" t="inlineStr">
        <is>
          <t>Meghalaya</t>
        </is>
      </c>
      <c r="B2692" s="12" t="inlineStr">
        <is>
          <t>Spatial</t>
        </is>
      </c>
      <c r="C2692" s="13" t="inlineStr">
        <is>
          <t>2026_MEG_4850358_87</t>
        </is>
      </c>
      <c r="D2692" s="14" t="inlineStr">
        <is>
          <t>Spatial-Based Geospatial Road Asset Inventory &amp; Pavement Condition Digital Survey</t>
        </is>
      </c>
      <c r="E2692" s="14" t="inlineStr">
        <is>
          <t>PUBLIC WORKS &amp; HIGHWAYS DEPARTMENT</t>
        </is>
      </c>
      <c r="F2692" s="13" t="inlineStr">
        <is>
          <t>26 Jul 2026</t>
        </is>
      </c>
      <c r="G2692" s="12" t="inlineStr">
        <is>
          <t>22 Aug 2026</t>
        </is>
      </c>
      <c r="H2692" s="8" t="inlineStr">
        <is>
          <t>⏳ UPCOMING</t>
        </is>
      </c>
      <c r="I2692" s="11" t="inlineStr">
        <is>
          <t>Technical_RFP_Specification_Spatial.pdf</t>
        </is>
      </c>
      <c r="J2692" s="13" t="inlineStr">
        <is>
          <t>📕 PDF Document</t>
        </is>
      </c>
      <c r="K2692" s="15" t="n">
        <v>17.9</v>
      </c>
      <c r="L2692" s="16">
        <f>HYPERLINK("http://127.0.0.1:8000/api/documents/download?id=3218&amp;attachment=true", "⬇ Download Technical_RFP_Specificat")</f>
        <v/>
      </c>
      <c r="M2692" s="16">
        <f>HYPERLINK("http://localhost:5173/?state=Meghalaya&amp;keyword=Spatial&amp;tender=2026_MEG_4850358_87", "🚀 Open in Portal")</f>
        <v/>
      </c>
    </row>
    <row r="2693" ht="24" customHeight="1">
      <c r="A2693" s="4" t="inlineStr">
        <is>
          <t>Meghalaya</t>
        </is>
      </c>
      <c r="B2693" s="5" t="inlineStr">
        <is>
          <t>Spatial</t>
        </is>
      </c>
      <c r="C2693" s="6" t="inlineStr">
        <is>
          <t>2026_MEG_4850358_87</t>
        </is>
      </c>
      <c r="D2693" s="7" t="inlineStr">
        <is>
          <t>Spatial-Based Geospatial Road Asset Inventory &amp; Pavement Condition Digital Survey</t>
        </is>
      </c>
      <c r="E2693" s="7" t="inlineStr">
        <is>
          <t>PUBLIC WORKS &amp; HIGHWAYS DEPARTMENT</t>
        </is>
      </c>
      <c r="F2693" s="6" t="inlineStr">
        <is>
          <t>26 Jul 2026</t>
        </is>
      </c>
      <c r="G2693" s="5" t="inlineStr">
        <is>
          <t>22 Aug 2026</t>
        </is>
      </c>
      <c r="H2693" s="8" t="inlineStr">
        <is>
          <t>⏳ UPCOMING</t>
        </is>
      </c>
      <c r="I2693" s="4" t="inlineStr">
        <is>
          <t>BOQ_Financial_Schedule_2026_MEG_4850358_87.xlsx</t>
        </is>
      </c>
      <c r="J2693" s="6" t="inlineStr">
        <is>
          <t>📊 Excel BOQ</t>
        </is>
      </c>
      <c r="K2693" s="9" t="n">
        <v>2.4</v>
      </c>
      <c r="L2693" s="10">
        <f>HYPERLINK("http://127.0.0.1:8000/api/documents/download?id=3219&amp;attachment=true", "⬇ Download BOQ_Financial_Schedule_2")</f>
        <v/>
      </c>
      <c r="M2693" s="10">
        <f>HYPERLINK("http://localhost:5173/?state=Meghalaya&amp;keyword=Spatial&amp;tender=2026_MEG_4850358_87", "🚀 Open in Portal")</f>
        <v/>
      </c>
    </row>
    <row r="2694" ht="24" customHeight="1">
      <c r="A2694" s="11" t="inlineStr">
        <is>
          <t>Meghalaya</t>
        </is>
      </c>
      <c r="B2694" s="12" t="inlineStr">
        <is>
          <t>Spatial</t>
        </is>
      </c>
      <c r="C2694" s="13" t="inlineStr">
        <is>
          <t>2026_MEG_4850358_87</t>
        </is>
      </c>
      <c r="D2694" s="14" t="inlineStr">
        <is>
          <t>Spatial-Based Geospatial Road Asset Inventory &amp; Pavement Condition Digital Survey</t>
        </is>
      </c>
      <c r="E2694" s="14" t="inlineStr">
        <is>
          <t>PUBLIC WORKS &amp; HIGHWAYS DEPARTMENT</t>
        </is>
      </c>
      <c r="F2694" s="13" t="inlineStr">
        <is>
          <t>26 Jul 2026</t>
        </is>
      </c>
      <c r="G2694" s="12" t="inlineStr">
        <is>
          <t>22 Aug 2026</t>
        </is>
      </c>
      <c r="H2694" s="8" t="inlineStr">
        <is>
          <t>⏳ UPCOMING</t>
        </is>
      </c>
      <c r="I2694" s="11" t="inlineStr">
        <is>
          <t>Tender_2026_MEG_4850358_87_All_Documents.zip</t>
        </is>
      </c>
      <c r="J2694" s="13" t="inlineStr">
        <is>
          <t>📦 ZIP Package</t>
        </is>
      </c>
      <c r="K2694" s="15" t="n">
        <v>45</v>
      </c>
      <c r="L2694" s="16">
        <f>HYPERLINK("https://meghalayatenders.gov.in/tender/2026_MEG_4850358_87", "⬇ Download Tender_2026_MEG_4850358_")</f>
        <v/>
      </c>
      <c r="M2694" s="16">
        <f>HYPERLINK("http://localhost:5173/?state=Meghalaya&amp;keyword=Spatial&amp;tender=2026_MEG_4850358_87", "🚀 Open in Portal")</f>
        <v/>
      </c>
    </row>
    <row r="2695" ht="24" customHeight="1">
      <c r="A2695" s="4" t="inlineStr">
        <is>
          <t>Meghalaya</t>
        </is>
      </c>
      <c r="B2695" s="5" t="inlineStr">
        <is>
          <t>Spatial</t>
        </is>
      </c>
      <c r="C2695" s="6" t="inlineStr">
        <is>
          <t>MEGH-FOREST-2026-7712</t>
        </is>
      </c>
      <c r="D2695" s="7" t="inlineStr">
        <is>
          <t>Community Sacred Groves Geo-tagging &amp; Ecological Forest Restoration Portal</t>
        </is>
      </c>
      <c r="E2695" s="7" t="inlineStr">
        <is>
          <t>FORESTS &amp; ENVIRONMENT DEPARTMENT-Sylvan House, Shillong</t>
        </is>
      </c>
      <c r="F2695" s="6" t="inlineStr">
        <is>
          <t>04 Oct 2026</t>
        </is>
      </c>
      <c r="G2695" s="5" t="inlineStr">
        <is>
          <t>23 Oct 2026</t>
        </is>
      </c>
      <c r="H2695" s="17" t="inlineStr">
        <is>
          <t>🟢 LIVE ACTIVE</t>
        </is>
      </c>
      <c r="I2695" s="4" t="inlineStr">
        <is>
          <t>Sacred_Groves_Conservation_RFP.pdf</t>
        </is>
      </c>
      <c r="J2695" s="6" t="inlineStr">
        <is>
          <t>📕 PDF Document</t>
        </is>
      </c>
      <c r="K2695" s="9" t="n">
        <v>17.9</v>
      </c>
      <c r="L2695" s="10">
        <f>HYPERLINK("http://127.0.0.1:8000/api/documents/download?id=2839&amp;attachment=true", "⬇ Download Sacred_Groves_Conservati")</f>
        <v/>
      </c>
      <c r="M2695" s="10">
        <f>HYPERLINK("http://localhost:5173/?state=Meghalaya&amp;keyword=Spatial&amp;tender=MEGH-FOREST-2026-7712", "🚀 Open in Portal")</f>
        <v/>
      </c>
    </row>
    <row r="2696" ht="24" customHeight="1">
      <c r="A2696" s="11" t="inlineStr">
        <is>
          <t>Meghalaya</t>
        </is>
      </c>
      <c r="B2696" s="12" t="inlineStr">
        <is>
          <t>Spatial</t>
        </is>
      </c>
      <c r="C2696" s="13" t="inlineStr">
        <is>
          <t>MEGH-FOREST-2026-7712</t>
        </is>
      </c>
      <c r="D2696" s="14" t="inlineStr">
        <is>
          <t>Community Sacred Groves Geo-tagging &amp; Ecological Forest Restoration Portal</t>
        </is>
      </c>
      <c r="E2696" s="14" t="inlineStr">
        <is>
          <t>FORESTS &amp; ENVIRONMENT DEPARTMENT-Sylvan House, Shillong</t>
        </is>
      </c>
      <c r="F2696" s="13" t="inlineStr">
        <is>
          <t>04 Oct 2026</t>
        </is>
      </c>
      <c r="G2696" s="12" t="inlineStr">
        <is>
          <t>23 Oct 2026</t>
        </is>
      </c>
      <c r="H2696" s="17" t="inlineStr">
        <is>
          <t>🟢 LIVE ACTIVE</t>
        </is>
      </c>
      <c r="I2696" s="11" t="inlineStr">
        <is>
          <t>Ecological_Survey_Guidelines.pdf</t>
        </is>
      </c>
      <c r="J2696" s="13" t="inlineStr">
        <is>
          <t>📕 PDF Document</t>
        </is>
      </c>
      <c r="K2696" s="15" t="n">
        <v>17.9</v>
      </c>
      <c r="L2696" s="16">
        <f>HYPERLINK("http://127.0.0.1:8000/api/documents/download?id=2840&amp;attachment=true", "⬇ Download Ecological_Survey_Guidel")</f>
        <v/>
      </c>
      <c r="M2696" s="16">
        <f>HYPERLINK("http://localhost:5173/?state=Meghalaya&amp;keyword=Spatial&amp;tender=MEGH-FOREST-2026-7712", "🚀 Open in Portal")</f>
        <v/>
      </c>
    </row>
    <row r="2697" ht="24" customHeight="1">
      <c r="A2697" s="4" t="inlineStr">
        <is>
          <t>Meghalaya</t>
        </is>
      </c>
      <c r="B2697" s="5" t="inlineStr">
        <is>
          <t>Spatial</t>
        </is>
      </c>
      <c r="C2697" s="6" t="inlineStr">
        <is>
          <t>MEGH-FOREST-2026-7712</t>
        </is>
      </c>
      <c r="D2697" s="7" t="inlineStr">
        <is>
          <t>Community Sacred Groves Geo-tagging &amp; Ecological Forest Restoration Portal</t>
        </is>
      </c>
      <c r="E2697" s="7" t="inlineStr">
        <is>
          <t>FORESTS &amp; ENVIRONMENT DEPARTMENT-Sylvan House, Shillong</t>
        </is>
      </c>
      <c r="F2697" s="6" t="inlineStr">
        <is>
          <t>04 Oct 2026</t>
        </is>
      </c>
      <c r="G2697" s="5" t="inlineStr">
        <is>
          <t>23 Oct 2026</t>
        </is>
      </c>
      <c r="H2697" s="17" t="inlineStr">
        <is>
          <t>🟢 LIVE ACTIVE</t>
        </is>
      </c>
      <c r="I2697" s="4" t="inlineStr">
        <is>
          <t>Tender_MEGH-FOREST-2026-7712_All_Documents.zip</t>
        </is>
      </c>
      <c r="J2697" s="6" t="inlineStr">
        <is>
          <t>📦 ZIP Package</t>
        </is>
      </c>
      <c r="K2697" s="9" t="n">
        <v>18.8</v>
      </c>
      <c r="L2697" s="10">
        <f>HYPERLINK("http://127.0.0.1:8000/api/documents/download?id=3021&amp;attachment=true", "⬇ Download Tender_MEGH-FOREST-2026-")</f>
        <v/>
      </c>
      <c r="M2697" s="10">
        <f>HYPERLINK("http://localhost:5173/?state=Meghalaya&amp;keyword=Spatial&amp;tender=MEGH-FOREST-2026-7712", "🚀 Open in Portal")</f>
        <v/>
      </c>
    </row>
    <row r="2698" ht="24" customHeight="1">
      <c r="A2698" s="11" t="inlineStr">
        <is>
          <t>Meghalaya</t>
        </is>
      </c>
      <c r="B2698" s="12" t="inlineStr">
        <is>
          <t>Software Development</t>
        </is>
      </c>
      <c r="C2698" s="13" t="inlineStr">
        <is>
          <t>MEGH-AGRI-2026-3398</t>
        </is>
      </c>
      <c r="D2698" s="14" t="inlineStr">
        <is>
          <t>Lakadong Turmeric Mission Supply Chain MIS &amp; Mobile Procurement Application</t>
        </is>
      </c>
      <c r="E2698" s="14" t="inlineStr">
        <is>
          <t>DEPARTMENT OF AGRICULTURE &amp; FARMERS WELFARE-Shillong</t>
        </is>
      </c>
      <c r="F2698" s="13" t="inlineStr">
        <is>
          <t>05 Sep 2026</t>
        </is>
      </c>
      <c r="G2698" s="12" t="inlineStr">
        <is>
          <t>30 Sep 2026</t>
        </is>
      </c>
      <c r="H2698" s="8" t="inlineStr">
        <is>
          <t>⏳ UPCOMING</t>
        </is>
      </c>
      <c r="I2698" s="11" t="inlineStr">
        <is>
          <t>Lakadong_Turmeric_MIS_RFP.pdf</t>
        </is>
      </c>
      <c r="J2698" s="13" t="inlineStr">
        <is>
          <t>📕 PDF Document</t>
        </is>
      </c>
      <c r="K2698" s="15" t="n">
        <v>17.9</v>
      </c>
      <c r="L2698" s="16">
        <f>HYPERLINK("http://127.0.0.1:8000/api/documents/download?id=2837&amp;attachment=true", "⬇ Download Lakadong_Turmeric_MIS_RF")</f>
        <v/>
      </c>
      <c r="M2698" s="16">
        <f>HYPERLINK("http://localhost:5173/?state=Meghalaya&amp;keyword=Software%20Development&amp;tender=MEGH-AGRI-2026-3398", "🚀 Open in Portal")</f>
        <v/>
      </c>
    </row>
    <row r="2699" ht="24" customHeight="1">
      <c r="A2699" s="4" t="inlineStr">
        <is>
          <t>Meghalaya</t>
        </is>
      </c>
      <c r="B2699" s="5" t="inlineStr">
        <is>
          <t>Software Development</t>
        </is>
      </c>
      <c r="C2699" s="6" t="inlineStr">
        <is>
          <t>MEGH-AGRI-2026-3398</t>
        </is>
      </c>
      <c r="D2699" s="7" t="inlineStr">
        <is>
          <t>Lakadong Turmeric Mission Supply Chain MIS &amp; Mobile Procurement Application</t>
        </is>
      </c>
      <c r="E2699" s="7" t="inlineStr">
        <is>
          <t>DEPARTMENT OF AGRICULTURE &amp; FARMERS WELFARE-Shillong</t>
        </is>
      </c>
      <c r="F2699" s="6" t="inlineStr">
        <is>
          <t>05 Sep 2026</t>
        </is>
      </c>
      <c r="G2699" s="5" t="inlineStr">
        <is>
          <t>30 Sep 2026</t>
        </is>
      </c>
      <c r="H2699" s="8" t="inlineStr">
        <is>
          <t>⏳ UPCOMING</t>
        </is>
      </c>
      <c r="I2699" s="4" t="inlineStr">
        <is>
          <t>Curcumin_Traceability_Standards.pdf</t>
        </is>
      </c>
      <c r="J2699" s="6" t="inlineStr">
        <is>
          <t>📕 PDF Document</t>
        </is>
      </c>
      <c r="K2699" s="9" t="n">
        <v>17.9</v>
      </c>
      <c r="L2699" s="10">
        <f>HYPERLINK("http://127.0.0.1:8000/api/documents/download?id=2838&amp;attachment=true", "⬇ Download Curcumin_Traceability_St")</f>
        <v/>
      </c>
      <c r="M2699" s="10">
        <f>HYPERLINK("http://localhost:5173/?state=Meghalaya&amp;keyword=Software%20Development&amp;tender=MEGH-AGRI-2026-3398", "🚀 Open in Portal")</f>
        <v/>
      </c>
    </row>
    <row r="2700" ht="24" customHeight="1">
      <c r="A2700" s="11" t="inlineStr">
        <is>
          <t>Meghalaya</t>
        </is>
      </c>
      <c r="B2700" s="12" t="inlineStr">
        <is>
          <t>Software Development</t>
        </is>
      </c>
      <c r="C2700" s="13" t="inlineStr">
        <is>
          <t>MEGH-AGRI-2026-3398</t>
        </is>
      </c>
      <c r="D2700" s="14" t="inlineStr">
        <is>
          <t>Lakadong Turmeric Mission Supply Chain MIS &amp; Mobile Procurement Application</t>
        </is>
      </c>
      <c r="E2700" s="14" t="inlineStr">
        <is>
          <t>DEPARTMENT OF AGRICULTURE &amp; FARMERS WELFARE-Shillong</t>
        </is>
      </c>
      <c r="F2700" s="13" t="inlineStr">
        <is>
          <t>05 Sep 2026</t>
        </is>
      </c>
      <c r="G2700" s="12" t="inlineStr">
        <is>
          <t>30 Sep 2026</t>
        </is>
      </c>
      <c r="H2700" s="8" t="inlineStr">
        <is>
          <t>⏳ UPCOMING</t>
        </is>
      </c>
      <c r="I2700" s="11" t="inlineStr">
        <is>
          <t>Tender_MEGH-AGRI-2026-3398_All_Documents.zip</t>
        </is>
      </c>
      <c r="J2700" s="13" t="inlineStr">
        <is>
          <t>📦 ZIP Package</t>
        </is>
      </c>
      <c r="K2700" s="15" t="n">
        <v>18.6</v>
      </c>
      <c r="L2700" s="16">
        <f>HYPERLINK("http://127.0.0.1:8000/api/documents/download?id=3020&amp;attachment=true", "⬇ Download Tender_MEGH-AGRI-2026-33")</f>
        <v/>
      </c>
      <c r="M2700" s="16">
        <f>HYPERLINK("http://localhost:5173/?state=Meghalaya&amp;keyword=Software%20Development&amp;tender=MEGH-AGRI-2026-3398", "🚀 Open in Portal")</f>
        <v/>
      </c>
    </row>
    <row r="2701" ht="24" customHeight="1">
      <c r="A2701" s="4" t="inlineStr">
        <is>
          <t>Meghalaya</t>
        </is>
      </c>
      <c r="B2701" s="5" t="inlineStr">
        <is>
          <t>MIS</t>
        </is>
      </c>
      <c r="C2701" s="6" t="inlineStr">
        <is>
          <t>MEGH-AGRI-2026-3398</t>
        </is>
      </c>
      <c r="D2701" s="7" t="inlineStr">
        <is>
          <t>Lakadong Turmeric Mission Supply Chain MIS &amp; Mobile Procurement Application</t>
        </is>
      </c>
      <c r="E2701" s="7" t="inlineStr">
        <is>
          <t>DEPARTMENT OF AGRICULTURE &amp; FARMERS WELFARE-Shillong</t>
        </is>
      </c>
      <c r="F2701" s="6" t="inlineStr">
        <is>
          <t>05 Sep 2026</t>
        </is>
      </c>
      <c r="G2701" s="5" t="inlineStr">
        <is>
          <t>30 Sep 2026</t>
        </is>
      </c>
      <c r="H2701" s="8" t="inlineStr">
        <is>
          <t>⏳ UPCOMING</t>
        </is>
      </c>
      <c r="I2701" s="4" t="inlineStr">
        <is>
          <t>Lakadong_Turmeric_MIS_RFP.pdf</t>
        </is>
      </c>
      <c r="J2701" s="6" t="inlineStr">
        <is>
          <t>📕 PDF Document</t>
        </is>
      </c>
      <c r="K2701" s="9" t="n">
        <v>17.9</v>
      </c>
      <c r="L2701" s="10">
        <f>HYPERLINK("http://127.0.0.1:8000/api/documents/download?id=2837&amp;attachment=true", "⬇ Download Lakadong_Turmeric_MIS_RF")</f>
        <v/>
      </c>
      <c r="M2701" s="10">
        <f>HYPERLINK("http://localhost:5173/?state=Meghalaya&amp;keyword=MIS&amp;tender=MEGH-AGRI-2026-3398", "🚀 Open in Portal")</f>
        <v/>
      </c>
    </row>
    <row r="2702" ht="24" customHeight="1">
      <c r="A2702" s="11" t="inlineStr">
        <is>
          <t>Meghalaya</t>
        </is>
      </c>
      <c r="B2702" s="12" t="inlineStr">
        <is>
          <t>MIS</t>
        </is>
      </c>
      <c r="C2702" s="13" t="inlineStr">
        <is>
          <t>MEGH-AGRI-2026-3398</t>
        </is>
      </c>
      <c r="D2702" s="14" t="inlineStr">
        <is>
          <t>Lakadong Turmeric Mission Supply Chain MIS &amp; Mobile Procurement Application</t>
        </is>
      </c>
      <c r="E2702" s="14" t="inlineStr">
        <is>
          <t>DEPARTMENT OF AGRICULTURE &amp; FARMERS WELFARE-Shillong</t>
        </is>
      </c>
      <c r="F2702" s="13" t="inlineStr">
        <is>
          <t>05 Sep 2026</t>
        </is>
      </c>
      <c r="G2702" s="12" t="inlineStr">
        <is>
          <t>30 Sep 2026</t>
        </is>
      </c>
      <c r="H2702" s="8" t="inlineStr">
        <is>
          <t>⏳ UPCOMING</t>
        </is>
      </c>
      <c r="I2702" s="11" t="inlineStr">
        <is>
          <t>Curcumin_Traceability_Standards.pdf</t>
        </is>
      </c>
      <c r="J2702" s="13" t="inlineStr">
        <is>
          <t>📕 PDF Document</t>
        </is>
      </c>
      <c r="K2702" s="15" t="n">
        <v>17.9</v>
      </c>
      <c r="L2702" s="16">
        <f>HYPERLINK("http://127.0.0.1:8000/api/documents/download?id=2838&amp;attachment=true", "⬇ Download Curcumin_Traceability_St")</f>
        <v/>
      </c>
      <c r="M2702" s="16">
        <f>HYPERLINK("http://localhost:5173/?state=Meghalaya&amp;keyword=MIS&amp;tender=MEGH-AGRI-2026-3398", "🚀 Open in Portal")</f>
        <v/>
      </c>
    </row>
    <row r="2703" ht="24" customHeight="1">
      <c r="A2703" s="4" t="inlineStr">
        <is>
          <t>Meghalaya</t>
        </is>
      </c>
      <c r="B2703" s="5" t="inlineStr">
        <is>
          <t>MIS</t>
        </is>
      </c>
      <c r="C2703" s="6" t="inlineStr">
        <is>
          <t>MEGH-AGRI-2026-3398</t>
        </is>
      </c>
      <c r="D2703" s="7" t="inlineStr">
        <is>
          <t>Lakadong Turmeric Mission Supply Chain MIS &amp; Mobile Procurement Application</t>
        </is>
      </c>
      <c r="E2703" s="7" t="inlineStr">
        <is>
          <t>DEPARTMENT OF AGRICULTURE &amp; FARMERS WELFARE-Shillong</t>
        </is>
      </c>
      <c r="F2703" s="6" t="inlineStr">
        <is>
          <t>05 Sep 2026</t>
        </is>
      </c>
      <c r="G2703" s="5" t="inlineStr">
        <is>
          <t>30 Sep 2026</t>
        </is>
      </c>
      <c r="H2703" s="8" t="inlineStr">
        <is>
          <t>⏳ UPCOMING</t>
        </is>
      </c>
      <c r="I2703" s="4" t="inlineStr">
        <is>
          <t>Tender_MEGH-AGRI-2026-3398_All_Documents.zip</t>
        </is>
      </c>
      <c r="J2703" s="6" t="inlineStr">
        <is>
          <t>📦 ZIP Package</t>
        </is>
      </c>
      <c r="K2703" s="9" t="n">
        <v>18.6</v>
      </c>
      <c r="L2703" s="10">
        <f>HYPERLINK("http://127.0.0.1:8000/api/documents/download?id=3020&amp;attachment=true", "⬇ Download Tender_MEGH-AGRI-2026-33")</f>
        <v/>
      </c>
      <c r="M2703" s="10">
        <f>HYPERLINK("http://localhost:5173/?state=Meghalaya&amp;keyword=MIS&amp;tender=MEGH-AGRI-2026-3398", "🚀 Open in Portal")</f>
        <v/>
      </c>
    </row>
    <row r="2704" ht="24" customHeight="1">
      <c r="A2704" s="11" t="inlineStr">
        <is>
          <t>Meghalaya</t>
        </is>
      </c>
      <c r="B2704" s="12" t="inlineStr">
        <is>
          <t>Mobile Application</t>
        </is>
      </c>
      <c r="C2704" s="13" t="inlineStr">
        <is>
          <t>MEGH-AGRI-2026-3398</t>
        </is>
      </c>
      <c r="D2704" s="14" t="inlineStr">
        <is>
          <t>Lakadong Turmeric Mission Supply Chain MIS &amp; Mobile Procurement Application</t>
        </is>
      </c>
      <c r="E2704" s="14" t="inlineStr">
        <is>
          <t>DEPARTMENT OF AGRICULTURE &amp; FARMERS WELFARE-Shillong</t>
        </is>
      </c>
      <c r="F2704" s="13" t="inlineStr">
        <is>
          <t>05 Sep 2026</t>
        </is>
      </c>
      <c r="G2704" s="12" t="inlineStr">
        <is>
          <t>30 Sep 2026</t>
        </is>
      </c>
      <c r="H2704" s="8" t="inlineStr">
        <is>
          <t>⏳ UPCOMING</t>
        </is>
      </c>
      <c r="I2704" s="11" t="inlineStr">
        <is>
          <t>Lakadong_Turmeric_MIS_RFP.pdf</t>
        </is>
      </c>
      <c r="J2704" s="13" t="inlineStr">
        <is>
          <t>📕 PDF Document</t>
        </is>
      </c>
      <c r="K2704" s="15" t="n">
        <v>17.9</v>
      </c>
      <c r="L2704" s="16">
        <f>HYPERLINK("http://127.0.0.1:8000/api/documents/download?id=2837&amp;attachment=true", "⬇ Download Lakadong_Turmeric_MIS_RF")</f>
        <v/>
      </c>
      <c r="M2704" s="16">
        <f>HYPERLINK("http://localhost:5173/?state=Meghalaya&amp;keyword=Mobile%20Application&amp;tender=MEGH-AGRI-2026-3398", "🚀 Open in Portal")</f>
        <v/>
      </c>
    </row>
    <row r="2705" ht="24" customHeight="1">
      <c r="A2705" s="4" t="inlineStr">
        <is>
          <t>Meghalaya</t>
        </is>
      </c>
      <c r="B2705" s="5" t="inlineStr">
        <is>
          <t>Mobile Application</t>
        </is>
      </c>
      <c r="C2705" s="6" t="inlineStr">
        <is>
          <t>MEGH-AGRI-2026-3398</t>
        </is>
      </c>
      <c r="D2705" s="7" t="inlineStr">
        <is>
          <t>Lakadong Turmeric Mission Supply Chain MIS &amp; Mobile Procurement Application</t>
        </is>
      </c>
      <c r="E2705" s="7" t="inlineStr">
        <is>
          <t>DEPARTMENT OF AGRICULTURE &amp; FARMERS WELFARE-Shillong</t>
        </is>
      </c>
      <c r="F2705" s="6" t="inlineStr">
        <is>
          <t>05 Sep 2026</t>
        </is>
      </c>
      <c r="G2705" s="5" t="inlineStr">
        <is>
          <t>30 Sep 2026</t>
        </is>
      </c>
      <c r="H2705" s="8" t="inlineStr">
        <is>
          <t>⏳ UPCOMING</t>
        </is>
      </c>
      <c r="I2705" s="4" t="inlineStr">
        <is>
          <t>Curcumin_Traceability_Standards.pdf</t>
        </is>
      </c>
      <c r="J2705" s="6" t="inlineStr">
        <is>
          <t>📕 PDF Document</t>
        </is>
      </c>
      <c r="K2705" s="9" t="n">
        <v>17.9</v>
      </c>
      <c r="L2705" s="10">
        <f>HYPERLINK("http://127.0.0.1:8000/api/documents/download?id=2838&amp;attachment=true", "⬇ Download Curcumin_Traceability_St")</f>
        <v/>
      </c>
      <c r="M2705" s="10">
        <f>HYPERLINK("http://localhost:5173/?state=Meghalaya&amp;keyword=Mobile%20Application&amp;tender=MEGH-AGRI-2026-3398", "🚀 Open in Portal")</f>
        <v/>
      </c>
    </row>
    <row r="2706" ht="24" customHeight="1">
      <c r="A2706" s="11" t="inlineStr">
        <is>
          <t>Meghalaya</t>
        </is>
      </c>
      <c r="B2706" s="12" t="inlineStr">
        <is>
          <t>Mobile Application</t>
        </is>
      </c>
      <c r="C2706" s="13" t="inlineStr">
        <is>
          <t>MEGH-AGRI-2026-3398</t>
        </is>
      </c>
      <c r="D2706" s="14" t="inlineStr">
        <is>
          <t>Lakadong Turmeric Mission Supply Chain MIS &amp; Mobile Procurement Application</t>
        </is>
      </c>
      <c r="E2706" s="14" t="inlineStr">
        <is>
          <t>DEPARTMENT OF AGRICULTURE &amp; FARMERS WELFARE-Shillong</t>
        </is>
      </c>
      <c r="F2706" s="13" t="inlineStr">
        <is>
          <t>05 Sep 2026</t>
        </is>
      </c>
      <c r="G2706" s="12" t="inlineStr">
        <is>
          <t>30 Sep 2026</t>
        </is>
      </c>
      <c r="H2706" s="8" t="inlineStr">
        <is>
          <t>⏳ UPCOMING</t>
        </is>
      </c>
      <c r="I2706" s="11" t="inlineStr">
        <is>
          <t>Tender_MEGH-AGRI-2026-3398_All_Documents.zip</t>
        </is>
      </c>
      <c r="J2706" s="13" t="inlineStr">
        <is>
          <t>📦 ZIP Package</t>
        </is>
      </c>
      <c r="K2706" s="15" t="n">
        <v>18.6</v>
      </c>
      <c r="L2706" s="16">
        <f>HYPERLINK("http://127.0.0.1:8000/api/documents/download?id=3020&amp;attachment=true", "⬇ Download Tender_MEGH-AGRI-2026-33")</f>
        <v/>
      </c>
      <c r="M2706" s="16">
        <f>HYPERLINK("http://localhost:5173/?state=Meghalaya&amp;keyword=Mobile%20Application&amp;tender=MEGH-AGRI-2026-3398", "🚀 Open in Portal")</f>
        <v/>
      </c>
    </row>
    <row r="2707" ht="24" customHeight="1">
      <c r="A2707" s="4" t="inlineStr">
        <is>
          <t>Meghalaya</t>
        </is>
      </c>
      <c r="B2707" s="5" t="inlineStr">
        <is>
          <t>Mapping</t>
        </is>
      </c>
      <c r="C2707" s="6" t="inlineStr">
        <is>
          <t>2026_MEG_1464129_41</t>
        </is>
      </c>
      <c r="D2707" s="7" t="inlineStr">
        <is>
          <t>Mapping-Based High Resolution Satellite Imagery Land Use &amp; Land Cover Spatial Mapping</t>
        </is>
      </c>
      <c r="E2707" s="7" t="inlineStr">
        <is>
          <t>DEPARTMENT OF SCIENCE, TECHNOLOGY &amp; REMOTE SENSING</t>
        </is>
      </c>
      <c r="F2707" s="6" t="inlineStr">
        <is>
          <t>21 Aug 2026</t>
        </is>
      </c>
      <c r="G2707" s="5" t="inlineStr">
        <is>
          <t>18 Sep 2026</t>
        </is>
      </c>
      <c r="H2707" s="8" t="inlineStr">
        <is>
          <t>⏳ UPCOMING</t>
        </is>
      </c>
      <c r="I2707" s="4" t="inlineStr">
        <is>
          <t>Tendernotice_2026_MEG_1464129_41.pdf</t>
        </is>
      </c>
      <c r="J2707" s="6" t="inlineStr">
        <is>
          <t>📕 PDF Document</t>
        </is>
      </c>
      <c r="K2707" s="9" t="n">
        <v>17.9</v>
      </c>
      <c r="L2707" s="10">
        <f>HYPERLINK("http://127.0.0.1:8000/api/documents/download?id=3257&amp;attachment=true", "⬇ Download Tendernotice_2026_MEG_14")</f>
        <v/>
      </c>
      <c r="M2707" s="10">
        <f>HYPERLINK("http://localhost:5173/?state=Meghalaya&amp;keyword=Mapping&amp;tender=2026_MEG_1464129_41", "🚀 Open in Portal")</f>
        <v/>
      </c>
    </row>
    <row r="2708" ht="24" customHeight="1">
      <c r="A2708" s="11" t="inlineStr">
        <is>
          <t>Meghalaya</t>
        </is>
      </c>
      <c r="B2708" s="12" t="inlineStr">
        <is>
          <t>Mapping</t>
        </is>
      </c>
      <c r="C2708" s="13" t="inlineStr">
        <is>
          <t>2026_MEG_1464129_41</t>
        </is>
      </c>
      <c r="D2708" s="14" t="inlineStr">
        <is>
          <t>Mapping-Based High Resolution Satellite Imagery Land Use &amp; Land Cover Spatial Mapping</t>
        </is>
      </c>
      <c r="E2708" s="14" t="inlineStr">
        <is>
          <t>DEPARTMENT OF SCIENCE, TECHNOLOGY &amp; REMOTE SENSING</t>
        </is>
      </c>
      <c r="F2708" s="13" t="inlineStr">
        <is>
          <t>21 Aug 2026</t>
        </is>
      </c>
      <c r="G2708" s="12" t="inlineStr">
        <is>
          <t>18 Sep 2026</t>
        </is>
      </c>
      <c r="H2708" s="8" t="inlineStr">
        <is>
          <t>⏳ UPCOMING</t>
        </is>
      </c>
      <c r="I2708" s="11" t="inlineStr">
        <is>
          <t>Technical_RFP_Specification_Mapping.pdf</t>
        </is>
      </c>
      <c r="J2708" s="13" t="inlineStr">
        <is>
          <t>📕 PDF Document</t>
        </is>
      </c>
      <c r="K2708" s="15" t="n">
        <v>17.9</v>
      </c>
      <c r="L2708" s="16">
        <f>HYPERLINK("http://127.0.0.1:8000/api/documents/download?id=3258&amp;attachment=true", "⬇ Download Technical_RFP_Specificat")</f>
        <v/>
      </c>
      <c r="M2708" s="16">
        <f>HYPERLINK("http://localhost:5173/?state=Meghalaya&amp;keyword=Mapping&amp;tender=2026_MEG_1464129_41", "🚀 Open in Portal")</f>
        <v/>
      </c>
    </row>
    <row r="2709" ht="24" customHeight="1">
      <c r="A2709" s="4" t="inlineStr">
        <is>
          <t>Meghalaya</t>
        </is>
      </c>
      <c r="B2709" s="5" t="inlineStr">
        <is>
          <t>Mapping</t>
        </is>
      </c>
      <c r="C2709" s="6" t="inlineStr">
        <is>
          <t>2026_MEG_1464129_41</t>
        </is>
      </c>
      <c r="D2709" s="7" t="inlineStr">
        <is>
          <t>Mapping-Based High Resolution Satellite Imagery Land Use &amp; Land Cover Spatial Mapping</t>
        </is>
      </c>
      <c r="E2709" s="7" t="inlineStr">
        <is>
          <t>DEPARTMENT OF SCIENCE, TECHNOLOGY &amp; REMOTE SENSING</t>
        </is>
      </c>
      <c r="F2709" s="6" t="inlineStr">
        <is>
          <t>21 Aug 2026</t>
        </is>
      </c>
      <c r="G2709" s="5" t="inlineStr">
        <is>
          <t>18 Sep 2026</t>
        </is>
      </c>
      <c r="H2709" s="8" t="inlineStr">
        <is>
          <t>⏳ UPCOMING</t>
        </is>
      </c>
      <c r="I2709" s="4" t="inlineStr">
        <is>
          <t>BOQ_Financial_Schedule_2026_MEG_1464129_41.xlsx</t>
        </is>
      </c>
      <c r="J2709" s="6" t="inlineStr">
        <is>
          <t>📊 Excel BOQ</t>
        </is>
      </c>
      <c r="K2709" s="9" t="n">
        <v>2.5</v>
      </c>
      <c r="L2709" s="10">
        <f>HYPERLINK("http://127.0.0.1:8000/api/documents/download?id=3259&amp;attachment=true", "⬇ Download BOQ_Financial_Schedule_2")</f>
        <v/>
      </c>
      <c r="M2709" s="10">
        <f>HYPERLINK("http://localhost:5173/?state=Meghalaya&amp;keyword=Mapping&amp;tender=2026_MEG_1464129_41", "🚀 Open in Portal")</f>
        <v/>
      </c>
    </row>
    <row r="2710" ht="24" customHeight="1">
      <c r="A2710" s="11" t="inlineStr">
        <is>
          <t>Meghalaya</t>
        </is>
      </c>
      <c r="B2710" s="12" t="inlineStr">
        <is>
          <t>Mapping</t>
        </is>
      </c>
      <c r="C2710" s="13" t="inlineStr">
        <is>
          <t>2026_MEG_1464129_41</t>
        </is>
      </c>
      <c r="D2710" s="14" t="inlineStr">
        <is>
          <t>Mapping-Based High Resolution Satellite Imagery Land Use &amp; Land Cover Spatial Mapping</t>
        </is>
      </c>
      <c r="E2710" s="14" t="inlineStr">
        <is>
          <t>DEPARTMENT OF SCIENCE, TECHNOLOGY &amp; REMOTE SENSING</t>
        </is>
      </c>
      <c r="F2710" s="13" t="inlineStr">
        <is>
          <t>21 Aug 2026</t>
        </is>
      </c>
      <c r="G2710" s="12" t="inlineStr">
        <is>
          <t>18 Sep 2026</t>
        </is>
      </c>
      <c r="H2710" s="8" t="inlineStr">
        <is>
          <t>⏳ UPCOMING</t>
        </is>
      </c>
      <c r="I2710" s="11" t="inlineStr">
        <is>
          <t>Tender_2026_MEG_1464129_41_All_Documents.zip</t>
        </is>
      </c>
      <c r="J2710" s="13" t="inlineStr">
        <is>
          <t>📦 ZIP Package</t>
        </is>
      </c>
      <c r="K2710" s="15" t="n">
        <v>45</v>
      </c>
      <c r="L2710" s="16">
        <f>HYPERLINK("https://meghalayatenders.gov.in/tender/2026_MEG_1464129_41", "⬇ Download Tender_2026_MEG_1464129_")</f>
        <v/>
      </c>
      <c r="M2710" s="16">
        <f>HYPERLINK("http://localhost:5173/?state=Meghalaya&amp;keyword=Mapping&amp;tender=2026_MEG_1464129_41", "🚀 Open in Portal")</f>
        <v/>
      </c>
    </row>
    <row r="2711" ht="24" customHeight="1">
      <c r="A2711" s="4" t="inlineStr">
        <is>
          <t>Meghalaya</t>
        </is>
      </c>
      <c r="B2711" s="5" t="inlineStr">
        <is>
          <t>Mapping</t>
        </is>
      </c>
      <c r="C2711" s="6" t="inlineStr">
        <is>
          <t>MEGH-IT-2026-5521</t>
        </is>
      </c>
      <c r="D2711" s="7" t="inlineStr">
        <is>
          <t>GIS-based Spring-shed Mapping &amp; Climate Change Vulnerability Assessment</t>
        </is>
      </c>
      <c r="E2711" s="7" t="inlineStr">
        <is>
          <t>MEGHALAYA BASIN DEVELOPMENT AUTHORITY (MBDA)-Shillong</t>
        </is>
      </c>
      <c r="F2711" s="6" t="inlineStr">
        <is>
          <t>07 Aug 2026</t>
        </is>
      </c>
      <c r="G2711" s="5" t="inlineStr">
        <is>
          <t>29 Aug 2026</t>
        </is>
      </c>
      <c r="H2711" s="8" t="inlineStr">
        <is>
          <t>⏳ UPCOMING</t>
        </is>
      </c>
      <c r="I2711" s="4" t="inlineStr">
        <is>
          <t>Meghalaya_Springshed_GIS_RFP.pdf</t>
        </is>
      </c>
      <c r="J2711" s="6" t="inlineStr">
        <is>
          <t>📕 PDF Document</t>
        </is>
      </c>
      <c r="K2711" s="9" t="n">
        <v>17.9</v>
      </c>
      <c r="L2711" s="10">
        <f>HYPERLINK("http://127.0.0.1:8000/api/documents/download?id=2834&amp;attachment=true", "⬇ Download Meghalaya_Springshed_GIS")</f>
        <v/>
      </c>
      <c r="M2711" s="10">
        <f>HYPERLINK("http://localhost:5173/?state=Meghalaya&amp;keyword=Mapping&amp;tender=MEGH-IT-2026-5521", "🚀 Open in Portal")</f>
        <v/>
      </c>
    </row>
    <row r="2712" ht="24" customHeight="1">
      <c r="A2712" s="11" t="inlineStr">
        <is>
          <t>Meghalaya</t>
        </is>
      </c>
      <c r="B2712" s="12" t="inlineStr">
        <is>
          <t>Mapping</t>
        </is>
      </c>
      <c r="C2712" s="13" t="inlineStr">
        <is>
          <t>MEGH-IT-2026-5521</t>
        </is>
      </c>
      <c r="D2712" s="14" t="inlineStr">
        <is>
          <t>GIS-based Spring-shed Mapping &amp; Climate Change Vulnerability Assessment</t>
        </is>
      </c>
      <c r="E2712" s="14" t="inlineStr">
        <is>
          <t>MEGHALAYA BASIN DEVELOPMENT AUTHORITY (MBDA)-Shillong</t>
        </is>
      </c>
      <c r="F2712" s="13" t="inlineStr">
        <is>
          <t>07 Aug 2026</t>
        </is>
      </c>
      <c r="G2712" s="12" t="inlineStr">
        <is>
          <t>29 Aug 2026</t>
        </is>
      </c>
      <c r="H2712" s="8" t="inlineStr">
        <is>
          <t>⏳ UPCOMING</t>
        </is>
      </c>
      <c r="I2712" s="11" t="inlineStr">
        <is>
          <t>Spring_Inventory_Protocol.pdf</t>
        </is>
      </c>
      <c r="J2712" s="13" t="inlineStr">
        <is>
          <t>📕 PDF Document</t>
        </is>
      </c>
      <c r="K2712" s="15" t="n">
        <v>17.9</v>
      </c>
      <c r="L2712" s="16">
        <f>HYPERLINK("http://127.0.0.1:8000/api/documents/download?id=2835&amp;attachment=true", "⬇ Download Spring_Inventory_Protoco")</f>
        <v/>
      </c>
      <c r="M2712" s="16">
        <f>HYPERLINK("http://localhost:5173/?state=Meghalaya&amp;keyword=Mapping&amp;tender=MEGH-IT-2026-5521", "🚀 Open in Portal")</f>
        <v/>
      </c>
    </row>
    <row r="2713" ht="24" customHeight="1">
      <c r="A2713" s="4" t="inlineStr">
        <is>
          <t>Meghalaya</t>
        </is>
      </c>
      <c r="B2713" s="5" t="inlineStr">
        <is>
          <t>Mapping</t>
        </is>
      </c>
      <c r="C2713" s="6" t="inlineStr">
        <is>
          <t>MEGH-IT-2026-5521</t>
        </is>
      </c>
      <c r="D2713" s="7" t="inlineStr">
        <is>
          <t>GIS-based Spring-shed Mapping &amp; Climate Change Vulnerability Assessment</t>
        </is>
      </c>
      <c r="E2713" s="7" t="inlineStr">
        <is>
          <t>MEGHALAYA BASIN DEVELOPMENT AUTHORITY (MBDA)-Shillong</t>
        </is>
      </c>
      <c r="F2713" s="6" t="inlineStr">
        <is>
          <t>07 Aug 2026</t>
        </is>
      </c>
      <c r="G2713" s="5" t="inlineStr">
        <is>
          <t>29 Aug 2026</t>
        </is>
      </c>
      <c r="H2713" s="8" t="inlineStr">
        <is>
          <t>⏳ UPCOMING</t>
        </is>
      </c>
      <c r="I2713" s="4" t="inlineStr">
        <is>
          <t>Tender_MEGH-IT-2026-5521_All_Documents.zip</t>
        </is>
      </c>
      <c r="J2713" s="6" t="inlineStr">
        <is>
          <t>📦 ZIP Package</t>
        </is>
      </c>
      <c r="K2713" s="9" t="n">
        <v>18.5</v>
      </c>
      <c r="L2713" s="10">
        <f>HYPERLINK("http://127.0.0.1:8000/api/documents/download?id=2836&amp;attachment=true", "⬇ Download Tender_MEGH-IT-2026-5521")</f>
        <v/>
      </c>
      <c r="M2713" s="10">
        <f>HYPERLINK("http://localhost:5173/?state=Meghalaya&amp;keyword=Mapping&amp;tender=MEGH-IT-2026-5521", "🚀 Open in Portal")</f>
        <v/>
      </c>
    </row>
    <row r="2714" ht="24" customHeight="1">
      <c r="A2714" s="11" t="inlineStr">
        <is>
          <t>Meghalaya</t>
        </is>
      </c>
      <c r="B2714" s="12" t="inlineStr">
        <is>
          <t>Website Development/Application</t>
        </is>
      </c>
      <c r="C2714" s="13" t="inlineStr">
        <is>
          <t>MEGH-FOREST-2026-7712</t>
        </is>
      </c>
      <c r="D2714" s="14" t="inlineStr">
        <is>
          <t>Community Sacred Groves Geo-tagging &amp; Ecological Forest Restoration Portal</t>
        </is>
      </c>
      <c r="E2714" s="14" t="inlineStr">
        <is>
          <t>FORESTS &amp; ENVIRONMENT DEPARTMENT-Sylvan House, Shillong</t>
        </is>
      </c>
      <c r="F2714" s="13" t="inlineStr">
        <is>
          <t>04 Oct 2026</t>
        </is>
      </c>
      <c r="G2714" s="12" t="inlineStr">
        <is>
          <t>23 Oct 2026</t>
        </is>
      </c>
      <c r="H2714" s="17" t="inlineStr">
        <is>
          <t>🟢 LIVE ACTIVE</t>
        </is>
      </c>
      <c r="I2714" s="11" t="inlineStr">
        <is>
          <t>Sacred_Groves_Conservation_RFP.pdf</t>
        </is>
      </c>
      <c r="J2714" s="13" t="inlineStr">
        <is>
          <t>📕 PDF Document</t>
        </is>
      </c>
      <c r="K2714" s="15" t="n">
        <v>17.9</v>
      </c>
      <c r="L2714" s="16">
        <f>HYPERLINK("http://127.0.0.1:8000/api/documents/download?id=2839&amp;attachment=true", "⬇ Download Sacred_Groves_Conservati")</f>
        <v/>
      </c>
      <c r="M2714" s="16">
        <f>HYPERLINK("http://localhost:5173/?state=Meghalaya&amp;keyword=Website%20Development/Application&amp;tender=MEGH-FOREST-2026-7712", "🚀 Open in Portal")</f>
        <v/>
      </c>
    </row>
    <row r="2715" ht="24" customHeight="1">
      <c r="A2715" s="4" t="inlineStr">
        <is>
          <t>Meghalaya</t>
        </is>
      </c>
      <c r="B2715" s="5" t="inlineStr">
        <is>
          <t>Website Development/Application</t>
        </is>
      </c>
      <c r="C2715" s="6" t="inlineStr">
        <is>
          <t>MEGH-FOREST-2026-7712</t>
        </is>
      </c>
      <c r="D2715" s="7" t="inlineStr">
        <is>
          <t>Community Sacred Groves Geo-tagging &amp; Ecological Forest Restoration Portal</t>
        </is>
      </c>
      <c r="E2715" s="7" t="inlineStr">
        <is>
          <t>FORESTS &amp; ENVIRONMENT DEPARTMENT-Sylvan House, Shillong</t>
        </is>
      </c>
      <c r="F2715" s="6" t="inlineStr">
        <is>
          <t>04 Oct 2026</t>
        </is>
      </c>
      <c r="G2715" s="5" t="inlineStr">
        <is>
          <t>23 Oct 2026</t>
        </is>
      </c>
      <c r="H2715" s="17" t="inlineStr">
        <is>
          <t>🟢 LIVE ACTIVE</t>
        </is>
      </c>
      <c r="I2715" s="4" t="inlineStr">
        <is>
          <t>Ecological_Survey_Guidelines.pdf</t>
        </is>
      </c>
      <c r="J2715" s="6" t="inlineStr">
        <is>
          <t>📕 PDF Document</t>
        </is>
      </c>
      <c r="K2715" s="9" t="n">
        <v>17.9</v>
      </c>
      <c r="L2715" s="10">
        <f>HYPERLINK("http://127.0.0.1:8000/api/documents/download?id=2840&amp;attachment=true", "⬇ Download Ecological_Survey_Guidel")</f>
        <v/>
      </c>
      <c r="M2715" s="10">
        <f>HYPERLINK("http://localhost:5173/?state=Meghalaya&amp;keyword=Website%20Development/Application&amp;tender=MEGH-FOREST-2026-7712", "🚀 Open in Portal")</f>
        <v/>
      </c>
    </row>
    <row r="2716" ht="24" customHeight="1">
      <c r="A2716" s="11" t="inlineStr">
        <is>
          <t>Meghalaya</t>
        </is>
      </c>
      <c r="B2716" s="12" t="inlineStr">
        <is>
          <t>Website Development/Application</t>
        </is>
      </c>
      <c r="C2716" s="13" t="inlineStr">
        <is>
          <t>MEGH-FOREST-2026-7712</t>
        </is>
      </c>
      <c r="D2716" s="14" t="inlineStr">
        <is>
          <t>Community Sacred Groves Geo-tagging &amp; Ecological Forest Restoration Portal</t>
        </is>
      </c>
      <c r="E2716" s="14" t="inlineStr">
        <is>
          <t>FORESTS &amp; ENVIRONMENT DEPARTMENT-Sylvan House, Shillong</t>
        </is>
      </c>
      <c r="F2716" s="13" t="inlineStr">
        <is>
          <t>04 Oct 2026</t>
        </is>
      </c>
      <c r="G2716" s="12" t="inlineStr">
        <is>
          <t>23 Oct 2026</t>
        </is>
      </c>
      <c r="H2716" s="17" t="inlineStr">
        <is>
          <t>🟢 LIVE ACTIVE</t>
        </is>
      </c>
      <c r="I2716" s="11" t="inlineStr">
        <is>
          <t>Tender_MEGH-FOREST-2026-7712_All_Documents.zip</t>
        </is>
      </c>
      <c r="J2716" s="13" t="inlineStr">
        <is>
          <t>📦 ZIP Package</t>
        </is>
      </c>
      <c r="K2716" s="15" t="n">
        <v>18.8</v>
      </c>
      <c r="L2716" s="16">
        <f>HYPERLINK("http://127.0.0.1:8000/api/documents/download?id=3021&amp;attachment=true", "⬇ Download Tender_MEGH-FOREST-2026-")</f>
        <v/>
      </c>
      <c r="M2716" s="16">
        <f>HYPERLINK("http://localhost:5173/?state=Meghalaya&amp;keyword=Website%20Development/Application&amp;tender=MEGH-FOREST-2026-7712", "🚀 Open in Portal")</f>
        <v/>
      </c>
    </row>
    <row r="2717" ht="24" customHeight="1">
      <c r="A2717" s="4" t="inlineStr">
        <is>
          <t>Meghalaya</t>
        </is>
      </c>
      <c r="B2717" s="5" t="inlineStr">
        <is>
          <t>Empanelment</t>
        </is>
      </c>
      <c r="C2717" s="6" t="inlineStr">
        <is>
          <t>2026_MEG_7775421_30</t>
        </is>
      </c>
      <c r="D2717" s="7" t="inlineStr">
        <is>
          <t>Empanelment-Based Empanelment of Specialized Geospatial &amp; AI Solutions Consulting Agencies</t>
        </is>
      </c>
      <c r="E2717" s="7" t="inlineStr">
        <is>
          <t>STATE ELECTRONICS DEVELOPMENT CORPORATION</t>
        </is>
      </c>
      <c r="F2717" s="6" t="inlineStr">
        <is>
          <t>07 Oct 2026</t>
        </is>
      </c>
      <c r="G2717" s="5" t="inlineStr">
        <is>
          <t>12 Nov 2026</t>
        </is>
      </c>
      <c r="H2717" s="17" t="inlineStr">
        <is>
          <t>🟢 LIVE ACTIVE</t>
        </is>
      </c>
      <c r="I2717" s="4" t="inlineStr">
        <is>
          <t>Tendernotice_2026_MEG_7775421_30.pdf</t>
        </is>
      </c>
      <c r="J2717" s="6" t="inlineStr">
        <is>
          <t>📕 PDF Document</t>
        </is>
      </c>
      <c r="K2717" s="9" t="n">
        <v>17.9</v>
      </c>
      <c r="L2717" s="10">
        <f>HYPERLINK("http://127.0.0.1:8000/api/documents/download?id=3381&amp;attachment=true", "⬇ Download Tendernotice_2026_MEG_77")</f>
        <v/>
      </c>
      <c r="M2717" s="10">
        <f>HYPERLINK("http://localhost:5173/?state=Meghalaya&amp;keyword=Empanelment&amp;tender=2026_MEG_7775421_30", "🚀 Open in Portal")</f>
        <v/>
      </c>
    </row>
    <row r="2718" ht="24" customHeight="1">
      <c r="A2718" s="11" t="inlineStr">
        <is>
          <t>Meghalaya</t>
        </is>
      </c>
      <c r="B2718" s="12" t="inlineStr">
        <is>
          <t>Empanelment</t>
        </is>
      </c>
      <c r="C2718" s="13" t="inlineStr">
        <is>
          <t>2026_MEG_7775421_30</t>
        </is>
      </c>
      <c r="D2718" s="14" t="inlineStr">
        <is>
          <t>Empanelment-Based Empanelment of Specialized Geospatial &amp; AI Solutions Consulting Agencies</t>
        </is>
      </c>
      <c r="E2718" s="14" t="inlineStr">
        <is>
          <t>STATE ELECTRONICS DEVELOPMENT CORPORATION</t>
        </is>
      </c>
      <c r="F2718" s="13" t="inlineStr">
        <is>
          <t>07 Oct 2026</t>
        </is>
      </c>
      <c r="G2718" s="12" t="inlineStr">
        <is>
          <t>12 Nov 2026</t>
        </is>
      </c>
      <c r="H2718" s="17" t="inlineStr">
        <is>
          <t>🟢 LIVE ACTIVE</t>
        </is>
      </c>
      <c r="I2718" s="11" t="inlineStr">
        <is>
          <t>Technical_RFP_Specification_Empanelment.pdf</t>
        </is>
      </c>
      <c r="J2718" s="13" t="inlineStr">
        <is>
          <t>📕 PDF Document</t>
        </is>
      </c>
      <c r="K2718" s="15" t="n">
        <v>17.9</v>
      </c>
      <c r="L2718" s="16">
        <f>HYPERLINK("http://127.0.0.1:8000/api/documents/download?id=3382&amp;attachment=true", "⬇ Download Technical_RFP_Specificat")</f>
        <v/>
      </c>
      <c r="M2718" s="16">
        <f>HYPERLINK("http://localhost:5173/?state=Meghalaya&amp;keyword=Empanelment&amp;tender=2026_MEG_7775421_30", "🚀 Open in Portal")</f>
        <v/>
      </c>
    </row>
    <row r="2719" ht="24" customHeight="1">
      <c r="A2719" s="4" t="inlineStr">
        <is>
          <t>Meghalaya</t>
        </is>
      </c>
      <c r="B2719" s="5" t="inlineStr">
        <is>
          <t>Empanelment</t>
        </is>
      </c>
      <c r="C2719" s="6" t="inlineStr">
        <is>
          <t>2026_MEG_7775421_30</t>
        </is>
      </c>
      <c r="D2719" s="7" t="inlineStr">
        <is>
          <t>Empanelment-Based Empanelment of Specialized Geospatial &amp; AI Solutions Consulting Agencies</t>
        </is>
      </c>
      <c r="E2719" s="7" t="inlineStr">
        <is>
          <t>STATE ELECTRONICS DEVELOPMENT CORPORATION</t>
        </is>
      </c>
      <c r="F2719" s="6" t="inlineStr">
        <is>
          <t>07 Oct 2026</t>
        </is>
      </c>
      <c r="G2719" s="5" t="inlineStr">
        <is>
          <t>12 Nov 2026</t>
        </is>
      </c>
      <c r="H2719" s="17" t="inlineStr">
        <is>
          <t>🟢 LIVE ACTIVE</t>
        </is>
      </c>
      <c r="I2719" s="4" t="inlineStr">
        <is>
          <t>BOQ_Financial_Schedule_2026_MEG_7775421_30.xlsx</t>
        </is>
      </c>
      <c r="J2719" s="6" t="inlineStr">
        <is>
          <t>📊 Excel BOQ</t>
        </is>
      </c>
      <c r="K2719" s="9" t="n">
        <v>2.5</v>
      </c>
      <c r="L2719" s="10">
        <f>HYPERLINK("http://127.0.0.1:8000/api/documents/download?id=3383&amp;attachment=true", "⬇ Download BOQ_Financial_Schedule_2")</f>
        <v/>
      </c>
      <c r="M2719" s="10">
        <f>HYPERLINK("http://localhost:5173/?state=Meghalaya&amp;keyword=Empanelment&amp;tender=2026_MEG_7775421_30", "🚀 Open in Portal")</f>
        <v/>
      </c>
    </row>
    <row r="2720" ht="24" customHeight="1">
      <c r="A2720" s="11" t="inlineStr">
        <is>
          <t>Meghalaya</t>
        </is>
      </c>
      <c r="B2720" s="12" t="inlineStr">
        <is>
          <t>Empanelment</t>
        </is>
      </c>
      <c r="C2720" s="13" t="inlineStr">
        <is>
          <t>2026_MEG_7775421_30</t>
        </is>
      </c>
      <c r="D2720" s="14" t="inlineStr">
        <is>
          <t>Empanelment-Based Empanelment of Specialized Geospatial &amp; AI Solutions Consulting Agencies</t>
        </is>
      </c>
      <c r="E2720" s="14" t="inlineStr">
        <is>
          <t>STATE ELECTRONICS DEVELOPMENT CORPORATION</t>
        </is>
      </c>
      <c r="F2720" s="13" t="inlineStr">
        <is>
          <t>07 Oct 2026</t>
        </is>
      </c>
      <c r="G2720" s="12" t="inlineStr">
        <is>
          <t>12 Nov 2026</t>
        </is>
      </c>
      <c r="H2720" s="17" t="inlineStr">
        <is>
          <t>🟢 LIVE ACTIVE</t>
        </is>
      </c>
      <c r="I2720" s="11" t="inlineStr">
        <is>
          <t>Tender_2026_MEG_7775421_30_All_Documents.zip</t>
        </is>
      </c>
      <c r="J2720" s="13" t="inlineStr">
        <is>
          <t>📦 ZIP Package</t>
        </is>
      </c>
      <c r="K2720" s="15" t="n">
        <v>45</v>
      </c>
      <c r="L2720" s="16">
        <f>HYPERLINK("https://meghalayatenders.gov.in/tender/2026_MEG_7775421_30", "⬇ Download Tender_2026_MEG_7775421_")</f>
        <v/>
      </c>
      <c r="M2720" s="16">
        <f>HYPERLINK("http://localhost:5173/?state=Meghalaya&amp;keyword=Empanelment&amp;tender=2026_MEG_7775421_30", "🚀 Open in Portal")</f>
        <v/>
      </c>
    </row>
    <row r="2721" ht="24" customHeight="1">
      <c r="A2721" s="4" t="inlineStr">
        <is>
          <t>Mizoram</t>
        </is>
      </c>
      <c r="B2721" s="5" t="inlineStr">
        <is>
          <t>GIS</t>
        </is>
      </c>
      <c r="C2721" s="6" t="inlineStr">
        <is>
          <t>MIZ-ICT-2026-1104</t>
        </is>
      </c>
      <c r="D2721" s="7" t="inlineStr">
        <is>
          <t>Statewide Optical Fiber Network GIS Asset Mapping &amp; Infrastructure Portal</t>
        </is>
      </c>
      <c r="E2721" s="7" t="inlineStr">
        <is>
          <t>MUSTER-Mizoram State e-Governance Society, Aizawl</t>
        </is>
      </c>
      <c r="F2721" s="6" t="inlineStr">
        <is>
          <t>08 Aug 2026</t>
        </is>
      </c>
      <c r="G2721" s="5" t="inlineStr">
        <is>
          <t>05 Sep 2026</t>
        </is>
      </c>
      <c r="H2721" s="8" t="inlineStr">
        <is>
          <t>⏳ UPCOMING</t>
        </is>
      </c>
      <c r="I2721" s="4" t="inlineStr">
        <is>
          <t>Mizoram_OFC_GIS_Mapping_RFP.pdf</t>
        </is>
      </c>
      <c r="J2721" s="6" t="inlineStr">
        <is>
          <t>📕 PDF Document</t>
        </is>
      </c>
      <c r="K2721" s="9" t="n">
        <v>17.9</v>
      </c>
      <c r="L2721" s="10">
        <f>HYPERLINK("http://127.0.0.1:8000/api/documents/download?id=2841&amp;attachment=true", "⬇ Download Mizoram_OFC_GIS_Mapping_")</f>
        <v/>
      </c>
      <c r="M2721" s="10">
        <f>HYPERLINK("http://localhost:5173/?state=Mizoram&amp;keyword=GIS&amp;tender=MIZ-ICT-2026-1104", "🚀 Open in Portal")</f>
        <v/>
      </c>
    </row>
    <row r="2722" ht="24" customHeight="1">
      <c r="A2722" s="11" t="inlineStr">
        <is>
          <t>Mizoram</t>
        </is>
      </c>
      <c r="B2722" s="12" t="inlineStr">
        <is>
          <t>GIS</t>
        </is>
      </c>
      <c r="C2722" s="13" t="inlineStr">
        <is>
          <t>MIZ-ICT-2026-1104</t>
        </is>
      </c>
      <c r="D2722" s="14" t="inlineStr">
        <is>
          <t>Statewide Optical Fiber Network GIS Asset Mapping &amp; Infrastructure Portal</t>
        </is>
      </c>
      <c r="E2722" s="14" t="inlineStr">
        <is>
          <t>MUSTER-Mizoram State e-Governance Society, Aizawl</t>
        </is>
      </c>
      <c r="F2722" s="13" t="inlineStr">
        <is>
          <t>08 Aug 2026</t>
        </is>
      </c>
      <c r="G2722" s="12" t="inlineStr">
        <is>
          <t>05 Sep 2026</t>
        </is>
      </c>
      <c r="H2722" s="8" t="inlineStr">
        <is>
          <t>⏳ UPCOMING</t>
        </is>
      </c>
      <c r="I2722" s="11" t="inlineStr">
        <is>
          <t>GPS_Survey_Standard_Operating_Procedure.pdf</t>
        </is>
      </c>
      <c r="J2722" s="13" t="inlineStr">
        <is>
          <t>📕 PDF Document</t>
        </is>
      </c>
      <c r="K2722" s="15" t="n">
        <v>17.9</v>
      </c>
      <c r="L2722" s="16">
        <f>HYPERLINK("http://127.0.0.1:8000/api/documents/download?id=2842&amp;attachment=true", "⬇ Download GPS_Survey_Standard_Oper")</f>
        <v/>
      </c>
      <c r="M2722" s="16">
        <f>HYPERLINK("http://localhost:5173/?state=Mizoram&amp;keyword=GIS&amp;tender=MIZ-ICT-2026-1104", "🚀 Open in Portal")</f>
        <v/>
      </c>
    </row>
    <row r="2723" ht="24" customHeight="1">
      <c r="A2723" s="4" t="inlineStr">
        <is>
          <t>Mizoram</t>
        </is>
      </c>
      <c r="B2723" s="5" t="inlineStr">
        <is>
          <t>GIS</t>
        </is>
      </c>
      <c r="C2723" s="6" t="inlineStr">
        <is>
          <t>MIZ-ICT-2026-1104</t>
        </is>
      </c>
      <c r="D2723" s="7" t="inlineStr">
        <is>
          <t>Statewide Optical Fiber Network GIS Asset Mapping &amp; Infrastructure Portal</t>
        </is>
      </c>
      <c r="E2723" s="7" t="inlineStr">
        <is>
          <t>MUSTER-Mizoram State e-Governance Society, Aizawl</t>
        </is>
      </c>
      <c r="F2723" s="6" t="inlineStr">
        <is>
          <t>08 Aug 2026</t>
        </is>
      </c>
      <c r="G2723" s="5" t="inlineStr">
        <is>
          <t>05 Sep 2026</t>
        </is>
      </c>
      <c r="H2723" s="8" t="inlineStr">
        <is>
          <t>⏳ UPCOMING</t>
        </is>
      </c>
      <c r="I2723" s="4" t="inlineStr">
        <is>
          <t>Tender_MIZ-ICT-2026-1104_All_Documents.zip</t>
        </is>
      </c>
      <c r="J2723" s="6" t="inlineStr">
        <is>
          <t>📦 ZIP Package</t>
        </is>
      </c>
      <c r="K2723" s="9" t="n">
        <v>18.7</v>
      </c>
      <c r="L2723" s="10">
        <f>HYPERLINK("http://127.0.0.1:8000/api/documents/download?id=3022&amp;attachment=true", "⬇ Download Tender_MIZ-ICT-2026-1104")</f>
        <v/>
      </c>
      <c r="M2723" s="10">
        <f>HYPERLINK("http://localhost:5173/?state=Mizoram&amp;keyword=GIS&amp;tender=MIZ-ICT-2026-1104", "🚀 Open in Portal")</f>
        <v/>
      </c>
    </row>
    <row r="2724" ht="24" customHeight="1">
      <c r="A2724" s="11" t="inlineStr">
        <is>
          <t>Mizoram</t>
        </is>
      </c>
      <c r="B2724" s="12" t="inlineStr">
        <is>
          <t>ICT</t>
        </is>
      </c>
      <c r="C2724" s="13" t="inlineStr">
        <is>
          <t>MIZ-ICT-2026-1104</t>
        </is>
      </c>
      <c r="D2724" s="14" t="inlineStr">
        <is>
          <t>Statewide Optical Fiber Network GIS Asset Mapping &amp; Infrastructure Portal</t>
        </is>
      </c>
      <c r="E2724" s="14" t="inlineStr">
        <is>
          <t>MUSTER-Mizoram State e-Governance Society, Aizawl</t>
        </is>
      </c>
      <c r="F2724" s="13" t="inlineStr">
        <is>
          <t>08 Aug 2026</t>
        </is>
      </c>
      <c r="G2724" s="12" t="inlineStr">
        <is>
          <t>05 Sep 2026</t>
        </is>
      </c>
      <c r="H2724" s="8" t="inlineStr">
        <is>
          <t>⏳ UPCOMING</t>
        </is>
      </c>
      <c r="I2724" s="11" t="inlineStr">
        <is>
          <t>Mizoram_OFC_GIS_Mapping_RFP.pdf</t>
        </is>
      </c>
      <c r="J2724" s="13" t="inlineStr">
        <is>
          <t>📕 PDF Document</t>
        </is>
      </c>
      <c r="K2724" s="15" t="n">
        <v>17.9</v>
      </c>
      <c r="L2724" s="16">
        <f>HYPERLINK("http://127.0.0.1:8000/api/documents/download?id=2841&amp;attachment=true", "⬇ Download Mizoram_OFC_GIS_Mapping_")</f>
        <v/>
      </c>
      <c r="M2724" s="16">
        <f>HYPERLINK("http://localhost:5173/?state=Mizoram&amp;keyword=ICT&amp;tender=MIZ-ICT-2026-1104", "🚀 Open in Portal")</f>
        <v/>
      </c>
    </row>
    <row r="2725" ht="24" customHeight="1">
      <c r="A2725" s="4" t="inlineStr">
        <is>
          <t>Mizoram</t>
        </is>
      </c>
      <c r="B2725" s="5" t="inlineStr">
        <is>
          <t>ICT</t>
        </is>
      </c>
      <c r="C2725" s="6" t="inlineStr">
        <is>
          <t>MIZ-ICT-2026-1104</t>
        </is>
      </c>
      <c r="D2725" s="7" t="inlineStr">
        <is>
          <t>Statewide Optical Fiber Network GIS Asset Mapping &amp; Infrastructure Portal</t>
        </is>
      </c>
      <c r="E2725" s="7" t="inlineStr">
        <is>
          <t>MUSTER-Mizoram State e-Governance Society, Aizawl</t>
        </is>
      </c>
      <c r="F2725" s="6" t="inlineStr">
        <is>
          <t>08 Aug 2026</t>
        </is>
      </c>
      <c r="G2725" s="5" t="inlineStr">
        <is>
          <t>05 Sep 2026</t>
        </is>
      </c>
      <c r="H2725" s="8" t="inlineStr">
        <is>
          <t>⏳ UPCOMING</t>
        </is>
      </c>
      <c r="I2725" s="4" t="inlineStr">
        <is>
          <t>GPS_Survey_Standard_Operating_Procedure.pdf</t>
        </is>
      </c>
      <c r="J2725" s="6" t="inlineStr">
        <is>
          <t>📕 PDF Document</t>
        </is>
      </c>
      <c r="K2725" s="9" t="n">
        <v>17.9</v>
      </c>
      <c r="L2725" s="10">
        <f>HYPERLINK("http://127.0.0.1:8000/api/documents/download?id=2842&amp;attachment=true", "⬇ Download GPS_Survey_Standard_Oper")</f>
        <v/>
      </c>
      <c r="M2725" s="10">
        <f>HYPERLINK("http://localhost:5173/?state=Mizoram&amp;keyword=ICT&amp;tender=MIZ-ICT-2026-1104", "🚀 Open in Portal")</f>
        <v/>
      </c>
    </row>
    <row r="2726" ht="24" customHeight="1">
      <c r="A2726" s="11" t="inlineStr">
        <is>
          <t>Mizoram</t>
        </is>
      </c>
      <c r="B2726" s="12" t="inlineStr">
        <is>
          <t>ICT</t>
        </is>
      </c>
      <c r="C2726" s="13" t="inlineStr">
        <is>
          <t>MIZ-ICT-2026-1104</t>
        </is>
      </c>
      <c r="D2726" s="14" t="inlineStr">
        <is>
          <t>Statewide Optical Fiber Network GIS Asset Mapping &amp; Infrastructure Portal</t>
        </is>
      </c>
      <c r="E2726" s="14" t="inlineStr">
        <is>
          <t>MUSTER-Mizoram State e-Governance Society, Aizawl</t>
        </is>
      </c>
      <c r="F2726" s="13" t="inlineStr">
        <is>
          <t>08 Aug 2026</t>
        </is>
      </c>
      <c r="G2726" s="12" t="inlineStr">
        <is>
          <t>05 Sep 2026</t>
        </is>
      </c>
      <c r="H2726" s="8" t="inlineStr">
        <is>
          <t>⏳ UPCOMING</t>
        </is>
      </c>
      <c r="I2726" s="11" t="inlineStr">
        <is>
          <t>Tender_MIZ-ICT-2026-1104_All_Documents.zip</t>
        </is>
      </c>
      <c r="J2726" s="13" t="inlineStr">
        <is>
          <t>📦 ZIP Package</t>
        </is>
      </c>
      <c r="K2726" s="15" t="n">
        <v>18.7</v>
      </c>
      <c r="L2726" s="16">
        <f>HYPERLINK("http://127.0.0.1:8000/api/documents/download?id=3022&amp;attachment=true", "⬇ Download Tender_MIZ-ICT-2026-1104")</f>
        <v/>
      </c>
      <c r="M2726" s="16">
        <f>HYPERLINK("http://localhost:5173/?state=Mizoram&amp;keyword=ICT&amp;tender=MIZ-ICT-2026-1104", "🚀 Open in Portal")</f>
        <v/>
      </c>
    </row>
    <row r="2727" ht="24" customHeight="1">
      <c r="A2727" s="4" t="inlineStr">
        <is>
          <t>Mizoram</t>
        </is>
      </c>
      <c r="B2727" s="5" t="inlineStr">
        <is>
          <t>Agriculture</t>
        </is>
      </c>
      <c r="C2727" s="6" t="inlineStr">
        <is>
          <t>MIZ-AGRI-2026-4481</t>
        </is>
      </c>
      <c r="D2727" s="7" t="inlineStr">
        <is>
          <t>Jhum Cultivation Transition &amp; Agro-Forestry Field Survey Mobile App</t>
        </is>
      </c>
      <c r="E2727" s="7" t="inlineStr">
        <is>
          <t>AGRICULTURE DEPARTMENT-Government of Mizoram</t>
        </is>
      </c>
      <c r="F2727" s="6" t="inlineStr">
        <is>
          <t>05 Oct 2026</t>
        </is>
      </c>
      <c r="G2727" s="5" t="inlineStr">
        <is>
          <t>03 Nov 2026</t>
        </is>
      </c>
      <c r="H2727" s="17" t="inlineStr">
        <is>
          <t>🟢 LIVE ACTIVE</t>
        </is>
      </c>
      <c r="I2727" s="4" t="inlineStr">
        <is>
          <t>Jhum_Cultivation_Survey_App_RFP.pdf</t>
        </is>
      </c>
      <c r="J2727" s="6" t="inlineStr">
        <is>
          <t>📕 PDF Document</t>
        </is>
      </c>
      <c r="K2727" s="9" t="n">
        <v>17.9</v>
      </c>
      <c r="L2727" s="10">
        <f>HYPERLINK("http://127.0.0.1:8000/api/documents/download?id=2845&amp;attachment=true", "⬇ Download Jhum_Cultivation_Survey_")</f>
        <v/>
      </c>
      <c r="M2727" s="10">
        <f>HYPERLINK("http://localhost:5173/?state=Mizoram&amp;keyword=Agriculture&amp;tender=MIZ-AGRI-2026-4481", "🚀 Open in Portal")</f>
        <v/>
      </c>
    </row>
    <row r="2728" ht="24" customHeight="1">
      <c r="A2728" s="11" t="inlineStr">
        <is>
          <t>Mizoram</t>
        </is>
      </c>
      <c r="B2728" s="12" t="inlineStr">
        <is>
          <t>Agriculture</t>
        </is>
      </c>
      <c r="C2728" s="13" t="inlineStr">
        <is>
          <t>MIZ-AGRI-2026-4481</t>
        </is>
      </c>
      <c r="D2728" s="14" t="inlineStr">
        <is>
          <t>Jhum Cultivation Transition &amp; Agro-Forestry Field Survey Mobile App</t>
        </is>
      </c>
      <c r="E2728" s="14" t="inlineStr">
        <is>
          <t>AGRICULTURE DEPARTMENT-Government of Mizoram</t>
        </is>
      </c>
      <c r="F2728" s="13" t="inlineStr">
        <is>
          <t>05 Oct 2026</t>
        </is>
      </c>
      <c r="G2728" s="12" t="inlineStr">
        <is>
          <t>03 Nov 2026</t>
        </is>
      </c>
      <c r="H2728" s="17" t="inlineStr">
        <is>
          <t>🟢 LIVE ACTIVE</t>
        </is>
      </c>
      <c r="I2728" s="11" t="inlineStr">
        <is>
          <t>Field_Enumerator_Manual.pdf</t>
        </is>
      </c>
      <c r="J2728" s="13" t="inlineStr">
        <is>
          <t>📕 PDF Document</t>
        </is>
      </c>
      <c r="K2728" s="15" t="n">
        <v>17.9</v>
      </c>
      <c r="L2728" s="16">
        <f>HYPERLINK("http://127.0.0.1:8000/api/documents/download?id=2846&amp;attachment=true", "⬇ Download Field_Enumerator_Manual.")</f>
        <v/>
      </c>
      <c r="M2728" s="16">
        <f>HYPERLINK("http://localhost:5173/?state=Mizoram&amp;keyword=Agriculture&amp;tender=MIZ-AGRI-2026-4481", "🚀 Open in Portal")</f>
        <v/>
      </c>
    </row>
    <row r="2729" ht="24" customHeight="1">
      <c r="A2729" s="4" t="inlineStr">
        <is>
          <t>Mizoram</t>
        </is>
      </c>
      <c r="B2729" s="5" t="inlineStr">
        <is>
          <t>Agriculture</t>
        </is>
      </c>
      <c r="C2729" s="6" t="inlineStr">
        <is>
          <t>MIZ-AGRI-2026-4481</t>
        </is>
      </c>
      <c r="D2729" s="7" t="inlineStr">
        <is>
          <t>Jhum Cultivation Transition &amp; Agro-Forestry Field Survey Mobile App</t>
        </is>
      </c>
      <c r="E2729" s="7" t="inlineStr">
        <is>
          <t>AGRICULTURE DEPARTMENT-Government of Mizoram</t>
        </is>
      </c>
      <c r="F2729" s="6" t="inlineStr">
        <is>
          <t>05 Oct 2026</t>
        </is>
      </c>
      <c r="G2729" s="5" t="inlineStr">
        <is>
          <t>03 Nov 2026</t>
        </is>
      </c>
      <c r="H2729" s="17" t="inlineStr">
        <is>
          <t>🟢 LIVE ACTIVE</t>
        </is>
      </c>
      <c r="I2729" s="4" t="inlineStr">
        <is>
          <t>Tender_MIZ-AGRI-2026-4481_All_Documents.zip</t>
        </is>
      </c>
      <c r="J2729" s="6" t="inlineStr">
        <is>
          <t>📦 ZIP Package</t>
        </is>
      </c>
      <c r="K2729" s="9" t="n">
        <v>18.6</v>
      </c>
      <c r="L2729" s="10">
        <f>HYPERLINK("http://127.0.0.1:8000/api/documents/download?id=3024&amp;attachment=true", "⬇ Download Tender_MIZ-AGRI-2026-448")</f>
        <v/>
      </c>
      <c r="M2729" s="10">
        <f>HYPERLINK("http://localhost:5173/?state=Mizoram&amp;keyword=Agriculture&amp;tender=MIZ-AGRI-2026-4481", "🚀 Open in Portal")</f>
        <v/>
      </c>
    </row>
    <row r="2730" ht="24" customHeight="1">
      <c r="A2730" s="11" t="inlineStr">
        <is>
          <t>Mizoram</t>
        </is>
      </c>
      <c r="B2730" s="12" t="inlineStr">
        <is>
          <t>Forest</t>
        </is>
      </c>
      <c r="C2730" s="13" t="inlineStr">
        <is>
          <t>2026_MIZ_4422006_67</t>
        </is>
      </c>
      <c r="D2730" s="14" t="inlineStr">
        <is>
          <t>Forest-Based Satellite-Based Forest Canopy Density &amp; Wildlife Corridor Spatial Monitoring</t>
        </is>
      </c>
      <c r="E2730" s="14" t="inlineStr">
        <is>
          <t>STATE FOREST &amp; ENVIRONMENT DEPARTMENT</t>
        </is>
      </c>
      <c r="F2730" s="13" t="inlineStr">
        <is>
          <t>29 Sep 2026</t>
        </is>
      </c>
      <c r="G2730" s="12" t="inlineStr">
        <is>
          <t>15 Nov 2026</t>
        </is>
      </c>
      <c r="H2730" s="17" t="inlineStr">
        <is>
          <t>🟢 LIVE ACTIVE</t>
        </is>
      </c>
      <c r="I2730" s="11" t="inlineStr">
        <is>
          <t>Tendernotice_2026_MIZ_4422006_67.pdf</t>
        </is>
      </c>
      <c r="J2730" s="13" t="inlineStr">
        <is>
          <t>📕 PDF Document</t>
        </is>
      </c>
      <c r="K2730" s="15" t="n">
        <v>7.7</v>
      </c>
      <c r="L2730" s="16">
        <f>HYPERLINK("http://127.0.0.1:8000/api/documents/download?id=3481&amp;attachment=true", "⬇ Download Tendernotice_2026_MIZ_44")</f>
        <v/>
      </c>
      <c r="M2730" s="16">
        <f>HYPERLINK("http://localhost:5173/?state=Mizoram&amp;keyword=Forest&amp;tender=2026_MIZ_4422006_67", "🚀 Open in Portal")</f>
        <v/>
      </c>
    </row>
    <row r="2731" ht="24" customHeight="1">
      <c r="A2731" s="4" t="inlineStr">
        <is>
          <t>Mizoram</t>
        </is>
      </c>
      <c r="B2731" s="5" t="inlineStr">
        <is>
          <t>Forest</t>
        </is>
      </c>
      <c r="C2731" s="6" t="inlineStr">
        <is>
          <t>2026_MIZ_4422006_67</t>
        </is>
      </c>
      <c r="D2731" s="7" t="inlineStr">
        <is>
          <t>Forest-Based Satellite-Based Forest Canopy Density &amp; Wildlife Corridor Spatial Monitoring</t>
        </is>
      </c>
      <c r="E2731" s="7" t="inlineStr">
        <is>
          <t>STATE FOREST &amp; ENVIRONMENT DEPARTMENT</t>
        </is>
      </c>
      <c r="F2731" s="6" t="inlineStr">
        <is>
          <t>29 Sep 2026</t>
        </is>
      </c>
      <c r="G2731" s="5" t="inlineStr">
        <is>
          <t>15 Nov 2026</t>
        </is>
      </c>
      <c r="H2731" s="17" t="inlineStr">
        <is>
          <t>🟢 LIVE ACTIVE</t>
        </is>
      </c>
      <c r="I2731" s="4" t="inlineStr">
        <is>
          <t>Technical_RFP_Specification_Forest.pdf</t>
        </is>
      </c>
      <c r="J2731" s="6" t="inlineStr">
        <is>
          <t>📕 PDF Document</t>
        </is>
      </c>
      <c r="K2731" s="9" t="n">
        <v>7.7</v>
      </c>
      <c r="L2731" s="10">
        <f>HYPERLINK("http://127.0.0.1:8000/api/documents/download?id=3482&amp;attachment=true", "⬇ Download Technical_RFP_Specificat")</f>
        <v/>
      </c>
      <c r="M2731" s="10">
        <f>HYPERLINK("http://localhost:5173/?state=Mizoram&amp;keyword=Forest&amp;tender=2026_MIZ_4422006_67", "🚀 Open in Portal")</f>
        <v/>
      </c>
    </row>
    <row r="2732" ht="24" customHeight="1">
      <c r="A2732" s="11" t="inlineStr">
        <is>
          <t>Mizoram</t>
        </is>
      </c>
      <c r="B2732" s="12" t="inlineStr">
        <is>
          <t>Forest</t>
        </is>
      </c>
      <c r="C2732" s="13" t="inlineStr">
        <is>
          <t>2026_MIZ_4422006_67</t>
        </is>
      </c>
      <c r="D2732" s="14" t="inlineStr">
        <is>
          <t>Forest-Based Satellite-Based Forest Canopy Density &amp; Wildlife Corridor Spatial Monitoring</t>
        </is>
      </c>
      <c r="E2732" s="14" t="inlineStr">
        <is>
          <t>STATE FOREST &amp; ENVIRONMENT DEPARTMENT</t>
        </is>
      </c>
      <c r="F2732" s="13" t="inlineStr">
        <is>
          <t>29 Sep 2026</t>
        </is>
      </c>
      <c r="G2732" s="12" t="inlineStr">
        <is>
          <t>15 Nov 2026</t>
        </is>
      </c>
      <c r="H2732" s="17" t="inlineStr">
        <is>
          <t>🟢 LIVE ACTIVE</t>
        </is>
      </c>
      <c r="I2732" s="11" t="inlineStr">
        <is>
          <t>BOQ_Financial_Schedule_2026_MIZ_4422006_67.xlsx</t>
        </is>
      </c>
      <c r="J2732" s="13" t="inlineStr">
        <is>
          <t>📊 Excel BOQ</t>
        </is>
      </c>
      <c r="K2732" s="15" t="n">
        <v>5.9</v>
      </c>
      <c r="L2732" s="16">
        <f>HYPERLINK("http://127.0.0.1:8000/api/documents/download?id=3483&amp;attachment=true", "⬇ Download BOQ_Financial_Schedule_2")</f>
        <v/>
      </c>
      <c r="M2732" s="16">
        <f>HYPERLINK("http://localhost:5173/?state=Mizoram&amp;keyword=Forest&amp;tender=2026_MIZ_4422006_67", "🚀 Open in Portal")</f>
        <v/>
      </c>
    </row>
    <row r="2733" ht="24" customHeight="1">
      <c r="A2733" s="4" t="inlineStr">
        <is>
          <t>Mizoram</t>
        </is>
      </c>
      <c r="B2733" s="5" t="inlineStr">
        <is>
          <t>Forest</t>
        </is>
      </c>
      <c r="C2733" s="6" t="inlineStr">
        <is>
          <t>2026_MIZ_4422006_67</t>
        </is>
      </c>
      <c r="D2733" s="7" t="inlineStr">
        <is>
          <t>Forest-Based Satellite-Based Forest Canopy Density &amp; Wildlife Corridor Spatial Monitoring</t>
        </is>
      </c>
      <c r="E2733" s="7" t="inlineStr">
        <is>
          <t>STATE FOREST &amp; ENVIRONMENT DEPARTMENT</t>
        </is>
      </c>
      <c r="F2733" s="6" t="inlineStr">
        <is>
          <t>29 Sep 2026</t>
        </is>
      </c>
      <c r="G2733" s="5" t="inlineStr">
        <is>
          <t>15 Nov 2026</t>
        </is>
      </c>
      <c r="H2733" s="17" t="inlineStr">
        <is>
          <t>🟢 LIVE ACTIVE</t>
        </is>
      </c>
      <c r="I2733" s="4" t="inlineStr">
        <is>
          <t>Tender_2026_MIZ_4422006_67_All_Documents.zip</t>
        </is>
      </c>
      <c r="J2733" s="6" t="inlineStr">
        <is>
          <t>📦 ZIP Package</t>
        </is>
      </c>
      <c r="K2733" s="9" t="n">
        <v>45</v>
      </c>
      <c r="L2733" s="10">
        <f>HYPERLINK("https://mizoramtenders.gov.in/tender/2026_MIZ_4422006_67", "⬇ Download Tender_2026_MIZ_4422006_")</f>
        <v/>
      </c>
      <c r="M2733" s="10">
        <f>HYPERLINK("http://localhost:5173/?state=Mizoram&amp;keyword=Forest&amp;tender=2026_MIZ_4422006_67", "🚀 Open in Portal")</f>
        <v/>
      </c>
    </row>
    <row r="2734" ht="24" customHeight="1">
      <c r="A2734" s="11" t="inlineStr">
        <is>
          <t>Mizoram</t>
        </is>
      </c>
      <c r="B2734" s="12" t="inlineStr">
        <is>
          <t>Forest</t>
        </is>
      </c>
      <c r="C2734" s="13" t="inlineStr">
        <is>
          <t>MIZ-FOREST-2026-6629</t>
        </is>
      </c>
      <c r="D2734" s="14" t="inlineStr">
        <is>
          <t>Bamboo Forest Inventory Satellite Analysis &amp; Climate Carbon Sequestration Model</t>
        </is>
      </c>
      <c r="E2734" s="14" t="inlineStr">
        <is>
          <t>ENVIRONMENT, FORESTS &amp; CLIMATE CHANGE-Tuikhuahtlang, Aizawl</t>
        </is>
      </c>
      <c r="F2734" s="13" t="inlineStr">
        <is>
          <t>06 Sep 2026</t>
        </is>
      </c>
      <c r="G2734" s="12" t="inlineStr">
        <is>
          <t>30 Sep 2026</t>
        </is>
      </c>
      <c r="H2734" s="8" t="inlineStr">
        <is>
          <t>⏳ UPCOMING</t>
        </is>
      </c>
      <c r="I2734" s="11" t="inlineStr">
        <is>
          <t>Bamboo_Forest_Carbon_Study_RFP.pdf</t>
        </is>
      </c>
      <c r="J2734" s="13" t="inlineStr">
        <is>
          <t>📕 PDF Document</t>
        </is>
      </c>
      <c r="K2734" s="15" t="n">
        <v>17.9</v>
      </c>
      <c r="L2734" s="16">
        <f>HYPERLINK("http://127.0.0.1:8000/api/documents/download?id=2843&amp;attachment=true", "⬇ Download Bamboo_Forest_Carbon_Stu")</f>
        <v/>
      </c>
      <c r="M2734" s="16">
        <f>HYPERLINK("http://localhost:5173/?state=Mizoram&amp;keyword=Forest&amp;tender=MIZ-FOREST-2026-6629", "🚀 Open in Portal")</f>
        <v/>
      </c>
    </row>
    <row r="2735" ht="24" customHeight="1">
      <c r="A2735" s="4" t="inlineStr">
        <is>
          <t>Mizoram</t>
        </is>
      </c>
      <c r="B2735" s="5" t="inlineStr">
        <is>
          <t>Forest</t>
        </is>
      </c>
      <c r="C2735" s="6" t="inlineStr">
        <is>
          <t>MIZ-FOREST-2026-6629</t>
        </is>
      </c>
      <c r="D2735" s="7" t="inlineStr">
        <is>
          <t>Bamboo Forest Inventory Satellite Analysis &amp; Climate Carbon Sequestration Model</t>
        </is>
      </c>
      <c r="E2735" s="7" t="inlineStr">
        <is>
          <t>ENVIRONMENT, FORESTS &amp; CLIMATE CHANGE-Tuikhuahtlang, Aizawl</t>
        </is>
      </c>
      <c r="F2735" s="6" t="inlineStr">
        <is>
          <t>06 Sep 2026</t>
        </is>
      </c>
      <c r="G2735" s="5" t="inlineStr">
        <is>
          <t>30 Sep 2026</t>
        </is>
      </c>
      <c r="H2735" s="8" t="inlineStr">
        <is>
          <t>⏳ UPCOMING</t>
        </is>
      </c>
      <c r="I2735" s="4" t="inlineStr">
        <is>
          <t>Remote_Sensing_Methodology.pdf</t>
        </is>
      </c>
      <c r="J2735" s="6" t="inlineStr">
        <is>
          <t>📕 PDF Document</t>
        </is>
      </c>
      <c r="K2735" s="9" t="n">
        <v>17.9</v>
      </c>
      <c r="L2735" s="10">
        <f>HYPERLINK("http://127.0.0.1:8000/api/documents/download?id=2844&amp;attachment=true", "⬇ Download Remote_Sensing_Methodolo")</f>
        <v/>
      </c>
      <c r="M2735" s="10">
        <f>HYPERLINK("http://localhost:5173/?state=Mizoram&amp;keyword=Forest&amp;tender=MIZ-FOREST-2026-6629", "🚀 Open in Portal")</f>
        <v/>
      </c>
    </row>
    <row r="2736" ht="24" customHeight="1">
      <c r="A2736" s="11" t="inlineStr">
        <is>
          <t>Mizoram</t>
        </is>
      </c>
      <c r="B2736" s="12" t="inlineStr">
        <is>
          <t>Forest</t>
        </is>
      </c>
      <c r="C2736" s="13" t="inlineStr">
        <is>
          <t>MIZ-FOREST-2026-6629</t>
        </is>
      </c>
      <c r="D2736" s="14" t="inlineStr">
        <is>
          <t>Bamboo Forest Inventory Satellite Analysis &amp; Climate Carbon Sequestration Model</t>
        </is>
      </c>
      <c r="E2736" s="14" t="inlineStr">
        <is>
          <t>ENVIRONMENT, FORESTS &amp; CLIMATE CHANGE-Tuikhuahtlang, Aizawl</t>
        </is>
      </c>
      <c r="F2736" s="13" t="inlineStr">
        <is>
          <t>06 Sep 2026</t>
        </is>
      </c>
      <c r="G2736" s="12" t="inlineStr">
        <is>
          <t>30 Sep 2026</t>
        </is>
      </c>
      <c r="H2736" s="8" t="inlineStr">
        <is>
          <t>⏳ UPCOMING</t>
        </is>
      </c>
      <c r="I2736" s="11" t="inlineStr">
        <is>
          <t>Tender_MIZ-FOREST-2026-6629_All_Documents.zip</t>
        </is>
      </c>
      <c r="J2736" s="13" t="inlineStr">
        <is>
          <t>📦 ZIP Package</t>
        </is>
      </c>
      <c r="K2736" s="15" t="n">
        <v>18.6</v>
      </c>
      <c r="L2736" s="16">
        <f>HYPERLINK("http://127.0.0.1:8000/api/documents/download?id=3023&amp;attachment=true", "⬇ Download Tender_MIZ-FOREST-2026-6")</f>
        <v/>
      </c>
      <c r="M2736" s="16">
        <f>HYPERLINK("http://localhost:5173/?state=Mizoram&amp;keyword=Forest&amp;tender=MIZ-FOREST-2026-6629", "🚀 Open in Portal")</f>
        <v/>
      </c>
    </row>
    <row r="2737" ht="24" customHeight="1">
      <c r="A2737" s="4" t="inlineStr">
        <is>
          <t>Mizoram</t>
        </is>
      </c>
      <c r="B2737" s="5" t="inlineStr">
        <is>
          <t>Climate Change</t>
        </is>
      </c>
      <c r="C2737" s="6" t="inlineStr">
        <is>
          <t>MIZ-FOREST-2026-6629</t>
        </is>
      </c>
      <c r="D2737" s="7" t="inlineStr">
        <is>
          <t>Bamboo Forest Inventory Satellite Analysis &amp; Climate Carbon Sequestration Model</t>
        </is>
      </c>
      <c r="E2737" s="7" t="inlineStr">
        <is>
          <t>ENVIRONMENT, FORESTS &amp; CLIMATE CHANGE-Tuikhuahtlang, Aizawl</t>
        </is>
      </c>
      <c r="F2737" s="6" t="inlineStr">
        <is>
          <t>06 Sep 2026</t>
        </is>
      </c>
      <c r="G2737" s="5" t="inlineStr">
        <is>
          <t>30 Sep 2026</t>
        </is>
      </c>
      <c r="H2737" s="8" t="inlineStr">
        <is>
          <t>⏳ UPCOMING</t>
        </is>
      </c>
      <c r="I2737" s="4" t="inlineStr">
        <is>
          <t>Bamboo_Forest_Carbon_Study_RFP.pdf</t>
        </is>
      </c>
      <c r="J2737" s="6" t="inlineStr">
        <is>
          <t>📕 PDF Document</t>
        </is>
      </c>
      <c r="K2737" s="9" t="n">
        <v>17.9</v>
      </c>
      <c r="L2737" s="10">
        <f>HYPERLINK("http://127.0.0.1:8000/api/documents/download?id=2843&amp;attachment=true", "⬇ Download Bamboo_Forest_Carbon_Stu")</f>
        <v/>
      </c>
      <c r="M2737" s="10">
        <f>HYPERLINK("http://localhost:5173/?state=Mizoram&amp;keyword=Climate%20Change&amp;tender=MIZ-FOREST-2026-6629", "🚀 Open in Portal")</f>
        <v/>
      </c>
    </row>
    <row r="2738" ht="24" customHeight="1">
      <c r="A2738" s="11" t="inlineStr">
        <is>
          <t>Mizoram</t>
        </is>
      </c>
      <c r="B2738" s="12" t="inlineStr">
        <is>
          <t>Climate Change</t>
        </is>
      </c>
      <c r="C2738" s="13" t="inlineStr">
        <is>
          <t>MIZ-FOREST-2026-6629</t>
        </is>
      </c>
      <c r="D2738" s="14" t="inlineStr">
        <is>
          <t>Bamboo Forest Inventory Satellite Analysis &amp; Climate Carbon Sequestration Model</t>
        </is>
      </c>
      <c r="E2738" s="14" t="inlineStr">
        <is>
          <t>ENVIRONMENT, FORESTS &amp; CLIMATE CHANGE-Tuikhuahtlang, Aizawl</t>
        </is>
      </c>
      <c r="F2738" s="13" t="inlineStr">
        <is>
          <t>06 Sep 2026</t>
        </is>
      </c>
      <c r="G2738" s="12" t="inlineStr">
        <is>
          <t>30 Sep 2026</t>
        </is>
      </c>
      <c r="H2738" s="8" t="inlineStr">
        <is>
          <t>⏳ UPCOMING</t>
        </is>
      </c>
      <c r="I2738" s="11" t="inlineStr">
        <is>
          <t>Remote_Sensing_Methodology.pdf</t>
        </is>
      </c>
      <c r="J2738" s="13" t="inlineStr">
        <is>
          <t>📕 PDF Document</t>
        </is>
      </c>
      <c r="K2738" s="15" t="n">
        <v>17.9</v>
      </c>
      <c r="L2738" s="16">
        <f>HYPERLINK("http://127.0.0.1:8000/api/documents/download?id=2844&amp;attachment=true", "⬇ Download Remote_Sensing_Methodolo")</f>
        <v/>
      </c>
      <c r="M2738" s="16">
        <f>HYPERLINK("http://localhost:5173/?state=Mizoram&amp;keyword=Climate%20Change&amp;tender=MIZ-FOREST-2026-6629", "🚀 Open in Portal")</f>
        <v/>
      </c>
    </row>
    <row r="2739" ht="24" customHeight="1">
      <c r="A2739" s="4" t="inlineStr">
        <is>
          <t>Mizoram</t>
        </is>
      </c>
      <c r="B2739" s="5" t="inlineStr">
        <is>
          <t>Climate Change</t>
        </is>
      </c>
      <c r="C2739" s="6" t="inlineStr">
        <is>
          <t>MIZ-FOREST-2026-6629</t>
        </is>
      </c>
      <c r="D2739" s="7" t="inlineStr">
        <is>
          <t>Bamboo Forest Inventory Satellite Analysis &amp; Climate Carbon Sequestration Model</t>
        </is>
      </c>
      <c r="E2739" s="7" t="inlineStr">
        <is>
          <t>ENVIRONMENT, FORESTS &amp; CLIMATE CHANGE-Tuikhuahtlang, Aizawl</t>
        </is>
      </c>
      <c r="F2739" s="6" t="inlineStr">
        <is>
          <t>06 Sep 2026</t>
        </is>
      </c>
      <c r="G2739" s="5" t="inlineStr">
        <is>
          <t>30 Sep 2026</t>
        </is>
      </c>
      <c r="H2739" s="8" t="inlineStr">
        <is>
          <t>⏳ UPCOMING</t>
        </is>
      </c>
      <c r="I2739" s="4" t="inlineStr">
        <is>
          <t>Tender_MIZ-FOREST-2026-6629_All_Documents.zip</t>
        </is>
      </c>
      <c r="J2739" s="6" t="inlineStr">
        <is>
          <t>📦 ZIP Package</t>
        </is>
      </c>
      <c r="K2739" s="9" t="n">
        <v>18.6</v>
      </c>
      <c r="L2739" s="10">
        <f>HYPERLINK("http://127.0.0.1:8000/api/documents/download?id=3023&amp;attachment=true", "⬇ Download Tender_MIZ-FOREST-2026-6")</f>
        <v/>
      </c>
      <c r="M2739" s="10">
        <f>HYPERLINK("http://localhost:5173/?state=Mizoram&amp;keyword=Climate%20Change&amp;tender=MIZ-FOREST-2026-6629", "🚀 Open in Portal")</f>
        <v/>
      </c>
    </row>
    <row r="2740" ht="24" customHeight="1">
      <c r="A2740" s="11" t="inlineStr">
        <is>
          <t>Mizoram</t>
        </is>
      </c>
      <c r="B2740" s="12" t="inlineStr">
        <is>
          <t>Environment</t>
        </is>
      </c>
      <c r="C2740" s="13" t="inlineStr">
        <is>
          <t>MIZ-FOREST-2026-6629</t>
        </is>
      </c>
      <c r="D2740" s="14" t="inlineStr">
        <is>
          <t>Bamboo Forest Inventory Satellite Analysis &amp; Climate Carbon Sequestration Model</t>
        </is>
      </c>
      <c r="E2740" s="14" t="inlineStr">
        <is>
          <t>ENVIRONMENT, FORESTS &amp; CLIMATE CHANGE-Tuikhuahtlang, Aizawl</t>
        </is>
      </c>
      <c r="F2740" s="13" t="inlineStr">
        <is>
          <t>06 Sep 2026</t>
        </is>
      </c>
      <c r="G2740" s="12" t="inlineStr">
        <is>
          <t>30 Sep 2026</t>
        </is>
      </c>
      <c r="H2740" s="8" t="inlineStr">
        <is>
          <t>⏳ UPCOMING</t>
        </is>
      </c>
      <c r="I2740" s="11" t="inlineStr">
        <is>
          <t>Bamboo_Forest_Carbon_Study_RFP.pdf</t>
        </is>
      </c>
      <c r="J2740" s="13" t="inlineStr">
        <is>
          <t>📕 PDF Document</t>
        </is>
      </c>
      <c r="K2740" s="15" t="n">
        <v>17.9</v>
      </c>
      <c r="L2740" s="16">
        <f>HYPERLINK("http://127.0.0.1:8000/api/documents/download?id=2843&amp;attachment=true", "⬇ Download Bamboo_Forest_Carbon_Stu")</f>
        <v/>
      </c>
      <c r="M2740" s="16">
        <f>HYPERLINK("http://localhost:5173/?state=Mizoram&amp;keyword=Environment&amp;tender=MIZ-FOREST-2026-6629", "🚀 Open in Portal")</f>
        <v/>
      </c>
    </row>
    <row r="2741" ht="24" customHeight="1">
      <c r="A2741" s="4" t="inlineStr">
        <is>
          <t>Mizoram</t>
        </is>
      </c>
      <c r="B2741" s="5" t="inlineStr">
        <is>
          <t>Environment</t>
        </is>
      </c>
      <c r="C2741" s="6" t="inlineStr">
        <is>
          <t>MIZ-FOREST-2026-6629</t>
        </is>
      </c>
      <c r="D2741" s="7" t="inlineStr">
        <is>
          <t>Bamboo Forest Inventory Satellite Analysis &amp; Climate Carbon Sequestration Model</t>
        </is>
      </c>
      <c r="E2741" s="7" t="inlineStr">
        <is>
          <t>ENVIRONMENT, FORESTS &amp; CLIMATE CHANGE-Tuikhuahtlang, Aizawl</t>
        </is>
      </c>
      <c r="F2741" s="6" t="inlineStr">
        <is>
          <t>06 Sep 2026</t>
        </is>
      </c>
      <c r="G2741" s="5" t="inlineStr">
        <is>
          <t>30 Sep 2026</t>
        </is>
      </c>
      <c r="H2741" s="8" t="inlineStr">
        <is>
          <t>⏳ UPCOMING</t>
        </is>
      </c>
      <c r="I2741" s="4" t="inlineStr">
        <is>
          <t>Remote_Sensing_Methodology.pdf</t>
        </is>
      </c>
      <c r="J2741" s="6" t="inlineStr">
        <is>
          <t>📕 PDF Document</t>
        </is>
      </c>
      <c r="K2741" s="9" t="n">
        <v>17.9</v>
      </c>
      <c r="L2741" s="10">
        <f>HYPERLINK("http://127.0.0.1:8000/api/documents/download?id=2844&amp;attachment=true", "⬇ Download Remote_Sensing_Methodolo")</f>
        <v/>
      </c>
      <c r="M2741" s="10">
        <f>HYPERLINK("http://localhost:5173/?state=Mizoram&amp;keyword=Environment&amp;tender=MIZ-FOREST-2026-6629", "🚀 Open in Portal")</f>
        <v/>
      </c>
    </row>
    <row r="2742" ht="24" customHeight="1">
      <c r="A2742" s="11" t="inlineStr">
        <is>
          <t>Mizoram</t>
        </is>
      </c>
      <c r="B2742" s="12" t="inlineStr">
        <is>
          <t>Environment</t>
        </is>
      </c>
      <c r="C2742" s="13" t="inlineStr">
        <is>
          <t>MIZ-FOREST-2026-6629</t>
        </is>
      </c>
      <c r="D2742" s="14" t="inlineStr">
        <is>
          <t>Bamboo Forest Inventory Satellite Analysis &amp; Climate Carbon Sequestration Model</t>
        </is>
      </c>
      <c r="E2742" s="14" t="inlineStr">
        <is>
          <t>ENVIRONMENT, FORESTS &amp; CLIMATE CHANGE-Tuikhuahtlang, Aizawl</t>
        </is>
      </c>
      <c r="F2742" s="13" t="inlineStr">
        <is>
          <t>06 Sep 2026</t>
        </is>
      </c>
      <c r="G2742" s="12" t="inlineStr">
        <is>
          <t>30 Sep 2026</t>
        </is>
      </c>
      <c r="H2742" s="8" t="inlineStr">
        <is>
          <t>⏳ UPCOMING</t>
        </is>
      </c>
      <c r="I2742" s="11" t="inlineStr">
        <is>
          <t>Tender_MIZ-FOREST-2026-6629_All_Documents.zip</t>
        </is>
      </c>
      <c r="J2742" s="13" t="inlineStr">
        <is>
          <t>📦 ZIP Package</t>
        </is>
      </c>
      <c r="K2742" s="15" t="n">
        <v>18.6</v>
      </c>
      <c r="L2742" s="16">
        <f>HYPERLINK("http://127.0.0.1:8000/api/documents/download?id=3023&amp;attachment=true", "⬇ Download Tender_MIZ-FOREST-2026-6")</f>
        <v/>
      </c>
      <c r="M2742" s="16">
        <f>HYPERLINK("http://localhost:5173/?state=Mizoram&amp;keyword=Environment&amp;tender=MIZ-FOREST-2026-6629", "🚀 Open in Portal")</f>
        <v/>
      </c>
    </row>
    <row r="2743" ht="24" customHeight="1">
      <c r="A2743" s="4" t="inlineStr">
        <is>
          <t>Mizoram</t>
        </is>
      </c>
      <c r="B2743" s="5" t="inlineStr">
        <is>
          <t>Spatial</t>
        </is>
      </c>
      <c r="C2743" s="6" t="inlineStr">
        <is>
          <t>MIZ-ICT-2026-1104</t>
        </is>
      </c>
      <c r="D2743" s="7" t="inlineStr">
        <is>
          <t>Statewide Optical Fiber Network GIS Asset Mapping &amp; Infrastructure Portal</t>
        </is>
      </c>
      <c r="E2743" s="7" t="inlineStr">
        <is>
          <t>MUSTER-Mizoram State e-Governance Society, Aizawl</t>
        </is>
      </c>
      <c r="F2743" s="6" t="inlineStr">
        <is>
          <t>08 Aug 2026</t>
        </is>
      </c>
      <c r="G2743" s="5" t="inlineStr">
        <is>
          <t>05 Sep 2026</t>
        </is>
      </c>
      <c r="H2743" s="8" t="inlineStr">
        <is>
          <t>⏳ UPCOMING</t>
        </is>
      </c>
      <c r="I2743" s="4" t="inlineStr">
        <is>
          <t>Mizoram_OFC_GIS_Mapping_RFP.pdf</t>
        </is>
      </c>
      <c r="J2743" s="6" t="inlineStr">
        <is>
          <t>📕 PDF Document</t>
        </is>
      </c>
      <c r="K2743" s="9" t="n">
        <v>17.9</v>
      </c>
      <c r="L2743" s="10">
        <f>HYPERLINK("http://127.0.0.1:8000/api/documents/download?id=2841&amp;attachment=true", "⬇ Download Mizoram_OFC_GIS_Mapping_")</f>
        <v/>
      </c>
      <c r="M2743" s="10">
        <f>HYPERLINK("http://localhost:5173/?state=Mizoram&amp;keyword=Spatial&amp;tender=MIZ-ICT-2026-1104", "🚀 Open in Portal")</f>
        <v/>
      </c>
    </row>
    <row r="2744" ht="24" customHeight="1">
      <c r="A2744" s="11" t="inlineStr">
        <is>
          <t>Mizoram</t>
        </is>
      </c>
      <c r="B2744" s="12" t="inlineStr">
        <is>
          <t>Spatial</t>
        </is>
      </c>
      <c r="C2744" s="13" t="inlineStr">
        <is>
          <t>MIZ-ICT-2026-1104</t>
        </is>
      </c>
      <c r="D2744" s="14" t="inlineStr">
        <is>
          <t>Statewide Optical Fiber Network GIS Asset Mapping &amp; Infrastructure Portal</t>
        </is>
      </c>
      <c r="E2744" s="14" t="inlineStr">
        <is>
          <t>MUSTER-Mizoram State e-Governance Society, Aizawl</t>
        </is>
      </c>
      <c r="F2744" s="13" t="inlineStr">
        <is>
          <t>08 Aug 2026</t>
        </is>
      </c>
      <c r="G2744" s="12" t="inlineStr">
        <is>
          <t>05 Sep 2026</t>
        </is>
      </c>
      <c r="H2744" s="8" t="inlineStr">
        <is>
          <t>⏳ UPCOMING</t>
        </is>
      </c>
      <c r="I2744" s="11" t="inlineStr">
        <is>
          <t>GPS_Survey_Standard_Operating_Procedure.pdf</t>
        </is>
      </c>
      <c r="J2744" s="13" t="inlineStr">
        <is>
          <t>📕 PDF Document</t>
        </is>
      </c>
      <c r="K2744" s="15" t="n">
        <v>17.9</v>
      </c>
      <c r="L2744" s="16">
        <f>HYPERLINK("http://127.0.0.1:8000/api/documents/download?id=2842&amp;attachment=true", "⬇ Download GPS_Survey_Standard_Oper")</f>
        <v/>
      </c>
      <c r="M2744" s="16">
        <f>HYPERLINK("http://localhost:5173/?state=Mizoram&amp;keyword=Spatial&amp;tender=MIZ-ICT-2026-1104", "🚀 Open in Portal")</f>
        <v/>
      </c>
    </row>
    <row r="2745" ht="24" customHeight="1">
      <c r="A2745" s="4" t="inlineStr">
        <is>
          <t>Mizoram</t>
        </is>
      </c>
      <c r="B2745" s="5" t="inlineStr">
        <is>
          <t>Spatial</t>
        </is>
      </c>
      <c r="C2745" s="6" t="inlineStr">
        <is>
          <t>MIZ-ICT-2026-1104</t>
        </is>
      </c>
      <c r="D2745" s="7" t="inlineStr">
        <is>
          <t>Statewide Optical Fiber Network GIS Asset Mapping &amp; Infrastructure Portal</t>
        </is>
      </c>
      <c r="E2745" s="7" t="inlineStr">
        <is>
          <t>MUSTER-Mizoram State e-Governance Society, Aizawl</t>
        </is>
      </c>
      <c r="F2745" s="6" t="inlineStr">
        <is>
          <t>08 Aug 2026</t>
        </is>
      </c>
      <c r="G2745" s="5" t="inlineStr">
        <is>
          <t>05 Sep 2026</t>
        </is>
      </c>
      <c r="H2745" s="8" t="inlineStr">
        <is>
          <t>⏳ UPCOMING</t>
        </is>
      </c>
      <c r="I2745" s="4" t="inlineStr">
        <is>
          <t>Tender_MIZ-ICT-2026-1104_All_Documents.zip</t>
        </is>
      </c>
      <c r="J2745" s="6" t="inlineStr">
        <is>
          <t>📦 ZIP Package</t>
        </is>
      </c>
      <c r="K2745" s="9" t="n">
        <v>18.7</v>
      </c>
      <c r="L2745" s="10">
        <f>HYPERLINK("http://127.0.0.1:8000/api/documents/download?id=3022&amp;attachment=true", "⬇ Download Tender_MIZ-ICT-2026-1104")</f>
        <v/>
      </c>
      <c r="M2745" s="10">
        <f>HYPERLINK("http://localhost:5173/?state=Mizoram&amp;keyword=Spatial&amp;tender=MIZ-ICT-2026-1104", "🚀 Open in Portal")</f>
        <v/>
      </c>
    </row>
    <row r="2746" ht="24" customHeight="1">
      <c r="A2746" s="11" t="inlineStr">
        <is>
          <t>Mizoram</t>
        </is>
      </c>
      <c r="B2746" s="12" t="inlineStr">
        <is>
          <t>MIS</t>
        </is>
      </c>
      <c r="C2746" s="13" t="inlineStr">
        <is>
          <t>MIZ-AGRI-2026-4481</t>
        </is>
      </c>
      <c r="D2746" s="14" t="inlineStr">
        <is>
          <t>Jhum Cultivation Transition &amp; Agro-Forestry Field Survey Mobile App</t>
        </is>
      </c>
      <c r="E2746" s="14" t="inlineStr">
        <is>
          <t>AGRICULTURE DEPARTMENT-Government of Mizoram</t>
        </is>
      </c>
      <c r="F2746" s="13" t="inlineStr">
        <is>
          <t>05 Oct 2026</t>
        </is>
      </c>
      <c r="G2746" s="12" t="inlineStr">
        <is>
          <t>03 Nov 2026</t>
        </is>
      </c>
      <c r="H2746" s="17" t="inlineStr">
        <is>
          <t>🟢 LIVE ACTIVE</t>
        </is>
      </c>
      <c r="I2746" s="11" t="inlineStr">
        <is>
          <t>Jhum_Cultivation_Survey_App_RFP.pdf</t>
        </is>
      </c>
      <c r="J2746" s="13" t="inlineStr">
        <is>
          <t>📕 PDF Document</t>
        </is>
      </c>
      <c r="K2746" s="15" t="n">
        <v>17.9</v>
      </c>
      <c r="L2746" s="16">
        <f>HYPERLINK("http://127.0.0.1:8000/api/documents/download?id=2845&amp;attachment=true", "⬇ Download Jhum_Cultivation_Survey_")</f>
        <v/>
      </c>
      <c r="M2746" s="16">
        <f>HYPERLINK("http://localhost:5173/?state=Mizoram&amp;keyword=MIS&amp;tender=MIZ-AGRI-2026-4481", "🚀 Open in Portal")</f>
        <v/>
      </c>
    </row>
    <row r="2747" ht="24" customHeight="1">
      <c r="A2747" s="4" t="inlineStr">
        <is>
          <t>Mizoram</t>
        </is>
      </c>
      <c r="B2747" s="5" t="inlineStr">
        <is>
          <t>MIS</t>
        </is>
      </c>
      <c r="C2747" s="6" t="inlineStr">
        <is>
          <t>MIZ-AGRI-2026-4481</t>
        </is>
      </c>
      <c r="D2747" s="7" t="inlineStr">
        <is>
          <t>Jhum Cultivation Transition &amp; Agro-Forestry Field Survey Mobile App</t>
        </is>
      </c>
      <c r="E2747" s="7" t="inlineStr">
        <is>
          <t>AGRICULTURE DEPARTMENT-Government of Mizoram</t>
        </is>
      </c>
      <c r="F2747" s="6" t="inlineStr">
        <is>
          <t>05 Oct 2026</t>
        </is>
      </c>
      <c r="G2747" s="5" t="inlineStr">
        <is>
          <t>03 Nov 2026</t>
        </is>
      </c>
      <c r="H2747" s="17" t="inlineStr">
        <is>
          <t>🟢 LIVE ACTIVE</t>
        </is>
      </c>
      <c r="I2747" s="4" t="inlineStr">
        <is>
          <t>Field_Enumerator_Manual.pdf</t>
        </is>
      </c>
      <c r="J2747" s="6" t="inlineStr">
        <is>
          <t>📕 PDF Document</t>
        </is>
      </c>
      <c r="K2747" s="9" t="n">
        <v>17.9</v>
      </c>
      <c r="L2747" s="10">
        <f>HYPERLINK("http://127.0.0.1:8000/api/documents/download?id=2846&amp;attachment=true", "⬇ Download Field_Enumerator_Manual.")</f>
        <v/>
      </c>
      <c r="M2747" s="10">
        <f>HYPERLINK("http://localhost:5173/?state=Mizoram&amp;keyword=MIS&amp;tender=MIZ-AGRI-2026-4481", "🚀 Open in Portal")</f>
        <v/>
      </c>
    </row>
    <row r="2748" ht="24" customHeight="1">
      <c r="A2748" s="11" t="inlineStr">
        <is>
          <t>Mizoram</t>
        </is>
      </c>
      <c r="B2748" s="12" t="inlineStr">
        <is>
          <t>MIS</t>
        </is>
      </c>
      <c r="C2748" s="13" t="inlineStr">
        <is>
          <t>MIZ-AGRI-2026-4481</t>
        </is>
      </c>
      <c r="D2748" s="14" t="inlineStr">
        <is>
          <t>Jhum Cultivation Transition &amp; Agro-Forestry Field Survey Mobile App</t>
        </is>
      </c>
      <c r="E2748" s="14" t="inlineStr">
        <is>
          <t>AGRICULTURE DEPARTMENT-Government of Mizoram</t>
        </is>
      </c>
      <c r="F2748" s="13" t="inlineStr">
        <is>
          <t>05 Oct 2026</t>
        </is>
      </c>
      <c r="G2748" s="12" t="inlineStr">
        <is>
          <t>03 Nov 2026</t>
        </is>
      </c>
      <c r="H2748" s="17" t="inlineStr">
        <is>
          <t>🟢 LIVE ACTIVE</t>
        </is>
      </c>
      <c r="I2748" s="11" t="inlineStr">
        <is>
          <t>Tender_MIZ-AGRI-2026-4481_All_Documents.zip</t>
        </is>
      </c>
      <c r="J2748" s="13" t="inlineStr">
        <is>
          <t>📦 ZIP Package</t>
        </is>
      </c>
      <c r="K2748" s="15" t="n">
        <v>18.6</v>
      </c>
      <c r="L2748" s="16">
        <f>HYPERLINK("http://127.0.0.1:8000/api/documents/download?id=3024&amp;attachment=true", "⬇ Download Tender_MIZ-AGRI-2026-448")</f>
        <v/>
      </c>
      <c r="M2748" s="16">
        <f>HYPERLINK("http://localhost:5173/?state=Mizoram&amp;keyword=MIS&amp;tender=MIZ-AGRI-2026-4481", "🚀 Open in Portal")</f>
        <v/>
      </c>
    </row>
    <row r="2749" ht="24" customHeight="1">
      <c r="A2749" s="4" t="inlineStr">
        <is>
          <t>Mizoram</t>
        </is>
      </c>
      <c r="B2749" s="5" t="inlineStr">
        <is>
          <t>Mobile Application</t>
        </is>
      </c>
      <c r="C2749" s="6" t="inlineStr">
        <is>
          <t>MIZ-AGRI-2026-4481</t>
        </is>
      </c>
      <c r="D2749" s="7" t="inlineStr">
        <is>
          <t>Jhum Cultivation Transition &amp; Agro-Forestry Field Survey Mobile App</t>
        </is>
      </c>
      <c r="E2749" s="7" t="inlineStr">
        <is>
          <t>AGRICULTURE DEPARTMENT-Government of Mizoram</t>
        </is>
      </c>
      <c r="F2749" s="6" t="inlineStr">
        <is>
          <t>05 Oct 2026</t>
        </is>
      </c>
      <c r="G2749" s="5" t="inlineStr">
        <is>
          <t>03 Nov 2026</t>
        </is>
      </c>
      <c r="H2749" s="17" t="inlineStr">
        <is>
          <t>🟢 LIVE ACTIVE</t>
        </is>
      </c>
      <c r="I2749" s="4" t="inlineStr">
        <is>
          <t>Jhum_Cultivation_Survey_App_RFP.pdf</t>
        </is>
      </c>
      <c r="J2749" s="6" t="inlineStr">
        <is>
          <t>📕 PDF Document</t>
        </is>
      </c>
      <c r="K2749" s="9" t="n">
        <v>17.9</v>
      </c>
      <c r="L2749" s="10">
        <f>HYPERLINK("http://127.0.0.1:8000/api/documents/download?id=2845&amp;attachment=true", "⬇ Download Jhum_Cultivation_Survey_")</f>
        <v/>
      </c>
      <c r="M2749" s="10">
        <f>HYPERLINK("http://localhost:5173/?state=Mizoram&amp;keyword=Mobile%20Application&amp;tender=MIZ-AGRI-2026-4481", "🚀 Open in Portal")</f>
        <v/>
      </c>
    </row>
    <row r="2750" ht="24" customHeight="1">
      <c r="A2750" s="11" t="inlineStr">
        <is>
          <t>Mizoram</t>
        </is>
      </c>
      <c r="B2750" s="12" t="inlineStr">
        <is>
          <t>Mobile Application</t>
        </is>
      </c>
      <c r="C2750" s="13" t="inlineStr">
        <is>
          <t>MIZ-AGRI-2026-4481</t>
        </is>
      </c>
      <c r="D2750" s="14" t="inlineStr">
        <is>
          <t>Jhum Cultivation Transition &amp; Agro-Forestry Field Survey Mobile App</t>
        </is>
      </c>
      <c r="E2750" s="14" t="inlineStr">
        <is>
          <t>AGRICULTURE DEPARTMENT-Government of Mizoram</t>
        </is>
      </c>
      <c r="F2750" s="13" t="inlineStr">
        <is>
          <t>05 Oct 2026</t>
        </is>
      </c>
      <c r="G2750" s="12" t="inlineStr">
        <is>
          <t>03 Nov 2026</t>
        </is>
      </c>
      <c r="H2750" s="17" t="inlineStr">
        <is>
          <t>🟢 LIVE ACTIVE</t>
        </is>
      </c>
      <c r="I2750" s="11" t="inlineStr">
        <is>
          <t>Field_Enumerator_Manual.pdf</t>
        </is>
      </c>
      <c r="J2750" s="13" t="inlineStr">
        <is>
          <t>📕 PDF Document</t>
        </is>
      </c>
      <c r="K2750" s="15" t="n">
        <v>17.9</v>
      </c>
      <c r="L2750" s="16">
        <f>HYPERLINK("http://127.0.0.1:8000/api/documents/download?id=2846&amp;attachment=true", "⬇ Download Field_Enumerator_Manual.")</f>
        <v/>
      </c>
      <c r="M2750" s="16">
        <f>HYPERLINK("http://localhost:5173/?state=Mizoram&amp;keyword=Mobile%20Application&amp;tender=MIZ-AGRI-2026-4481", "🚀 Open in Portal")</f>
        <v/>
      </c>
    </row>
    <row r="2751" ht="24" customHeight="1">
      <c r="A2751" s="4" t="inlineStr">
        <is>
          <t>Mizoram</t>
        </is>
      </c>
      <c r="B2751" s="5" t="inlineStr">
        <is>
          <t>Mobile Application</t>
        </is>
      </c>
      <c r="C2751" s="6" t="inlineStr">
        <is>
          <t>MIZ-AGRI-2026-4481</t>
        </is>
      </c>
      <c r="D2751" s="7" t="inlineStr">
        <is>
          <t>Jhum Cultivation Transition &amp; Agro-Forestry Field Survey Mobile App</t>
        </is>
      </c>
      <c r="E2751" s="7" t="inlineStr">
        <is>
          <t>AGRICULTURE DEPARTMENT-Government of Mizoram</t>
        </is>
      </c>
      <c r="F2751" s="6" t="inlineStr">
        <is>
          <t>05 Oct 2026</t>
        </is>
      </c>
      <c r="G2751" s="5" t="inlineStr">
        <is>
          <t>03 Nov 2026</t>
        </is>
      </c>
      <c r="H2751" s="17" t="inlineStr">
        <is>
          <t>🟢 LIVE ACTIVE</t>
        </is>
      </c>
      <c r="I2751" s="4" t="inlineStr">
        <is>
          <t>Tender_MIZ-AGRI-2026-4481_All_Documents.zip</t>
        </is>
      </c>
      <c r="J2751" s="6" t="inlineStr">
        <is>
          <t>📦 ZIP Package</t>
        </is>
      </c>
      <c r="K2751" s="9" t="n">
        <v>18.6</v>
      </c>
      <c r="L2751" s="10">
        <f>HYPERLINK("http://127.0.0.1:8000/api/documents/download?id=3024&amp;attachment=true", "⬇ Download Tender_MIZ-AGRI-2026-448")</f>
        <v/>
      </c>
      <c r="M2751" s="10">
        <f>HYPERLINK("http://localhost:5173/?state=Mizoram&amp;keyword=Mobile%20Application&amp;tender=MIZ-AGRI-2026-4481", "🚀 Open in Portal")</f>
        <v/>
      </c>
    </row>
    <row r="2752" ht="24" customHeight="1">
      <c r="A2752" s="11" t="inlineStr">
        <is>
          <t>Mizoram</t>
        </is>
      </c>
      <c r="B2752" s="12" t="inlineStr">
        <is>
          <t>Mapping</t>
        </is>
      </c>
      <c r="C2752" s="13" t="inlineStr">
        <is>
          <t>MIZ-ICT-2026-1104</t>
        </is>
      </c>
      <c r="D2752" s="14" t="inlineStr">
        <is>
          <t>Statewide Optical Fiber Network GIS Asset Mapping &amp; Infrastructure Portal</t>
        </is>
      </c>
      <c r="E2752" s="14" t="inlineStr">
        <is>
          <t>MUSTER-Mizoram State e-Governance Society, Aizawl</t>
        </is>
      </c>
      <c r="F2752" s="13" t="inlineStr">
        <is>
          <t>08 Aug 2026</t>
        </is>
      </c>
      <c r="G2752" s="12" t="inlineStr">
        <is>
          <t>05 Sep 2026</t>
        </is>
      </c>
      <c r="H2752" s="8" t="inlineStr">
        <is>
          <t>⏳ UPCOMING</t>
        </is>
      </c>
      <c r="I2752" s="11" t="inlineStr">
        <is>
          <t>Mizoram_OFC_GIS_Mapping_RFP.pdf</t>
        </is>
      </c>
      <c r="J2752" s="13" t="inlineStr">
        <is>
          <t>📕 PDF Document</t>
        </is>
      </c>
      <c r="K2752" s="15" t="n">
        <v>17.9</v>
      </c>
      <c r="L2752" s="16">
        <f>HYPERLINK("http://127.0.0.1:8000/api/documents/download?id=2841&amp;attachment=true", "⬇ Download Mizoram_OFC_GIS_Mapping_")</f>
        <v/>
      </c>
      <c r="M2752" s="16">
        <f>HYPERLINK("http://localhost:5173/?state=Mizoram&amp;keyword=Mapping&amp;tender=MIZ-ICT-2026-1104", "🚀 Open in Portal")</f>
        <v/>
      </c>
    </row>
    <row r="2753" ht="24" customHeight="1">
      <c r="A2753" s="4" t="inlineStr">
        <is>
          <t>Mizoram</t>
        </is>
      </c>
      <c r="B2753" s="5" t="inlineStr">
        <is>
          <t>Mapping</t>
        </is>
      </c>
      <c r="C2753" s="6" t="inlineStr">
        <is>
          <t>MIZ-ICT-2026-1104</t>
        </is>
      </c>
      <c r="D2753" s="7" t="inlineStr">
        <is>
          <t>Statewide Optical Fiber Network GIS Asset Mapping &amp; Infrastructure Portal</t>
        </is>
      </c>
      <c r="E2753" s="7" t="inlineStr">
        <is>
          <t>MUSTER-Mizoram State e-Governance Society, Aizawl</t>
        </is>
      </c>
      <c r="F2753" s="6" t="inlineStr">
        <is>
          <t>08 Aug 2026</t>
        </is>
      </c>
      <c r="G2753" s="5" t="inlineStr">
        <is>
          <t>05 Sep 2026</t>
        </is>
      </c>
      <c r="H2753" s="8" t="inlineStr">
        <is>
          <t>⏳ UPCOMING</t>
        </is>
      </c>
      <c r="I2753" s="4" t="inlineStr">
        <is>
          <t>GPS_Survey_Standard_Operating_Procedure.pdf</t>
        </is>
      </c>
      <c r="J2753" s="6" t="inlineStr">
        <is>
          <t>📕 PDF Document</t>
        </is>
      </c>
      <c r="K2753" s="9" t="n">
        <v>17.9</v>
      </c>
      <c r="L2753" s="10">
        <f>HYPERLINK("http://127.0.0.1:8000/api/documents/download?id=2842&amp;attachment=true", "⬇ Download GPS_Survey_Standard_Oper")</f>
        <v/>
      </c>
      <c r="M2753" s="10">
        <f>HYPERLINK("http://localhost:5173/?state=Mizoram&amp;keyword=Mapping&amp;tender=MIZ-ICT-2026-1104", "🚀 Open in Portal")</f>
        <v/>
      </c>
    </row>
    <row r="2754" ht="24" customHeight="1">
      <c r="A2754" s="11" t="inlineStr">
        <is>
          <t>Mizoram</t>
        </is>
      </c>
      <c r="B2754" s="12" t="inlineStr">
        <is>
          <t>Mapping</t>
        </is>
      </c>
      <c r="C2754" s="13" t="inlineStr">
        <is>
          <t>MIZ-ICT-2026-1104</t>
        </is>
      </c>
      <c r="D2754" s="14" t="inlineStr">
        <is>
          <t>Statewide Optical Fiber Network GIS Asset Mapping &amp; Infrastructure Portal</t>
        </is>
      </c>
      <c r="E2754" s="14" t="inlineStr">
        <is>
          <t>MUSTER-Mizoram State e-Governance Society, Aizawl</t>
        </is>
      </c>
      <c r="F2754" s="13" t="inlineStr">
        <is>
          <t>08 Aug 2026</t>
        </is>
      </c>
      <c r="G2754" s="12" t="inlineStr">
        <is>
          <t>05 Sep 2026</t>
        </is>
      </c>
      <c r="H2754" s="8" t="inlineStr">
        <is>
          <t>⏳ UPCOMING</t>
        </is>
      </c>
      <c r="I2754" s="11" t="inlineStr">
        <is>
          <t>Tender_MIZ-ICT-2026-1104_All_Documents.zip</t>
        </is>
      </c>
      <c r="J2754" s="13" t="inlineStr">
        <is>
          <t>📦 ZIP Package</t>
        </is>
      </c>
      <c r="K2754" s="15" t="n">
        <v>18.7</v>
      </c>
      <c r="L2754" s="16">
        <f>HYPERLINK("http://127.0.0.1:8000/api/documents/download?id=3022&amp;attachment=true", "⬇ Download Tender_MIZ-ICT-2026-1104")</f>
        <v/>
      </c>
      <c r="M2754" s="16">
        <f>HYPERLINK("http://localhost:5173/?state=Mizoram&amp;keyword=Mapping&amp;tender=MIZ-ICT-2026-1104", "🚀 Open in Portal")</f>
        <v/>
      </c>
    </row>
    <row r="2755" ht="24" customHeight="1">
      <c r="A2755" s="4" t="inlineStr">
        <is>
          <t>Mizoram</t>
        </is>
      </c>
      <c r="B2755" s="5" t="inlineStr">
        <is>
          <t>Website Development/Application</t>
        </is>
      </c>
      <c r="C2755" s="6" t="inlineStr">
        <is>
          <t>MIZ-ICT-2026-1104</t>
        </is>
      </c>
      <c r="D2755" s="7" t="inlineStr">
        <is>
          <t>Statewide Optical Fiber Network GIS Asset Mapping &amp; Infrastructure Portal</t>
        </is>
      </c>
      <c r="E2755" s="7" t="inlineStr">
        <is>
          <t>MUSTER-Mizoram State e-Governance Society, Aizawl</t>
        </is>
      </c>
      <c r="F2755" s="6" t="inlineStr">
        <is>
          <t>08 Aug 2026</t>
        </is>
      </c>
      <c r="G2755" s="5" t="inlineStr">
        <is>
          <t>05 Sep 2026</t>
        </is>
      </c>
      <c r="H2755" s="8" t="inlineStr">
        <is>
          <t>⏳ UPCOMING</t>
        </is>
      </c>
      <c r="I2755" s="4" t="inlineStr">
        <is>
          <t>Mizoram_OFC_GIS_Mapping_RFP.pdf</t>
        </is>
      </c>
      <c r="J2755" s="6" t="inlineStr">
        <is>
          <t>📕 PDF Document</t>
        </is>
      </c>
      <c r="K2755" s="9" t="n">
        <v>17.9</v>
      </c>
      <c r="L2755" s="10">
        <f>HYPERLINK("http://127.0.0.1:8000/api/documents/download?id=2841&amp;attachment=true", "⬇ Download Mizoram_OFC_GIS_Mapping_")</f>
        <v/>
      </c>
      <c r="M2755" s="10">
        <f>HYPERLINK("http://localhost:5173/?state=Mizoram&amp;keyword=Website%20Development/Application&amp;tender=MIZ-ICT-2026-1104", "🚀 Open in Portal")</f>
        <v/>
      </c>
    </row>
    <row r="2756" ht="24" customHeight="1">
      <c r="A2756" s="11" t="inlineStr">
        <is>
          <t>Mizoram</t>
        </is>
      </c>
      <c r="B2756" s="12" t="inlineStr">
        <is>
          <t>Website Development/Application</t>
        </is>
      </c>
      <c r="C2756" s="13" t="inlineStr">
        <is>
          <t>MIZ-ICT-2026-1104</t>
        </is>
      </c>
      <c r="D2756" s="14" t="inlineStr">
        <is>
          <t>Statewide Optical Fiber Network GIS Asset Mapping &amp; Infrastructure Portal</t>
        </is>
      </c>
      <c r="E2756" s="14" t="inlineStr">
        <is>
          <t>MUSTER-Mizoram State e-Governance Society, Aizawl</t>
        </is>
      </c>
      <c r="F2756" s="13" t="inlineStr">
        <is>
          <t>08 Aug 2026</t>
        </is>
      </c>
      <c r="G2756" s="12" t="inlineStr">
        <is>
          <t>05 Sep 2026</t>
        </is>
      </c>
      <c r="H2756" s="8" t="inlineStr">
        <is>
          <t>⏳ UPCOMING</t>
        </is>
      </c>
      <c r="I2756" s="11" t="inlineStr">
        <is>
          <t>GPS_Survey_Standard_Operating_Procedure.pdf</t>
        </is>
      </c>
      <c r="J2756" s="13" t="inlineStr">
        <is>
          <t>📕 PDF Document</t>
        </is>
      </c>
      <c r="K2756" s="15" t="n">
        <v>17.9</v>
      </c>
      <c r="L2756" s="16">
        <f>HYPERLINK("http://127.0.0.1:8000/api/documents/download?id=2842&amp;attachment=true", "⬇ Download GPS_Survey_Standard_Oper")</f>
        <v/>
      </c>
      <c r="M2756" s="16">
        <f>HYPERLINK("http://localhost:5173/?state=Mizoram&amp;keyword=Website%20Development/Application&amp;tender=MIZ-ICT-2026-1104", "🚀 Open in Portal")</f>
        <v/>
      </c>
    </row>
    <row r="2757" ht="24" customHeight="1">
      <c r="A2757" s="4" t="inlineStr">
        <is>
          <t>Mizoram</t>
        </is>
      </c>
      <c r="B2757" s="5" t="inlineStr">
        <is>
          <t>Website Development/Application</t>
        </is>
      </c>
      <c r="C2757" s="6" t="inlineStr">
        <is>
          <t>MIZ-ICT-2026-1104</t>
        </is>
      </c>
      <c r="D2757" s="7" t="inlineStr">
        <is>
          <t>Statewide Optical Fiber Network GIS Asset Mapping &amp; Infrastructure Portal</t>
        </is>
      </c>
      <c r="E2757" s="7" t="inlineStr">
        <is>
          <t>MUSTER-Mizoram State e-Governance Society, Aizawl</t>
        </is>
      </c>
      <c r="F2757" s="6" t="inlineStr">
        <is>
          <t>08 Aug 2026</t>
        </is>
      </c>
      <c r="G2757" s="5" t="inlineStr">
        <is>
          <t>05 Sep 2026</t>
        </is>
      </c>
      <c r="H2757" s="8" t="inlineStr">
        <is>
          <t>⏳ UPCOMING</t>
        </is>
      </c>
      <c r="I2757" s="4" t="inlineStr">
        <is>
          <t>Tender_MIZ-ICT-2026-1104_All_Documents.zip</t>
        </is>
      </c>
      <c r="J2757" s="6" t="inlineStr">
        <is>
          <t>📦 ZIP Package</t>
        </is>
      </c>
      <c r="K2757" s="9" t="n">
        <v>18.7</v>
      </c>
      <c r="L2757" s="10">
        <f>HYPERLINK("http://127.0.0.1:8000/api/documents/download?id=3022&amp;attachment=true", "⬇ Download Tender_MIZ-ICT-2026-1104")</f>
        <v/>
      </c>
      <c r="M2757" s="10">
        <f>HYPERLINK("http://localhost:5173/?state=Mizoram&amp;keyword=Website%20Development/Application&amp;tender=MIZ-ICT-2026-1104", "🚀 Open in Portal")</f>
        <v/>
      </c>
    </row>
    <row r="2758" ht="24" customHeight="1">
      <c r="A2758" s="11" t="inlineStr">
        <is>
          <t>Mizoram</t>
        </is>
      </c>
      <c r="B2758" s="12" t="inlineStr">
        <is>
          <t>Empanelment</t>
        </is>
      </c>
      <c r="C2758" s="13" t="inlineStr">
        <is>
          <t>2026_MIZ_3823279_34</t>
        </is>
      </c>
      <c r="D2758" s="14" t="inlineStr">
        <is>
          <t>Empanelment-Based Empanelment of Specialized Geospatial &amp; AI Solutions Consulting Agencies</t>
        </is>
      </c>
      <c r="E2758" s="14" t="inlineStr">
        <is>
          <t>STATE ELECTRONICS DEVELOPMENT CORPORATION</t>
        </is>
      </c>
      <c r="F2758" s="13" t="inlineStr">
        <is>
          <t>04 Aug 2026</t>
        </is>
      </c>
      <c r="G2758" s="12" t="inlineStr">
        <is>
          <t>30 Aug 2026</t>
        </is>
      </c>
      <c r="H2758" s="8" t="inlineStr">
        <is>
          <t>⏳ UPCOMING</t>
        </is>
      </c>
      <c r="I2758" s="11" t="inlineStr">
        <is>
          <t>Tendernotice_2026_MIZ_3823279_34.pdf</t>
        </is>
      </c>
      <c r="J2758" s="13" t="inlineStr">
        <is>
          <t>📕 PDF Document</t>
        </is>
      </c>
      <c r="K2758" s="15" t="n">
        <v>17.9</v>
      </c>
      <c r="L2758" s="16">
        <f>HYPERLINK("http://127.0.0.1:8000/api/documents/download?id=3297&amp;attachment=true", "⬇ Download Tendernotice_2026_MIZ_38")</f>
        <v/>
      </c>
      <c r="M2758" s="16">
        <f>HYPERLINK("http://localhost:5173/?state=Mizoram&amp;keyword=Empanelment&amp;tender=2026_MIZ_3823279_34", "🚀 Open in Portal")</f>
        <v/>
      </c>
    </row>
    <row r="2759" ht="24" customHeight="1">
      <c r="A2759" s="4" t="inlineStr">
        <is>
          <t>Mizoram</t>
        </is>
      </c>
      <c r="B2759" s="5" t="inlineStr">
        <is>
          <t>Empanelment</t>
        </is>
      </c>
      <c r="C2759" s="6" t="inlineStr">
        <is>
          <t>2026_MIZ_3823279_34</t>
        </is>
      </c>
      <c r="D2759" s="7" t="inlineStr">
        <is>
          <t>Empanelment-Based Empanelment of Specialized Geospatial &amp; AI Solutions Consulting Agencies</t>
        </is>
      </c>
      <c r="E2759" s="7" t="inlineStr">
        <is>
          <t>STATE ELECTRONICS DEVELOPMENT CORPORATION</t>
        </is>
      </c>
      <c r="F2759" s="6" t="inlineStr">
        <is>
          <t>04 Aug 2026</t>
        </is>
      </c>
      <c r="G2759" s="5" t="inlineStr">
        <is>
          <t>30 Aug 2026</t>
        </is>
      </c>
      <c r="H2759" s="8" t="inlineStr">
        <is>
          <t>⏳ UPCOMING</t>
        </is>
      </c>
      <c r="I2759" s="4" t="inlineStr">
        <is>
          <t>Technical_RFP_Specification_Empanelment.pdf</t>
        </is>
      </c>
      <c r="J2759" s="6" t="inlineStr">
        <is>
          <t>📕 PDF Document</t>
        </is>
      </c>
      <c r="K2759" s="9" t="n">
        <v>17.9</v>
      </c>
      <c r="L2759" s="10">
        <f>HYPERLINK("http://127.0.0.1:8000/api/documents/download?id=3298&amp;attachment=true", "⬇ Download Technical_RFP_Specificat")</f>
        <v/>
      </c>
      <c r="M2759" s="10">
        <f>HYPERLINK("http://localhost:5173/?state=Mizoram&amp;keyword=Empanelment&amp;tender=2026_MIZ_3823279_34", "🚀 Open in Portal")</f>
        <v/>
      </c>
    </row>
    <row r="2760" ht="24" customHeight="1">
      <c r="A2760" s="11" t="inlineStr">
        <is>
          <t>Mizoram</t>
        </is>
      </c>
      <c r="B2760" s="12" t="inlineStr">
        <is>
          <t>Empanelment</t>
        </is>
      </c>
      <c r="C2760" s="13" t="inlineStr">
        <is>
          <t>2026_MIZ_3823279_34</t>
        </is>
      </c>
      <c r="D2760" s="14" t="inlineStr">
        <is>
          <t>Empanelment-Based Empanelment of Specialized Geospatial &amp; AI Solutions Consulting Agencies</t>
        </is>
      </c>
      <c r="E2760" s="14" t="inlineStr">
        <is>
          <t>STATE ELECTRONICS DEVELOPMENT CORPORATION</t>
        </is>
      </c>
      <c r="F2760" s="13" t="inlineStr">
        <is>
          <t>04 Aug 2026</t>
        </is>
      </c>
      <c r="G2760" s="12" t="inlineStr">
        <is>
          <t>30 Aug 2026</t>
        </is>
      </c>
      <c r="H2760" s="8" t="inlineStr">
        <is>
          <t>⏳ UPCOMING</t>
        </is>
      </c>
      <c r="I2760" s="11" t="inlineStr">
        <is>
          <t>BOQ_Financial_Schedule_2026_MIZ_3823279_34.xlsx</t>
        </is>
      </c>
      <c r="J2760" s="13" t="inlineStr">
        <is>
          <t>📊 Excel BOQ</t>
        </is>
      </c>
      <c r="K2760" s="15" t="n">
        <v>2.5</v>
      </c>
      <c r="L2760" s="16">
        <f>HYPERLINK("http://127.0.0.1:8000/api/documents/download?id=3299&amp;attachment=true", "⬇ Download BOQ_Financial_Schedule_2")</f>
        <v/>
      </c>
      <c r="M2760" s="16">
        <f>HYPERLINK("http://localhost:5173/?state=Mizoram&amp;keyword=Empanelment&amp;tender=2026_MIZ_3823279_34", "🚀 Open in Portal")</f>
        <v/>
      </c>
    </row>
    <row r="2761" ht="24" customHeight="1">
      <c r="A2761" s="4" t="inlineStr">
        <is>
          <t>Mizoram</t>
        </is>
      </c>
      <c r="B2761" s="5" t="inlineStr">
        <is>
          <t>Empanelment</t>
        </is>
      </c>
      <c r="C2761" s="6" t="inlineStr">
        <is>
          <t>2026_MIZ_3823279_34</t>
        </is>
      </c>
      <c r="D2761" s="7" t="inlineStr">
        <is>
          <t>Empanelment-Based Empanelment of Specialized Geospatial &amp; AI Solutions Consulting Agencies</t>
        </is>
      </c>
      <c r="E2761" s="7" t="inlineStr">
        <is>
          <t>STATE ELECTRONICS DEVELOPMENT CORPORATION</t>
        </is>
      </c>
      <c r="F2761" s="6" t="inlineStr">
        <is>
          <t>04 Aug 2026</t>
        </is>
      </c>
      <c r="G2761" s="5" t="inlineStr">
        <is>
          <t>30 Aug 2026</t>
        </is>
      </c>
      <c r="H2761" s="8" t="inlineStr">
        <is>
          <t>⏳ UPCOMING</t>
        </is>
      </c>
      <c r="I2761" s="4" t="inlineStr">
        <is>
          <t>Tender_2026_MIZ_3823279_34_All_Documents.zip</t>
        </is>
      </c>
      <c r="J2761" s="6" t="inlineStr">
        <is>
          <t>📦 ZIP Package</t>
        </is>
      </c>
      <c r="K2761" s="9" t="n">
        <v>45</v>
      </c>
      <c r="L2761" s="10">
        <f>HYPERLINK("https://mizoramtenders.gov.in/tender/2026_MIZ_3823279_34", "⬇ Download Tender_2026_MIZ_3823279_")</f>
        <v/>
      </c>
      <c r="M2761" s="10">
        <f>HYPERLINK("http://localhost:5173/?state=Mizoram&amp;keyword=Empanelment&amp;tender=2026_MIZ_3823279_34", "🚀 Open in Portal")</f>
        <v/>
      </c>
    </row>
    <row r="2762" ht="24" customHeight="1">
      <c r="A2762" s="11" t="inlineStr">
        <is>
          <t>Mizoram</t>
        </is>
      </c>
      <c r="B2762" s="12" t="inlineStr">
        <is>
          <t>Empanelment</t>
        </is>
      </c>
      <c r="C2762" s="13" t="inlineStr">
        <is>
          <t>2026_MIZ_7787731_54</t>
        </is>
      </c>
      <c r="D2762" s="14" t="inlineStr">
        <is>
          <t>Empanelment-Based Empanelment of Specialized Geospatial &amp; AI Solutions Consulting Agencies</t>
        </is>
      </c>
      <c r="E2762" s="14" t="inlineStr">
        <is>
          <t>STATE ELECTRONICS DEVELOPMENT CORPORATION</t>
        </is>
      </c>
      <c r="F2762" s="13" t="inlineStr">
        <is>
          <t>01 Sep 2026</t>
        </is>
      </c>
      <c r="G2762" s="12" t="inlineStr">
        <is>
          <t>27 Sep 2026</t>
        </is>
      </c>
      <c r="H2762" s="8" t="inlineStr">
        <is>
          <t>⏳ UPCOMING</t>
        </is>
      </c>
      <c r="I2762" s="11" t="inlineStr">
        <is>
          <t>Tendernotice_2026_MIZ_7787731_54.pdf</t>
        </is>
      </c>
      <c r="J2762" s="13" t="inlineStr">
        <is>
          <t>📕 PDF Document</t>
        </is>
      </c>
      <c r="K2762" s="15" t="n">
        <v>17.9</v>
      </c>
      <c r="L2762" s="16">
        <f>HYPERLINK("http://127.0.0.1:8000/api/documents/download?id=3385&amp;attachment=true", "⬇ Download Tendernotice_2026_MIZ_77")</f>
        <v/>
      </c>
      <c r="M2762" s="16">
        <f>HYPERLINK("http://localhost:5173/?state=Mizoram&amp;keyword=Empanelment&amp;tender=2026_MIZ_7787731_54", "🚀 Open in Portal")</f>
        <v/>
      </c>
    </row>
    <row r="2763" ht="24" customHeight="1">
      <c r="A2763" s="4" t="inlineStr">
        <is>
          <t>Mizoram</t>
        </is>
      </c>
      <c r="B2763" s="5" t="inlineStr">
        <is>
          <t>Empanelment</t>
        </is>
      </c>
      <c r="C2763" s="6" t="inlineStr">
        <is>
          <t>2026_MIZ_7787731_54</t>
        </is>
      </c>
      <c r="D2763" s="7" t="inlineStr">
        <is>
          <t>Empanelment-Based Empanelment of Specialized Geospatial &amp; AI Solutions Consulting Agencies</t>
        </is>
      </c>
      <c r="E2763" s="7" t="inlineStr">
        <is>
          <t>STATE ELECTRONICS DEVELOPMENT CORPORATION</t>
        </is>
      </c>
      <c r="F2763" s="6" t="inlineStr">
        <is>
          <t>01 Sep 2026</t>
        </is>
      </c>
      <c r="G2763" s="5" t="inlineStr">
        <is>
          <t>27 Sep 2026</t>
        </is>
      </c>
      <c r="H2763" s="8" t="inlineStr">
        <is>
          <t>⏳ UPCOMING</t>
        </is>
      </c>
      <c r="I2763" s="4" t="inlineStr">
        <is>
          <t>Technical_RFP_Specification_Empanelment.pdf</t>
        </is>
      </c>
      <c r="J2763" s="6" t="inlineStr">
        <is>
          <t>📕 PDF Document</t>
        </is>
      </c>
      <c r="K2763" s="9" t="n">
        <v>17.9</v>
      </c>
      <c r="L2763" s="10">
        <f>HYPERLINK("http://127.0.0.1:8000/api/documents/download?id=3386&amp;attachment=true", "⬇ Download Technical_RFP_Specificat")</f>
        <v/>
      </c>
      <c r="M2763" s="10">
        <f>HYPERLINK("http://localhost:5173/?state=Mizoram&amp;keyword=Empanelment&amp;tender=2026_MIZ_7787731_54", "🚀 Open in Portal")</f>
        <v/>
      </c>
    </row>
    <row r="2764" ht="24" customHeight="1">
      <c r="A2764" s="11" t="inlineStr">
        <is>
          <t>Mizoram</t>
        </is>
      </c>
      <c r="B2764" s="12" t="inlineStr">
        <is>
          <t>Empanelment</t>
        </is>
      </c>
      <c r="C2764" s="13" t="inlineStr">
        <is>
          <t>2026_MIZ_7787731_54</t>
        </is>
      </c>
      <c r="D2764" s="14" t="inlineStr">
        <is>
          <t>Empanelment-Based Empanelment of Specialized Geospatial &amp; AI Solutions Consulting Agencies</t>
        </is>
      </c>
      <c r="E2764" s="14" t="inlineStr">
        <is>
          <t>STATE ELECTRONICS DEVELOPMENT CORPORATION</t>
        </is>
      </c>
      <c r="F2764" s="13" t="inlineStr">
        <is>
          <t>01 Sep 2026</t>
        </is>
      </c>
      <c r="G2764" s="12" t="inlineStr">
        <is>
          <t>27 Sep 2026</t>
        </is>
      </c>
      <c r="H2764" s="8" t="inlineStr">
        <is>
          <t>⏳ UPCOMING</t>
        </is>
      </c>
      <c r="I2764" s="11" t="inlineStr">
        <is>
          <t>BOQ_Financial_Schedule_2026_MIZ_7787731_54.xlsx</t>
        </is>
      </c>
      <c r="J2764" s="13" t="inlineStr">
        <is>
          <t>📊 Excel BOQ</t>
        </is>
      </c>
      <c r="K2764" s="15" t="n">
        <v>2.5</v>
      </c>
      <c r="L2764" s="16">
        <f>HYPERLINK("http://127.0.0.1:8000/api/documents/download?id=3387&amp;attachment=true", "⬇ Download BOQ_Financial_Schedule_2")</f>
        <v/>
      </c>
      <c r="M2764" s="16">
        <f>HYPERLINK("http://localhost:5173/?state=Mizoram&amp;keyword=Empanelment&amp;tender=2026_MIZ_7787731_54", "🚀 Open in Portal")</f>
        <v/>
      </c>
    </row>
    <row r="2765" ht="24" customHeight="1">
      <c r="A2765" s="4" t="inlineStr">
        <is>
          <t>Mizoram</t>
        </is>
      </c>
      <c r="B2765" s="5" t="inlineStr">
        <is>
          <t>Empanelment</t>
        </is>
      </c>
      <c r="C2765" s="6" t="inlineStr">
        <is>
          <t>2026_MIZ_7787731_54</t>
        </is>
      </c>
      <c r="D2765" s="7" t="inlineStr">
        <is>
          <t>Empanelment-Based Empanelment of Specialized Geospatial &amp; AI Solutions Consulting Agencies</t>
        </is>
      </c>
      <c r="E2765" s="7" t="inlineStr">
        <is>
          <t>STATE ELECTRONICS DEVELOPMENT CORPORATION</t>
        </is>
      </c>
      <c r="F2765" s="6" t="inlineStr">
        <is>
          <t>01 Sep 2026</t>
        </is>
      </c>
      <c r="G2765" s="5" t="inlineStr">
        <is>
          <t>27 Sep 2026</t>
        </is>
      </c>
      <c r="H2765" s="8" t="inlineStr">
        <is>
          <t>⏳ UPCOMING</t>
        </is>
      </c>
      <c r="I2765" s="4" t="inlineStr">
        <is>
          <t>Tender_2026_MIZ_7787731_54_All_Documents.zip</t>
        </is>
      </c>
      <c r="J2765" s="6" t="inlineStr">
        <is>
          <t>📦 ZIP Package</t>
        </is>
      </c>
      <c r="K2765" s="9" t="n">
        <v>45</v>
      </c>
      <c r="L2765" s="10">
        <f>HYPERLINK("https://mizoramtenders.gov.in/tender/2026_MIZ_7787731_54", "⬇ Download Tender_2026_MIZ_7787731_")</f>
        <v/>
      </c>
      <c r="M2765" s="10">
        <f>HYPERLINK("http://localhost:5173/?state=Mizoram&amp;keyword=Empanelment&amp;tender=2026_MIZ_7787731_54", "🚀 Open in Portal")</f>
        <v/>
      </c>
    </row>
    <row r="2766" ht="24" customHeight="1">
      <c r="A2766" s="11" t="inlineStr">
        <is>
          <t>Nagaland</t>
        </is>
      </c>
      <c r="B2766" s="12" t="inlineStr">
        <is>
          <t>GIS</t>
        </is>
      </c>
      <c r="C2766" s="13" t="inlineStr">
        <is>
          <t>2026_NAG_7093066_74</t>
        </is>
      </c>
      <c r="D2766" s="14" t="inlineStr">
        <is>
          <t>GIS-Based Drone LiDAR Survey &amp; Web GIS Geodatabase Integration for Smart Infrastructure</t>
        </is>
      </c>
      <c r="E2766" s="14" t="inlineStr">
        <is>
          <t>DIRECTORATE OF MUNICIPAL URBAN INFRASTRUCTURE</t>
        </is>
      </c>
      <c r="F2766" s="13" t="inlineStr">
        <is>
          <t>22 Aug 2026</t>
        </is>
      </c>
      <c r="G2766" s="12" t="inlineStr">
        <is>
          <t>17 Sep 2026</t>
        </is>
      </c>
      <c r="H2766" s="8" t="inlineStr">
        <is>
          <t>⏳ UPCOMING</t>
        </is>
      </c>
      <c r="I2766" s="11" t="inlineStr">
        <is>
          <t>Tendernotice_2026_NAG_7093066_74.pdf</t>
        </is>
      </c>
      <c r="J2766" s="13" t="inlineStr">
        <is>
          <t>📕 PDF Document</t>
        </is>
      </c>
      <c r="K2766" s="15" t="n">
        <v>7.7</v>
      </c>
      <c r="L2766" s="16">
        <f>HYPERLINK("http://127.0.0.1:8000/api/documents/download?id=3469&amp;attachment=true", "⬇ Download Tendernotice_2026_NAG_70")</f>
        <v/>
      </c>
      <c r="M2766" s="16">
        <f>HYPERLINK("http://localhost:5173/?state=Nagaland&amp;keyword=GIS&amp;tender=2026_NAG_7093066_74", "🚀 Open in Portal")</f>
        <v/>
      </c>
    </row>
    <row r="2767" ht="24" customHeight="1">
      <c r="A2767" s="4" t="inlineStr">
        <is>
          <t>Nagaland</t>
        </is>
      </c>
      <c r="B2767" s="5" t="inlineStr">
        <is>
          <t>GIS</t>
        </is>
      </c>
      <c r="C2767" s="6" t="inlineStr">
        <is>
          <t>2026_NAG_7093066_74</t>
        </is>
      </c>
      <c r="D2767" s="7" t="inlineStr">
        <is>
          <t>GIS-Based Drone LiDAR Survey &amp; Web GIS Geodatabase Integration for Smart Infrastructure</t>
        </is>
      </c>
      <c r="E2767" s="7" t="inlineStr">
        <is>
          <t>DIRECTORATE OF MUNICIPAL URBAN INFRASTRUCTURE</t>
        </is>
      </c>
      <c r="F2767" s="6" t="inlineStr">
        <is>
          <t>22 Aug 2026</t>
        </is>
      </c>
      <c r="G2767" s="5" t="inlineStr">
        <is>
          <t>17 Sep 2026</t>
        </is>
      </c>
      <c r="H2767" s="8" t="inlineStr">
        <is>
          <t>⏳ UPCOMING</t>
        </is>
      </c>
      <c r="I2767" s="4" t="inlineStr">
        <is>
          <t>Technical_RFP_Specification_GIS.pdf</t>
        </is>
      </c>
      <c r="J2767" s="6" t="inlineStr">
        <is>
          <t>📕 PDF Document</t>
        </is>
      </c>
      <c r="K2767" s="9" t="n">
        <v>7.7</v>
      </c>
      <c r="L2767" s="10">
        <f>HYPERLINK("http://127.0.0.1:8000/api/documents/download?id=3470&amp;attachment=true", "⬇ Download Technical_RFP_Specificat")</f>
        <v/>
      </c>
      <c r="M2767" s="10">
        <f>HYPERLINK("http://localhost:5173/?state=Nagaland&amp;keyword=GIS&amp;tender=2026_NAG_7093066_74", "🚀 Open in Portal")</f>
        <v/>
      </c>
    </row>
    <row r="2768" ht="24" customHeight="1">
      <c r="A2768" s="11" t="inlineStr">
        <is>
          <t>Nagaland</t>
        </is>
      </c>
      <c r="B2768" s="12" t="inlineStr">
        <is>
          <t>GIS</t>
        </is>
      </c>
      <c r="C2768" s="13" t="inlineStr">
        <is>
          <t>2026_NAG_7093066_74</t>
        </is>
      </c>
      <c r="D2768" s="14" t="inlineStr">
        <is>
          <t>GIS-Based Drone LiDAR Survey &amp; Web GIS Geodatabase Integration for Smart Infrastructure</t>
        </is>
      </c>
      <c r="E2768" s="14" t="inlineStr">
        <is>
          <t>DIRECTORATE OF MUNICIPAL URBAN INFRASTRUCTURE</t>
        </is>
      </c>
      <c r="F2768" s="13" t="inlineStr">
        <is>
          <t>22 Aug 2026</t>
        </is>
      </c>
      <c r="G2768" s="12" t="inlineStr">
        <is>
          <t>17 Sep 2026</t>
        </is>
      </c>
      <c r="H2768" s="8" t="inlineStr">
        <is>
          <t>⏳ UPCOMING</t>
        </is>
      </c>
      <c r="I2768" s="11" t="inlineStr">
        <is>
          <t>BOQ_Financial_Schedule_2026_NAG_7093066_74.xlsx</t>
        </is>
      </c>
      <c r="J2768" s="13" t="inlineStr">
        <is>
          <t>📊 Excel BOQ</t>
        </is>
      </c>
      <c r="K2768" s="15" t="n">
        <v>5.9</v>
      </c>
      <c r="L2768" s="16">
        <f>HYPERLINK("http://127.0.0.1:8000/api/documents/download?id=3471&amp;attachment=true", "⬇ Download BOQ_Financial_Schedule_2")</f>
        <v/>
      </c>
      <c r="M2768" s="16">
        <f>HYPERLINK("http://localhost:5173/?state=Nagaland&amp;keyword=GIS&amp;tender=2026_NAG_7093066_74", "🚀 Open in Portal")</f>
        <v/>
      </c>
    </row>
    <row r="2769" ht="24" customHeight="1">
      <c r="A2769" s="4" t="inlineStr">
        <is>
          <t>Nagaland</t>
        </is>
      </c>
      <c r="B2769" s="5" t="inlineStr">
        <is>
          <t>GIS</t>
        </is>
      </c>
      <c r="C2769" s="6" t="inlineStr">
        <is>
          <t>2026_NAG_7093066_74</t>
        </is>
      </c>
      <c r="D2769" s="7" t="inlineStr">
        <is>
          <t>GIS-Based Drone LiDAR Survey &amp; Web GIS Geodatabase Integration for Smart Infrastructure</t>
        </is>
      </c>
      <c r="E2769" s="7" t="inlineStr">
        <is>
          <t>DIRECTORATE OF MUNICIPAL URBAN INFRASTRUCTURE</t>
        </is>
      </c>
      <c r="F2769" s="6" t="inlineStr">
        <is>
          <t>22 Aug 2026</t>
        </is>
      </c>
      <c r="G2769" s="5" t="inlineStr">
        <is>
          <t>17 Sep 2026</t>
        </is>
      </c>
      <c r="H2769" s="8" t="inlineStr">
        <is>
          <t>⏳ UPCOMING</t>
        </is>
      </c>
      <c r="I2769" s="4" t="inlineStr">
        <is>
          <t>Tender_2026_NAG_7093066_74_All_Documents.zip</t>
        </is>
      </c>
      <c r="J2769" s="6" t="inlineStr">
        <is>
          <t>📦 ZIP Package</t>
        </is>
      </c>
      <c r="K2769" s="9" t="n">
        <v>45</v>
      </c>
      <c r="L2769" s="10">
        <f>HYPERLINK("https://nagalandtenders.gov.in/tender/2026_NAG_7093066_74", "⬇ Download Tender_2026_NAG_7093066_")</f>
        <v/>
      </c>
      <c r="M2769" s="10">
        <f>HYPERLINK("http://localhost:5173/?state=Nagaland&amp;keyword=GIS&amp;tender=2026_NAG_7093066_74", "🚀 Open in Portal")</f>
        <v/>
      </c>
    </row>
    <row r="2770" ht="24" customHeight="1">
      <c r="A2770" s="11" t="inlineStr">
        <is>
          <t>Nagaland</t>
        </is>
      </c>
      <c r="B2770" s="12" t="inlineStr">
        <is>
          <t>GIS</t>
        </is>
      </c>
      <c r="C2770" s="13" t="inlineStr">
        <is>
          <t>NAG-IT-2026-8802</t>
        </is>
      </c>
      <c r="D2770" s="14" t="inlineStr">
        <is>
          <t>Establishment of State Spatial Data Infrastructure and Village GIS Geodatabase</t>
        </is>
      </c>
      <c r="E2770" s="14" t="inlineStr">
        <is>
          <t>DEPARTMENT OF INFORMATION TECHNOLOGY &amp; COMMUNICATION-Kohima</t>
        </is>
      </c>
      <c r="F2770" s="13" t="inlineStr">
        <is>
          <t>09 Aug 2026</t>
        </is>
      </c>
      <c r="G2770" s="12" t="inlineStr">
        <is>
          <t>04 Sep 2026</t>
        </is>
      </c>
      <c r="H2770" s="8" t="inlineStr">
        <is>
          <t>⏳ UPCOMING</t>
        </is>
      </c>
      <c r="I2770" s="11" t="inlineStr">
        <is>
          <t>Nagaland_State_GIS_Portal_RFP.pdf</t>
        </is>
      </c>
      <c r="J2770" s="13" t="inlineStr">
        <is>
          <t>📕 PDF Document</t>
        </is>
      </c>
      <c r="K2770" s="15" t="n">
        <v>17.9</v>
      </c>
      <c r="L2770" s="16">
        <f>HYPERLINK("http://127.0.0.1:8000/api/documents/download?id=2847&amp;attachment=true", "⬇ Download Nagaland_State_GIS_Porta")</f>
        <v/>
      </c>
      <c r="M2770" s="16">
        <f>HYPERLINK("http://localhost:5173/?state=Nagaland&amp;keyword=GIS&amp;tender=NAG-IT-2026-8802", "🚀 Open in Portal")</f>
        <v/>
      </c>
    </row>
    <row r="2771" ht="24" customHeight="1">
      <c r="A2771" s="4" t="inlineStr">
        <is>
          <t>Nagaland</t>
        </is>
      </c>
      <c r="B2771" s="5" t="inlineStr">
        <is>
          <t>GIS</t>
        </is>
      </c>
      <c r="C2771" s="6" t="inlineStr">
        <is>
          <t>NAG-IT-2026-8802</t>
        </is>
      </c>
      <c r="D2771" s="7" t="inlineStr">
        <is>
          <t>Establishment of State Spatial Data Infrastructure and Village GIS Geodatabase</t>
        </is>
      </c>
      <c r="E2771" s="7" t="inlineStr">
        <is>
          <t>DEPARTMENT OF INFORMATION TECHNOLOGY &amp; COMMUNICATION-Kohima</t>
        </is>
      </c>
      <c r="F2771" s="6" t="inlineStr">
        <is>
          <t>09 Aug 2026</t>
        </is>
      </c>
      <c r="G2771" s="5" t="inlineStr">
        <is>
          <t>04 Sep 2026</t>
        </is>
      </c>
      <c r="H2771" s="8" t="inlineStr">
        <is>
          <t>⏳ UPCOMING</t>
        </is>
      </c>
      <c r="I2771" s="4" t="inlineStr">
        <is>
          <t>Metadata_Standards_ISO19115.pdf</t>
        </is>
      </c>
      <c r="J2771" s="6" t="inlineStr">
        <is>
          <t>📕 PDF Document</t>
        </is>
      </c>
      <c r="K2771" s="9" t="n">
        <v>17.9</v>
      </c>
      <c r="L2771" s="10">
        <f>HYPERLINK("http://127.0.0.1:8000/api/documents/download?id=2848&amp;attachment=true", "⬇ Download Metadata_Standards_ISO19")</f>
        <v/>
      </c>
      <c r="M2771" s="10">
        <f>HYPERLINK("http://localhost:5173/?state=Nagaland&amp;keyword=GIS&amp;tender=NAG-IT-2026-8802", "🚀 Open in Portal")</f>
        <v/>
      </c>
    </row>
    <row r="2772" ht="24" customHeight="1">
      <c r="A2772" s="11" t="inlineStr">
        <is>
          <t>Nagaland</t>
        </is>
      </c>
      <c r="B2772" s="12" t="inlineStr">
        <is>
          <t>GIS</t>
        </is>
      </c>
      <c r="C2772" s="13" t="inlineStr">
        <is>
          <t>NAG-IT-2026-8802</t>
        </is>
      </c>
      <c r="D2772" s="14" t="inlineStr">
        <is>
          <t>Establishment of State Spatial Data Infrastructure and Village GIS Geodatabase</t>
        </is>
      </c>
      <c r="E2772" s="14" t="inlineStr">
        <is>
          <t>DEPARTMENT OF INFORMATION TECHNOLOGY &amp; COMMUNICATION-Kohima</t>
        </is>
      </c>
      <c r="F2772" s="13" t="inlineStr">
        <is>
          <t>09 Aug 2026</t>
        </is>
      </c>
      <c r="G2772" s="12" t="inlineStr">
        <is>
          <t>04 Sep 2026</t>
        </is>
      </c>
      <c r="H2772" s="8" t="inlineStr">
        <is>
          <t>⏳ UPCOMING</t>
        </is>
      </c>
      <c r="I2772" s="11" t="inlineStr">
        <is>
          <t>Tender_Schedules_Price_Bid.xlsx</t>
        </is>
      </c>
      <c r="J2772" s="13" t="inlineStr">
        <is>
          <t>📊 Excel BOQ</t>
        </is>
      </c>
      <c r="K2772" s="15" t="n">
        <v>2.5</v>
      </c>
      <c r="L2772" s="16">
        <f>HYPERLINK("http://127.0.0.1:8000/api/documents/download?id=2849&amp;attachment=true", "⬇ Download Tender_Schedules_Price_B")</f>
        <v/>
      </c>
      <c r="M2772" s="16">
        <f>HYPERLINK("http://localhost:5173/?state=Nagaland&amp;keyword=GIS&amp;tender=NAG-IT-2026-8802", "🚀 Open in Portal")</f>
        <v/>
      </c>
    </row>
    <row r="2773" ht="24" customHeight="1">
      <c r="A2773" s="4" t="inlineStr">
        <is>
          <t>Nagaland</t>
        </is>
      </c>
      <c r="B2773" s="5" t="inlineStr">
        <is>
          <t>GIS</t>
        </is>
      </c>
      <c r="C2773" s="6" t="inlineStr">
        <is>
          <t>NAG-IT-2026-8802</t>
        </is>
      </c>
      <c r="D2773" s="7" t="inlineStr">
        <is>
          <t>Establishment of State Spatial Data Infrastructure and Village GIS Geodatabase</t>
        </is>
      </c>
      <c r="E2773" s="7" t="inlineStr">
        <is>
          <t>DEPARTMENT OF INFORMATION TECHNOLOGY &amp; COMMUNICATION-Kohima</t>
        </is>
      </c>
      <c r="F2773" s="6" t="inlineStr">
        <is>
          <t>09 Aug 2026</t>
        </is>
      </c>
      <c r="G2773" s="5" t="inlineStr">
        <is>
          <t>04 Sep 2026</t>
        </is>
      </c>
      <c r="H2773" s="8" t="inlineStr">
        <is>
          <t>⏳ UPCOMING</t>
        </is>
      </c>
      <c r="I2773" s="4" t="inlineStr">
        <is>
          <t>Tender_NAG-IT-2026-8802_All_Documents.zip</t>
        </is>
      </c>
      <c r="J2773" s="6" t="inlineStr">
        <is>
          <t>📦 ZIP Package</t>
        </is>
      </c>
      <c r="K2773" s="9" t="n">
        <v>20.8</v>
      </c>
      <c r="L2773" s="10">
        <f>HYPERLINK("http://127.0.0.1:8000/api/documents/download?id=3025&amp;attachment=true", "⬇ Download Tender_NAG-IT-2026-8802_")</f>
        <v/>
      </c>
      <c r="M2773" s="10">
        <f>HYPERLINK("http://localhost:5173/?state=Nagaland&amp;keyword=GIS&amp;tender=NAG-IT-2026-8802", "🚀 Open in Portal")</f>
        <v/>
      </c>
    </row>
    <row r="2774" ht="24" customHeight="1">
      <c r="A2774" s="11" t="inlineStr">
        <is>
          <t>Nagaland</t>
        </is>
      </c>
      <c r="B2774" s="12" t="inlineStr">
        <is>
          <t>ICT</t>
        </is>
      </c>
      <c r="C2774" s="13" t="inlineStr">
        <is>
          <t>NAG-IT-2026-8802</t>
        </is>
      </c>
      <c r="D2774" s="14" t="inlineStr">
        <is>
          <t>Establishment of State Spatial Data Infrastructure and Village GIS Geodatabase</t>
        </is>
      </c>
      <c r="E2774" s="14" t="inlineStr">
        <is>
          <t>DEPARTMENT OF INFORMATION TECHNOLOGY &amp; COMMUNICATION-Kohima</t>
        </is>
      </c>
      <c r="F2774" s="13" t="inlineStr">
        <is>
          <t>09 Aug 2026</t>
        </is>
      </c>
      <c r="G2774" s="12" t="inlineStr">
        <is>
          <t>04 Sep 2026</t>
        </is>
      </c>
      <c r="H2774" s="8" t="inlineStr">
        <is>
          <t>⏳ UPCOMING</t>
        </is>
      </c>
      <c r="I2774" s="11" t="inlineStr">
        <is>
          <t>Nagaland_State_GIS_Portal_RFP.pdf</t>
        </is>
      </c>
      <c r="J2774" s="13" t="inlineStr">
        <is>
          <t>📕 PDF Document</t>
        </is>
      </c>
      <c r="K2774" s="15" t="n">
        <v>17.9</v>
      </c>
      <c r="L2774" s="16">
        <f>HYPERLINK("http://127.0.0.1:8000/api/documents/download?id=2847&amp;attachment=true", "⬇ Download Nagaland_State_GIS_Porta")</f>
        <v/>
      </c>
      <c r="M2774" s="16">
        <f>HYPERLINK("http://localhost:5173/?state=Nagaland&amp;keyword=ICT&amp;tender=NAG-IT-2026-8802", "🚀 Open in Portal")</f>
        <v/>
      </c>
    </row>
    <row r="2775" ht="24" customHeight="1">
      <c r="A2775" s="4" t="inlineStr">
        <is>
          <t>Nagaland</t>
        </is>
      </c>
      <c r="B2775" s="5" t="inlineStr">
        <is>
          <t>ICT</t>
        </is>
      </c>
      <c r="C2775" s="6" t="inlineStr">
        <is>
          <t>NAG-IT-2026-8802</t>
        </is>
      </c>
      <c r="D2775" s="7" t="inlineStr">
        <is>
          <t>Establishment of State Spatial Data Infrastructure and Village GIS Geodatabase</t>
        </is>
      </c>
      <c r="E2775" s="7" t="inlineStr">
        <is>
          <t>DEPARTMENT OF INFORMATION TECHNOLOGY &amp; COMMUNICATION-Kohima</t>
        </is>
      </c>
      <c r="F2775" s="6" t="inlineStr">
        <is>
          <t>09 Aug 2026</t>
        </is>
      </c>
      <c r="G2775" s="5" t="inlineStr">
        <is>
          <t>04 Sep 2026</t>
        </is>
      </c>
      <c r="H2775" s="8" t="inlineStr">
        <is>
          <t>⏳ UPCOMING</t>
        </is>
      </c>
      <c r="I2775" s="4" t="inlineStr">
        <is>
          <t>Metadata_Standards_ISO19115.pdf</t>
        </is>
      </c>
      <c r="J2775" s="6" t="inlineStr">
        <is>
          <t>📕 PDF Document</t>
        </is>
      </c>
      <c r="K2775" s="9" t="n">
        <v>17.9</v>
      </c>
      <c r="L2775" s="10">
        <f>HYPERLINK("http://127.0.0.1:8000/api/documents/download?id=2848&amp;attachment=true", "⬇ Download Metadata_Standards_ISO19")</f>
        <v/>
      </c>
      <c r="M2775" s="10">
        <f>HYPERLINK("http://localhost:5173/?state=Nagaland&amp;keyword=ICT&amp;tender=NAG-IT-2026-8802", "🚀 Open in Portal")</f>
        <v/>
      </c>
    </row>
    <row r="2776" ht="24" customHeight="1">
      <c r="A2776" s="11" t="inlineStr">
        <is>
          <t>Nagaland</t>
        </is>
      </c>
      <c r="B2776" s="12" t="inlineStr">
        <is>
          <t>ICT</t>
        </is>
      </c>
      <c r="C2776" s="13" t="inlineStr">
        <is>
          <t>NAG-IT-2026-8802</t>
        </is>
      </c>
      <c r="D2776" s="14" t="inlineStr">
        <is>
          <t>Establishment of State Spatial Data Infrastructure and Village GIS Geodatabase</t>
        </is>
      </c>
      <c r="E2776" s="14" t="inlineStr">
        <is>
          <t>DEPARTMENT OF INFORMATION TECHNOLOGY &amp; COMMUNICATION-Kohima</t>
        </is>
      </c>
      <c r="F2776" s="13" t="inlineStr">
        <is>
          <t>09 Aug 2026</t>
        </is>
      </c>
      <c r="G2776" s="12" t="inlineStr">
        <is>
          <t>04 Sep 2026</t>
        </is>
      </c>
      <c r="H2776" s="8" t="inlineStr">
        <is>
          <t>⏳ UPCOMING</t>
        </is>
      </c>
      <c r="I2776" s="11" t="inlineStr">
        <is>
          <t>Tender_Schedules_Price_Bid.xlsx</t>
        </is>
      </c>
      <c r="J2776" s="13" t="inlineStr">
        <is>
          <t>📊 Excel BOQ</t>
        </is>
      </c>
      <c r="K2776" s="15" t="n">
        <v>2.5</v>
      </c>
      <c r="L2776" s="16">
        <f>HYPERLINK("http://127.0.0.1:8000/api/documents/download?id=2849&amp;attachment=true", "⬇ Download Tender_Schedules_Price_B")</f>
        <v/>
      </c>
      <c r="M2776" s="16">
        <f>HYPERLINK("http://localhost:5173/?state=Nagaland&amp;keyword=ICT&amp;tender=NAG-IT-2026-8802", "🚀 Open in Portal")</f>
        <v/>
      </c>
    </row>
    <row r="2777" ht="24" customHeight="1">
      <c r="A2777" s="4" t="inlineStr">
        <is>
          <t>Nagaland</t>
        </is>
      </c>
      <c r="B2777" s="5" t="inlineStr">
        <is>
          <t>ICT</t>
        </is>
      </c>
      <c r="C2777" s="6" t="inlineStr">
        <is>
          <t>NAG-IT-2026-8802</t>
        </is>
      </c>
      <c r="D2777" s="7" t="inlineStr">
        <is>
          <t>Establishment of State Spatial Data Infrastructure and Village GIS Geodatabase</t>
        </is>
      </c>
      <c r="E2777" s="7" t="inlineStr">
        <is>
          <t>DEPARTMENT OF INFORMATION TECHNOLOGY &amp; COMMUNICATION-Kohima</t>
        </is>
      </c>
      <c r="F2777" s="6" t="inlineStr">
        <is>
          <t>09 Aug 2026</t>
        </is>
      </c>
      <c r="G2777" s="5" t="inlineStr">
        <is>
          <t>04 Sep 2026</t>
        </is>
      </c>
      <c r="H2777" s="8" t="inlineStr">
        <is>
          <t>⏳ UPCOMING</t>
        </is>
      </c>
      <c r="I2777" s="4" t="inlineStr">
        <is>
          <t>Tender_NAG-IT-2026-8802_All_Documents.zip</t>
        </is>
      </c>
      <c r="J2777" s="6" t="inlineStr">
        <is>
          <t>📦 ZIP Package</t>
        </is>
      </c>
      <c r="K2777" s="9" t="n">
        <v>20.8</v>
      </c>
      <c r="L2777" s="10">
        <f>HYPERLINK("http://127.0.0.1:8000/api/documents/download?id=3025&amp;attachment=true", "⬇ Download Tender_NAG-IT-2026-8802_")</f>
        <v/>
      </c>
      <c r="M2777" s="10">
        <f>HYPERLINK("http://localhost:5173/?state=Nagaland&amp;keyword=ICT&amp;tender=NAG-IT-2026-8802", "🚀 Open in Portal")</f>
        <v/>
      </c>
    </row>
    <row r="2778" ht="24" customHeight="1">
      <c r="A2778" s="11" t="inlineStr">
        <is>
          <t>Nagaland</t>
        </is>
      </c>
      <c r="B2778" s="12" t="inlineStr">
        <is>
          <t>Forest</t>
        </is>
      </c>
      <c r="C2778" s="13" t="inlineStr">
        <is>
          <t>NAG-FOREST-2026-7120</t>
        </is>
      </c>
      <c r="D2778" s="14" t="inlineStr">
        <is>
          <t>Community Conserved Areas (CCA) Drone Mapping &amp; Biodiversity Conservation Portal</t>
        </is>
      </c>
      <c r="E2778" s="14" t="inlineStr">
        <is>
          <t>DEPARTMENT OF ENVIRONMENT, FORESTS &amp; CLIMATE CHANGE-Dimapur</t>
        </is>
      </c>
      <c r="F2778" s="13" t="inlineStr">
        <is>
          <t>06 Oct 2026</t>
        </is>
      </c>
      <c r="G2778" s="12" t="inlineStr">
        <is>
          <t>27 Oct 2026</t>
        </is>
      </c>
      <c r="H2778" s="17" t="inlineStr">
        <is>
          <t>🟢 LIVE ACTIVE</t>
        </is>
      </c>
      <c r="I2778" s="11" t="inlineStr">
        <is>
          <t>CCA_Biodiversity_Mapping_RFP.pdf</t>
        </is>
      </c>
      <c r="J2778" s="13" t="inlineStr">
        <is>
          <t>📕 PDF Document</t>
        </is>
      </c>
      <c r="K2778" s="15" t="n">
        <v>17.9</v>
      </c>
      <c r="L2778" s="16">
        <f>HYPERLINK("http://127.0.0.1:8000/api/documents/download?id=2852&amp;attachment=true", "⬇ Download CCA_Biodiversity_Mapping")</f>
        <v/>
      </c>
      <c r="M2778" s="16">
        <f>HYPERLINK("http://localhost:5173/?state=Nagaland&amp;keyword=Forest&amp;tender=NAG-FOREST-2026-7120", "🚀 Open in Portal")</f>
        <v/>
      </c>
    </row>
    <row r="2779" ht="24" customHeight="1">
      <c r="A2779" s="4" t="inlineStr">
        <is>
          <t>Nagaland</t>
        </is>
      </c>
      <c r="B2779" s="5" t="inlineStr">
        <is>
          <t>Forest</t>
        </is>
      </c>
      <c r="C2779" s="6" t="inlineStr">
        <is>
          <t>NAG-FOREST-2026-7120</t>
        </is>
      </c>
      <c r="D2779" s="7" t="inlineStr">
        <is>
          <t>Community Conserved Areas (CCA) Drone Mapping &amp; Biodiversity Conservation Portal</t>
        </is>
      </c>
      <c r="E2779" s="7" t="inlineStr">
        <is>
          <t>DEPARTMENT OF ENVIRONMENT, FORESTS &amp; CLIMATE CHANGE-Dimapur</t>
        </is>
      </c>
      <c r="F2779" s="6" t="inlineStr">
        <is>
          <t>06 Oct 2026</t>
        </is>
      </c>
      <c r="G2779" s="5" t="inlineStr">
        <is>
          <t>27 Oct 2026</t>
        </is>
      </c>
      <c r="H2779" s="17" t="inlineStr">
        <is>
          <t>🟢 LIVE ACTIVE</t>
        </is>
      </c>
      <c r="I2779" s="4" t="inlineStr">
        <is>
          <t>Conservation_Portal_Design_Spec.pdf</t>
        </is>
      </c>
      <c r="J2779" s="6" t="inlineStr">
        <is>
          <t>📕 PDF Document</t>
        </is>
      </c>
      <c r="K2779" s="9" t="n">
        <v>17.9</v>
      </c>
      <c r="L2779" s="10">
        <f>HYPERLINK("http://127.0.0.1:8000/api/documents/download?id=2853&amp;attachment=true", "⬇ Download Conservation_Portal_Desi")</f>
        <v/>
      </c>
      <c r="M2779" s="10">
        <f>HYPERLINK("http://localhost:5173/?state=Nagaland&amp;keyword=Forest&amp;tender=NAG-FOREST-2026-7120", "🚀 Open in Portal")</f>
        <v/>
      </c>
    </row>
    <row r="2780" ht="24" customHeight="1">
      <c r="A2780" s="11" t="inlineStr">
        <is>
          <t>Nagaland</t>
        </is>
      </c>
      <c r="B2780" s="12" t="inlineStr">
        <is>
          <t>Forest</t>
        </is>
      </c>
      <c r="C2780" s="13" t="inlineStr">
        <is>
          <t>NAG-FOREST-2026-7120</t>
        </is>
      </c>
      <c r="D2780" s="14" t="inlineStr">
        <is>
          <t>Community Conserved Areas (CCA) Drone Mapping &amp; Biodiversity Conservation Portal</t>
        </is>
      </c>
      <c r="E2780" s="14" t="inlineStr">
        <is>
          <t>DEPARTMENT OF ENVIRONMENT, FORESTS &amp; CLIMATE CHANGE-Dimapur</t>
        </is>
      </c>
      <c r="F2780" s="13" t="inlineStr">
        <is>
          <t>06 Oct 2026</t>
        </is>
      </c>
      <c r="G2780" s="12" t="inlineStr">
        <is>
          <t>27 Oct 2026</t>
        </is>
      </c>
      <c r="H2780" s="17" t="inlineStr">
        <is>
          <t>🟢 LIVE ACTIVE</t>
        </is>
      </c>
      <c r="I2780" s="11" t="inlineStr">
        <is>
          <t>Tender_NAG-FOREST-2026-7120_All_Documents.zip</t>
        </is>
      </c>
      <c r="J2780" s="13" t="inlineStr">
        <is>
          <t>📦 ZIP Package</t>
        </is>
      </c>
      <c r="K2780" s="15" t="n">
        <v>18.7</v>
      </c>
      <c r="L2780" s="16">
        <f>HYPERLINK("http://127.0.0.1:8000/api/documents/download?id=3027&amp;attachment=true", "⬇ Download Tender_NAG-FOREST-2026-7")</f>
        <v/>
      </c>
      <c r="M2780" s="16">
        <f>HYPERLINK("http://localhost:5173/?state=Nagaland&amp;keyword=Forest&amp;tender=NAG-FOREST-2026-7120", "🚀 Open in Portal")</f>
        <v/>
      </c>
    </row>
    <row r="2781" ht="24" customHeight="1">
      <c r="A2781" s="4" t="inlineStr">
        <is>
          <t>Nagaland</t>
        </is>
      </c>
      <c r="B2781" s="5" t="inlineStr">
        <is>
          <t>Climate Change</t>
        </is>
      </c>
      <c r="C2781" s="6" t="inlineStr">
        <is>
          <t>NAG-FOREST-2026-7120</t>
        </is>
      </c>
      <c r="D2781" s="7" t="inlineStr">
        <is>
          <t>Community Conserved Areas (CCA) Drone Mapping &amp; Biodiversity Conservation Portal</t>
        </is>
      </c>
      <c r="E2781" s="7" t="inlineStr">
        <is>
          <t>DEPARTMENT OF ENVIRONMENT, FORESTS &amp; CLIMATE CHANGE-Dimapur</t>
        </is>
      </c>
      <c r="F2781" s="6" t="inlineStr">
        <is>
          <t>06 Oct 2026</t>
        </is>
      </c>
      <c r="G2781" s="5" t="inlineStr">
        <is>
          <t>27 Oct 2026</t>
        </is>
      </c>
      <c r="H2781" s="17" t="inlineStr">
        <is>
          <t>🟢 LIVE ACTIVE</t>
        </is>
      </c>
      <c r="I2781" s="4" t="inlineStr">
        <is>
          <t>CCA_Biodiversity_Mapping_RFP.pdf</t>
        </is>
      </c>
      <c r="J2781" s="6" t="inlineStr">
        <is>
          <t>📕 PDF Document</t>
        </is>
      </c>
      <c r="K2781" s="9" t="n">
        <v>17.9</v>
      </c>
      <c r="L2781" s="10">
        <f>HYPERLINK("http://127.0.0.1:8000/api/documents/download?id=2852&amp;attachment=true", "⬇ Download CCA_Biodiversity_Mapping")</f>
        <v/>
      </c>
      <c r="M2781" s="10">
        <f>HYPERLINK("http://localhost:5173/?state=Nagaland&amp;keyword=Climate%20Change&amp;tender=NAG-FOREST-2026-7120", "🚀 Open in Portal")</f>
        <v/>
      </c>
    </row>
    <row r="2782" ht="24" customHeight="1">
      <c r="A2782" s="11" t="inlineStr">
        <is>
          <t>Nagaland</t>
        </is>
      </c>
      <c r="B2782" s="12" t="inlineStr">
        <is>
          <t>Climate Change</t>
        </is>
      </c>
      <c r="C2782" s="13" t="inlineStr">
        <is>
          <t>NAG-FOREST-2026-7120</t>
        </is>
      </c>
      <c r="D2782" s="14" t="inlineStr">
        <is>
          <t>Community Conserved Areas (CCA) Drone Mapping &amp; Biodiversity Conservation Portal</t>
        </is>
      </c>
      <c r="E2782" s="14" t="inlineStr">
        <is>
          <t>DEPARTMENT OF ENVIRONMENT, FORESTS &amp; CLIMATE CHANGE-Dimapur</t>
        </is>
      </c>
      <c r="F2782" s="13" t="inlineStr">
        <is>
          <t>06 Oct 2026</t>
        </is>
      </c>
      <c r="G2782" s="12" t="inlineStr">
        <is>
          <t>27 Oct 2026</t>
        </is>
      </c>
      <c r="H2782" s="17" t="inlineStr">
        <is>
          <t>🟢 LIVE ACTIVE</t>
        </is>
      </c>
      <c r="I2782" s="11" t="inlineStr">
        <is>
          <t>Conservation_Portal_Design_Spec.pdf</t>
        </is>
      </c>
      <c r="J2782" s="13" t="inlineStr">
        <is>
          <t>📕 PDF Document</t>
        </is>
      </c>
      <c r="K2782" s="15" t="n">
        <v>17.9</v>
      </c>
      <c r="L2782" s="16">
        <f>HYPERLINK("http://127.0.0.1:8000/api/documents/download?id=2853&amp;attachment=true", "⬇ Download Conservation_Portal_Desi")</f>
        <v/>
      </c>
      <c r="M2782" s="16">
        <f>HYPERLINK("http://localhost:5173/?state=Nagaland&amp;keyword=Climate%20Change&amp;tender=NAG-FOREST-2026-7120", "🚀 Open in Portal")</f>
        <v/>
      </c>
    </row>
    <row r="2783" ht="24" customHeight="1">
      <c r="A2783" s="4" t="inlineStr">
        <is>
          <t>Nagaland</t>
        </is>
      </c>
      <c r="B2783" s="5" t="inlineStr">
        <is>
          <t>Climate Change</t>
        </is>
      </c>
      <c r="C2783" s="6" t="inlineStr">
        <is>
          <t>NAG-FOREST-2026-7120</t>
        </is>
      </c>
      <c r="D2783" s="7" t="inlineStr">
        <is>
          <t>Community Conserved Areas (CCA) Drone Mapping &amp; Biodiversity Conservation Portal</t>
        </is>
      </c>
      <c r="E2783" s="7" t="inlineStr">
        <is>
          <t>DEPARTMENT OF ENVIRONMENT, FORESTS &amp; CLIMATE CHANGE-Dimapur</t>
        </is>
      </c>
      <c r="F2783" s="6" t="inlineStr">
        <is>
          <t>06 Oct 2026</t>
        </is>
      </c>
      <c r="G2783" s="5" t="inlineStr">
        <is>
          <t>27 Oct 2026</t>
        </is>
      </c>
      <c r="H2783" s="17" t="inlineStr">
        <is>
          <t>🟢 LIVE ACTIVE</t>
        </is>
      </c>
      <c r="I2783" s="4" t="inlineStr">
        <is>
          <t>Tender_NAG-FOREST-2026-7120_All_Documents.zip</t>
        </is>
      </c>
      <c r="J2783" s="6" t="inlineStr">
        <is>
          <t>📦 ZIP Package</t>
        </is>
      </c>
      <c r="K2783" s="9" t="n">
        <v>18.7</v>
      </c>
      <c r="L2783" s="10">
        <f>HYPERLINK("http://127.0.0.1:8000/api/documents/download?id=3027&amp;attachment=true", "⬇ Download Tender_NAG-FOREST-2026-7")</f>
        <v/>
      </c>
      <c r="M2783" s="10">
        <f>HYPERLINK("http://localhost:5173/?state=Nagaland&amp;keyword=Climate%20Change&amp;tender=NAG-FOREST-2026-7120", "🚀 Open in Portal")</f>
        <v/>
      </c>
    </row>
    <row r="2784" ht="24" customHeight="1">
      <c r="A2784" s="11" t="inlineStr">
        <is>
          <t>Nagaland</t>
        </is>
      </c>
      <c r="B2784" s="12" t="inlineStr">
        <is>
          <t>Environment</t>
        </is>
      </c>
      <c r="C2784" s="13" t="inlineStr">
        <is>
          <t>NAG-FOREST-2026-7120</t>
        </is>
      </c>
      <c r="D2784" s="14" t="inlineStr">
        <is>
          <t>Community Conserved Areas (CCA) Drone Mapping &amp; Biodiversity Conservation Portal</t>
        </is>
      </c>
      <c r="E2784" s="14" t="inlineStr">
        <is>
          <t>DEPARTMENT OF ENVIRONMENT, FORESTS &amp; CLIMATE CHANGE-Dimapur</t>
        </is>
      </c>
      <c r="F2784" s="13" t="inlineStr">
        <is>
          <t>06 Oct 2026</t>
        </is>
      </c>
      <c r="G2784" s="12" t="inlineStr">
        <is>
          <t>27 Oct 2026</t>
        </is>
      </c>
      <c r="H2784" s="17" t="inlineStr">
        <is>
          <t>🟢 LIVE ACTIVE</t>
        </is>
      </c>
      <c r="I2784" s="11" t="inlineStr">
        <is>
          <t>CCA_Biodiversity_Mapping_RFP.pdf</t>
        </is>
      </c>
      <c r="J2784" s="13" t="inlineStr">
        <is>
          <t>📕 PDF Document</t>
        </is>
      </c>
      <c r="K2784" s="15" t="n">
        <v>17.9</v>
      </c>
      <c r="L2784" s="16">
        <f>HYPERLINK("http://127.0.0.1:8000/api/documents/download?id=2852&amp;attachment=true", "⬇ Download CCA_Biodiversity_Mapping")</f>
        <v/>
      </c>
      <c r="M2784" s="16">
        <f>HYPERLINK("http://localhost:5173/?state=Nagaland&amp;keyword=Environment&amp;tender=NAG-FOREST-2026-7120", "🚀 Open in Portal")</f>
        <v/>
      </c>
    </row>
    <row r="2785" ht="24" customHeight="1">
      <c r="A2785" s="4" t="inlineStr">
        <is>
          <t>Nagaland</t>
        </is>
      </c>
      <c r="B2785" s="5" t="inlineStr">
        <is>
          <t>Environment</t>
        </is>
      </c>
      <c r="C2785" s="6" t="inlineStr">
        <is>
          <t>NAG-FOREST-2026-7120</t>
        </is>
      </c>
      <c r="D2785" s="7" t="inlineStr">
        <is>
          <t>Community Conserved Areas (CCA) Drone Mapping &amp; Biodiversity Conservation Portal</t>
        </is>
      </c>
      <c r="E2785" s="7" t="inlineStr">
        <is>
          <t>DEPARTMENT OF ENVIRONMENT, FORESTS &amp; CLIMATE CHANGE-Dimapur</t>
        </is>
      </c>
      <c r="F2785" s="6" t="inlineStr">
        <is>
          <t>06 Oct 2026</t>
        </is>
      </c>
      <c r="G2785" s="5" t="inlineStr">
        <is>
          <t>27 Oct 2026</t>
        </is>
      </c>
      <c r="H2785" s="17" t="inlineStr">
        <is>
          <t>🟢 LIVE ACTIVE</t>
        </is>
      </c>
      <c r="I2785" s="4" t="inlineStr">
        <is>
          <t>Conservation_Portal_Design_Spec.pdf</t>
        </is>
      </c>
      <c r="J2785" s="6" t="inlineStr">
        <is>
          <t>📕 PDF Document</t>
        </is>
      </c>
      <c r="K2785" s="9" t="n">
        <v>17.9</v>
      </c>
      <c r="L2785" s="10">
        <f>HYPERLINK("http://127.0.0.1:8000/api/documents/download?id=2853&amp;attachment=true", "⬇ Download Conservation_Portal_Desi")</f>
        <v/>
      </c>
      <c r="M2785" s="10">
        <f>HYPERLINK("http://localhost:5173/?state=Nagaland&amp;keyword=Environment&amp;tender=NAG-FOREST-2026-7120", "🚀 Open in Portal")</f>
        <v/>
      </c>
    </row>
    <row r="2786" ht="24" customHeight="1">
      <c r="A2786" s="11" t="inlineStr">
        <is>
          <t>Nagaland</t>
        </is>
      </c>
      <c r="B2786" s="12" t="inlineStr">
        <is>
          <t>Environment</t>
        </is>
      </c>
      <c r="C2786" s="13" t="inlineStr">
        <is>
          <t>NAG-FOREST-2026-7120</t>
        </is>
      </c>
      <c r="D2786" s="14" t="inlineStr">
        <is>
          <t>Community Conserved Areas (CCA) Drone Mapping &amp; Biodiversity Conservation Portal</t>
        </is>
      </c>
      <c r="E2786" s="14" t="inlineStr">
        <is>
          <t>DEPARTMENT OF ENVIRONMENT, FORESTS &amp; CLIMATE CHANGE-Dimapur</t>
        </is>
      </c>
      <c r="F2786" s="13" t="inlineStr">
        <is>
          <t>06 Oct 2026</t>
        </is>
      </c>
      <c r="G2786" s="12" t="inlineStr">
        <is>
          <t>27 Oct 2026</t>
        </is>
      </c>
      <c r="H2786" s="17" t="inlineStr">
        <is>
          <t>🟢 LIVE ACTIVE</t>
        </is>
      </c>
      <c r="I2786" s="11" t="inlineStr">
        <is>
          <t>Tender_NAG-FOREST-2026-7120_All_Documents.zip</t>
        </is>
      </c>
      <c r="J2786" s="13" t="inlineStr">
        <is>
          <t>📦 ZIP Package</t>
        </is>
      </c>
      <c r="K2786" s="15" t="n">
        <v>18.7</v>
      </c>
      <c r="L2786" s="16">
        <f>HYPERLINK("http://127.0.0.1:8000/api/documents/download?id=3027&amp;attachment=true", "⬇ Download Tender_NAG-FOREST-2026-7")</f>
        <v/>
      </c>
      <c r="M2786" s="16">
        <f>HYPERLINK("http://localhost:5173/?state=Nagaland&amp;keyword=Environment&amp;tender=NAG-FOREST-2026-7120", "🚀 Open in Portal")</f>
        <v/>
      </c>
    </row>
    <row r="2787" ht="24" customHeight="1">
      <c r="A2787" s="4" t="inlineStr">
        <is>
          <t>Nagaland</t>
        </is>
      </c>
      <c r="B2787" s="5" t="inlineStr">
        <is>
          <t>Water Resources</t>
        </is>
      </c>
      <c r="C2787" s="6" t="inlineStr">
        <is>
          <t>2026_NAG_9811185_69</t>
        </is>
      </c>
      <c r="D2787" s="7" t="inlineStr">
        <is>
          <t>Water Resources-Based River Basin Hydro-Meteorological Sensor Network &amp; GIS Flood Simulation</t>
        </is>
      </c>
      <c r="E2787" s="7" t="inlineStr">
        <is>
          <t>WATER RESOURCES &amp; IRRIGATION DEPARTMENT</t>
        </is>
      </c>
      <c r="F2787" s="6" t="inlineStr">
        <is>
          <t>30 Sep 2026</t>
        </is>
      </c>
      <c r="G2787" s="5" t="inlineStr">
        <is>
          <t>14 Nov 2026</t>
        </is>
      </c>
      <c r="H2787" s="17" t="inlineStr">
        <is>
          <t>🟢 LIVE ACTIVE</t>
        </is>
      </c>
      <c r="I2787" s="4" t="inlineStr">
        <is>
          <t>Tendernotice_2026_NAG_9811185_69.pdf</t>
        </is>
      </c>
      <c r="J2787" s="6" t="inlineStr">
        <is>
          <t>📕 PDF Document</t>
        </is>
      </c>
      <c r="K2787" s="9" t="n">
        <v>17.9</v>
      </c>
      <c r="L2787" s="10">
        <f>HYPERLINK("http://127.0.0.1:8000/api/documents/download?id=3153&amp;attachment=true", "⬇ Download Tendernotice_2026_NAG_98")</f>
        <v/>
      </c>
      <c r="M2787" s="10">
        <f>HYPERLINK("http://localhost:5173/?state=Nagaland&amp;keyword=Water%20Resources&amp;tender=2026_NAG_9811185_69", "🚀 Open in Portal")</f>
        <v/>
      </c>
    </row>
    <row r="2788" ht="24" customHeight="1">
      <c r="A2788" s="11" t="inlineStr">
        <is>
          <t>Nagaland</t>
        </is>
      </c>
      <c r="B2788" s="12" t="inlineStr">
        <is>
          <t>Water Resources</t>
        </is>
      </c>
      <c r="C2788" s="13" t="inlineStr">
        <is>
          <t>2026_NAG_9811185_69</t>
        </is>
      </c>
      <c r="D2788" s="14" t="inlineStr">
        <is>
          <t>Water Resources-Based River Basin Hydro-Meteorological Sensor Network &amp; GIS Flood Simulation</t>
        </is>
      </c>
      <c r="E2788" s="14" t="inlineStr">
        <is>
          <t>WATER RESOURCES &amp; IRRIGATION DEPARTMENT</t>
        </is>
      </c>
      <c r="F2788" s="13" t="inlineStr">
        <is>
          <t>30 Sep 2026</t>
        </is>
      </c>
      <c r="G2788" s="12" t="inlineStr">
        <is>
          <t>14 Nov 2026</t>
        </is>
      </c>
      <c r="H2788" s="17" t="inlineStr">
        <is>
          <t>🟢 LIVE ACTIVE</t>
        </is>
      </c>
      <c r="I2788" s="11" t="inlineStr">
        <is>
          <t>Technical_RFP_Specification_Water Resources.pdf</t>
        </is>
      </c>
      <c r="J2788" s="13" t="inlineStr">
        <is>
          <t>📕 PDF Document</t>
        </is>
      </c>
      <c r="K2788" s="15" t="n">
        <v>18</v>
      </c>
      <c r="L2788" s="16">
        <f>HYPERLINK("http://127.0.0.1:8000/api/documents/download?id=3154&amp;attachment=true", "⬇ Download Technical_RFP_Specificat")</f>
        <v/>
      </c>
      <c r="M2788" s="16">
        <f>HYPERLINK("http://localhost:5173/?state=Nagaland&amp;keyword=Water%20Resources&amp;tender=2026_NAG_9811185_69", "🚀 Open in Portal")</f>
        <v/>
      </c>
    </row>
    <row r="2789" ht="24" customHeight="1">
      <c r="A2789" s="4" t="inlineStr">
        <is>
          <t>Nagaland</t>
        </is>
      </c>
      <c r="B2789" s="5" t="inlineStr">
        <is>
          <t>Water Resources</t>
        </is>
      </c>
      <c r="C2789" s="6" t="inlineStr">
        <is>
          <t>2026_NAG_9811185_69</t>
        </is>
      </c>
      <c r="D2789" s="7" t="inlineStr">
        <is>
          <t>Water Resources-Based River Basin Hydro-Meteorological Sensor Network &amp; GIS Flood Simulation</t>
        </is>
      </c>
      <c r="E2789" s="7" t="inlineStr">
        <is>
          <t>WATER RESOURCES &amp; IRRIGATION DEPARTMENT</t>
        </is>
      </c>
      <c r="F2789" s="6" t="inlineStr">
        <is>
          <t>30 Sep 2026</t>
        </is>
      </c>
      <c r="G2789" s="5" t="inlineStr">
        <is>
          <t>14 Nov 2026</t>
        </is>
      </c>
      <c r="H2789" s="17" t="inlineStr">
        <is>
          <t>🟢 LIVE ACTIVE</t>
        </is>
      </c>
      <c r="I2789" s="4" t="inlineStr">
        <is>
          <t>BOQ_Financial_Schedule_2026_NAG_9811185_69.xlsx</t>
        </is>
      </c>
      <c r="J2789" s="6" t="inlineStr">
        <is>
          <t>📊 Excel BOQ</t>
        </is>
      </c>
      <c r="K2789" s="9" t="n">
        <v>2.5</v>
      </c>
      <c r="L2789" s="10">
        <f>HYPERLINK("http://127.0.0.1:8000/api/documents/download?id=3155&amp;attachment=true", "⬇ Download BOQ_Financial_Schedule_2")</f>
        <v/>
      </c>
      <c r="M2789" s="10">
        <f>HYPERLINK("http://localhost:5173/?state=Nagaland&amp;keyword=Water%20Resources&amp;tender=2026_NAG_9811185_69", "🚀 Open in Portal")</f>
        <v/>
      </c>
    </row>
    <row r="2790" ht="24" customHeight="1">
      <c r="A2790" s="11" t="inlineStr">
        <is>
          <t>Nagaland</t>
        </is>
      </c>
      <c r="B2790" s="12" t="inlineStr">
        <is>
          <t>Water Resources</t>
        </is>
      </c>
      <c r="C2790" s="13" t="inlineStr">
        <is>
          <t>2026_NAG_9811185_69</t>
        </is>
      </c>
      <c r="D2790" s="14" t="inlineStr">
        <is>
          <t>Water Resources-Based River Basin Hydro-Meteorological Sensor Network &amp; GIS Flood Simulation</t>
        </is>
      </c>
      <c r="E2790" s="14" t="inlineStr">
        <is>
          <t>WATER RESOURCES &amp; IRRIGATION DEPARTMENT</t>
        </is>
      </c>
      <c r="F2790" s="13" t="inlineStr">
        <is>
          <t>30 Sep 2026</t>
        </is>
      </c>
      <c r="G2790" s="12" t="inlineStr">
        <is>
          <t>14 Nov 2026</t>
        </is>
      </c>
      <c r="H2790" s="17" t="inlineStr">
        <is>
          <t>🟢 LIVE ACTIVE</t>
        </is>
      </c>
      <c r="I2790" s="11" t="inlineStr">
        <is>
          <t>Tender_2026_NAG_9811185_69_All_Documents.zip</t>
        </is>
      </c>
      <c r="J2790" s="13" t="inlineStr">
        <is>
          <t>📦 ZIP Package</t>
        </is>
      </c>
      <c r="K2790" s="15" t="n">
        <v>45</v>
      </c>
      <c r="L2790" s="16">
        <f>HYPERLINK("https://nagalandtenders.gov.in/tender/2026_NAG_9811185_69", "⬇ Download Tender_2026_NAG_9811185_")</f>
        <v/>
      </c>
      <c r="M2790" s="16">
        <f>HYPERLINK("http://localhost:5173/?state=Nagaland&amp;keyword=Water%20Resources&amp;tender=2026_NAG_9811185_69", "🚀 Open in Portal")</f>
        <v/>
      </c>
    </row>
    <row r="2791" ht="24" customHeight="1">
      <c r="A2791" s="4" t="inlineStr">
        <is>
          <t>Nagaland</t>
        </is>
      </c>
      <c r="B2791" s="5" t="inlineStr">
        <is>
          <t>Health</t>
        </is>
      </c>
      <c r="C2791" s="6" t="inlineStr">
        <is>
          <t>NAG-HEALTH-2026-3391</t>
        </is>
      </c>
      <c r="D2791" s="7" t="inlineStr">
        <is>
          <t>Nagaland Health Protection Scheme Beneficiary MIS Portal &amp; Mobile Verification App</t>
        </is>
      </c>
      <c r="E2791" s="7" t="inlineStr">
        <is>
          <t>HEALTH &amp; FAMILY WELFARE-Kohima</t>
        </is>
      </c>
      <c r="F2791" s="6" t="inlineStr">
        <is>
          <t>07 Sep 2026</t>
        </is>
      </c>
      <c r="G2791" s="5" t="inlineStr">
        <is>
          <t>05 Oct 2026</t>
        </is>
      </c>
      <c r="H2791" s="8" t="inlineStr">
        <is>
          <t>⏳ UPCOMING</t>
        </is>
      </c>
      <c r="I2791" s="4" t="inlineStr">
        <is>
          <t>CMHIS_Insurance_Portal_RFP.pdf</t>
        </is>
      </c>
      <c r="J2791" s="6" t="inlineStr">
        <is>
          <t>📕 PDF Document</t>
        </is>
      </c>
      <c r="K2791" s="9" t="n">
        <v>17.9</v>
      </c>
      <c r="L2791" s="10">
        <f>HYPERLINK("http://127.0.0.1:8000/api/documents/download?id=2850&amp;attachment=true", "⬇ Download CMHIS_Insurance_Portal_R")</f>
        <v/>
      </c>
      <c r="M2791" s="10">
        <f>HYPERLINK("http://localhost:5173/?state=Nagaland&amp;keyword=Health&amp;tender=NAG-HEALTH-2026-3391", "🚀 Open in Portal")</f>
        <v/>
      </c>
    </row>
    <row r="2792" ht="24" customHeight="1">
      <c r="A2792" s="11" t="inlineStr">
        <is>
          <t>Nagaland</t>
        </is>
      </c>
      <c r="B2792" s="12" t="inlineStr">
        <is>
          <t>Health</t>
        </is>
      </c>
      <c r="C2792" s="13" t="inlineStr">
        <is>
          <t>NAG-HEALTH-2026-3391</t>
        </is>
      </c>
      <c r="D2792" s="14" t="inlineStr">
        <is>
          <t>Nagaland Health Protection Scheme Beneficiary MIS Portal &amp; Mobile Verification App</t>
        </is>
      </c>
      <c r="E2792" s="14" t="inlineStr">
        <is>
          <t>HEALTH &amp; FAMILY WELFARE-Kohima</t>
        </is>
      </c>
      <c r="F2792" s="13" t="inlineStr">
        <is>
          <t>07 Sep 2026</t>
        </is>
      </c>
      <c r="G2792" s="12" t="inlineStr">
        <is>
          <t>05 Oct 2026</t>
        </is>
      </c>
      <c r="H2792" s="8" t="inlineStr">
        <is>
          <t>⏳ UPCOMING</t>
        </is>
      </c>
      <c r="I2792" s="11" t="inlineStr">
        <is>
          <t>Claims_Processing_API_Specs.pdf</t>
        </is>
      </c>
      <c r="J2792" s="13" t="inlineStr">
        <is>
          <t>📕 PDF Document</t>
        </is>
      </c>
      <c r="K2792" s="15" t="n">
        <v>17.9</v>
      </c>
      <c r="L2792" s="16">
        <f>HYPERLINK("http://127.0.0.1:8000/api/documents/download?id=2851&amp;attachment=true", "⬇ Download Claims_Processing_API_Sp")</f>
        <v/>
      </c>
      <c r="M2792" s="16">
        <f>HYPERLINK("http://localhost:5173/?state=Nagaland&amp;keyword=Health&amp;tender=NAG-HEALTH-2026-3391", "🚀 Open in Portal")</f>
        <v/>
      </c>
    </row>
    <row r="2793" ht="24" customHeight="1">
      <c r="A2793" s="4" t="inlineStr">
        <is>
          <t>Nagaland</t>
        </is>
      </c>
      <c r="B2793" s="5" t="inlineStr">
        <is>
          <t>Health</t>
        </is>
      </c>
      <c r="C2793" s="6" t="inlineStr">
        <is>
          <t>NAG-HEALTH-2026-3391</t>
        </is>
      </c>
      <c r="D2793" s="7" t="inlineStr">
        <is>
          <t>Nagaland Health Protection Scheme Beneficiary MIS Portal &amp; Mobile Verification App</t>
        </is>
      </c>
      <c r="E2793" s="7" t="inlineStr">
        <is>
          <t>HEALTH &amp; FAMILY WELFARE-Kohima</t>
        </is>
      </c>
      <c r="F2793" s="6" t="inlineStr">
        <is>
          <t>07 Sep 2026</t>
        </is>
      </c>
      <c r="G2793" s="5" t="inlineStr">
        <is>
          <t>05 Oct 2026</t>
        </is>
      </c>
      <c r="H2793" s="8" t="inlineStr">
        <is>
          <t>⏳ UPCOMING</t>
        </is>
      </c>
      <c r="I2793" s="4" t="inlineStr">
        <is>
          <t>Tender_NAG-HEALTH-2026-3391_All_Documents.zip</t>
        </is>
      </c>
      <c r="J2793" s="6" t="inlineStr">
        <is>
          <t>📦 ZIP Package</t>
        </is>
      </c>
      <c r="K2793" s="9" t="n">
        <v>18.5</v>
      </c>
      <c r="L2793" s="10">
        <f>HYPERLINK("http://127.0.0.1:8000/api/documents/download?id=3026&amp;attachment=true", "⬇ Download Tender_NAG-HEALTH-2026-3")</f>
        <v/>
      </c>
      <c r="M2793" s="10">
        <f>HYPERLINK("http://localhost:5173/?state=Nagaland&amp;keyword=Health&amp;tender=NAG-HEALTH-2026-3391", "🚀 Open in Portal")</f>
        <v/>
      </c>
    </row>
    <row r="2794" ht="24" customHeight="1">
      <c r="A2794" s="11" t="inlineStr">
        <is>
          <t>Nagaland</t>
        </is>
      </c>
      <c r="B2794" s="12" t="inlineStr">
        <is>
          <t>Spatial</t>
        </is>
      </c>
      <c r="C2794" s="13" t="inlineStr">
        <is>
          <t>NAG-IT-2026-8802</t>
        </is>
      </c>
      <c r="D2794" s="14" t="inlineStr">
        <is>
          <t>Establishment of State Spatial Data Infrastructure and Village GIS Geodatabase</t>
        </is>
      </c>
      <c r="E2794" s="14" t="inlineStr">
        <is>
          <t>DEPARTMENT OF INFORMATION TECHNOLOGY &amp; COMMUNICATION-Kohima</t>
        </is>
      </c>
      <c r="F2794" s="13" t="inlineStr">
        <is>
          <t>09 Aug 2026</t>
        </is>
      </c>
      <c r="G2794" s="12" t="inlineStr">
        <is>
          <t>04 Sep 2026</t>
        </is>
      </c>
      <c r="H2794" s="8" t="inlineStr">
        <is>
          <t>⏳ UPCOMING</t>
        </is>
      </c>
      <c r="I2794" s="11" t="inlineStr">
        <is>
          <t>Nagaland_State_GIS_Portal_RFP.pdf</t>
        </is>
      </c>
      <c r="J2794" s="13" t="inlineStr">
        <is>
          <t>📕 PDF Document</t>
        </is>
      </c>
      <c r="K2794" s="15" t="n">
        <v>17.9</v>
      </c>
      <c r="L2794" s="16">
        <f>HYPERLINK("http://127.0.0.1:8000/api/documents/download?id=2847&amp;attachment=true", "⬇ Download Nagaland_State_GIS_Porta")</f>
        <v/>
      </c>
      <c r="M2794" s="16">
        <f>HYPERLINK("http://localhost:5173/?state=Nagaland&amp;keyword=Spatial&amp;tender=NAG-IT-2026-8802", "🚀 Open in Portal")</f>
        <v/>
      </c>
    </row>
    <row r="2795" ht="24" customHeight="1">
      <c r="A2795" s="4" t="inlineStr">
        <is>
          <t>Nagaland</t>
        </is>
      </c>
      <c r="B2795" s="5" t="inlineStr">
        <is>
          <t>Spatial</t>
        </is>
      </c>
      <c r="C2795" s="6" t="inlineStr">
        <is>
          <t>NAG-IT-2026-8802</t>
        </is>
      </c>
      <c r="D2795" s="7" t="inlineStr">
        <is>
          <t>Establishment of State Spatial Data Infrastructure and Village GIS Geodatabase</t>
        </is>
      </c>
      <c r="E2795" s="7" t="inlineStr">
        <is>
          <t>DEPARTMENT OF INFORMATION TECHNOLOGY &amp; COMMUNICATION-Kohima</t>
        </is>
      </c>
      <c r="F2795" s="6" t="inlineStr">
        <is>
          <t>09 Aug 2026</t>
        </is>
      </c>
      <c r="G2795" s="5" t="inlineStr">
        <is>
          <t>04 Sep 2026</t>
        </is>
      </c>
      <c r="H2795" s="8" t="inlineStr">
        <is>
          <t>⏳ UPCOMING</t>
        </is>
      </c>
      <c r="I2795" s="4" t="inlineStr">
        <is>
          <t>Metadata_Standards_ISO19115.pdf</t>
        </is>
      </c>
      <c r="J2795" s="6" t="inlineStr">
        <is>
          <t>📕 PDF Document</t>
        </is>
      </c>
      <c r="K2795" s="9" t="n">
        <v>17.9</v>
      </c>
      <c r="L2795" s="10">
        <f>HYPERLINK("http://127.0.0.1:8000/api/documents/download?id=2848&amp;attachment=true", "⬇ Download Metadata_Standards_ISO19")</f>
        <v/>
      </c>
      <c r="M2795" s="10">
        <f>HYPERLINK("http://localhost:5173/?state=Nagaland&amp;keyword=Spatial&amp;tender=NAG-IT-2026-8802", "🚀 Open in Portal")</f>
        <v/>
      </c>
    </row>
    <row r="2796" ht="24" customHeight="1">
      <c r="A2796" s="11" t="inlineStr">
        <is>
          <t>Nagaland</t>
        </is>
      </c>
      <c r="B2796" s="12" t="inlineStr">
        <is>
          <t>Spatial</t>
        </is>
      </c>
      <c r="C2796" s="13" t="inlineStr">
        <is>
          <t>NAG-IT-2026-8802</t>
        </is>
      </c>
      <c r="D2796" s="14" t="inlineStr">
        <is>
          <t>Establishment of State Spatial Data Infrastructure and Village GIS Geodatabase</t>
        </is>
      </c>
      <c r="E2796" s="14" t="inlineStr">
        <is>
          <t>DEPARTMENT OF INFORMATION TECHNOLOGY &amp; COMMUNICATION-Kohima</t>
        </is>
      </c>
      <c r="F2796" s="13" t="inlineStr">
        <is>
          <t>09 Aug 2026</t>
        </is>
      </c>
      <c r="G2796" s="12" t="inlineStr">
        <is>
          <t>04 Sep 2026</t>
        </is>
      </c>
      <c r="H2796" s="8" t="inlineStr">
        <is>
          <t>⏳ UPCOMING</t>
        </is>
      </c>
      <c r="I2796" s="11" t="inlineStr">
        <is>
          <t>Tender_Schedules_Price_Bid.xlsx</t>
        </is>
      </c>
      <c r="J2796" s="13" t="inlineStr">
        <is>
          <t>📊 Excel BOQ</t>
        </is>
      </c>
      <c r="K2796" s="15" t="n">
        <v>2.5</v>
      </c>
      <c r="L2796" s="16">
        <f>HYPERLINK("http://127.0.0.1:8000/api/documents/download?id=2849&amp;attachment=true", "⬇ Download Tender_Schedules_Price_B")</f>
        <v/>
      </c>
      <c r="M2796" s="16">
        <f>HYPERLINK("http://localhost:5173/?state=Nagaland&amp;keyword=Spatial&amp;tender=NAG-IT-2026-8802", "🚀 Open in Portal")</f>
        <v/>
      </c>
    </row>
    <row r="2797" ht="24" customHeight="1">
      <c r="A2797" s="4" t="inlineStr">
        <is>
          <t>Nagaland</t>
        </is>
      </c>
      <c r="B2797" s="5" t="inlineStr">
        <is>
          <t>Spatial</t>
        </is>
      </c>
      <c r="C2797" s="6" t="inlineStr">
        <is>
          <t>NAG-IT-2026-8802</t>
        </is>
      </c>
      <c r="D2797" s="7" t="inlineStr">
        <is>
          <t>Establishment of State Spatial Data Infrastructure and Village GIS Geodatabase</t>
        </is>
      </c>
      <c r="E2797" s="7" t="inlineStr">
        <is>
          <t>DEPARTMENT OF INFORMATION TECHNOLOGY &amp; COMMUNICATION-Kohima</t>
        </is>
      </c>
      <c r="F2797" s="6" t="inlineStr">
        <is>
          <t>09 Aug 2026</t>
        </is>
      </c>
      <c r="G2797" s="5" t="inlineStr">
        <is>
          <t>04 Sep 2026</t>
        </is>
      </c>
      <c r="H2797" s="8" t="inlineStr">
        <is>
          <t>⏳ UPCOMING</t>
        </is>
      </c>
      <c r="I2797" s="4" t="inlineStr">
        <is>
          <t>Tender_NAG-IT-2026-8802_All_Documents.zip</t>
        </is>
      </c>
      <c r="J2797" s="6" t="inlineStr">
        <is>
          <t>📦 ZIP Package</t>
        </is>
      </c>
      <c r="K2797" s="9" t="n">
        <v>20.8</v>
      </c>
      <c r="L2797" s="10">
        <f>HYPERLINK("http://127.0.0.1:8000/api/documents/download?id=3025&amp;attachment=true", "⬇ Download Tender_NAG-IT-2026-8802_")</f>
        <v/>
      </c>
      <c r="M2797" s="10">
        <f>HYPERLINK("http://localhost:5173/?state=Nagaland&amp;keyword=Spatial&amp;tender=NAG-IT-2026-8802", "🚀 Open in Portal")</f>
        <v/>
      </c>
    </row>
    <row r="2798" ht="24" customHeight="1">
      <c r="A2798" s="11" t="inlineStr">
        <is>
          <t>Nagaland</t>
        </is>
      </c>
      <c r="B2798" s="12" t="inlineStr">
        <is>
          <t>Software Development</t>
        </is>
      </c>
      <c r="C2798" s="13" t="inlineStr">
        <is>
          <t>NAG-HEALTH-2026-3391</t>
        </is>
      </c>
      <c r="D2798" s="14" t="inlineStr">
        <is>
          <t>Nagaland Health Protection Scheme Beneficiary MIS Portal &amp; Mobile Verification App</t>
        </is>
      </c>
      <c r="E2798" s="14" t="inlineStr">
        <is>
          <t>HEALTH &amp; FAMILY WELFARE-Kohima</t>
        </is>
      </c>
      <c r="F2798" s="13" t="inlineStr">
        <is>
          <t>07 Sep 2026</t>
        </is>
      </c>
      <c r="G2798" s="12" t="inlineStr">
        <is>
          <t>05 Oct 2026</t>
        </is>
      </c>
      <c r="H2798" s="8" t="inlineStr">
        <is>
          <t>⏳ UPCOMING</t>
        </is>
      </c>
      <c r="I2798" s="11" t="inlineStr">
        <is>
          <t>CMHIS_Insurance_Portal_RFP.pdf</t>
        </is>
      </c>
      <c r="J2798" s="13" t="inlineStr">
        <is>
          <t>📕 PDF Document</t>
        </is>
      </c>
      <c r="K2798" s="15" t="n">
        <v>17.9</v>
      </c>
      <c r="L2798" s="16">
        <f>HYPERLINK("http://127.0.0.1:8000/api/documents/download?id=2850&amp;attachment=true", "⬇ Download CMHIS_Insurance_Portal_R")</f>
        <v/>
      </c>
      <c r="M2798" s="16">
        <f>HYPERLINK("http://localhost:5173/?state=Nagaland&amp;keyword=Software%20Development&amp;tender=NAG-HEALTH-2026-3391", "🚀 Open in Portal")</f>
        <v/>
      </c>
    </row>
    <row r="2799" ht="24" customHeight="1">
      <c r="A2799" s="4" t="inlineStr">
        <is>
          <t>Nagaland</t>
        </is>
      </c>
      <c r="B2799" s="5" t="inlineStr">
        <is>
          <t>Software Development</t>
        </is>
      </c>
      <c r="C2799" s="6" t="inlineStr">
        <is>
          <t>NAG-HEALTH-2026-3391</t>
        </is>
      </c>
      <c r="D2799" s="7" t="inlineStr">
        <is>
          <t>Nagaland Health Protection Scheme Beneficiary MIS Portal &amp; Mobile Verification App</t>
        </is>
      </c>
      <c r="E2799" s="7" t="inlineStr">
        <is>
          <t>HEALTH &amp; FAMILY WELFARE-Kohima</t>
        </is>
      </c>
      <c r="F2799" s="6" t="inlineStr">
        <is>
          <t>07 Sep 2026</t>
        </is>
      </c>
      <c r="G2799" s="5" t="inlineStr">
        <is>
          <t>05 Oct 2026</t>
        </is>
      </c>
      <c r="H2799" s="8" t="inlineStr">
        <is>
          <t>⏳ UPCOMING</t>
        </is>
      </c>
      <c r="I2799" s="4" t="inlineStr">
        <is>
          <t>Claims_Processing_API_Specs.pdf</t>
        </is>
      </c>
      <c r="J2799" s="6" t="inlineStr">
        <is>
          <t>📕 PDF Document</t>
        </is>
      </c>
      <c r="K2799" s="9" t="n">
        <v>17.9</v>
      </c>
      <c r="L2799" s="10">
        <f>HYPERLINK("http://127.0.0.1:8000/api/documents/download?id=2851&amp;attachment=true", "⬇ Download Claims_Processing_API_Sp")</f>
        <v/>
      </c>
      <c r="M2799" s="10">
        <f>HYPERLINK("http://localhost:5173/?state=Nagaland&amp;keyword=Software%20Development&amp;tender=NAG-HEALTH-2026-3391", "🚀 Open in Portal")</f>
        <v/>
      </c>
    </row>
    <row r="2800" ht="24" customHeight="1">
      <c r="A2800" s="11" t="inlineStr">
        <is>
          <t>Nagaland</t>
        </is>
      </c>
      <c r="B2800" s="12" t="inlineStr">
        <is>
          <t>Software Development</t>
        </is>
      </c>
      <c r="C2800" s="13" t="inlineStr">
        <is>
          <t>NAG-HEALTH-2026-3391</t>
        </is>
      </c>
      <c r="D2800" s="14" t="inlineStr">
        <is>
          <t>Nagaland Health Protection Scheme Beneficiary MIS Portal &amp; Mobile Verification App</t>
        </is>
      </c>
      <c r="E2800" s="14" t="inlineStr">
        <is>
          <t>HEALTH &amp; FAMILY WELFARE-Kohima</t>
        </is>
      </c>
      <c r="F2800" s="13" t="inlineStr">
        <is>
          <t>07 Sep 2026</t>
        </is>
      </c>
      <c r="G2800" s="12" t="inlineStr">
        <is>
          <t>05 Oct 2026</t>
        </is>
      </c>
      <c r="H2800" s="8" t="inlineStr">
        <is>
          <t>⏳ UPCOMING</t>
        </is>
      </c>
      <c r="I2800" s="11" t="inlineStr">
        <is>
          <t>Tender_NAG-HEALTH-2026-3391_All_Documents.zip</t>
        </is>
      </c>
      <c r="J2800" s="13" t="inlineStr">
        <is>
          <t>📦 ZIP Package</t>
        </is>
      </c>
      <c r="K2800" s="15" t="n">
        <v>18.5</v>
      </c>
      <c r="L2800" s="16">
        <f>HYPERLINK("http://127.0.0.1:8000/api/documents/download?id=3026&amp;attachment=true", "⬇ Download Tender_NAG-HEALTH-2026-3")</f>
        <v/>
      </c>
      <c r="M2800" s="16">
        <f>HYPERLINK("http://localhost:5173/?state=Nagaland&amp;keyword=Software%20Development&amp;tender=NAG-HEALTH-2026-3391", "🚀 Open in Portal")</f>
        <v/>
      </c>
    </row>
    <row r="2801" ht="24" customHeight="1">
      <c r="A2801" s="4" t="inlineStr">
        <is>
          <t>Nagaland</t>
        </is>
      </c>
      <c r="B2801" s="5" t="inlineStr">
        <is>
          <t>MIS</t>
        </is>
      </c>
      <c r="C2801" s="6" t="inlineStr">
        <is>
          <t>NAG-HEALTH-2026-3391</t>
        </is>
      </c>
      <c r="D2801" s="7" t="inlineStr">
        <is>
          <t>Nagaland Health Protection Scheme Beneficiary MIS Portal &amp; Mobile Verification App</t>
        </is>
      </c>
      <c r="E2801" s="7" t="inlineStr">
        <is>
          <t>HEALTH &amp; FAMILY WELFARE-Kohima</t>
        </is>
      </c>
      <c r="F2801" s="6" t="inlineStr">
        <is>
          <t>07 Sep 2026</t>
        </is>
      </c>
      <c r="G2801" s="5" t="inlineStr">
        <is>
          <t>05 Oct 2026</t>
        </is>
      </c>
      <c r="H2801" s="8" t="inlineStr">
        <is>
          <t>⏳ UPCOMING</t>
        </is>
      </c>
      <c r="I2801" s="4" t="inlineStr">
        <is>
          <t>CMHIS_Insurance_Portal_RFP.pdf</t>
        </is>
      </c>
      <c r="J2801" s="6" t="inlineStr">
        <is>
          <t>📕 PDF Document</t>
        </is>
      </c>
      <c r="K2801" s="9" t="n">
        <v>17.9</v>
      </c>
      <c r="L2801" s="10">
        <f>HYPERLINK("http://127.0.0.1:8000/api/documents/download?id=2850&amp;attachment=true", "⬇ Download CMHIS_Insurance_Portal_R")</f>
        <v/>
      </c>
      <c r="M2801" s="10">
        <f>HYPERLINK("http://localhost:5173/?state=Nagaland&amp;keyword=MIS&amp;tender=NAG-HEALTH-2026-3391", "🚀 Open in Portal")</f>
        <v/>
      </c>
    </row>
    <row r="2802" ht="24" customHeight="1">
      <c r="A2802" s="11" t="inlineStr">
        <is>
          <t>Nagaland</t>
        </is>
      </c>
      <c r="B2802" s="12" t="inlineStr">
        <is>
          <t>MIS</t>
        </is>
      </c>
      <c r="C2802" s="13" t="inlineStr">
        <is>
          <t>NAG-HEALTH-2026-3391</t>
        </is>
      </c>
      <c r="D2802" s="14" t="inlineStr">
        <is>
          <t>Nagaland Health Protection Scheme Beneficiary MIS Portal &amp; Mobile Verification App</t>
        </is>
      </c>
      <c r="E2802" s="14" t="inlineStr">
        <is>
          <t>HEALTH &amp; FAMILY WELFARE-Kohima</t>
        </is>
      </c>
      <c r="F2802" s="13" t="inlineStr">
        <is>
          <t>07 Sep 2026</t>
        </is>
      </c>
      <c r="G2802" s="12" t="inlineStr">
        <is>
          <t>05 Oct 2026</t>
        </is>
      </c>
      <c r="H2802" s="8" t="inlineStr">
        <is>
          <t>⏳ UPCOMING</t>
        </is>
      </c>
      <c r="I2802" s="11" t="inlineStr">
        <is>
          <t>Claims_Processing_API_Specs.pdf</t>
        </is>
      </c>
      <c r="J2802" s="13" t="inlineStr">
        <is>
          <t>📕 PDF Document</t>
        </is>
      </c>
      <c r="K2802" s="15" t="n">
        <v>17.9</v>
      </c>
      <c r="L2802" s="16">
        <f>HYPERLINK("http://127.0.0.1:8000/api/documents/download?id=2851&amp;attachment=true", "⬇ Download Claims_Processing_API_Sp")</f>
        <v/>
      </c>
      <c r="M2802" s="16">
        <f>HYPERLINK("http://localhost:5173/?state=Nagaland&amp;keyword=MIS&amp;tender=NAG-HEALTH-2026-3391", "🚀 Open in Portal")</f>
        <v/>
      </c>
    </row>
    <row r="2803" ht="24" customHeight="1">
      <c r="A2803" s="4" t="inlineStr">
        <is>
          <t>Nagaland</t>
        </is>
      </c>
      <c r="B2803" s="5" t="inlineStr">
        <is>
          <t>MIS</t>
        </is>
      </c>
      <c r="C2803" s="6" t="inlineStr">
        <is>
          <t>NAG-HEALTH-2026-3391</t>
        </is>
      </c>
      <c r="D2803" s="7" t="inlineStr">
        <is>
          <t>Nagaland Health Protection Scheme Beneficiary MIS Portal &amp; Mobile Verification App</t>
        </is>
      </c>
      <c r="E2803" s="7" t="inlineStr">
        <is>
          <t>HEALTH &amp; FAMILY WELFARE-Kohima</t>
        </is>
      </c>
      <c r="F2803" s="6" t="inlineStr">
        <is>
          <t>07 Sep 2026</t>
        </is>
      </c>
      <c r="G2803" s="5" t="inlineStr">
        <is>
          <t>05 Oct 2026</t>
        </is>
      </c>
      <c r="H2803" s="8" t="inlineStr">
        <is>
          <t>⏳ UPCOMING</t>
        </is>
      </c>
      <c r="I2803" s="4" t="inlineStr">
        <is>
          <t>Tender_NAG-HEALTH-2026-3391_All_Documents.zip</t>
        </is>
      </c>
      <c r="J2803" s="6" t="inlineStr">
        <is>
          <t>📦 ZIP Package</t>
        </is>
      </c>
      <c r="K2803" s="9" t="n">
        <v>18.5</v>
      </c>
      <c r="L2803" s="10">
        <f>HYPERLINK("http://127.0.0.1:8000/api/documents/download?id=3026&amp;attachment=true", "⬇ Download Tender_NAG-HEALTH-2026-3")</f>
        <v/>
      </c>
      <c r="M2803" s="10">
        <f>HYPERLINK("http://localhost:5173/?state=Nagaland&amp;keyword=MIS&amp;tender=NAG-HEALTH-2026-3391", "🚀 Open in Portal")</f>
        <v/>
      </c>
    </row>
    <row r="2804" ht="24" customHeight="1">
      <c r="A2804" s="11" t="inlineStr">
        <is>
          <t>Nagaland</t>
        </is>
      </c>
      <c r="B2804" s="12" t="inlineStr">
        <is>
          <t>Mobile Application</t>
        </is>
      </c>
      <c r="C2804" s="13" t="inlineStr">
        <is>
          <t>NAG-HEALTH-2026-3391</t>
        </is>
      </c>
      <c r="D2804" s="14" t="inlineStr">
        <is>
          <t>Nagaland Health Protection Scheme Beneficiary MIS Portal &amp; Mobile Verification App</t>
        </is>
      </c>
      <c r="E2804" s="14" t="inlineStr">
        <is>
          <t>HEALTH &amp; FAMILY WELFARE-Kohima</t>
        </is>
      </c>
      <c r="F2804" s="13" t="inlineStr">
        <is>
          <t>07 Sep 2026</t>
        </is>
      </c>
      <c r="G2804" s="12" t="inlineStr">
        <is>
          <t>05 Oct 2026</t>
        </is>
      </c>
      <c r="H2804" s="8" t="inlineStr">
        <is>
          <t>⏳ UPCOMING</t>
        </is>
      </c>
      <c r="I2804" s="11" t="inlineStr">
        <is>
          <t>CMHIS_Insurance_Portal_RFP.pdf</t>
        </is>
      </c>
      <c r="J2804" s="13" t="inlineStr">
        <is>
          <t>📕 PDF Document</t>
        </is>
      </c>
      <c r="K2804" s="15" t="n">
        <v>17.9</v>
      </c>
      <c r="L2804" s="16">
        <f>HYPERLINK("http://127.0.0.1:8000/api/documents/download?id=2850&amp;attachment=true", "⬇ Download CMHIS_Insurance_Portal_R")</f>
        <v/>
      </c>
      <c r="M2804" s="16">
        <f>HYPERLINK("http://localhost:5173/?state=Nagaland&amp;keyword=Mobile%20Application&amp;tender=NAG-HEALTH-2026-3391", "🚀 Open in Portal")</f>
        <v/>
      </c>
    </row>
    <row r="2805" ht="24" customHeight="1">
      <c r="A2805" s="4" t="inlineStr">
        <is>
          <t>Nagaland</t>
        </is>
      </c>
      <c r="B2805" s="5" t="inlineStr">
        <is>
          <t>Mobile Application</t>
        </is>
      </c>
      <c r="C2805" s="6" t="inlineStr">
        <is>
          <t>NAG-HEALTH-2026-3391</t>
        </is>
      </c>
      <c r="D2805" s="7" t="inlineStr">
        <is>
          <t>Nagaland Health Protection Scheme Beneficiary MIS Portal &amp; Mobile Verification App</t>
        </is>
      </c>
      <c r="E2805" s="7" t="inlineStr">
        <is>
          <t>HEALTH &amp; FAMILY WELFARE-Kohima</t>
        </is>
      </c>
      <c r="F2805" s="6" t="inlineStr">
        <is>
          <t>07 Sep 2026</t>
        </is>
      </c>
      <c r="G2805" s="5" t="inlineStr">
        <is>
          <t>05 Oct 2026</t>
        </is>
      </c>
      <c r="H2805" s="8" t="inlineStr">
        <is>
          <t>⏳ UPCOMING</t>
        </is>
      </c>
      <c r="I2805" s="4" t="inlineStr">
        <is>
          <t>Claims_Processing_API_Specs.pdf</t>
        </is>
      </c>
      <c r="J2805" s="6" t="inlineStr">
        <is>
          <t>📕 PDF Document</t>
        </is>
      </c>
      <c r="K2805" s="9" t="n">
        <v>17.9</v>
      </c>
      <c r="L2805" s="10">
        <f>HYPERLINK("http://127.0.0.1:8000/api/documents/download?id=2851&amp;attachment=true", "⬇ Download Claims_Processing_API_Sp")</f>
        <v/>
      </c>
      <c r="M2805" s="10">
        <f>HYPERLINK("http://localhost:5173/?state=Nagaland&amp;keyword=Mobile%20Application&amp;tender=NAG-HEALTH-2026-3391", "🚀 Open in Portal")</f>
        <v/>
      </c>
    </row>
    <row r="2806" ht="24" customHeight="1">
      <c r="A2806" s="11" t="inlineStr">
        <is>
          <t>Nagaland</t>
        </is>
      </c>
      <c r="B2806" s="12" t="inlineStr">
        <is>
          <t>Mobile Application</t>
        </is>
      </c>
      <c r="C2806" s="13" t="inlineStr">
        <is>
          <t>NAG-HEALTH-2026-3391</t>
        </is>
      </c>
      <c r="D2806" s="14" t="inlineStr">
        <is>
          <t>Nagaland Health Protection Scheme Beneficiary MIS Portal &amp; Mobile Verification App</t>
        </is>
      </c>
      <c r="E2806" s="14" t="inlineStr">
        <is>
          <t>HEALTH &amp; FAMILY WELFARE-Kohima</t>
        </is>
      </c>
      <c r="F2806" s="13" t="inlineStr">
        <is>
          <t>07 Sep 2026</t>
        </is>
      </c>
      <c r="G2806" s="12" t="inlineStr">
        <is>
          <t>05 Oct 2026</t>
        </is>
      </c>
      <c r="H2806" s="8" t="inlineStr">
        <is>
          <t>⏳ UPCOMING</t>
        </is>
      </c>
      <c r="I2806" s="11" t="inlineStr">
        <is>
          <t>Tender_NAG-HEALTH-2026-3391_All_Documents.zip</t>
        </is>
      </c>
      <c r="J2806" s="13" t="inlineStr">
        <is>
          <t>📦 ZIP Package</t>
        </is>
      </c>
      <c r="K2806" s="15" t="n">
        <v>18.5</v>
      </c>
      <c r="L2806" s="16">
        <f>HYPERLINK("http://127.0.0.1:8000/api/documents/download?id=3026&amp;attachment=true", "⬇ Download Tender_NAG-HEALTH-2026-3")</f>
        <v/>
      </c>
      <c r="M2806" s="16">
        <f>HYPERLINK("http://localhost:5173/?state=Nagaland&amp;keyword=Mobile%20Application&amp;tender=NAG-HEALTH-2026-3391", "🚀 Open in Portal")</f>
        <v/>
      </c>
    </row>
    <row r="2807" ht="24" customHeight="1">
      <c r="A2807" s="4" t="inlineStr">
        <is>
          <t>Nagaland</t>
        </is>
      </c>
      <c r="B2807" s="5" t="inlineStr">
        <is>
          <t>Mapping</t>
        </is>
      </c>
      <c r="C2807" s="6" t="inlineStr">
        <is>
          <t>NAG-IT-2026-8802</t>
        </is>
      </c>
      <c r="D2807" s="7" t="inlineStr">
        <is>
          <t>Establishment of State Spatial Data Infrastructure and Village GIS Geodatabase</t>
        </is>
      </c>
      <c r="E2807" s="7" t="inlineStr">
        <is>
          <t>DEPARTMENT OF INFORMATION TECHNOLOGY &amp; COMMUNICATION-Kohima</t>
        </is>
      </c>
      <c r="F2807" s="6" t="inlineStr">
        <is>
          <t>09 Aug 2026</t>
        </is>
      </c>
      <c r="G2807" s="5" t="inlineStr">
        <is>
          <t>04 Sep 2026</t>
        </is>
      </c>
      <c r="H2807" s="8" t="inlineStr">
        <is>
          <t>⏳ UPCOMING</t>
        </is>
      </c>
      <c r="I2807" s="4" t="inlineStr">
        <is>
          <t>Nagaland_State_GIS_Portal_RFP.pdf</t>
        </is>
      </c>
      <c r="J2807" s="6" t="inlineStr">
        <is>
          <t>📕 PDF Document</t>
        </is>
      </c>
      <c r="K2807" s="9" t="n">
        <v>17.9</v>
      </c>
      <c r="L2807" s="10">
        <f>HYPERLINK("http://127.0.0.1:8000/api/documents/download?id=2847&amp;attachment=true", "⬇ Download Nagaland_State_GIS_Porta")</f>
        <v/>
      </c>
      <c r="M2807" s="10">
        <f>HYPERLINK("http://localhost:5173/?state=Nagaland&amp;keyword=Mapping&amp;tender=NAG-IT-2026-8802", "🚀 Open in Portal")</f>
        <v/>
      </c>
    </row>
    <row r="2808" ht="24" customHeight="1">
      <c r="A2808" s="11" t="inlineStr">
        <is>
          <t>Nagaland</t>
        </is>
      </c>
      <c r="B2808" s="12" t="inlineStr">
        <is>
          <t>Mapping</t>
        </is>
      </c>
      <c r="C2808" s="13" t="inlineStr">
        <is>
          <t>NAG-IT-2026-8802</t>
        </is>
      </c>
      <c r="D2808" s="14" t="inlineStr">
        <is>
          <t>Establishment of State Spatial Data Infrastructure and Village GIS Geodatabase</t>
        </is>
      </c>
      <c r="E2808" s="14" t="inlineStr">
        <is>
          <t>DEPARTMENT OF INFORMATION TECHNOLOGY &amp; COMMUNICATION-Kohima</t>
        </is>
      </c>
      <c r="F2808" s="13" t="inlineStr">
        <is>
          <t>09 Aug 2026</t>
        </is>
      </c>
      <c r="G2808" s="12" t="inlineStr">
        <is>
          <t>04 Sep 2026</t>
        </is>
      </c>
      <c r="H2808" s="8" t="inlineStr">
        <is>
          <t>⏳ UPCOMING</t>
        </is>
      </c>
      <c r="I2808" s="11" t="inlineStr">
        <is>
          <t>Metadata_Standards_ISO19115.pdf</t>
        </is>
      </c>
      <c r="J2808" s="13" t="inlineStr">
        <is>
          <t>📕 PDF Document</t>
        </is>
      </c>
      <c r="K2808" s="15" t="n">
        <v>17.9</v>
      </c>
      <c r="L2808" s="16">
        <f>HYPERLINK("http://127.0.0.1:8000/api/documents/download?id=2848&amp;attachment=true", "⬇ Download Metadata_Standards_ISO19")</f>
        <v/>
      </c>
      <c r="M2808" s="16">
        <f>HYPERLINK("http://localhost:5173/?state=Nagaland&amp;keyword=Mapping&amp;tender=NAG-IT-2026-8802", "🚀 Open in Portal")</f>
        <v/>
      </c>
    </row>
    <row r="2809" ht="24" customHeight="1">
      <c r="A2809" s="4" t="inlineStr">
        <is>
          <t>Nagaland</t>
        </is>
      </c>
      <c r="B2809" s="5" t="inlineStr">
        <is>
          <t>Mapping</t>
        </is>
      </c>
      <c r="C2809" s="6" t="inlineStr">
        <is>
          <t>NAG-IT-2026-8802</t>
        </is>
      </c>
      <c r="D2809" s="7" t="inlineStr">
        <is>
          <t>Establishment of State Spatial Data Infrastructure and Village GIS Geodatabase</t>
        </is>
      </c>
      <c r="E2809" s="7" t="inlineStr">
        <is>
          <t>DEPARTMENT OF INFORMATION TECHNOLOGY &amp; COMMUNICATION-Kohima</t>
        </is>
      </c>
      <c r="F2809" s="6" t="inlineStr">
        <is>
          <t>09 Aug 2026</t>
        </is>
      </c>
      <c r="G2809" s="5" t="inlineStr">
        <is>
          <t>04 Sep 2026</t>
        </is>
      </c>
      <c r="H2809" s="8" t="inlineStr">
        <is>
          <t>⏳ UPCOMING</t>
        </is>
      </c>
      <c r="I2809" s="4" t="inlineStr">
        <is>
          <t>Tender_Schedules_Price_Bid.xlsx</t>
        </is>
      </c>
      <c r="J2809" s="6" t="inlineStr">
        <is>
          <t>📊 Excel BOQ</t>
        </is>
      </c>
      <c r="K2809" s="9" t="n">
        <v>2.5</v>
      </c>
      <c r="L2809" s="10">
        <f>HYPERLINK("http://127.0.0.1:8000/api/documents/download?id=2849&amp;attachment=true", "⬇ Download Tender_Schedules_Price_B")</f>
        <v/>
      </c>
      <c r="M2809" s="10">
        <f>HYPERLINK("http://localhost:5173/?state=Nagaland&amp;keyword=Mapping&amp;tender=NAG-IT-2026-8802", "🚀 Open in Portal")</f>
        <v/>
      </c>
    </row>
    <row r="2810" ht="24" customHeight="1">
      <c r="A2810" s="11" t="inlineStr">
        <is>
          <t>Nagaland</t>
        </is>
      </c>
      <c r="B2810" s="12" t="inlineStr">
        <is>
          <t>Mapping</t>
        </is>
      </c>
      <c r="C2810" s="13" t="inlineStr">
        <is>
          <t>NAG-IT-2026-8802</t>
        </is>
      </c>
      <c r="D2810" s="14" t="inlineStr">
        <is>
          <t>Establishment of State Spatial Data Infrastructure and Village GIS Geodatabase</t>
        </is>
      </c>
      <c r="E2810" s="14" t="inlineStr">
        <is>
          <t>DEPARTMENT OF INFORMATION TECHNOLOGY &amp; COMMUNICATION-Kohima</t>
        </is>
      </c>
      <c r="F2810" s="13" t="inlineStr">
        <is>
          <t>09 Aug 2026</t>
        </is>
      </c>
      <c r="G2810" s="12" t="inlineStr">
        <is>
          <t>04 Sep 2026</t>
        </is>
      </c>
      <c r="H2810" s="8" t="inlineStr">
        <is>
          <t>⏳ UPCOMING</t>
        </is>
      </c>
      <c r="I2810" s="11" t="inlineStr">
        <is>
          <t>Tender_NAG-IT-2026-8802_All_Documents.zip</t>
        </is>
      </c>
      <c r="J2810" s="13" t="inlineStr">
        <is>
          <t>📦 ZIP Package</t>
        </is>
      </c>
      <c r="K2810" s="15" t="n">
        <v>20.8</v>
      </c>
      <c r="L2810" s="16">
        <f>HYPERLINK("http://127.0.0.1:8000/api/documents/download?id=3025&amp;attachment=true", "⬇ Download Tender_NAG-IT-2026-8802_")</f>
        <v/>
      </c>
      <c r="M2810" s="16">
        <f>HYPERLINK("http://localhost:5173/?state=Nagaland&amp;keyword=Mapping&amp;tender=NAG-IT-2026-8802", "🚀 Open in Portal")</f>
        <v/>
      </c>
    </row>
    <row r="2811" ht="24" customHeight="1">
      <c r="A2811" s="4" t="inlineStr">
        <is>
          <t>Nagaland</t>
        </is>
      </c>
      <c r="B2811" s="5" t="inlineStr">
        <is>
          <t>Website Development/Application</t>
        </is>
      </c>
      <c r="C2811" s="6" t="inlineStr">
        <is>
          <t>NAG-FOREST-2026-7120</t>
        </is>
      </c>
      <c r="D2811" s="7" t="inlineStr">
        <is>
          <t>Community Conserved Areas (CCA) Drone Mapping &amp; Biodiversity Conservation Portal</t>
        </is>
      </c>
      <c r="E2811" s="7" t="inlineStr">
        <is>
          <t>DEPARTMENT OF ENVIRONMENT, FORESTS &amp; CLIMATE CHANGE-Dimapur</t>
        </is>
      </c>
      <c r="F2811" s="6" t="inlineStr">
        <is>
          <t>06 Oct 2026</t>
        </is>
      </c>
      <c r="G2811" s="5" t="inlineStr">
        <is>
          <t>27 Oct 2026</t>
        </is>
      </c>
      <c r="H2811" s="17" t="inlineStr">
        <is>
          <t>🟢 LIVE ACTIVE</t>
        </is>
      </c>
      <c r="I2811" s="4" t="inlineStr">
        <is>
          <t>CCA_Biodiversity_Mapping_RFP.pdf</t>
        </is>
      </c>
      <c r="J2811" s="6" t="inlineStr">
        <is>
          <t>📕 PDF Document</t>
        </is>
      </c>
      <c r="K2811" s="9" t="n">
        <v>17.9</v>
      </c>
      <c r="L2811" s="10">
        <f>HYPERLINK("http://127.0.0.1:8000/api/documents/download?id=2852&amp;attachment=true", "⬇ Download CCA_Biodiversity_Mapping")</f>
        <v/>
      </c>
      <c r="M2811" s="10">
        <f>HYPERLINK("http://localhost:5173/?state=Nagaland&amp;keyword=Website%20Development/Application&amp;tender=NAG-FOREST-2026-7120", "🚀 Open in Portal")</f>
        <v/>
      </c>
    </row>
    <row r="2812" ht="24" customHeight="1">
      <c r="A2812" s="11" t="inlineStr">
        <is>
          <t>Nagaland</t>
        </is>
      </c>
      <c r="B2812" s="12" t="inlineStr">
        <is>
          <t>Website Development/Application</t>
        </is>
      </c>
      <c r="C2812" s="13" t="inlineStr">
        <is>
          <t>NAG-FOREST-2026-7120</t>
        </is>
      </c>
      <c r="D2812" s="14" t="inlineStr">
        <is>
          <t>Community Conserved Areas (CCA) Drone Mapping &amp; Biodiversity Conservation Portal</t>
        </is>
      </c>
      <c r="E2812" s="14" t="inlineStr">
        <is>
          <t>DEPARTMENT OF ENVIRONMENT, FORESTS &amp; CLIMATE CHANGE-Dimapur</t>
        </is>
      </c>
      <c r="F2812" s="13" t="inlineStr">
        <is>
          <t>06 Oct 2026</t>
        </is>
      </c>
      <c r="G2812" s="12" t="inlineStr">
        <is>
          <t>27 Oct 2026</t>
        </is>
      </c>
      <c r="H2812" s="17" t="inlineStr">
        <is>
          <t>🟢 LIVE ACTIVE</t>
        </is>
      </c>
      <c r="I2812" s="11" t="inlineStr">
        <is>
          <t>Conservation_Portal_Design_Spec.pdf</t>
        </is>
      </c>
      <c r="J2812" s="13" t="inlineStr">
        <is>
          <t>📕 PDF Document</t>
        </is>
      </c>
      <c r="K2812" s="15" t="n">
        <v>17.9</v>
      </c>
      <c r="L2812" s="16">
        <f>HYPERLINK("http://127.0.0.1:8000/api/documents/download?id=2853&amp;attachment=true", "⬇ Download Conservation_Portal_Desi")</f>
        <v/>
      </c>
      <c r="M2812" s="16">
        <f>HYPERLINK("http://localhost:5173/?state=Nagaland&amp;keyword=Website%20Development/Application&amp;tender=NAG-FOREST-2026-7120", "🚀 Open in Portal")</f>
        <v/>
      </c>
    </row>
    <row r="2813" ht="24" customHeight="1">
      <c r="A2813" s="4" t="inlineStr">
        <is>
          <t>Nagaland</t>
        </is>
      </c>
      <c r="B2813" s="5" t="inlineStr">
        <is>
          <t>Website Development/Application</t>
        </is>
      </c>
      <c r="C2813" s="6" t="inlineStr">
        <is>
          <t>NAG-FOREST-2026-7120</t>
        </is>
      </c>
      <c r="D2813" s="7" t="inlineStr">
        <is>
          <t>Community Conserved Areas (CCA) Drone Mapping &amp; Biodiversity Conservation Portal</t>
        </is>
      </c>
      <c r="E2813" s="7" t="inlineStr">
        <is>
          <t>DEPARTMENT OF ENVIRONMENT, FORESTS &amp; CLIMATE CHANGE-Dimapur</t>
        </is>
      </c>
      <c r="F2813" s="6" t="inlineStr">
        <is>
          <t>06 Oct 2026</t>
        </is>
      </c>
      <c r="G2813" s="5" t="inlineStr">
        <is>
          <t>27 Oct 2026</t>
        </is>
      </c>
      <c r="H2813" s="17" t="inlineStr">
        <is>
          <t>🟢 LIVE ACTIVE</t>
        </is>
      </c>
      <c r="I2813" s="4" t="inlineStr">
        <is>
          <t>Tender_NAG-FOREST-2026-7120_All_Documents.zip</t>
        </is>
      </c>
      <c r="J2813" s="6" t="inlineStr">
        <is>
          <t>📦 ZIP Package</t>
        </is>
      </c>
      <c r="K2813" s="9" t="n">
        <v>18.7</v>
      </c>
      <c r="L2813" s="10">
        <f>HYPERLINK("http://127.0.0.1:8000/api/documents/download?id=3027&amp;attachment=true", "⬇ Download Tender_NAG-FOREST-2026-7")</f>
        <v/>
      </c>
      <c r="M2813" s="10">
        <f>HYPERLINK("http://localhost:5173/?state=Nagaland&amp;keyword=Website%20Development/Application&amp;tender=NAG-FOREST-2026-7120", "🚀 Open in Portal")</f>
        <v/>
      </c>
    </row>
    <row r="2814" ht="24" customHeight="1">
      <c r="A2814" s="11" t="inlineStr">
        <is>
          <t>Nagaland</t>
        </is>
      </c>
      <c r="B2814" s="12" t="inlineStr">
        <is>
          <t>Empanelment</t>
        </is>
      </c>
      <c r="C2814" s="13" t="inlineStr">
        <is>
          <t>2026_NAG_3159260_24</t>
        </is>
      </c>
      <c r="D2814" s="14" t="inlineStr">
        <is>
          <t>Empanelment-Based Empanelment of Specialized Geospatial &amp; AI Solutions Consulting Agencies</t>
        </is>
      </c>
      <c r="E2814" s="14" t="inlineStr">
        <is>
          <t>STATE ELECTRONICS DEVELOPMENT CORPORATION</t>
        </is>
      </c>
      <c r="F2814" s="13" t="inlineStr">
        <is>
          <t>27 Jul 2026</t>
        </is>
      </c>
      <c r="G2814" s="12" t="inlineStr">
        <is>
          <t>19 Aug 2026</t>
        </is>
      </c>
      <c r="H2814" s="8" t="inlineStr">
        <is>
          <t>⏳ UPCOMING</t>
        </is>
      </c>
      <c r="I2814" s="11" t="inlineStr">
        <is>
          <t>Tendernotice_2026_NAG_3159260_24.pdf</t>
        </is>
      </c>
      <c r="J2814" s="13" t="inlineStr">
        <is>
          <t>📕 PDF Document</t>
        </is>
      </c>
      <c r="K2814" s="15" t="n">
        <v>7.7</v>
      </c>
      <c r="L2814" s="16">
        <f>HYPERLINK("http://127.0.0.1:8000/api/documents/download?id=3449&amp;attachment=true", "⬇ Download Tendernotice_2026_NAG_31")</f>
        <v/>
      </c>
      <c r="M2814" s="16">
        <f>HYPERLINK("http://localhost:5173/?state=Nagaland&amp;keyword=Empanelment&amp;tender=2026_NAG_3159260_24", "🚀 Open in Portal")</f>
        <v/>
      </c>
    </row>
    <row r="2815" ht="24" customHeight="1">
      <c r="A2815" s="4" t="inlineStr">
        <is>
          <t>Nagaland</t>
        </is>
      </c>
      <c r="B2815" s="5" t="inlineStr">
        <is>
          <t>Empanelment</t>
        </is>
      </c>
      <c r="C2815" s="6" t="inlineStr">
        <is>
          <t>2026_NAG_3159260_24</t>
        </is>
      </c>
      <c r="D2815" s="7" t="inlineStr">
        <is>
          <t>Empanelment-Based Empanelment of Specialized Geospatial &amp; AI Solutions Consulting Agencies</t>
        </is>
      </c>
      <c r="E2815" s="7" t="inlineStr">
        <is>
          <t>STATE ELECTRONICS DEVELOPMENT CORPORATION</t>
        </is>
      </c>
      <c r="F2815" s="6" t="inlineStr">
        <is>
          <t>27 Jul 2026</t>
        </is>
      </c>
      <c r="G2815" s="5" t="inlineStr">
        <is>
          <t>19 Aug 2026</t>
        </is>
      </c>
      <c r="H2815" s="8" t="inlineStr">
        <is>
          <t>⏳ UPCOMING</t>
        </is>
      </c>
      <c r="I2815" s="4" t="inlineStr">
        <is>
          <t>Technical_RFP_Specification_Empanelment.pdf</t>
        </is>
      </c>
      <c r="J2815" s="6" t="inlineStr">
        <is>
          <t>📕 PDF Document</t>
        </is>
      </c>
      <c r="K2815" s="9" t="n">
        <v>7.7</v>
      </c>
      <c r="L2815" s="10">
        <f>HYPERLINK("http://127.0.0.1:8000/api/documents/download?id=3450&amp;attachment=true", "⬇ Download Technical_RFP_Specificat")</f>
        <v/>
      </c>
      <c r="M2815" s="10">
        <f>HYPERLINK("http://localhost:5173/?state=Nagaland&amp;keyword=Empanelment&amp;tender=2026_NAG_3159260_24", "🚀 Open in Portal")</f>
        <v/>
      </c>
    </row>
    <row r="2816" ht="24" customHeight="1">
      <c r="A2816" s="11" t="inlineStr">
        <is>
          <t>Nagaland</t>
        </is>
      </c>
      <c r="B2816" s="12" t="inlineStr">
        <is>
          <t>Empanelment</t>
        </is>
      </c>
      <c r="C2816" s="13" t="inlineStr">
        <is>
          <t>2026_NAG_3159260_24</t>
        </is>
      </c>
      <c r="D2816" s="14" t="inlineStr">
        <is>
          <t>Empanelment-Based Empanelment of Specialized Geospatial &amp; AI Solutions Consulting Agencies</t>
        </is>
      </c>
      <c r="E2816" s="14" t="inlineStr">
        <is>
          <t>STATE ELECTRONICS DEVELOPMENT CORPORATION</t>
        </is>
      </c>
      <c r="F2816" s="13" t="inlineStr">
        <is>
          <t>27 Jul 2026</t>
        </is>
      </c>
      <c r="G2816" s="12" t="inlineStr">
        <is>
          <t>19 Aug 2026</t>
        </is>
      </c>
      <c r="H2816" s="8" t="inlineStr">
        <is>
          <t>⏳ UPCOMING</t>
        </is>
      </c>
      <c r="I2816" s="11" t="inlineStr">
        <is>
          <t>BOQ_Financial_Schedule_2026_NAG_3159260_24.xlsx</t>
        </is>
      </c>
      <c r="J2816" s="13" t="inlineStr">
        <is>
          <t>📊 Excel BOQ</t>
        </is>
      </c>
      <c r="K2816" s="15" t="n">
        <v>5.9</v>
      </c>
      <c r="L2816" s="16">
        <f>HYPERLINK("http://127.0.0.1:8000/api/documents/download?id=3451&amp;attachment=true", "⬇ Download BOQ_Financial_Schedule_2")</f>
        <v/>
      </c>
      <c r="M2816" s="16">
        <f>HYPERLINK("http://localhost:5173/?state=Nagaland&amp;keyword=Empanelment&amp;tender=2026_NAG_3159260_24", "🚀 Open in Portal")</f>
        <v/>
      </c>
    </row>
    <row r="2817" ht="24" customHeight="1">
      <c r="A2817" s="4" t="inlineStr">
        <is>
          <t>Nagaland</t>
        </is>
      </c>
      <c r="B2817" s="5" t="inlineStr">
        <is>
          <t>Empanelment</t>
        </is>
      </c>
      <c r="C2817" s="6" t="inlineStr">
        <is>
          <t>2026_NAG_3159260_24</t>
        </is>
      </c>
      <c r="D2817" s="7" t="inlineStr">
        <is>
          <t>Empanelment-Based Empanelment of Specialized Geospatial &amp; AI Solutions Consulting Agencies</t>
        </is>
      </c>
      <c r="E2817" s="7" t="inlineStr">
        <is>
          <t>STATE ELECTRONICS DEVELOPMENT CORPORATION</t>
        </is>
      </c>
      <c r="F2817" s="6" t="inlineStr">
        <is>
          <t>27 Jul 2026</t>
        </is>
      </c>
      <c r="G2817" s="5" t="inlineStr">
        <is>
          <t>19 Aug 2026</t>
        </is>
      </c>
      <c r="H2817" s="8" t="inlineStr">
        <is>
          <t>⏳ UPCOMING</t>
        </is>
      </c>
      <c r="I2817" s="4" t="inlineStr">
        <is>
          <t>Tender_2026_NAG_3159260_24_All_Documents.zip</t>
        </is>
      </c>
      <c r="J2817" s="6" t="inlineStr">
        <is>
          <t>📦 ZIP Package</t>
        </is>
      </c>
      <c r="K2817" s="9" t="n">
        <v>45</v>
      </c>
      <c r="L2817" s="10">
        <f>HYPERLINK("https://nagalandtenders.gov.in/tender/2026_NAG_3159260_24", "⬇ Download Tender_2026_NAG_3159260_")</f>
        <v/>
      </c>
      <c r="M2817" s="10">
        <f>HYPERLINK("http://localhost:5173/?state=Nagaland&amp;keyword=Empanelment&amp;tender=2026_NAG_3159260_24", "🚀 Open in Portal")</f>
        <v/>
      </c>
    </row>
    <row r="2818" ht="24" customHeight="1">
      <c r="A2818" s="11" t="inlineStr">
        <is>
          <t>Nagaland</t>
        </is>
      </c>
      <c r="B2818" s="12" t="inlineStr">
        <is>
          <t>Empanelment</t>
        </is>
      </c>
      <c r="C2818" s="13" t="inlineStr">
        <is>
          <t>2026_NAG_5213315_55</t>
        </is>
      </c>
      <c r="D2818" s="14" t="inlineStr">
        <is>
          <t>Empanelment-Based Empanelment of Specialized Geospatial &amp; AI Solutions Consulting Agencies</t>
        </is>
      </c>
      <c r="E2818" s="14" t="inlineStr">
        <is>
          <t>STATE ELECTRONICS DEVELOPMENT CORPORATION</t>
        </is>
      </c>
      <c r="F2818" s="13" t="inlineStr">
        <is>
          <t>05 Aug 2026</t>
        </is>
      </c>
      <c r="G2818" s="12" t="inlineStr">
        <is>
          <t>03 Sep 2026</t>
        </is>
      </c>
      <c r="H2818" s="8" t="inlineStr">
        <is>
          <t>⏳ UPCOMING</t>
        </is>
      </c>
      <c r="I2818" s="11" t="inlineStr">
        <is>
          <t>Tendernotice_2026_NAG_5213315_55.pdf</t>
        </is>
      </c>
      <c r="J2818" s="13" t="inlineStr">
        <is>
          <t>📕 PDF Document</t>
        </is>
      </c>
      <c r="K2818" s="15" t="n">
        <v>17.9</v>
      </c>
      <c r="L2818" s="16">
        <f>HYPERLINK("http://127.0.0.1:8000/api/documents/download?id=3117&amp;attachment=true", "⬇ Download Tendernotice_2026_NAG_52")</f>
        <v/>
      </c>
      <c r="M2818" s="16">
        <f>HYPERLINK("http://localhost:5173/?state=Nagaland&amp;keyword=Empanelment&amp;tender=2026_NAG_5213315_55", "🚀 Open in Portal")</f>
        <v/>
      </c>
    </row>
    <row r="2819" ht="24" customHeight="1">
      <c r="A2819" s="4" t="inlineStr">
        <is>
          <t>Nagaland</t>
        </is>
      </c>
      <c r="B2819" s="5" t="inlineStr">
        <is>
          <t>Empanelment</t>
        </is>
      </c>
      <c r="C2819" s="6" t="inlineStr">
        <is>
          <t>2026_NAG_5213315_55</t>
        </is>
      </c>
      <c r="D2819" s="7" t="inlineStr">
        <is>
          <t>Empanelment-Based Empanelment of Specialized Geospatial &amp; AI Solutions Consulting Agencies</t>
        </is>
      </c>
      <c r="E2819" s="7" t="inlineStr">
        <is>
          <t>STATE ELECTRONICS DEVELOPMENT CORPORATION</t>
        </is>
      </c>
      <c r="F2819" s="6" t="inlineStr">
        <is>
          <t>05 Aug 2026</t>
        </is>
      </c>
      <c r="G2819" s="5" t="inlineStr">
        <is>
          <t>03 Sep 2026</t>
        </is>
      </c>
      <c r="H2819" s="8" t="inlineStr">
        <is>
          <t>⏳ UPCOMING</t>
        </is>
      </c>
      <c r="I2819" s="4" t="inlineStr">
        <is>
          <t>Technical_RFP_Specification_Empanelment.pdf</t>
        </is>
      </c>
      <c r="J2819" s="6" t="inlineStr">
        <is>
          <t>📕 PDF Document</t>
        </is>
      </c>
      <c r="K2819" s="9" t="n">
        <v>17.9</v>
      </c>
      <c r="L2819" s="10">
        <f>HYPERLINK("http://127.0.0.1:8000/api/documents/download?id=3118&amp;attachment=true", "⬇ Download Technical_RFP_Specificat")</f>
        <v/>
      </c>
      <c r="M2819" s="10">
        <f>HYPERLINK("http://localhost:5173/?state=Nagaland&amp;keyword=Empanelment&amp;tender=2026_NAG_5213315_55", "🚀 Open in Portal")</f>
        <v/>
      </c>
    </row>
    <row r="2820" ht="24" customHeight="1">
      <c r="A2820" s="11" t="inlineStr">
        <is>
          <t>Nagaland</t>
        </is>
      </c>
      <c r="B2820" s="12" t="inlineStr">
        <is>
          <t>Empanelment</t>
        </is>
      </c>
      <c r="C2820" s="13" t="inlineStr">
        <is>
          <t>2026_NAG_5213315_55</t>
        </is>
      </c>
      <c r="D2820" s="14" t="inlineStr">
        <is>
          <t>Empanelment-Based Empanelment of Specialized Geospatial &amp; AI Solutions Consulting Agencies</t>
        </is>
      </c>
      <c r="E2820" s="14" t="inlineStr">
        <is>
          <t>STATE ELECTRONICS DEVELOPMENT CORPORATION</t>
        </is>
      </c>
      <c r="F2820" s="13" t="inlineStr">
        <is>
          <t>05 Aug 2026</t>
        </is>
      </c>
      <c r="G2820" s="12" t="inlineStr">
        <is>
          <t>03 Sep 2026</t>
        </is>
      </c>
      <c r="H2820" s="8" t="inlineStr">
        <is>
          <t>⏳ UPCOMING</t>
        </is>
      </c>
      <c r="I2820" s="11" t="inlineStr">
        <is>
          <t>BOQ_Financial_Schedule_2026_NAG_5213315_55.xlsx</t>
        </is>
      </c>
      <c r="J2820" s="13" t="inlineStr">
        <is>
          <t>📊 Excel BOQ</t>
        </is>
      </c>
      <c r="K2820" s="15" t="n">
        <v>2.5</v>
      </c>
      <c r="L2820" s="16">
        <f>HYPERLINK("http://127.0.0.1:8000/api/documents/download?id=3119&amp;attachment=true", "⬇ Download BOQ_Financial_Schedule_2")</f>
        <v/>
      </c>
      <c r="M2820" s="16">
        <f>HYPERLINK("http://localhost:5173/?state=Nagaland&amp;keyword=Empanelment&amp;tender=2026_NAG_5213315_55", "🚀 Open in Portal")</f>
        <v/>
      </c>
    </row>
    <row r="2821" ht="24" customHeight="1">
      <c r="A2821" s="4" t="inlineStr">
        <is>
          <t>Nagaland</t>
        </is>
      </c>
      <c r="B2821" s="5" t="inlineStr">
        <is>
          <t>Empanelment</t>
        </is>
      </c>
      <c r="C2821" s="6" t="inlineStr">
        <is>
          <t>2026_NAG_5213315_55</t>
        </is>
      </c>
      <c r="D2821" s="7" t="inlineStr">
        <is>
          <t>Empanelment-Based Empanelment of Specialized Geospatial &amp; AI Solutions Consulting Agencies</t>
        </is>
      </c>
      <c r="E2821" s="7" t="inlineStr">
        <is>
          <t>STATE ELECTRONICS DEVELOPMENT CORPORATION</t>
        </is>
      </c>
      <c r="F2821" s="6" t="inlineStr">
        <is>
          <t>05 Aug 2026</t>
        </is>
      </c>
      <c r="G2821" s="5" t="inlineStr">
        <is>
          <t>03 Sep 2026</t>
        </is>
      </c>
      <c r="H2821" s="8" t="inlineStr">
        <is>
          <t>⏳ UPCOMING</t>
        </is>
      </c>
      <c r="I2821" s="4" t="inlineStr">
        <is>
          <t>Tender_2026_NAG_5213315_55_All_Documents.zip</t>
        </is>
      </c>
      <c r="J2821" s="6" t="inlineStr">
        <is>
          <t>📦 ZIP Package</t>
        </is>
      </c>
      <c r="K2821" s="9" t="n">
        <v>45</v>
      </c>
      <c r="L2821" s="10">
        <f>HYPERLINK("https://nagalandtenders.gov.in/tender/2026_NAG_5213315_55", "⬇ Download Tender_2026_NAG_5213315_")</f>
        <v/>
      </c>
      <c r="M2821" s="10">
        <f>HYPERLINK("http://localhost:5173/?state=Nagaland&amp;keyword=Empanelment&amp;tender=2026_NAG_5213315_55", "🚀 Open in Portal")</f>
        <v/>
      </c>
    </row>
    <row r="2822" ht="24" customHeight="1">
      <c r="A2822" s="11" t="inlineStr">
        <is>
          <t>Nagaland</t>
        </is>
      </c>
      <c r="B2822" s="12" t="inlineStr">
        <is>
          <t>Empanelment</t>
        </is>
      </c>
      <c r="C2822" s="13" t="inlineStr">
        <is>
          <t>2026_NAG_8813725_66</t>
        </is>
      </c>
      <c r="D2822" s="14" t="inlineStr">
        <is>
          <t>Empanelment-Based Empanelment of Specialized Geospatial &amp; AI Solutions Consulting Agencies</t>
        </is>
      </c>
      <c r="E2822" s="14" t="inlineStr">
        <is>
          <t>STATE ELECTRONICS DEVELOPMENT CORPORATION</t>
        </is>
      </c>
      <c r="F2822" s="13" t="inlineStr">
        <is>
          <t>02 Sep 2026</t>
        </is>
      </c>
      <c r="G2822" s="12" t="inlineStr">
        <is>
          <t>29 Sep 2026</t>
        </is>
      </c>
      <c r="H2822" s="8" t="inlineStr">
        <is>
          <t>⏳ UPCOMING</t>
        </is>
      </c>
      <c r="I2822" s="11" t="inlineStr">
        <is>
          <t>Tendernotice_2026_NAG_8813725_66.pdf</t>
        </is>
      </c>
      <c r="J2822" s="13" t="inlineStr">
        <is>
          <t>📕 PDF Document</t>
        </is>
      </c>
      <c r="K2822" s="15" t="n">
        <v>17.9</v>
      </c>
      <c r="L2822" s="16">
        <f>HYPERLINK("http://127.0.0.1:8000/api/documents/download?id=3133&amp;attachment=true", "⬇ Download Tendernotice_2026_NAG_88")</f>
        <v/>
      </c>
      <c r="M2822" s="16">
        <f>HYPERLINK("http://localhost:5173/?state=Nagaland&amp;keyword=Empanelment&amp;tender=2026_NAG_8813725_66", "🚀 Open in Portal")</f>
        <v/>
      </c>
    </row>
    <row r="2823" ht="24" customHeight="1">
      <c r="A2823" s="4" t="inlineStr">
        <is>
          <t>Nagaland</t>
        </is>
      </c>
      <c r="B2823" s="5" t="inlineStr">
        <is>
          <t>Empanelment</t>
        </is>
      </c>
      <c r="C2823" s="6" t="inlineStr">
        <is>
          <t>2026_NAG_8813725_66</t>
        </is>
      </c>
      <c r="D2823" s="7" t="inlineStr">
        <is>
          <t>Empanelment-Based Empanelment of Specialized Geospatial &amp; AI Solutions Consulting Agencies</t>
        </is>
      </c>
      <c r="E2823" s="7" t="inlineStr">
        <is>
          <t>STATE ELECTRONICS DEVELOPMENT CORPORATION</t>
        </is>
      </c>
      <c r="F2823" s="6" t="inlineStr">
        <is>
          <t>02 Sep 2026</t>
        </is>
      </c>
      <c r="G2823" s="5" t="inlineStr">
        <is>
          <t>29 Sep 2026</t>
        </is>
      </c>
      <c r="H2823" s="8" t="inlineStr">
        <is>
          <t>⏳ UPCOMING</t>
        </is>
      </c>
      <c r="I2823" s="4" t="inlineStr">
        <is>
          <t>Technical_RFP_Specification_Empanelment.pdf</t>
        </is>
      </c>
      <c r="J2823" s="6" t="inlineStr">
        <is>
          <t>📕 PDF Document</t>
        </is>
      </c>
      <c r="K2823" s="9" t="n">
        <v>17.9</v>
      </c>
      <c r="L2823" s="10">
        <f>HYPERLINK("http://127.0.0.1:8000/api/documents/download?id=3134&amp;attachment=true", "⬇ Download Technical_RFP_Specificat")</f>
        <v/>
      </c>
      <c r="M2823" s="10">
        <f>HYPERLINK("http://localhost:5173/?state=Nagaland&amp;keyword=Empanelment&amp;tender=2026_NAG_8813725_66", "🚀 Open in Portal")</f>
        <v/>
      </c>
    </row>
    <row r="2824" ht="24" customHeight="1">
      <c r="A2824" s="11" t="inlineStr">
        <is>
          <t>Nagaland</t>
        </is>
      </c>
      <c r="B2824" s="12" t="inlineStr">
        <is>
          <t>Empanelment</t>
        </is>
      </c>
      <c r="C2824" s="13" t="inlineStr">
        <is>
          <t>2026_NAG_8813725_66</t>
        </is>
      </c>
      <c r="D2824" s="14" t="inlineStr">
        <is>
          <t>Empanelment-Based Empanelment of Specialized Geospatial &amp; AI Solutions Consulting Agencies</t>
        </is>
      </c>
      <c r="E2824" s="14" t="inlineStr">
        <is>
          <t>STATE ELECTRONICS DEVELOPMENT CORPORATION</t>
        </is>
      </c>
      <c r="F2824" s="13" t="inlineStr">
        <is>
          <t>02 Sep 2026</t>
        </is>
      </c>
      <c r="G2824" s="12" t="inlineStr">
        <is>
          <t>29 Sep 2026</t>
        </is>
      </c>
      <c r="H2824" s="8" t="inlineStr">
        <is>
          <t>⏳ UPCOMING</t>
        </is>
      </c>
      <c r="I2824" s="11" t="inlineStr">
        <is>
          <t>BOQ_Financial_Schedule_2026_NAG_8813725_66.xlsx</t>
        </is>
      </c>
      <c r="J2824" s="13" t="inlineStr">
        <is>
          <t>📊 Excel BOQ</t>
        </is>
      </c>
      <c r="K2824" s="15" t="n">
        <v>2.5</v>
      </c>
      <c r="L2824" s="16">
        <f>HYPERLINK("http://127.0.0.1:8000/api/documents/download?id=3135&amp;attachment=true", "⬇ Download BOQ_Financial_Schedule_2")</f>
        <v/>
      </c>
      <c r="M2824" s="16">
        <f>HYPERLINK("http://localhost:5173/?state=Nagaland&amp;keyword=Empanelment&amp;tender=2026_NAG_8813725_66", "🚀 Open in Portal")</f>
        <v/>
      </c>
    </row>
    <row r="2825" ht="24" customHeight="1">
      <c r="A2825" s="4" t="inlineStr">
        <is>
          <t>Nagaland</t>
        </is>
      </c>
      <c r="B2825" s="5" t="inlineStr">
        <is>
          <t>Empanelment</t>
        </is>
      </c>
      <c r="C2825" s="6" t="inlineStr">
        <is>
          <t>2026_NAG_8813725_66</t>
        </is>
      </c>
      <c r="D2825" s="7" t="inlineStr">
        <is>
          <t>Empanelment-Based Empanelment of Specialized Geospatial &amp; AI Solutions Consulting Agencies</t>
        </is>
      </c>
      <c r="E2825" s="7" t="inlineStr">
        <is>
          <t>STATE ELECTRONICS DEVELOPMENT CORPORATION</t>
        </is>
      </c>
      <c r="F2825" s="6" t="inlineStr">
        <is>
          <t>02 Sep 2026</t>
        </is>
      </c>
      <c r="G2825" s="5" t="inlineStr">
        <is>
          <t>29 Sep 2026</t>
        </is>
      </c>
      <c r="H2825" s="8" t="inlineStr">
        <is>
          <t>⏳ UPCOMING</t>
        </is>
      </c>
      <c r="I2825" s="4" t="inlineStr">
        <is>
          <t>Tender_2026_NAG_8813725_66_All_Documents.zip</t>
        </is>
      </c>
      <c r="J2825" s="6" t="inlineStr">
        <is>
          <t>📦 ZIP Package</t>
        </is>
      </c>
      <c r="K2825" s="9" t="n">
        <v>45</v>
      </c>
      <c r="L2825" s="10">
        <f>HYPERLINK("https://nagalandtenders.gov.in/tender/2026_NAG_8813725_66", "⬇ Download Tender_2026_NAG_8813725_")</f>
        <v/>
      </c>
      <c r="M2825" s="10">
        <f>HYPERLINK("http://localhost:5173/?state=Nagaland&amp;keyword=Empanelment&amp;tender=2026_NAG_8813725_66", "🚀 Open in Portal")</f>
        <v/>
      </c>
    </row>
    <row r="2826" ht="24" customHeight="1">
      <c r="A2826" s="11" t="inlineStr">
        <is>
          <t>Odisha</t>
        </is>
      </c>
      <c r="B2826" s="12" t="inlineStr">
        <is>
          <t>GIS</t>
        </is>
      </c>
      <c r="C2826" s="13" t="inlineStr">
        <is>
          <t>2026_EICCL_142387_1</t>
        </is>
      </c>
      <c r="D2826" s="14" t="inlineStr">
        <is>
          <t>[Flood Damage Repair (FDR) to Construction of Protection wall at Nabarangpur Digisalapa Dahana road at Ch 15/250 Km RHS for the year 2026 27]</t>
        </is>
      </c>
      <c r="E2826" s="14" t="inlineStr">
        <is>
          <t>Odisha Public Works &amp; Technology Department</t>
        </is>
      </c>
      <c r="F2826" s="13" t="inlineStr">
        <is>
          <t>10 Aug 2026</t>
        </is>
      </c>
      <c r="G2826" s="12" t="inlineStr">
        <is>
          <t>04 Sep 2026</t>
        </is>
      </c>
      <c r="H2826" s="8" t="inlineStr">
        <is>
          <t>⏳ UPCOMING</t>
        </is>
      </c>
      <c r="I2826" s="11" t="inlineStr">
        <is>
          <t>Tendernotice_3.pdf</t>
        </is>
      </c>
      <c r="J2826" s="13" t="inlineStr">
        <is>
          <t>📕 PDF Document</t>
        </is>
      </c>
      <c r="K2826" s="15" t="n">
        <v>17.8</v>
      </c>
      <c r="L2826" s="16">
        <f>HYPERLINK("http://127.0.0.1:8000/api/documents/download?id=1434&amp;attachment=true", "⬇ Download Tendernotice_3.pdf")</f>
        <v/>
      </c>
      <c r="M2826" s="16">
        <f>HYPERLINK("http://localhost:5173/?state=Odisha&amp;keyword=GIS&amp;tender=2026_EICCL_142387_1", "🚀 Open in Portal")</f>
        <v/>
      </c>
    </row>
    <row r="2827" ht="24" customHeight="1">
      <c r="A2827" s="4" t="inlineStr">
        <is>
          <t>Odisha</t>
        </is>
      </c>
      <c r="B2827" s="5" t="inlineStr">
        <is>
          <t>GIS</t>
        </is>
      </c>
      <c r="C2827" s="6" t="inlineStr">
        <is>
          <t>2026_EICCL_142387_1</t>
        </is>
      </c>
      <c r="D2827" s="7" t="inlineStr">
        <is>
          <t>[Flood Damage Repair (FDR) to Construction of Protection wall at Nabarangpur Digisalapa Dahana road at Ch 15/250 Km RHS for the year 2026 27]</t>
        </is>
      </c>
      <c r="E2827" s="7" t="inlineStr">
        <is>
          <t>Odisha Public Works &amp; Technology Department</t>
        </is>
      </c>
      <c r="F2827" s="6" t="inlineStr">
        <is>
          <t>10 Aug 2026</t>
        </is>
      </c>
      <c r="G2827" s="5" t="inlineStr">
        <is>
          <t>04 Sep 2026</t>
        </is>
      </c>
      <c r="H2827" s="8" t="inlineStr">
        <is>
          <t>⏳ UPCOMING</t>
        </is>
      </c>
      <c r="I2827" s="4" t="inlineStr">
        <is>
          <t>BOQ_611887.xls</t>
        </is>
      </c>
      <c r="J2827" s="6" t="inlineStr">
        <is>
          <t>📊 Excel BOQ</t>
        </is>
      </c>
      <c r="K2827" s="9" t="n">
        <v>2.5</v>
      </c>
      <c r="L2827" s="10">
        <f>HYPERLINK("http://127.0.0.1:8000/api/documents/download?id=1435&amp;attachment=true", "⬇ Download BOQ_611887.xls")</f>
        <v/>
      </c>
      <c r="M2827" s="10">
        <f>HYPERLINK("http://localhost:5173/?state=Odisha&amp;keyword=GIS&amp;tender=2026_EICCL_142387_1", "🚀 Open in Portal")</f>
        <v/>
      </c>
    </row>
    <row r="2828" ht="24" customHeight="1">
      <c r="A2828" s="11" t="inlineStr">
        <is>
          <t>Odisha</t>
        </is>
      </c>
      <c r="B2828" s="12" t="inlineStr">
        <is>
          <t>GIS</t>
        </is>
      </c>
      <c r="C2828" s="13" t="inlineStr">
        <is>
          <t>2026_EICCL_142387_1</t>
        </is>
      </c>
      <c r="D2828" s="14" t="inlineStr">
        <is>
          <t>[Flood Damage Repair (FDR) to Construction of Protection wall at Nabarangpur Digisalapa Dahana road at Ch 15/250 Km RHS for the year 2026 27]</t>
        </is>
      </c>
      <c r="E2828" s="14" t="inlineStr">
        <is>
          <t>Odisha Public Works &amp; Technology Department</t>
        </is>
      </c>
      <c r="F2828" s="13" t="inlineStr">
        <is>
          <t>10 Aug 2026</t>
        </is>
      </c>
      <c r="G2828" s="12" t="inlineStr">
        <is>
          <t>04 Sep 2026</t>
        </is>
      </c>
      <c r="H2828" s="8" t="inlineStr">
        <is>
          <t>⏳ UPCOMING</t>
        </is>
      </c>
      <c r="I2828" s="11" t="inlineStr">
        <is>
          <t>Tender_2026_EICCL_142387_1_All_Documents.zip</t>
        </is>
      </c>
      <c r="J2828" s="13" t="inlineStr">
        <is>
          <t>📦 ZIP Package</t>
        </is>
      </c>
      <c r="K2828" s="15" t="n">
        <v>11.5</v>
      </c>
      <c r="L2828" s="16">
        <f>HYPERLINK("http://127.0.0.1:8000/api/documents/download?id=1436&amp;attachment=true", "⬇ Download Tender_2026_EICCL_142387")</f>
        <v/>
      </c>
      <c r="M2828" s="16">
        <f>HYPERLINK("http://localhost:5173/?state=Odisha&amp;keyword=GIS&amp;tender=2026_EICCL_142387_1", "🚀 Open in Portal")</f>
        <v/>
      </c>
    </row>
    <row r="2829" ht="24" customHeight="1">
      <c r="A2829" s="4" t="inlineStr">
        <is>
          <t>Odisha</t>
        </is>
      </c>
      <c r="B2829" s="5" t="inlineStr">
        <is>
          <t>ICT</t>
        </is>
      </c>
      <c r="C2829" s="6" t="inlineStr">
        <is>
          <t>2026_CERWI_143324_1</t>
        </is>
      </c>
      <c r="D2829" s="7" t="inlineStr">
        <is>
          <t>[Construction of E Type Quarter 1No. PHC building at Jamkhunta under Bangomunda Block in the district of Bolangir ]</t>
        </is>
      </c>
      <c r="E2829" s="7" t="inlineStr">
        <is>
          <t>Odisha Public Works &amp; Technology Department</t>
        </is>
      </c>
      <c r="F2829" s="6" t="inlineStr">
        <is>
          <t>16 Oct 2026</t>
        </is>
      </c>
      <c r="G2829" s="5" t="inlineStr">
        <is>
          <t>19 Nov 2026</t>
        </is>
      </c>
      <c r="H2829" s="17" t="inlineStr">
        <is>
          <t>🟢 LIVE ACTIVE</t>
        </is>
      </c>
      <c r="I2829" s="4" t="inlineStr">
        <is>
          <t>Tendernotice_1.pdf</t>
        </is>
      </c>
      <c r="J2829" s="6" t="inlineStr">
        <is>
          <t>📕 PDF Document</t>
        </is>
      </c>
      <c r="K2829" s="9" t="n">
        <v>17.8</v>
      </c>
      <c r="L2829" s="10">
        <f>HYPERLINK("http://127.0.0.1:8000/api/documents/download?id=1488&amp;attachment=true", "⬇ Download Tendernotice_1.pdf")</f>
        <v/>
      </c>
      <c r="M2829" s="10">
        <f>HYPERLINK("http://localhost:5173/?state=Odisha&amp;keyword=ICT&amp;tender=2026_CERWI_143324_1", "🚀 Open in Portal")</f>
        <v/>
      </c>
    </row>
    <row r="2830" ht="24" customHeight="1">
      <c r="A2830" s="11" t="inlineStr">
        <is>
          <t>Odisha</t>
        </is>
      </c>
      <c r="B2830" s="12" t="inlineStr">
        <is>
          <t>ICT</t>
        </is>
      </c>
      <c r="C2830" s="13" t="inlineStr">
        <is>
          <t>2026_CERWI_143324_1</t>
        </is>
      </c>
      <c r="D2830" s="14" t="inlineStr">
        <is>
          <t>[Construction of E Type Quarter 1No. PHC building at Jamkhunta under Bangomunda Block in the district of Bolangir ]</t>
        </is>
      </c>
      <c r="E2830" s="14" t="inlineStr">
        <is>
          <t>Odisha Public Works &amp; Technology Department</t>
        </is>
      </c>
      <c r="F2830" s="13" t="inlineStr">
        <is>
          <t>16 Oct 2026</t>
        </is>
      </c>
      <c r="G2830" s="12" t="inlineStr">
        <is>
          <t>19 Nov 2026</t>
        </is>
      </c>
      <c r="H2830" s="17" t="inlineStr">
        <is>
          <t>🟢 LIVE ACTIVE</t>
        </is>
      </c>
      <c r="I2830" s="11" t="inlineStr">
        <is>
          <t>BOQ_613670.xls</t>
        </is>
      </c>
      <c r="J2830" s="13" t="inlineStr">
        <is>
          <t>📊 Excel BOQ</t>
        </is>
      </c>
      <c r="K2830" s="15" t="n">
        <v>2.5</v>
      </c>
      <c r="L2830" s="16">
        <f>HYPERLINK("http://127.0.0.1:8000/api/documents/download?id=1489&amp;attachment=true", "⬇ Download BOQ_613670.xls")</f>
        <v/>
      </c>
      <c r="M2830" s="16">
        <f>HYPERLINK("http://localhost:5173/?state=Odisha&amp;keyword=ICT&amp;tender=2026_CERWI_143324_1", "🚀 Open in Portal")</f>
        <v/>
      </c>
    </row>
    <row r="2831" ht="24" customHeight="1">
      <c r="A2831" s="4" t="inlineStr">
        <is>
          <t>Odisha</t>
        </is>
      </c>
      <c r="B2831" s="5" t="inlineStr">
        <is>
          <t>ICT</t>
        </is>
      </c>
      <c r="C2831" s="6" t="inlineStr">
        <is>
          <t>2026_CERWI_143324_1</t>
        </is>
      </c>
      <c r="D2831" s="7" t="inlineStr">
        <is>
          <t>[Construction of E Type Quarter 1No. PHC building at Jamkhunta under Bangomunda Block in the district of Bolangir ]</t>
        </is>
      </c>
      <c r="E2831" s="7" t="inlineStr">
        <is>
          <t>Odisha Public Works &amp; Technology Department</t>
        </is>
      </c>
      <c r="F2831" s="6" t="inlineStr">
        <is>
          <t>16 Oct 2026</t>
        </is>
      </c>
      <c r="G2831" s="5" t="inlineStr">
        <is>
          <t>19 Nov 2026</t>
        </is>
      </c>
      <c r="H2831" s="17" t="inlineStr">
        <is>
          <t>🟢 LIVE ACTIVE</t>
        </is>
      </c>
      <c r="I2831" s="4" t="inlineStr">
        <is>
          <t>Tender_2026_CERWI_143324_1_All_Documents.zip</t>
        </is>
      </c>
      <c r="J2831" s="6" t="inlineStr">
        <is>
          <t>📦 ZIP Package</t>
        </is>
      </c>
      <c r="K2831" s="9" t="n">
        <v>11.5</v>
      </c>
      <c r="L2831" s="10">
        <f>HYPERLINK("http://127.0.0.1:8000/api/documents/download?id=1490&amp;attachment=true", "⬇ Download Tender_2026_CERWI_143324")</f>
        <v/>
      </c>
      <c r="M2831" s="10">
        <f>HYPERLINK("http://localhost:5173/?state=Odisha&amp;keyword=ICT&amp;tender=2026_CERWI_143324_1", "🚀 Open in Portal")</f>
        <v/>
      </c>
    </row>
    <row r="2832" ht="24" customHeight="1">
      <c r="A2832" s="11" t="inlineStr">
        <is>
          <t>Odisha</t>
        </is>
      </c>
      <c r="B2832" s="12" t="inlineStr">
        <is>
          <t>ICT</t>
        </is>
      </c>
      <c r="C2832" s="13" t="inlineStr">
        <is>
          <t>2026_CERWI_143325_1</t>
        </is>
      </c>
      <c r="D2832" s="14" t="inlineStr">
        <is>
          <t>[Construction of D Type Quarter 1No. PHC building at Jamkhunta under Bangomunda Block in the district of Bolangir ]</t>
        </is>
      </c>
      <c r="E2832" s="14" t="inlineStr">
        <is>
          <t>Odisha Public Works &amp; Technology Department</t>
        </is>
      </c>
      <c r="F2832" s="13" t="inlineStr">
        <is>
          <t>02 Aug 2026</t>
        </is>
      </c>
      <c r="G2832" s="12" t="inlineStr">
        <is>
          <t>27 Aug 2026</t>
        </is>
      </c>
      <c r="H2832" s="8" t="inlineStr">
        <is>
          <t>⏳ UPCOMING</t>
        </is>
      </c>
      <c r="I2832" s="11" t="inlineStr">
        <is>
          <t>Tendernotice_1.pdf</t>
        </is>
      </c>
      <c r="J2832" s="13" t="inlineStr">
        <is>
          <t>📕 PDF Document</t>
        </is>
      </c>
      <c r="K2832" s="15" t="n">
        <v>17.8</v>
      </c>
      <c r="L2832" s="16">
        <f>HYPERLINK("http://127.0.0.1:8000/api/documents/download?id=1491&amp;attachment=true", "⬇ Download Tendernotice_1.pdf")</f>
        <v/>
      </c>
      <c r="M2832" s="16">
        <f>HYPERLINK("http://localhost:5173/?state=Odisha&amp;keyword=ICT&amp;tender=2026_CERWI_143325_1", "🚀 Open in Portal")</f>
        <v/>
      </c>
    </row>
    <row r="2833" ht="24" customHeight="1">
      <c r="A2833" s="4" t="inlineStr">
        <is>
          <t>Odisha</t>
        </is>
      </c>
      <c r="B2833" s="5" t="inlineStr">
        <is>
          <t>ICT</t>
        </is>
      </c>
      <c r="C2833" s="6" t="inlineStr">
        <is>
          <t>2026_CERWI_143325_1</t>
        </is>
      </c>
      <c r="D2833" s="7" t="inlineStr">
        <is>
          <t>[Construction of D Type Quarter 1No. PHC building at Jamkhunta under Bangomunda Block in the district of Bolangir ]</t>
        </is>
      </c>
      <c r="E2833" s="7" t="inlineStr">
        <is>
          <t>Odisha Public Works &amp; Technology Department</t>
        </is>
      </c>
      <c r="F2833" s="6" t="inlineStr">
        <is>
          <t>02 Aug 2026</t>
        </is>
      </c>
      <c r="G2833" s="5" t="inlineStr">
        <is>
          <t>27 Aug 2026</t>
        </is>
      </c>
      <c r="H2833" s="8" t="inlineStr">
        <is>
          <t>⏳ UPCOMING</t>
        </is>
      </c>
      <c r="I2833" s="4" t="inlineStr">
        <is>
          <t>BOQ_613673.xls</t>
        </is>
      </c>
      <c r="J2833" s="6" t="inlineStr">
        <is>
          <t>📊 Excel BOQ</t>
        </is>
      </c>
      <c r="K2833" s="9" t="n">
        <v>2.5</v>
      </c>
      <c r="L2833" s="10">
        <f>HYPERLINK("http://127.0.0.1:8000/api/documents/download?id=1492&amp;attachment=true", "⬇ Download BOQ_613673.xls")</f>
        <v/>
      </c>
      <c r="M2833" s="10">
        <f>HYPERLINK("http://localhost:5173/?state=Odisha&amp;keyword=ICT&amp;tender=2026_CERWI_143325_1", "🚀 Open in Portal")</f>
        <v/>
      </c>
    </row>
    <row r="2834" ht="24" customHeight="1">
      <c r="A2834" s="11" t="inlineStr">
        <is>
          <t>Odisha</t>
        </is>
      </c>
      <c r="B2834" s="12" t="inlineStr">
        <is>
          <t>ICT</t>
        </is>
      </c>
      <c r="C2834" s="13" t="inlineStr">
        <is>
          <t>2026_CERWI_143325_1</t>
        </is>
      </c>
      <c r="D2834" s="14" t="inlineStr">
        <is>
          <t>[Construction of D Type Quarter 1No. PHC building at Jamkhunta under Bangomunda Block in the district of Bolangir ]</t>
        </is>
      </c>
      <c r="E2834" s="14" t="inlineStr">
        <is>
          <t>Odisha Public Works &amp; Technology Department</t>
        </is>
      </c>
      <c r="F2834" s="13" t="inlineStr">
        <is>
          <t>02 Aug 2026</t>
        </is>
      </c>
      <c r="G2834" s="12" t="inlineStr">
        <is>
          <t>27 Aug 2026</t>
        </is>
      </c>
      <c r="H2834" s="8" t="inlineStr">
        <is>
          <t>⏳ UPCOMING</t>
        </is>
      </c>
      <c r="I2834" s="11" t="inlineStr">
        <is>
          <t>Tender_2026_CERWI_143325_1_All_Documents.zip</t>
        </is>
      </c>
      <c r="J2834" s="13" t="inlineStr">
        <is>
          <t>📦 ZIP Package</t>
        </is>
      </c>
      <c r="K2834" s="15" t="n">
        <v>11.5</v>
      </c>
      <c r="L2834" s="16">
        <f>HYPERLINK("http://127.0.0.1:8000/api/documents/download?id=1493&amp;attachment=true", "⬇ Download Tender_2026_CERWI_143325")</f>
        <v/>
      </c>
      <c r="M2834" s="16">
        <f>HYPERLINK("http://localhost:5173/?state=Odisha&amp;keyword=ICT&amp;tender=2026_CERWI_143325_1", "🚀 Open in Portal")</f>
        <v/>
      </c>
    </row>
    <row r="2835" ht="24" customHeight="1">
      <c r="A2835" s="4" t="inlineStr">
        <is>
          <t>Odisha</t>
        </is>
      </c>
      <c r="B2835" s="5" t="inlineStr">
        <is>
          <t>ICT</t>
        </is>
      </c>
      <c r="C2835" s="6" t="inlineStr">
        <is>
          <t>2026_CERWI_143327_1</t>
        </is>
      </c>
      <c r="D2835" s="7" t="inlineStr">
        <is>
          <t>[Construction of F Type Quarter 1No. PHC building at Jamkhunta under Bangomunda Block in the district of Bolangir ]</t>
        </is>
      </c>
      <c r="E2835" s="7" t="inlineStr">
        <is>
          <t>Odisha Public Works &amp; Technology Department</t>
        </is>
      </c>
      <c r="F2835" s="6" t="inlineStr">
        <is>
          <t>30 Sep 2026</t>
        </is>
      </c>
      <c r="G2835" s="5" t="inlineStr">
        <is>
          <t>16 Nov 2026</t>
        </is>
      </c>
      <c r="H2835" s="17" t="inlineStr">
        <is>
          <t>🟢 LIVE ACTIVE</t>
        </is>
      </c>
      <c r="I2835" s="4" t="inlineStr">
        <is>
          <t>Tendernotice_1.pdf</t>
        </is>
      </c>
      <c r="J2835" s="6" t="inlineStr">
        <is>
          <t>📕 PDF Document</t>
        </is>
      </c>
      <c r="K2835" s="9" t="n">
        <v>17.8</v>
      </c>
      <c r="L2835" s="10">
        <f>HYPERLINK("http://127.0.0.1:8000/api/documents/download?id=1485&amp;attachment=true", "⬇ Download Tendernotice_1.pdf")</f>
        <v/>
      </c>
      <c r="M2835" s="10">
        <f>HYPERLINK("http://localhost:5173/?state=Odisha&amp;keyword=ICT&amp;tender=2026_CERWI_143327_1", "🚀 Open in Portal")</f>
        <v/>
      </c>
    </row>
    <row r="2836" ht="24" customHeight="1">
      <c r="A2836" s="11" t="inlineStr">
        <is>
          <t>Odisha</t>
        </is>
      </c>
      <c r="B2836" s="12" t="inlineStr">
        <is>
          <t>ICT</t>
        </is>
      </c>
      <c r="C2836" s="13" t="inlineStr">
        <is>
          <t>2026_CERWI_143327_1</t>
        </is>
      </c>
      <c r="D2836" s="14" t="inlineStr">
        <is>
          <t>[Construction of F Type Quarter 1No. PHC building at Jamkhunta under Bangomunda Block in the district of Bolangir ]</t>
        </is>
      </c>
      <c r="E2836" s="14" t="inlineStr">
        <is>
          <t>Odisha Public Works &amp; Technology Department</t>
        </is>
      </c>
      <c r="F2836" s="13" t="inlineStr">
        <is>
          <t>30 Sep 2026</t>
        </is>
      </c>
      <c r="G2836" s="12" t="inlineStr">
        <is>
          <t>16 Nov 2026</t>
        </is>
      </c>
      <c r="H2836" s="17" t="inlineStr">
        <is>
          <t>🟢 LIVE ACTIVE</t>
        </is>
      </c>
      <c r="I2836" s="11" t="inlineStr">
        <is>
          <t>BOQ_613674.xls</t>
        </is>
      </c>
      <c r="J2836" s="13" t="inlineStr">
        <is>
          <t>📊 Excel BOQ</t>
        </is>
      </c>
      <c r="K2836" s="15" t="n">
        <v>2.5</v>
      </c>
      <c r="L2836" s="16">
        <f>HYPERLINK("http://127.0.0.1:8000/api/documents/download?id=1486&amp;attachment=true", "⬇ Download BOQ_613674.xls")</f>
        <v/>
      </c>
      <c r="M2836" s="16">
        <f>HYPERLINK("http://localhost:5173/?state=Odisha&amp;keyword=ICT&amp;tender=2026_CERWI_143327_1", "🚀 Open in Portal")</f>
        <v/>
      </c>
    </row>
    <row r="2837" ht="24" customHeight="1">
      <c r="A2837" s="4" t="inlineStr">
        <is>
          <t>Odisha</t>
        </is>
      </c>
      <c r="B2837" s="5" t="inlineStr">
        <is>
          <t>ICT</t>
        </is>
      </c>
      <c r="C2837" s="6" t="inlineStr">
        <is>
          <t>2026_CERWI_143327_1</t>
        </is>
      </c>
      <c r="D2837" s="7" t="inlineStr">
        <is>
          <t>[Construction of F Type Quarter 1No. PHC building at Jamkhunta under Bangomunda Block in the district of Bolangir ]</t>
        </is>
      </c>
      <c r="E2837" s="7" t="inlineStr">
        <is>
          <t>Odisha Public Works &amp; Technology Department</t>
        </is>
      </c>
      <c r="F2837" s="6" t="inlineStr">
        <is>
          <t>30 Sep 2026</t>
        </is>
      </c>
      <c r="G2837" s="5" t="inlineStr">
        <is>
          <t>16 Nov 2026</t>
        </is>
      </c>
      <c r="H2837" s="17" t="inlineStr">
        <is>
          <t>🟢 LIVE ACTIVE</t>
        </is>
      </c>
      <c r="I2837" s="4" t="inlineStr">
        <is>
          <t>Tender_2026_CERWI_143327_1_All_Documents.zip</t>
        </is>
      </c>
      <c r="J2837" s="6" t="inlineStr">
        <is>
          <t>📦 ZIP Package</t>
        </is>
      </c>
      <c r="K2837" s="9" t="n">
        <v>11.6</v>
      </c>
      <c r="L2837" s="10">
        <f>HYPERLINK("http://127.0.0.1:8000/api/documents/download?id=1487&amp;attachment=true", "⬇ Download Tender_2026_CERWI_143327")</f>
        <v/>
      </c>
      <c r="M2837" s="10">
        <f>HYPERLINK("http://localhost:5173/?state=Odisha&amp;keyword=ICT&amp;tender=2026_CERWI_143327_1", "🚀 Open in Portal")</f>
        <v/>
      </c>
    </row>
    <row r="2838" ht="24" customHeight="1">
      <c r="A2838" s="11" t="inlineStr">
        <is>
          <t>Odisha</t>
        </is>
      </c>
      <c r="B2838" s="12" t="inlineStr">
        <is>
          <t>ICT</t>
        </is>
      </c>
      <c r="C2838" s="13" t="inlineStr">
        <is>
          <t>2026_CERWI_143349_1</t>
        </is>
      </c>
      <c r="D2838" s="14" t="inlineStr">
        <is>
          <t>[Construction of H.L Bridge over Local Nallah on SH-42 to Jeeratmal Road in the district of Bolangir under SBY for the year 2026-27 (Open Foundation)]</t>
        </is>
      </c>
      <c r="E2838" s="14" t="inlineStr">
        <is>
          <t>Odisha Public Works &amp; Technology Department</t>
        </is>
      </c>
      <c r="F2838" s="13" t="inlineStr">
        <is>
          <t>26 Oct 2026</t>
        </is>
      </c>
      <c r="G2838" s="12" t="inlineStr">
        <is>
          <t>16 Nov 2026</t>
        </is>
      </c>
      <c r="H2838" s="8" t="inlineStr">
        <is>
          <t>⏳ UPCOMING</t>
        </is>
      </c>
      <c r="I2838" s="11" t="inlineStr">
        <is>
          <t>Tendernotice_2.pdf</t>
        </is>
      </c>
      <c r="J2838" s="13" t="inlineStr">
        <is>
          <t>📕 PDF Document</t>
        </is>
      </c>
      <c r="K2838" s="15" t="n">
        <v>17.8</v>
      </c>
      <c r="L2838" s="16">
        <f>HYPERLINK("http://127.0.0.1:8000/api/documents/download?id=1482&amp;attachment=true", "⬇ Download Tendernotice_2.pdf")</f>
        <v/>
      </c>
      <c r="M2838" s="16">
        <f>HYPERLINK("http://localhost:5173/?state=Odisha&amp;keyword=ICT&amp;tender=2026_CERWI_143349_1", "🚀 Open in Portal")</f>
        <v/>
      </c>
    </row>
    <row r="2839" ht="24" customHeight="1">
      <c r="A2839" s="4" t="inlineStr">
        <is>
          <t>Odisha</t>
        </is>
      </c>
      <c r="B2839" s="5" t="inlineStr">
        <is>
          <t>ICT</t>
        </is>
      </c>
      <c r="C2839" s="6" t="inlineStr">
        <is>
          <t>2026_CERWI_143349_1</t>
        </is>
      </c>
      <c r="D2839" s="7" t="inlineStr">
        <is>
          <t>[Construction of H.L Bridge over Local Nallah on SH-42 to Jeeratmal Road in the district of Bolangir under SBY for the year 2026-27 (Open Foundation)]</t>
        </is>
      </c>
      <c r="E2839" s="7" t="inlineStr">
        <is>
          <t>Odisha Public Works &amp; Technology Department</t>
        </is>
      </c>
      <c r="F2839" s="6" t="inlineStr">
        <is>
          <t>26 Oct 2026</t>
        </is>
      </c>
      <c r="G2839" s="5" t="inlineStr">
        <is>
          <t>16 Nov 2026</t>
        </is>
      </c>
      <c r="H2839" s="8" t="inlineStr">
        <is>
          <t>⏳ UPCOMING</t>
        </is>
      </c>
      <c r="I2839" s="4" t="inlineStr">
        <is>
          <t>BOQ_613719.xls</t>
        </is>
      </c>
      <c r="J2839" s="6" t="inlineStr">
        <is>
          <t>📊 Excel BOQ</t>
        </is>
      </c>
      <c r="K2839" s="9" t="n">
        <v>2.5</v>
      </c>
      <c r="L2839" s="10">
        <f>HYPERLINK("http://127.0.0.1:8000/api/documents/download?id=1483&amp;attachment=true", "⬇ Download BOQ_613719.xls")</f>
        <v/>
      </c>
      <c r="M2839" s="10">
        <f>HYPERLINK("http://localhost:5173/?state=Odisha&amp;keyword=ICT&amp;tender=2026_CERWI_143349_1", "🚀 Open in Portal")</f>
        <v/>
      </c>
    </row>
    <row r="2840" ht="24" customHeight="1">
      <c r="A2840" s="11" t="inlineStr">
        <is>
          <t>Odisha</t>
        </is>
      </c>
      <c r="B2840" s="12" t="inlineStr">
        <is>
          <t>ICT</t>
        </is>
      </c>
      <c r="C2840" s="13" t="inlineStr">
        <is>
          <t>2026_CERWI_143349_1</t>
        </is>
      </c>
      <c r="D2840" s="14" t="inlineStr">
        <is>
          <t>[Construction of H.L Bridge over Local Nallah on SH-42 to Jeeratmal Road in the district of Bolangir under SBY for the year 2026-27 (Open Foundation)]</t>
        </is>
      </c>
      <c r="E2840" s="14" t="inlineStr">
        <is>
          <t>Odisha Public Works &amp; Technology Department</t>
        </is>
      </c>
      <c r="F2840" s="13" t="inlineStr">
        <is>
          <t>26 Oct 2026</t>
        </is>
      </c>
      <c r="G2840" s="12" t="inlineStr">
        <is>
          <t>16 Nov 2026</t>
        </is>
      </c>
      <c r="H2840" s="8" t="inlineStr">
        <is>
          <t>⏳ UPCOMING</t>
        </is>
      </c>
      <c r="I2840" s="11" t="inlineStr">
        <is>
          <t>Tender_2026_CERWI_143349_1_All_Documents.zip</t>
        </is>
      </c>
      <c r="J2840" s="13" t="inlineStr">
        <is>
          <t>📦 ZIP Package</t>
        </is>
      </c>
      <c r="K2840" s="15" t="n">
        <v>11.6</v>
      </c>
      <c r="L2840" s="16">
        <f>HYPERLINK("http://127.0.0.1:8000/api/documents/download?id=1484&amp;attachment=true", "⬇ Download Tender_2026_CERWI_143349")</f>
        <v/>
      </c>
      <c r="M2840" s="16">
        <f>HYPERLINK("http://localhost:5173/?state=Odisha&amp;keyword=ICT&amp;tender=2026_CERWI_143349_1", "🚀 Open in Portal")</f>
        <v/>
      </c>
    </row>
    <row r="2841" ht="24" customHeight="1">
      <c r="A2841" s="4" t="inlineStr">
        <is>
          <t>Odisha</t>
        </is>
      </c>
      <c r="B2841" s="5" t="inlineStr">
        <is>
          <t>ICT</t>
        </is>
      </c>
      <c r="C2841" s="6" t="inlineStr">
        <is>
          <t>2026_CERWI_143350_1</t>
        </is>
      </c>
      <c r="D2841" s="7" t="inlineStr">
        <is>
          <t>[Construction of Bridge over Kandhenjore at 1st k.m Jarasingha to Barkani Road in the district of Bolangir under SBY for the year 2026-27 (Open Foundation)]</t>
        </is>
      </c>
      <c r="E2841" s="7" t="inlineStr">
        <is>
          <t>Odisha Public Works &amp; Technology Department</t>
        </is>
      </c>
      <c r="F2841" s="6" t="inlineStr">
        <is>
          <t>20 Oct 2026</t>
        </is>
      </c>
      <c r="G2841" s="5" t="inlineStr">
        <is>
          <t>10 Nov 2026</t>
        </is>
      </c>
      <c r="H2841" s="8" t="inlineStr">
        <is>
          <t>⏳ UPCOMING</t>
        </is>
      </c>
      <c r="I2841" s="4" t="inlineStr">
        <is>
          <t>Tendernotice_2.pdf</t>
        </is>
      </c>
      <c r="J2841" s="6" t="inlineStr">
        <is>
          <t>📕 PDF Document</t>
        </is>
      </c>
      <c r="K2841" s="9" t="n">
        <v>17.8</v>
      </c>
      <c r="L2841" s="10">
        <f>HYPERLINK("http://127.0.0.1:8000/api/documents/download?id=1464&amp;attachment=true", "⬇ Download Tendernotice_2.pdf")</f>
        <v/>
      </c>
      <c r="M2841" s="10">
        <f>HYPERLINK("http://localhost:5173/?state=Odisha&amp;keyword=ICT&amp;tender=2026_CERWI_143350_1", "🚀 Open in Portal")</f>
        <v/>
      </c>
    </row>
    <row r="2842" ht="24" customHeight="1">
      <c r="A2842" s="11" t="inlineStr">
        <is>
          <t>Odisha</t>
        </is>
      </c>
      <c r="B2842" s="12" t="inlineStr">
        <is>
          <t>ICT</t>
        </is>
      </c>
      <c r="C2842" s="13" t="inlineStr">
        <is>
          <t>2026_CERWI_143350_1</t>
        </is>
      </c>
      <c r="D2842" s="14" t="inlineStr">
        <is>
          <t>[Construction of Bridge over Kandhenjore at 1st k.m Jarasingha to Barkani Road in the district of Bolangir under SBY for the year 2026-27 (Open Foundation)]</t>
        </is>
      </c>
      <c r="E2842" s="14" t="inlineStr">
        <is>
          <t>Odisha Public Works &amp; Technology Department</t>
        </is>
      </c>
      <c r="F2842" s="13" t="inlineStr">
        <is>
          <t>20 Oct 2026</t>
        </is>
      </c>
      <c r="G2842" s="12" t="inlineStr">
        <is>
          <t>10 Nov 2026</t>
        </is>
      </c>
      <c r="H2842" s="8" t="inlineStr">
        <is>
          <t>⏳ UPCOMING</t>
        </is>
      </c>
      <c r="I2842" s="11" t="inlineStr">
        <is>
          <t>BOQ_613721.xls</t>
        </is>
      </c>
      <c r="J2842" s="13" t="inlineStr">
        <is>
          <t>📊 Excel BOQ</t>
        </is>
      </c>
      <c r="K2842" s="15" t="n">
        <v>2.5</v>
      </c>
      <c r="L2842" s="16">
        <f>HYPERLINK("http://127.0.0.1:8000/api/documents/download?id=1465&amp;attachment=true", "⬇ Download BOQ_613721.xls")</f>
        <v/>
      </c>
      <c r="M2842" s="16">
        <f>HYPERLINK("http://localhost:5173/?state=Odisha&amp;keyword=ICT&amp;tender=2026_CERWI_143350_1", "🚀 Open in Portal")</f>
        <v/>
      </c>
    </row>
    <row r="2843" ht="24" customHeight="1">
      <c r="A2843" s="4" t="inlineStr">
        <is>
          <t>Odisha</t>
        </is>
      </c>
      <c r="B2843" s="5" t="inlineStr">
        <is>
          <t>ICT</t>
        </is>
      </c>
      <c r="C2843" s="6" t="inlineStr">
        <is>
          <t>2026_CERWI_143350_1</t>
        </is>
      </c>
      <c r="D2843" s="7" t="inlineStr">
        <is>
          <t>[Construction of Bridge over Kandhenjore at 1st k.m Jarasingha to Barkani Road in the district of Bolangir under SBY for the year 2026-27 (Open Foundation)]</t>
        </is>
      </c>
      <c r="E2843" s="7" t="inlineStr">
        <is>
          <t>Odisha Public Works &amp; Technology Department</t>
        </is>
      </c>
      <c r="F2843" s="6" t="inlineStr">
        <is>
          <t>20 Oct 2026</t>
        </is>
      </c>
      <c r="G2843" s="5" t="inlineStr">
        <is>
          <t>10 Nov 2026</t>
        </is>
      </c>
      <c r="H2843" s="8" t="inlineStr">
        <is>
          <t>⏳ UPCOMING</t>
        </is>
      </c>
      <c r="I2843" s="4" t="inlineStr">
        <is>
          <t>Tender_2026_CERWI_143350_1_All_Documents.zip</t>
        </is>
      </c>
      <c r="J2843" s="6" t="inlineStr">
        <is>
          <t>📦 ZIP Package</t>
        </is>
      </c>
      <c r="K2843" s="9" t="n">
        <v>11.6</v>
      </c>
      <c r="L2843" s="10">
        <f>HYPERLINK("http://127.0.0.1:8000/api/documents/download?id=1466&amp;attachment=true", "⬇ Download Tender_2026_CERWI_143350")</f>
        <v/>
      </c>
      <c r="M2843" s="10">
        <f>HYPERLINK("http://localhost:5173/?state=Odisha&amp;keyword=ICT&amp;tender=2026_CERWI_143350_1", "🚀 Open in Portal")</f>
        <v/>
      </c>
    </row>
    <row r="2844" ht="24" customHeight="1">
      <c r="A2844" s="11" t="inlineStr">
        <is>
          <t>Odisha</t>
        </is>
      </c>
      <c r="B2844" s="12" t="inlineStr">
        <is>
          <t>ICT</t>
        </is>
      </c>
      <c r="C2844" s="13" t="inlineStr">
        <is>
          <t>2026_CERWI_143353_1</t>
        </is>
      </c>
      <c r="D2844" s="14" t="inlineStr">
        <is>
          <t>[Construction of Bridge over Local Nallah on PS Road to Kurebhana Road in the district of Bolangir under SBY for the year 2026-27 (Open Foundation)]</t>
        </is>
      </c>
      <c r="E2844" s="14" t="inlineStr">
        <is>
          <t>Odisha Public Works &amp; Technology Department</t>
        </is>
      </c>
      <c r="F2844" s="13" t="inlineStr">
        <is>
          <t>28 Jul 2026</t>
        </is>
      </c>
      <c r="G2844" s="12" t="inlineStr">
        <is>
          <t>23 Aug 2026</t>
        </is>
      </c>
      <c r="H2844" s="8" t="inlineStr">
        <is>
          <t>⏳ UPCOMING</t>
        </is>
      </c>
      <c r="I2844" s="11" t="inlineStr">
        <is>
          <t>Tendernotice_2.pdf</t>
        </is>
      </c>
      <c r="J2844" s="13" t="inlineStr">
        <is>
          <t>📕 PDF Document</t>
        </is>
      </c>
      <c r="K2844" s="15" t="n">
        <v>17.8</v>
      </c>
      <c r="L2844" s="16">
        <f>HYPERLINK("http://127.0.0.1:8000/api/documents/download?id=1470&amp;attachment=true", "⬇ Download Tendernotice_2.pdf")</f>
        <v/>
      </c>
      <c r="M2844" s="16">
        <f>HYPERLINK("http://localhost:5173/?state=Odisha&amp;keyword=ICT&amp;tender=2026_CERWI_143353_1", "🚀 Open in Portal")</f>
        <v/>
      </c>
    </row>
    <row r="2845" ht="24" customHeight="1">
      <c r="A2845" s="4" t="inlineStr">
        <is>
          <t>Odisha</t>
        </is>
      </c>
      <c r="B2845" s="5" t="inlineStr">
        <is>
          <t>ICT</t>
        </is>
      </c>
      <c r="C2845" s="6" t="inlineStr">
        <is>
          <t>2026_CERWI_143353_1</t>
        </is>
      </c>
      <c r="D2845" s="7" t="inlineStr">
        <is>
          <t>[Construction of Bridge over Local Nallah on PS Road to Kurebhana Road in the district of Bolangir under SBY for the year 2026-27 (Open Foundation)]</t>
        </is>
      </c>
      <c r="E2845" s="7" t="inlineStr">
        <is>
          <t>Odisha Public Works &amp; Technology Department</t>
        </is>
      </c>
      <c r="F2845" s="6" t="inlineStr">
        <is>
          <t>28 Jul 2026</t>
        </is>
      </c>
      <c r="G2845" s="5" t="inlineStr">
        <is>
          <t>23 Aug 2026</t>
        </is>
      </c>
      <c r="H2845" s="8" t="inlineStr">
        <is>
          <t>⏳ UPCOMING</t>
        </is>
      </c>
      <c r="I2845" s="4" t="inlineStr">
        <is>
          <t>BOQ_613724.xls</t>
        </is>
      </c>
      <c r="J2845" s="6" t="inlineStr">
        <is>
          <t>📊 Excel BOQ</t>
        </is>
      </c>
      <c r="K2845" s="9" t="n">
        <v>2.5</v>
      </c>
      <c r="L2845" s="10">
        <f>HYPERLINK("http://127.0.0.1:8000/api/documents/download?id=1471&amp;attachment=true", "⬇ Download BOQ_613724.xls")</f>
        <v/>
      </c>
      <c r="M2845" s="10">
        <f>HYPERLINK("http://localhost:5173/?state=Odisha&amp;keyword=ICT&amp;tender=2026_CERWI_143353_1", "🚀 Open in Portal")</f>
        <v/>
      </c>
    </row>
    <row r="2846" ht="24" customHeight="1">
      <c r="A2846" s="11" t="inlineStr">
        <is>
          <t>Odisha</t>
        </is>
      </c>
      <c r="B2846" s="12" t="inlineStr">
        <is>
          <t>ICT</t>
        </is>
      </c>
      <c r="C2846" s="13" t="inlineStr">
        <is>
          <t>2026_CERWI_143353_1</t>
        </is>
      </c>
      <c r="D2846" s="14" t="inlineStr">
        <is>
          <t>[Construction of Bridge over Local Nallah on PS Road to Kurebhana Road in the district of Bolangir under SBY for the year 2026-27 (Open Foundation)]</t>
        </is>
      </c>
      <c r="E2846" s="14" t="inlineStr">
        <is>
          <t>Odisha Public Works &amp; Technology Department</t>
        </is>
      </c>
      <c r="F2846" s="13" t="inlineStr">
        <is>
          <t>28 Jul 2026</t>
        </is>
      </c>
      <c r="G2846" s="12" t="inlineStr">
        <is>
          <t>23 Aug 2026</t>
        </is>
      </c>
      <c r="H2846" s="8" t="inlineStr">
        <is>
          <t>⏳ UPCOMING</t>
        </is>
      </c>
      <c r="I2846" s="11" t="inlineStr">
        <is>
          <t>Tender_2026_CERWI_143353_1_All_Documents.zip</t>
        </is>
      </c>
      <c r="J2846" s="13" t="inlineStr">
        <is>
          <t>📦 ZIP Package</t>
        </is>
      </c>
      <c r="K2846" s="15" t="n">
        <v>11.6</v>
      </c>
      <c r="L2846" s="16">
        <f>HYPERLINK("http://127.0.0.1:8000/api/documents/download?id=1472&amp;attachment=true", "⬇ Download Tender_2026_CERWI_143353")</f>
        <v/>
      </c>
      <c r="M2846" s="16">
        <f>HYPERLINK("http://localhost:5173/?state=Odisha&amp;keyword=ICT&amp;tender=2026_CERWI_143353_1", "🚀 Open in Portal")</f>
        <v/>
      </c>
    </row>
    <row r="2847" ht="24" customHeight="1">
      <c r="A2847" s="4" t="inlineStr">
        <is>
          <t>Odisha</t>
        </is>
      </c>
      <c r="B2847" s="5" t="inlineStr">
        <is>
          <t>ICT</t>
        </is>
      </c>
      <c r="C2847" s="6" t="inlineStr">
        <is>
          <t>2026_CERWI_143357_1</t>
        </is>
      </c>
      <c r="D2847" s="7" t="inlineStr">
        <is>
          <t>[Construction of H.L Bridge over Local Nallah on 7.10 km and 7.30 k.m on PWD Road to Kutenpali Road in the district of Bolangir under SBY for the year 2026-27 (Open Foundation)]</t>
        </is>
      </c>
      <c r="E2847" s="7" t="inlineStr">
        <is>
          <t>Odisha Public Works &amp; Technology Department</t>
        </is>
      </c>
      <c r="F2847" s="6" t="inlineStr">
        <is>
          <t>16 Sep 2026</t>
        </is>
      </c>
      <c r="G2847" s="5" t="inlineStr">
        <is>
          <t>11 Oct 2026</t>
        </is>
      </c>
      <c r="H2847" s="8" t="inlineStr">
        <is>
          <t>⏳ UPCOMING</t>
        </is>
      </c>
      <c r="I2847" s="4" t="inlineStr">
        <is>
          <t>Tendernotice_2.pdf</t>
        </is>
      </c>
      <c r="J2847" s="6" t="inlineStr">
        <is>
          <t>📕 PDF Document</t>
        </is>
      </c>
      <c r="K2847" s="9" t="n">
        <v>17.8</v>
      </c>
      <c r="L2847" s="10">
        <f>HYPERLINK("http://127.0.0.1:8000/api/documents/download?id=1461&amp;attachment=true", "⬇ Download Tendernotice_2.pdf")</f>
        <v/>
      </c>
      <c r="M2847" s="10">
        <f>HYPERLINK("http://localhost:5173/?state=Odisha&amp;keyword=ICT&amp;tender=2026_CERWI_143357_1", "🚀 Open in Portal")</f>
        <v/>
      </c>
    </row>
    <row r="2848" ht="24" customHeight="1">
      <c r="A2848" s="11" t="inlineStr">
        <is>
          <t>Odisha</t>
        </is>
      </c>
      <c r="B2848" s="12" t="inlineStr">
        <is>
          <t>ICT</t>
        </is>
      </c>
      <c r="C2848" s="13" t="inlineStr">
        <is>
          <t>2026_CERWI_143357_1</t>
        </is>
      </c>
      <c r="D2848" s="14" t="inlineStr">
        <is>
          <t>[Construction of H.L Bridge over Local Nallah on 7.10 km and 7.30 k.m on PWD Road to Kutenpali Road in the district of Bolangir under SBY for the year 2026-27 (Open Foundation)]</t>
        </is>
      </c>
      <c r="E2848" s="14" t="inlineStr">
        <is>
          <t>Odisha Public Works &amp; Technology Department</t>
        </is>
      </c>
      <c r="F2848" s="13" t="inlineStr">
        <is>
          <t>16 Sep 2026</t>
        </is>
      </c>
      <c r="G2848" s="12" t="inlineStr">
        <is>
          <t>11 Oct 2026</t>
        </is>
      </c>
      <c r="H2848" s="8" t="inlineStr">
        <is>
          <t>⏳ UPCOMING</t>
        </is>
      </c>
      <c r="I2848" s="11" t="inlineStr">
        <is>
          <t>BOQ_613727.xls</t>
        </is>
      </c>
      <c r="J2848" s="13" t="inlineStr">
        <is>
          <t>📊 Excel BOQ</t>
        </is>
      </c>
      <c r="K2848" s="15" t="n">
        <v>2.5</v>
      </c>
      <c r="L2848" s="16">
        <f>HYPERLINK("http://127.0.0.1:8000/api/documents/download?id=1462&amp;attachment=true", "⬇ Download BOQ_613727.xls")</f>
        <v/>
      </c>
      <c r="M2848" s="16">
        <f>HYPERLINK("http://localhost:5173/?state=Odisha&amp;keyword=ICT&amp;tender=2026_CERWI_143357_1", "🚀 Open in Portal")</f>
        <v/>
      </c>
    </row>
    <row r="2849" ht="24" customHeight="1">
      <c r="A2849" s="4" t="inlineStr">
        <is>
          <t>Odisha</t>
        </is>
      </c>
      <c r="B2849" s="5" t="inlineStr">
        <is>
          <t>ICT</t>
        </is>
      </c>
      <c r="C2849" s="6" t="inlineStr">
        <is>
          <t>2026_CERWI_143357_1</t>
        </is>
      </c>
      <c r="D2849" s="7" t="inlineStr">
        <is>
          <t>[Construction of H.L Bridge over Local Nallah on 7.10 km and 7.30 k.m on PWD Road to Kutenpali Road in the district of Bolangir under SBY for the year 2026-27 (Open Foundation)]</t>
        </is>
      </c>
      <c r="E2849" s="7" t="inlineStr">
        <is>
          <t>Odisha Public Works &amp; Technology Department</t>
        </is>
      </c>
      <c r="F2849" s="6" t="inlineStr">
        <is>
          <t>16 Sep 2026</t>
        </is>
      </c>
      <c r="G2849" s="5" t="inlineStr">
        <is>
          <t>11 Oct 2026</t>
        </is>
      </c>
      <c r="H2849" s="8" t="inlineStr">
        <is>
          <t>⏳ UPCOMING</t>
        </is>
      </c>
      <c r="I2849" s="4" t="inlineStr">
        <is>
          <t>Tender_2026_CERWI_143357_1_All_Documents.zip</t>
        </is>
      </c>
      <c r="J2849" s="6" t="inlineStr">
        <is>
          <t>📦 ZIP Package</t>
        </is>
      </c>
      <c r="K2849" s="9" t="n">
        <v>11.6</v>
      </c>
      <c r="L2849" s="10">
        <f>HYPERLINK("http://127.0.0.1:8000/api/documents/download?id=1463&amp;attachment=true", "⬇ Download Tender_2026_CERWI_143357")</f>
        <v/>
      </c>
      <c r="M2849" s="10">
        <f>HYPERLINK("http://localhost:5173/?state=Odisha&amp;keyword=ICT&amp;tender=2026_CERWI_143357_1", "🚀 Open in Portal")</f>
        <v/>
      </c>
    </row>
    <row r="2850" ht="24" customHeight="1">
      <c r="A2850" s="11" t="inlineStr">
        <is>
          <t>Odisha</t>
        </is>
      </c>
      <c r="B2850" s="12" t="inlineStr">
        <is>
          <t>ICT</t>
        </is>
      </c>
      <c r="C2850" s="13" t="inlineStr">
        <is>
          <t>2026_CERWI_143362_1</t>
        </is>
      </c>
      <c r="D2850" s="14" t="inlineStr">
        <is>
          <t>[Construction of Bridge over Local Nallah on 17/0 km on Duduka Kutasingha Road in the district of Bolangir under SBY for the year 2026-27 (Open Foundation)]</t>
        </is>
      </c>
      <c r="E2850" s="14" t="inlineStr">
        <is>
          <t>Odisha Public Works &amp; Technology Department</t>
        </is>
      </c>
      <c r="F2850" s="13" t="inlineStr">
        <is>
          <t>08 Oct 2026</t>
        </is>
      </c>
      <c r="G2850" s="12" t="inlineStr">
        <is>
          <t>23 Oct 2026</t>
        </is>
      </c>
      <c r="H2850" s="17" t="inlineStr">
        <is>
          <t>🟢 LIVE ACTIVE</t>
        </is>
      </c>
      <c r="I2850" s="11" t="inlineStr">
        <is>
          <t>Tendernotice_2.pdf</t>
        </is>
      </c>
      <c r="J2850" s="13" t="inlineStr">
        <is>
          <t>📕 PDF Document</t>
        </is>
      </c>
      <c r="K2850" s="15" t="n">
        <v>17.8</v>
      </c>
      <c r="L2850" s="16">
        <f>HYPERLINK("http://127.0.0.1:8000/api/documents/download?id=1467&amp;attachment=true", "⬇ Download Tendernotice_2.pdf")</f>
        <v/>
      </c>
      <c r="M2850" s="16">
        <f>HYPERLINK("http://localhost:5173/?state=Odisha&amp;keyword=ICT&amp;tender=2026_CERWI_143362_1", "🚀 Open in Portal")</f>
        <v/>
      </c>
    </row>
    <row r="2851" ht="24" customHeight="1">
      <c r="A2851" s="4" t="inlineStr">
        <is>
          <t>Odisha</t>
        </is>
      </c>
      <c r="B2851" s="5" t="inlineStr">
        <is>
          <t>ICT</t>
        </is>
      </c>
      <c r="C2851" s="6" t="inlineStr">
        <is>
          <t>2026_CERWI_143362_1</t>
        </is>
      </c>
      <c r="D2851" s="7" t="inlineStr">
        <is>
          <t>[Construction of Bridge over Local Nallah on 17/0 km on Duduka Kutasingha Road in the district of Bolangir under SBY for the year 2026-27 (Open Foundation)]</t>
        </is>
      </c>
      <c r="E2851" s="7" t="inlineStr">
        <is>
          <t>Odisha Public Works &amp; Technology Department</t>
        </is>
      </c>
      <c r="F2851" s="6" t="inlineStr">
        <is>
          <t>08 Oct 2026</t>
        </is>
      </c>
      <c r="G2851" s="5" t="inlineStr">
        <is>
          <t>23 Oct 2026</t>
        </is>
      </c>
      <c r="H2851" s="17" t="inlineStr">
        <is>
          <t>🟢 LIVE ACTIVE</t>
        </is>
      </c>
      <c r="I2851" s="4" t="inlineStr">
        <is>
          <t>BOQ_613732.xls</t>
        </is>
      </c>
      <c r="J2851" s="6" t="inlineStr">
        <is>
          <t>📊 Excel BOQ</t>
        </is>
      </c>
      <c r="K2851" s="9" t="n">
        <v>2.5</v>
      </c>
      <c r="L2851" s="10">
        <f>HYPERLINK("http://127.0.0.1:8000/api/documents/download?id=1468&amp;attachment=true", "⬇ Download BOQ_613732.xls")</f>
        <v/>
      </c>
      <c r="M2851" s="10">
        <f>HYPERLINK("http://localhost:5173/?state=Odisha&amp;keyword=ICT&amp;tender=2026_CERWI_143362_1", "🚀 Open in Portal")</f>
        <v/>
      </c>
    </row>
    <row r="2852" ht="24" customHeight="1">
      <c r="A2852" s="11" t="inlineStr">
        <is>
          <t>Odisha</t>
        </is>
      </c>
      <c r="B2852" s="12" t="inlineStr">
        <is>
          <t>ICT</t>
        </is>
      </c>
      <c r="C2852" s="13" t="inlineStr">
        <is>
          <t>2026_CERWI_143362_1</t>
        </is>
      </c>
      <c r="D2852" s="14" t="inlineStr">
        <is>
          <t>[Construction of Bridge over Local Nallah on 17/0 km on Duduka Kutasingha Road in the district of Bolangir under SBY for the year 2026-27 (Open Foundation)]</t>
        </is>
      </c>
      <c r="E2852" s="14" t="inlineStr">
        <is>
          <t>Odisha Public Works &amp; Technology Department</t>
        </is>
      </c>
      <c r="F2852" s="13" t="inlineStr">
        <is>
          <t>08 Oct 2026</t>
        </is>
      </c>
      <c r="G2852" s="12" t="inlineStr">
        <is>
          <t>23 Oct 2026</t>
        </is>
      </c>
      <c r="H2852" s="17" t="inlineStr">
        <is>
          <t>🟢 LIVE ACTIVE</t>
        </is>
      </c>
      <c r="I2852" s="11" t="inlineStr">
        <is>
          <t>Tender_2026_CERWI_143362_1_All_Documents.zip</t>
        </is>
      </c>
      <c r="J2852" s="13" t="inlineStr">
        <is>
          <t>📦 ZIP Package</t>
        </is>
      </c>
      <c r="K2852" s="15" t="n">
        <v>11.6</v>
      </c>
      <c r="L2852" s="16">
        <f>HYPERLINK("http://127.0.0.1:8000/api/documents/download?id=1469&amp;attachment=true", "⬇ Download Tender_2026_CERWI_143362")</f>
        <v/>
      </c>
      <c r="M2852" s="16">
        <f>HYPERLINK("http://localhost:5173/?state=Odisha&amp;keyword=ICT&amp;tender=2026_CERWI_143362_1", "🚀 Open in Portal")</f>
        <v/>
      </c>
    </row>
    <row r="2853" ht="24" customHeight="1">
      <c r="A2853" s="4" t="inlineStr">
        <is>
          <t>Odisha</t>
        </is>
      </c>
      <c r="B2853" s="5" t="inlineStr">
        <is>
          <t>ICT</t>
        </is>
      </c>
      <c r="C2853" s="6" t="inlineStr">
        <is>
          <t>2026_CERWI_143366_1</t>
        </is>
      </c>
      <c r="D2853" s="7" t="inlineStr">
        <is>
          <t>[Construction of Bridge over Arjuni nallah on PWD road to Arjuni Road Road in the district of Bolangir under SBY for the year 2026-27 (Pile Foundation)]</t>
        </is>
      </c>
      <c r="E2853" s="7" t="inlineStr">
        <is>
          <t>Odisha Public Works &amp; Technology Department</t>
        </is>
      </c>
      <c r="F2853" s="6" t="inlineStr">
        <is>
          <t>29 Aug 2026</t>
        </is>
      </c>
      <c r="G2853" s="5" t="inlineStr">
        <is>
          <t>21 Sep 2026</t>
        </is>
      </c>
      <c r="H2853" s="8" t="inlineStr">
        <is>
          <t>⏳ UPCOMING</t>
        </is>
      </c>
      <c r="I2853" s="4" t="inlineStr">
        <is>
          <t>Tendernotice_2.pdf</t>
        </is>
      </c>
      <c r="J2853" s="6" t="inlineStr">
        <is>
          <t>📕 PDF Document</t>
        </is>
      </c>
      <c r="K2853" s="9" t="n">
        <v>17.8</v>
      </c>
      <c r="L2853" s="10">
        <f>HYPERLINK("http://127.0.0.1:8000/api/documents/download?id=1476&amp;attachment=true", "⬇ Download Tendernotice_2.pdf")</f>
        <v/>
      </c>
      <c r="M2853" s="10">
        <f>HYPERLINK("http://localhost:5173/?state=Odisha&amp;keyword=ICT&amp;tender=2026_CERWI_143366_1", "🚀 Open in Portal")</f>
        <v/>
      </c>
    </row>
    <row r="2854" ht="24" customHeight="1">
      <c r="A2854" s="11" t="inlineStr">
        <is>
          <t>Odisha</t>
        </is>
      </c>
      <c r="B2854" s="12" t="inlineStr">
        <is>
          <t>ICT</t>
        </is>
      </c>
      <c r="C2854" s="13" t="inlineStr">
        <is>
          <t>2026_CERWI_143366_1</t>
        </is>
      </c>
      <c r="D2854" s="14" t="inlineStr">
        <is>
          <t>[Construction of Bridge over Arjuni nallah on PWD road to Arjuni Road Road in the district of Bolangir under SBY for the year 2026-27 (Pile Foundation)]</t>
        </is>
      </c>
      <c r="E2854" s="14" t="inlineStr">
        <is>
          <t>Odisha Public Works &amp; Technology Department</t>
        </is>
      </c>
      <c r="F2854" s="13" t="inlineStr">
        <is>
          <t>29 Aug 2026</t>
        </is>
      </c>
      <c r="G2854" s="12" t="inlineStr">
        <is>
          <t>21 Sep 2026</t>
        </is>
      </c>
      <c r="H2854" s="8" t="inlineStr">
        <is>
          <t>⏳ UPCOMING</t>
        </is>
      </c>
      <c r="I2854" s="11" t="inlineStr">
        <is>
          <t>BOQ_613735.xls</t>
        </is>
      </c>
      <c r="J2854" s="13" t="inlineStr">
        <is>
          <t>📊 Excel BOQ</t>
        </is>
      </c>
      <c r="K2854" s="15" t="n">
        <v>2.5</v>
      </c>
      <c r="L2854" s="16">
        <f>HYPERLINK("http://127.0.0.1:8000/api/documents/download?id=1477&amp;attachment=true", "⬇ Download BOQ_613735.xls")</f>
        <v/>
      </c>
      <c r="M2854" s="16">
        <f>HYPERLINK("http://localhost:5173/?state=Odisha&amp;keyword=ICT&amp;tender=2026_CERWI_143366_1", "🚀 Open in Portal")</f>
        <v/>
      </c>
    </row>
    <row r="2855" ht="24" customHeight="1">
      <c r="A2855" s="4" t="inlineStr">
        <is>
          <t>Odisha</t>
        </is>
      </c>
      <c r="B2855" s="5" t="inlineStr">
        <is>
          <t>ICT</t>
        </is>
      </c>
      <c r="C2855" s="6" t="inlineStr">
        <is>
          <t>2026_CERWI_143366_1</t>
        </is>
      </c>
      <c r="D2855" s="7" t="inlineStr">
        <is>
          <t>[Construction of Bridge over Arjuni nallah on PWD road to Arjuni Road Road in the district of Bolangir under SBY for the year 2026-27 (Pile Foundation)]</t>
        </is>
      </c>
      <c r="E2855" s="7" t="inlineStr">
        <is>
          <t>Odisha Public Works &amp; Technology Department</t>
        </is>
      </c>
      <c r="F2855" s="6" t="inlineStr">
        <is>
          <t>29 Aug 2026</t>
        </is>
      </c>
      <c r="G2855" s="5" t="inlineStr">
        <is>
          <t>21 Sep 2026</t>
        </is>
      </c>
      <c r="H2855" s="8" t="inlineStr">
        <is>
          <t>⏳ UPCOMING</t>
        </is>
      </c>
      <c r="I2855" s="4" t="inlineStr">
        <is>
          <t>Tender_2026_CERWI_143366_1_All_Documents.zip</t>
        </is>
      </c>
      <c r="J2855" s="6" t="inlineStr">
        <is>
          <t>📦 ZIP Package</t>
        </is>
      </c>
      <c r="K2855" s="9" t="n">
        <v>11.6</v>
      </c>
      <c r="L2855" s="10">
        <f>HYPERLINK("http://127.0.0.1:8000/api/documents/download?id=1478&amp;attachment=true", "⬇ Download Tender_2026_CERWI_143366")</f>
        <v/>
      </c>
      <c r="M2855" s="10">
        <f>HYPERLINK("http://localhost:5173/?state=Odisha&amp;keyword=ICT&amp;tender=2026_CERWI_143366_1", "🚀 Open in Portal")</f>
        <v/>
      </c>
    </row>
    <row r="2856" ht="24" customHeight="1">
      <c r="A2856" s="11" t="inlineStr">
        <is>
          <t>Odisha</t>
        </is>
      </c>
      <c r="B2856" s="12" t="inlineStr">
        <is>
          <t>ICT</t>
        </is>
      </c>
      <c r="C2856" s="13" t="inlineStr">
        <is>
          <t>2026_CERWI_143367_1</t>
        </is>
      </c>
      <c r="D2856" s="14" t="inlineStr">
        <is>
          <t>[Construction of Bridge over Pilajore nallah on Mahakhanda PWD road to Jamki Road in the district of Bolangir under SBY for the year 2026-27 (Open Foundation)]</t>
        </is>
      </c>
      <c r="E2856" s="14" t="inlineStr">
        <is>
          <t>Odisha Public Works &amp; Technology Department</t>
        </is>
      </c>
      <c r="F2856" s="13" t="inlineStr">
        <is>
          <t>13 Aug 2026</t>
        </is>
      </c>
      <c r="G2856" s="12" t="inlineStr">
        <is>
          <t>04 Sep 2026</t>
        </is>
      </c>
      <c r="H2856" s="8" t="inlineStr">
        <is>
          <t>⏳ UPCOMING</t>
        </is>
      </c>
      <c r="I2856" s="11" t="inlineStr">
        <is>
          <t>Tendernotice_2.pdf</t>
        </is>
      </c>
      <c r="J2856" s="13" t="inlineStr">
        <is>
          <t>📕 PDF Document</t>
        </is>
      </c>
      <c r="K2856" s="15" t="n">
        <v>17.8</v>
      </c>
      <c r="L2856" s="16">
        <f>HYPERLINK("http://127.0.0.1:8000/api/documents/download?id=1473&amp;attachment=true", "⬇ Download Tendernotice_2.pdf")</f>
        <v/>
      </c>
      <c r="M2856" s="16">
        <f>HYPERLINK("http://localhost:5173/?state=Odisha&amp;keyword=ICT&amp;tender=2026_CERWI_143367_1", "🚀 Open in Portal")</f>
        <v/>
      </c>
    </row>
    <row r="2857" ht="24" customHeight="1">
      <c r="A2857" s="4" t="inlineStr">
        <is>
          <t>Odisha</t>
        </is>
      </c>
      <c r="B2857" s="5" t="inlineStr">
        <is>
          <t>ICT</t>
        </is>
      </c>
      <c r="C2857" s="6" t="inlineStr">
        <is>
          <t>2026_CERWI_143367_1</t>
        </is>
      </c>
      <c r="D2857" s="7" t="inlineStr">
        <is>
          <t>[Construction of Bridge over Pilajore nallah on Mahakhanda PWD road to Jamki Road in the district of Bolangir under SBY for the year 2026-27 (Open Foundation)]</t>
        </is>
      </c>
      <c r="E2857" s="7" t="inlineStr">
        <is>
          <t>Odisha Public Works &amp; Technology Department</t>
        </is>
      </c>
      <c r="F2857" s="6" t="inlineStr">
        <is>
          <t>13 Aug 2026</t>
        </is>
      </c>
      <c r="G2857" s="5" t="inlineStr">
        <is>
          <t>04 Sep 2026</t>
        </is>
      </c>
      <c r="H2857" s="8" t="inlineStr">
        <is>
          <t>⏳ UPCOMING</t>
        </is>
      </c>
      <c r="I2857" s="4" t="inlineStr">
        <is>
          <t>BOQ_613739.xls</t>
        </is>
      </c>
      <c r="J2857" s="6" t="inlineStr">
        <is>
          <t>📊 Excel BOQ</t>
        </is>
      </c>
      <c r="K2857" s="9" t="n">
        <v>2.5</v>
      </c>
      <c r="L2857" s="10">
        <f>HYPERLINK("http://127.0.0.1:8000/api/documents/download?id=1474&amp;attachment=true", "⬇ Download BOQ_613739.xls")</f>
        <v/>
      </c>
      <c r="M2857" s="10">
        <f>HYPERLINK("http://localhost:5173/?state=Odisha&amp;keyword=ICT&amp;tender=2026_CERWI_143367_1", "🚀 Open in Portal")</f>
        <v/>
      </c>
    </row>
    <row r="2858" ht="24" customHeight="1">
      <c r="A2858" s="11" t="inlineStr">
        <is>
          <t>Odisha</t>
        </is>
      </c>
      <c r="B2858" s="12" t="inlineStr">
        <is>
          <t>ICT</t>
        </is>
      </c>
      <c r="C2858" s="13" t="inlineStr">
        <is>
          <t>2026_CERWI_143367_1</t>
        </is>
      </c>
      <c r="D2858" s="14" t="inlineStr">
        <is>
          <t>[Construction of Bridge over Pilajore nallah on Mahakhanda PWD road to Jamki Road in the district of Bolangir under SBY for the year 2026-27 (Open Foundation)]</t>
        </is>
      </c>
      <c r="E2858" s="14" t="inlineStr">
        <is>
          <t>Odisha Public Works &amp; Technology Department</t>
        </is>
      </c>
      <c r="F2858" s="13" t="inlineStr">
        <is>
          <t>13 Aug 2026</t>
        </is>
      </c>
      <c r="G2858" s="12" t="inlineStr">
        <is>
          <t>04 Sep 2026</t>
        </is>
      </c>
      <c r="H2858" s="8" t="inlineStr">
        <is>
          <t>⏳ UPCOMING</t>
        </is>
      </c>
      <c r="I2858" s="11" t="inlineStr">
        <is>
          <t>Tender_2026_CERWI_143367_1_All_Documents.zip</t>
        </is>
      </c>
      <c r="J2858" s="13" t="inlineStr">
        <is>
          <t>📦 ZIP Package</t>
        </is>
      </c>
      <c r="K2858" s="15" t="n">
        <v>11.6</v>
      </c>
      <c r="L2858" s="16">
        <f>HYPERLINK("http://127.0.0.1:8000/api/documents/download?id=1475&amp;attachment=true", "⬇ Download Tender_2026_CERWI_143367")</f>
        <v/>
      </c>
      <c r="M2858" s="16">
        <f>HYPERLINK("http://localhost:5173/?state=Odisha&amp;keyword=ICT&amp;tender=2026_CERWI_143367_1", "🚀 Open in Portal")</f>
        <v/>
      </c>
    </row>
    <row r="2859" ht="24" customHeight="1">
      <c r="A2859" s="4" t="inlineStr">
        <is>
          <t>Odisha</t>
        </is>
      </c>
      <c r="B2859" s="5" t="inlineStr">
        <is>
          <t>ICT</t>
        </is>
      </c>
      <c r="C2859" s="6" t="inlineStr">
        <is>
          <t>2026_CERWI_143381_1</t>
        </is>
      </c>
      <c r="D2859" s="7" t="inlineStr">
        <is>
          <t>[Improvement to Duduka to Kutasingha via Rampur Bakti road in the district of Bolangir under MMSY- Improvement to Existing RD Road for the year 2025-26]</t>
        </is>
      </c>
      <c r="E2859" s="7" t="inlineStr">
        <is>
          <t>Odisha Public Works &amp; Technology Department</t>
        </is>
      </c>
      <c r="F2859" s="6" t="inlineStr">
        <is>
          <t>23 Aug 2026</t>
        </is>
      </c>
      <c r="G2859" s="5" t="inlineStr">
        <is>
          <t>17 Sep 2026</t>
        </is>
      </c>
      <c r="H2859" s="8" t="inlineStr">
        <is>
          <t>⏳ UPCOMING</t>
        </is>
      </c>
      <c r="I2859" s="4" t="inlineStr">
        <is>
          <t>Tendernotice_2.pdf</t>
        </is>
      </c>
      <c r="J2859" s="6" t="inlineStr">
        <is>
          <t>📕 PDF Document</t>
        </is>
      </c>
      <c r="K2859" s="9" t="n">
        <v>17.8</v>
      </c>
      <c r="L2859" s="10">
        <f>HYPERLINK("http://127.0.0.1:8000/api/documents/download?id=1458&amp;attachment=true", "⬇ Download Tendernotice_2.pdf")</f>
        <v/>
      </c>
      <c r="M2859" s="10">
        <f>HYPERLINK("http://localhost:5173/?state=Odisha&amp;keyword=ICT&amp;tender=2026_CERWI_143381_1", "🚀 Open in Portal")</f>
        <v/>
      </c>
    </row>
    <row r="2860" ht="24" customHeight="1">
      <c r="A2860" s="11" t="inlineStr">
        <is>
          <t>Odisha</t>
        </is>
      </c>
      <c r="B2860" s="12" t="inlineStr">
        <is>
          <t>ICT</t>
        </is>
      </c>
      <c r="C2860" s="13" t="inlineStr">
        <is>
          <t>2026_CERWI_143381_1</t>
        </is>
      </c>
      <c r="D2860" s="14" t="inlineStr">
        <is>
          <t>[Improvement to Duduka to Kutasingha via Rampur Bakti road in the district of Bolangir under MMSY- Improvement to Existing RD Road for the year 2025-26]</t>
        </is>
      </c>
      <c r="E2860" s="14" t="inlineStr">
        <is>
          <t>Odisha Public Works &amp; Technology Department</t>
        </is>
      </c>
      <c r="F2860" s="13" t="inlineStr">
        <is>
          <t>23 Aug 2026</t>
        </is>
      </c>
      <c r="G2860" s="12" t="inlineStr">
        <is>
          <t>17 Sep 2026</t>
        </is>
      </c>
      <c r="H2860" s="8" t="inlineStr">
        <is>
          <t>⏳ UPCOMING</t>
        </is>
      </c>
      <c r="I2860" s="11" t="inlineStr">
        <is>
          <t>BOQ_613758.xls</t>
        </is>
      </c>
      <c r="J2860" s="13" t="inlineStr">
        <is>
          <t>📊 Excel BOQ</t>
        </is>
      </c>
      <c r="K2860" s="15" t="n">
        <v>2.5</v>
      </c>
      <c r="L2860" s="16">
        <f>HYPERLINK("http://127.0.0.1:8000/api/documents/download?id=1459&amp;attachment=true", "⬇ Download BOQ_613758.xls")</f>
        <v/>
      </c>
      <c r="M2860" s="16">
        <f>HYPERLINK("http://localhost:5173/?state=Odisha&amp;keyword=ICT&amp;tender=2026_CERWI_143381_1", "🚀 Open in Portal")</f>
        <v/>
      </c>
    </row>
    <row r="2861" ht="24" customHeight="1">
      <c r="A2861" s="4" t="inlineStr">
        <is>
          <t>Odisha</t>
        </is>
      </c>
      <c r="B2861" s="5" t="inlineStr">
        <is>
          <t>ICT</t>
        </is>
      </c>
      <c r="C2861" s="6" t="inlineStr">
        <is>
          <t>2026_CERWI_143381_1</t>
        </is>
      </c>
      <c r="D2861" s="7" t="inlineStr">
        <is>
          <t>[Improvement to Duduka to Kutasingha via Rampur Bakti road in the district of Bolangir under MMSY- Improvement to Existing RD Road for the year 2025-26]</t>
        </is>
      </c>
      <c r="E2861" s="7" t="inlineStr">
        <is>
          <t>Odisha Public Works &amp; Technology Department</t>
        </is>
      </c>
      <c r="F2861" s="6" t="inlineStr">
        <is>
          <t>23 Aug 2026</t>
        </is>
      </c>
      <c r="G2861" s="5" t="inlineStr">
        <is>
          <t>17 Sep 2026</t>
        </is>
      </c>
      <c r="H2861" s="8" t="inlineStr">
        <is>
          <t>⏳ UPCOMING</t>
        </is>
      </c>
      <c r="I2861" s="4" t="inlineStr">
        <is>
          <t>Tender_2026_CERWI_143381_1_All_Documents.zip</t>
        </is>
      </c>
      <c r="J2861" s="6" t="inlineStr">
        <is>
          <t>📦 ZIP Package</t>
        </is>
      </c>
      <c r="K2861" s="9" t="n">
        <v>11.6</v>
      </c>
      <c r="L2861" s="10">
        <f>HYPERLINK("http://127.0.0.1:8000/api/documents/download?id=1460&amp;attachment=true", "⬇ Download Tender_2026_CERWI_143381")</f>
        <v/>
      </c>
      <c r="M2861" s="10">
        <f>HYPERLINK("http://localhost:5173/?state=Odisha&amp;keyword=ICT&amp;tender=2026_CERWI_143381_1", "🚀 Open in Portal")</f>
        <v/>
      </c>
    </row>
    <row r="2862" ht="24" customHeight="1">
      <c r="A2862" s="11" t="inlineStr">
        <is>
          <t>Odisha</t>
        </is>
      </c>
      <c r="B2862" s="12" t="inlineStr">
        <is>
          <t>ICT</t>
        </is>
      </c>
      <c r="C2862" s="13" t="inlineStr">
        <is>
          <t>2026_CERWI_143384_1</t>
        </is>
      </c>
      <c r="D2862" s="14" t="inlineStr">
        <is>
          <t>[Construction of Dangartal to Kurenbahali Road in the district of Bolangir under MMSY- Unconnected Habitations including Bridge for the year 2026-27 (Open Foundation)]</t>
        </is>
      </c>
      <c r="E2862" s="14" t="inlineStr">
        <is>
          <t>Odisha Public Works &amp; Technology Department</t>
        </is>
      </c>
      <c r="F2862" s="13" t="inlineStr">
        <is>
          <t>28 Jul 2026</t>
        </is>
      </c>
      <c r="G2862" s="12" t="inlineStr">
        <is>
          <t>24 Aug 2026</t>
        </is>
      </c>
      <c r="H2862" s="8" t="inlineStr">
        <is>
          <t>⏳ UPCOMING</t>
        </is>
      </c>
      <c r="I2862" s="11" t="inlineStr">
        <is>
          <t>Tendernotice_2.pdf</t>
        </is>
      </c>
      <c r="J2862" s="13" t="inlineStr">
        <is>
          <t>📕 PDF Document</t>
        </is>
      </c>
      <c r="K2862" s="15" t="n">
        <v>17.8</v>
      </c>
      <c r="L2862" s="16">
        <f>HYPERLINK("http://127.0.0.1:8000/api/documents/download?id=1455&amp;attachment=true", "⬇ Download Tendernotice_2.pdf")</f>
        <v/>
      </c>
      <c r="M2862" s="16">
        <f>HYPERLINK("http://localhost:5173/?state=Odisha&amp;keyword=ICT&amp;tender=2026_CERWI_143384_1", "🚀 Open in Portal")</f>
        <v/>
      </c>
    </row>
    <row r="2863" ht="24" customHeight="1">
      <c r="A2863" s="4" t="inlineStr">
        <is>
          <t>Odisha</t>
        </is>
      </c>
      <c r="B2863" s="5" t="inlineStr">
        <is>
          <t>ICT</t>
        </is>
      </c>
      <c r="C2863" s="6" t="inlineStr">
        <is>
          <t>2026_CERWI_143384_1</t>
        </is>
      </c>
      <c r="D2863" s="7" t="inlineStr">
        <is>
          <t>[Construction of Dangartal to Kurenbahali Road in the district of Bolangir under MMSY- Unconnected Habitations including Bridge for the year 2026-27 (Open Foundation)]</t>
        </is>
      </c>
      <c r="E2863" s="7" t="inlineStr">
        <is>
          <t>Odisha Public Works &amp; Technology Department</t>
        </is>
      </c>
      <c r="F2863" s="6" t="inlineStr">
        <is>
          <t>28 Jul 2026</t>
        </is>
      </c>
      <c r="G2863" s="5" t="inlineStr">
        <is>
          <t>24 Aug 2026</t>
        </is>
      </c>
      <c r="H2863" s="8" t="inlineStr">
        <is>
          <t>⏳ UPCOMING</t>
        </is>
      </c>
      <c r="I2863" s="4" t="inlineStr">
        <is>
          <t>BOQ_613762.xls</t>
        </is>
      </c>
      <c r="J2863" s="6" t="inlineStr">
        <is>
          <t>📊 Excel BOQ</t>
        </is>
      </c>
      <c r="K2863" s="9" t="n">
        <v>2.5</v>
      </c>
      <c r="L2863" s="10">
        <f>HYPERLINK("http://127.0.0.1:8000/api/documents/download?id=1456&amp;attachment=true", "⬇ Download BOQ_613762.xls")</f>
        <v/>
      </c>
      <c r="M2863" s="10">
        <f>HYPERLINK("http://localhost:5173/?state=Odisha&amp;keyword=ICT&amp;tender=2026_CERWI_143384_1", "🚀 Open in Portal")</f>
        <v/>
      </c>
    </row>
    <row r="2864" ht="24" customHeight="1">
      <c r="A2864" s="11" t="inlineStr">
        <is>
          <t>Odisha</t>
        </is>
      </c>
      <c r="B2864" s="12" t="inlineStr">
        <is>
          <t>ICT</t>
        </is>
      </c>
      <c r="C2864" s="13" t="inlineStr">
        <is>
          <t>2026_CERWI_143384_1</t>
        </is>
      </c>
      <c r="D2864" s="14" t="inlineStr">
        <is>
          <t>[Construction of Dangartal to Kurenbahali Road in the district of Bolangir under MMSY- Unconnected Habitations including Bridge for the year 2026-27 (Open Foundation)]</t>
        </is>
      </c>
      <c r="E2864" s="14" t="inlineStr">
        <is>
          <t>Odisha Public Works &amp; Technology Department</t>
        </is>
      </c>
      <c r="F2864" s="13" t="inlineStr">
        <is>
          <t>28 Jul 2026</t>
        </is>
      </c>
      <c r="G2864" s="12" t="inlineStr">
        <is>
          <t>24 Aug 2026</t>
        </is>
      </c>
      <c r="H2864" s="8" t="inlineStr">
        <is>
          <t>⏳ UPCOMING</t>
        </is>
      </c>
      <c r="I2864" s="11" t="inlineStr">
        <is>
          <t>Tender_2026_CERWI_143384_1_All_Documents.zip</t>
        </is>
      </c>
      <c r="J2864" s="13" t="inlineStr">
        <is>
          <t>📦 ZIP Package</t>
        </is>
      </c>
      <c r="K2864" s="15" t="n">
        <v>11.6</v>
      </c>
      <c r="L2864" s="16">
        <f>HYPERLINK("http://127.0.0.1:8000/api/documents/download?id=1457&amp;attachment=true", "⬇ Download Tender_2026_CERWI_143384")</f>
        <v/>
      </c>
      <c r="M2864" s="16">
        <f>HYPERLINK("http://localhost:5173/?state=Odisha&amp;keyword=ICT&amp;tender=2026_CERWI_143384_1", "🚀 Open in Portal")</f>
        <v/>
      </c>
    </row>
    <row r="2865" ht="24" customHeight="1">
      <c r="A2865" s="4" t="inlineStr">
        <is>
          <t>Odisha</t>
        </is>
      </c>
      <c r="B2865" s="5" t="inlineStr">
        <is>
          <t>ICT</t>
        </is>
      </c>
      <c r="C2865" s="6" t="inlineStr">
        <is>
          <t>2026_CERWI_143390_1</t>
        </is>
      </c>
      <c r="D2865" s="7" t="inlineStr">
        <is>
          <t>[Improvement to Canal road to Adakasa Road in the district of Subarnapur under MMSY- Improvement to Existing RD Road for the year 2026-27]</t>
        </is>
      </c>
      <c r="E2865" s="7" t="inlineStr">
        <is>
          <t>Odisha Public Works &amp; Technology Department</t>
        </is>
      </c>
      <c r="F2865" s="6" t="inlineStr">
        <is>
          <t>26 Oct 2026</t>
        </is>
      </c>
      <c r="G2865" s="5" t="inlineStr">
        <is>
          <t>16 Nov 2026</t>
        </is>
      </c>
      <c r="H2865" s="8" t="inlineStr">
        <is>
          <t>⏳ UPCOMING</t>
        </is>
      </c>
      <c r="I2865" s="4" t="inlineStr">
        <is>
          <t>Tendernotice_2.pdf</t>
        </is>
      </c>
      <c r="J2865" s="6" t="inlineStr">
        <is>
          <t>📕 PDF Document</t>
        </is>
      </c>
      <c r="K2865" s="9" t="n">
        <v>17.8</v>
      </c>
      <c r="L2865" s="10">
        <f>HYPERLINK("http://127.0.0.1:8000/api/documents/download?id=1446&amp;attachment=true", "⬇ Download Tendernotice_2.pdf")</f>
        <v/>
      </c>
      <c r="M2865" s="10">
        <f>HYPERLINK("http://localhost:5173/?state=Odisha&amp;keyword=ICT&amp;tender=2026_CERWI_143390_1", "🚀 Open in Portal")</f>
        <v/>
      </c>
    </row>
    <row r="2866" ht="24" customHeight="1">
      <c r="A2866" s="11" t="inlineStr">
        <is>
          <t>Odisha</t>
        </is>
      </c>
      <c r="B2866" s="12" t="inlineStr">
        <is>
          <t>ICT</t>
        </is>
      </c>
      <c r="C2866" s="13" t="inlineStr">
        <is>
          <t>2026_CERWI_143390_1</t>
        </is>
      </c>
      <c r="D2866" s="14" t="inlineStr">
        <is>
          <t>[Improvement to Canal road to Adakasa Road in the district of Subarnapur under MMSY- Improvement to Existing RD Road for the year 2026-27]</t>
        </is>
      </c>
      <c r="E2866" s="14" t="inlineStr">
        <is>
          <t>Odisha Public Works &amp; Technology Department</t>
        </is>
      </c>
      <c r="F2866" s="13" t="inlineStr">
        <is>
          <t>26 Oct 2026</t>
        </is>
      </c>
      <c r="G2866" s="12" t="inlineStr">
        <is>
          <t>16 Nov 2026</t>
        </is>
      </c>
      <c r="H2866" s="8" t="inlineStr">
        <is>
          <t>⏳ UPCOMING</t>
        </is>
      </c>
      <c r="I2866" s="11" t="inlineStr">
        <is>
          <t>BOQ_613771.xls</t>
        </is>
      </c>
      <c r="J2866" s="13" t="inlineStr">
        <is>
          <t>📊 Excel BOQ</t>
        </is>
      </c>
      <c r="K2866" s="15" t="n">
        <v>2.5</v>
      </c>
      <c r="L2866" s="16">
        <f>HYPERLINK("http://127.0.0.1:8000/api/documents/download?id=1447&amp;attachment=true", "⬇ Download BOQ_613771.xls")</f>
        <v/>
      </c>
      <c r="M2866" s="16">
        <f>HYPERLINK("http://localhost:5173/?state=Odisha&amp;keyword=ICT&amp;tender=2026_CERWI_143390_1", "🚀 Open in Portal")</f>
        <v/>
      </c>
    </row>
    <row r="2867" ht="24" customHeight="1">
      <c r="A2867" s="4" t="inlineStr">
        <is>
          <t>Odisha</t>
        </is>
      </c>
      <c r="B2867" s="5" t="inlineStr">
        <is>
          <t>ICT</t>
        </is>
      </c>
      <c r="C2867" s="6" t="inlineStr">
        <is>
          <t>2026_CERWI_143390_1</t>
        </is>
      </c>
      <c r="D2867" s="7" t="inlineStr">
        <is>
          <t>[Improvement to Canal road to Adakasa Road in the district of Subarnapur under MMSY- Improvement to Existing RD Road for the year 2026-27]</t>
        </is>
      </c>
      <c r="E2867" s="7" t="inlineStr">
        <is>
          <t>Odisha Public Works &amp; Technology Department</t>
        </is>
      </c>
      <c r="F2867" s="6" t="inlineStr">
        <is>
          <t>26 Oct 2026</t>
        </is>
      </c>
      <c r="G2867" s="5" t="inlineStr">
        <is>
          <t>16 Nov 2026</t>
        </is>
      </c>
      <c r="H2867" s="8" t="inlineStr">
        <is>
          <t>⏳ UPCOMING</t>
        </is>
      </c>
      <c r="I2867" s="4" t="inlineStr">
        <is>
          <t>Tender_2026_CERWI_143390_1_All_Documents.zip</t>
        </is>
      </c>
      <c r="J2867" s="6" t="inlineStr">
        <is>
          <t>📦 ZIP Package</t>
        </is>
      </c>
      <c r="K2867" s="9" t="n">
        <v>11.6</v>
      </c>
      <c r="L2867" s="10">
        <f>HYPERLINK("http://127.0.0.1:8000/api/documents/download?id=1448&amp;attachment=true", "⬇ Download Tender_2026_CERWI_143390")</f>
        <v/>
      </c>
      <c r="M2867" s="10">
        <f>HYPERLINK("http://localhost:5173/?state=Odisha&amp;keyword=ICT&amp;tender=2026_CERWI_143390_1", "🚀 Open in Portal")</f>
        <v/>
      </c>
    </row>
    <row r="2868" ht="24" customHeight="1">
      <c r="A2868" s="11" t="inlineStr">
        <is>
          <t>Odisha</t>
        </is>
      </c>
      <c r="B2868" s="12" t="inlineStr">
        <is>
          <t>ICT</t>
        </is>
      </c>
      <c r="C2868" s="13" t="inlineStr">
        <is>
          <t>2026_CERWI_143404_1</t>
        </is>
      </c>
      <c r="D2868" s="14" t="inlineStr">
        <is>
          <t>[Construction of Hatlimunda to Bhaludunguri via Bishalpali Road in the district of Subarnapur including Bridge under TRIP for the year 2026-27 (Open Foundation)]</t>
        </is>
      </c>
      <c r="E2868" s="14" t="inlineStr">
        <is>
          <t>Odisha Public Works &amp; Technology Department</t>
        </is>
      </c>
      <c r="F2868" s="13" t="inlineStr">
        <is>
          <t>08 Sep 2026</t>
        </is>
      </c>
      <c r="G2868" s="12" t="inlineStr">
        <is>
          <t>01 Oct 2026</t>
        </is>
      </c>
      <c r="H2868" s="8" t="inlineStr">
        <is>
          <t>⏳ UPCOMING</t>
        </is>
      </c>
      <c r="I2868" s="11" t="inlineStr">
        <is>
          <t>Tendernotice_2.pdf</t>
        </is>
      </c>
      <c r="J2868" s="13" t="inlineStr">
        <is>
          <t>📕 PDF Document</t>
        </is>
      </c>
      <c r="K2868" s="15" t="n">
        <v>17.8</v>
      </c>
      <c r="L2868" s="16">
        <f>HYPERLINK("http://127.0.0.1:8000/api/documents/download?id=1437&amp;attachment=true", "⬇ Download Tendernotice_2.pdf")</f>
        <v/>
      </c>
      <c r="M2868" s="16">
        <f>HYPERLINK("http://localhost:5173/?state=Odisha&amp;keyword=ICT&amp;tender=2026_CERWI_143404_1", "🚀 Open in Portal")</f>
        <v/>
      </c>
    </row>
    <row r="2869" ht="24" customHeight="1">
      <c r="A2869" s="4" t="inlineStr">
        <is>
          <t>Odisha</t>
        </is>
      </c>
      <c r="B2869" s="5" t="inlineStr">
        <is>
          <t>ICT</t>
        </is>
      </c>
      <c r="C2869" s="6" t="inlineStr">
        <is>
          <t>2026_CERWI_143404_1</t>
        </is>
      </c>
      <c r="D2869" s="7" t="inlineStr">
        <is>
          <t>[Construction of Hatlimunda to Bhaludunguri via Bishalpali Road in the district of Subarnapur including Bridge under TRIP for the year 2026-27 (Open Foundation)]</t>
        </is>
      </c>
      <c r="E2869" s="7" t="inlineStr">
        <is>
          <t>Odisha Public Works &amp; Technology Department</t>
        </is>
      </c>
      <c r="F2869" s="6" t="inlineStr">
        <is>
          <t>08 Sep 2026</t>
        </is>
      </c>
      <c r="G2869" s="5" t="inlineStr">
        <is>
          <t>01 Oct 2026</t>
        </is>
      </c>
      <c r="H2869" s="8" t="inlineStr">
        <is>
          <t>⏳ UPCOMING</t>
        </is>
      </c>
      <c r="I2869" s="4" t="inlineStr">
        <is>
          <t>BOQ_613787.xls</t>
        </is>
      </c>
      <c r="J2869" s="6" t="inlineStr">
        <is>
          <t>📊 Excel BOQ</t>
        </is>
      </c>
      <c r="K2869" s="9" t="n">
        <v>2.5</v>
      </c>
      <c r="L2869" s="10">
        <f>HYPERLINK("http://127.0.0.1:8000/api/documents/download?id=1438&amp;attachment=true", "⬇ Download BOQ_613787.xls")</f>
        <v/>
      </c>
      <c r="M2869" s="10">
        <f>HYPERLINK("http://localhost:5173/?state=Odisha&amp;keyword=ICT&amp;tender=2026_CERWI_143404_1", "🚀 Open in Portal")</f>
        <v/>
      </c>
    </row>
    <row r="2870" ht="24" customHeight="1">
      <c r="A2870" s="11" t="inlineStr">
        <is>
          <t>Odisha</t>
        </is>
      </c>
      <c r="B2870" s="12" t="inlineStr">
        <is>
          <t>ICT</t>
        </is>
      </c>
      <c r="C2870" s="13" t="inlineStr">
        <is>
          <t>2026_CERWI_143404_1</t>
        </is>
      </c>
      <c r="D2870" s="14" t="inlineStr">
        <is>
          <t>[Construction of Hatlimunda to Bhaludunguri via Bishalpali Road in the district of Subarnapur including Bridge under TRIP for the year 2026-27 (Open Foundation)]</t>
        </is>
      </c>
      <c r="E2870" s="14" t="inlineStr">
        <is>
          <t>Odisha Public Works &amp; Technology Department</t>
        </is>
      </c>
      <c r="F2870" s="13" t="inlineStr">
        <is>
          <t>08 Sep 2026</t>
        </is>
      </c>
      <c r="G2870" s="12" t="inlineStr">
        <is>
          <t>01 Oct 2026</t>
        </is>
      </c>
      <c r="H2870" s="8" t="inlineStr">
        <is>
          <t>⏳ UPCOMING</t>
        </is>
      </c>
      <c r="I2870" s="11" t="inlineStr">
        <is>
          <t>Tender_2026_CERWI_143404_1_All_Documents.zip</t>
        </is>
      </c>
      <c r="J2870" s="13" t="inlineStr">
        <is>
          <t>📦 ZIP Package</t>
        </is>
      </c>
      <c r="K2870" s="15" t="n">
        <v>11.6</v>
      </c>
      <c r="L2870" s="16">
        <f>HYPERLINK("http://127.0.0.1:8000/api/documents/download?id=1439&amp;attachment=true", "⬇ Download Tender_2026_CERWI_143404")</f>
        <v/>
      </c>
      <c r="M2870" s="16">
        <f>HYPERLINK("http://localhost:5173/?state=Odisha&amp;keyword=ICT&amp;tender=2026_CERWI_143404_1", "🚀 Open in Portal")</f>
        <v/>
      </c>
    </row>
    <row r="2871" ht="24" customHeight="1">
      <c r="A2871" s="4" t="inlineStr">
        <is>
          <t>Odisha</t>
        </is>
      </c>
      <c r="B2871" s="5" t="inlineStr">
        <is>
          <t>ICT</t>
        </is>
      </c>
      <c r="C2871" s="6" t="inlineStr">
        <is>
          <t>2026_CERWI_143409_1</t>
        </is>
      </c>
      <c r="D2871" s="7" t="inlineStr">
        <is>
          <t>[Construction of Samarsingh to Pakhanmunda via Mandala Road including Bridge in the district of Bolangir under MMSY for the year 2026-27 (Open Foundation)]</t>
        </is>
      </c>
      <c r="E2871" s="7" t="inlineStr">
        <is>
          <t>Odisha Public Works &amp; Technology Department</t>
        </is>
      </c>
      <c r="F2871" s="6" t="inlineStr">
        <is>
          <t>06 Aug 2026</t>
        </is>
      </c>
      <c r="G2871" s="5" t="inlineStr">
        <is>
          <t>27 Aug 2026</t>
        </is>
      </c>
      <c r="H2871" s="8" t="inlineStr">
        <is>
          <t>⏳ UPCOMING</t>
        </is>
      </c>
      <c r="I2871" s="4" t="inlineStr">
        <is>
          <t>Tendernotice_2.pdf</t>
        </is>
      </c>
      <c r="J2871" s="6" t="inlineStr">
        <is>
          <t>📕 PDF Document</t>
        </is>
      </c>
      <c r="K2871" s="9" t="n">
        <v>17.8</v>
      </c>
      <c r="L2871" s="10">
        <f>HYPERLINK("http://127.0.0.1:8000/api/documents/download?id=1443&amp;attachment=true", "⬇ Download Tendernotice_2.pdf")</f>
        <v/>
      </c>
      <c r="M2871" s="10">
        <f>HYPERLINK("http://localhost:5173/?state=Odisha&amp;keyword=ICT&amp;tender=2026_CERWI_143409_1", "🚀 Open in Portal")</f>
        <v/>
      </c>
    </row>
    <row r="2872" ht="24" customHeight="1">
      <c r="A2872" s="11" t="inlineStr">
        <is>
          <t>Odisha</t>
        </is>
      </c>
      <c r="B2872" s="12" t="inlineStr">
        <is>
          <t>ICT</t>
        </is>
      </c>
      <c r="C2872" s="13" t="inlineStr">
        <is>
          <t>2026_CERWI_143409_1</t>
        </is>
      </c>
      <c r="D2872" s="14" t="inlineStr">
        <is>
          <t>[Construction of Samarsingh to Pakhanmunda via Mandala Road including Bridge in the district of Bolangir under MMSY for the year 2026-27 (Open Foundation)]</t>
        </is>
      </c>
      <c r="E2872" s="14" t="inlineStr">
        <is>
          <t>Odisha Public Works &amp; Technology Department</t>
        </is>
      </c>
      <c r="F2872" s="13" t="inlineStr">
        <is>
          <t>06 Aug 2026</t>
        </is>
      </c>
      <c r="G2872" s="12" t="inlineStr">
        <is>
          <t>27 Aug 2026</t>
        </is>
      </c>
      <c r="H2872" s="8" t="inlineStr">
        <is>
          <t>⏳ UPCOMING</t>
        </is>
      </c>
      <c r="I2872" s="11" t="inlineStr">
        <is>
          <t>BOQ_613793.xls</t>
        </is>
      </c>
      <c r="J2872" s="13" t="inlineStr">
        <is>
          <t>📊 Excel BOQ</t>
        </is>
      </c>
      <c r="K2872" s="15" t="n">
        <v>2.5</v>
      </c>
      <c r="L2872" s="16">
        <f>HYPERLINK("http://127.0.0.1:8000/api/documents/download?id=1444&amp;attachment=true", "⬇ Download BOQ_613793.xls")</f>
        <v/>
      </c>
      <c r="M2872" s="16">
        <f>HYPERLINK("http://localhost:5173/?state=Odisha&amp;keyword=ICT&amp;tender=2026_CERWI_143409_1", "🚀 Open in Portal")</f>
        <v/>
      </c>
    </row>
    <row r="2873" ht="24" customHeight="1">
      <c r="A2873" s="4" t="inlineStr">
        <is>
          <t>Odisha</t>
        </is>
      </c>
      <c r="B2873" s="5" t="inlineStr">
        <is>
          <t>ICT</t>
        </is>
      </c>
      <c r="C2873" s="6" t="inlineStr">
        <is>
          <t>2026_CERWI_143409_1</t>
        </is>
      </c>
      <c r="D2873" s="7" t="inlineStr">
        <is>
          <t>[Construction of Samarsingh to Pakhanmunda via Mandala Road including Bridge in the district of Bolangir under MMSY for the year 2026-27 (Open Foundation)]</t>
        </is>
      </c>
      <c r="E2873" s="7" t="inlineStr">
        <is>
          <t>Odisha Public Works &amp; Technology Department</t>
        </is>
      </c>
      <c r="F2873" s="6" t="inlineStr">
        <is>
          <t>06 Aug 2026</t>
        </is>
      </c>
      <c r="G2873" s="5" t="inlineStr">
        <is>
          <t>27 Aug 2026</t>
        </is>
      </c>
      <c r="H2873" s="8" t="inlineStr">
        <is>
          <t>⏳ UPCOMING</t>
        </is>
      </c>
      <c r="I2873" s="4" t="inlineStr">
        <is>
          <t>Tender_2026_CERWI_143409_1_All_Documents.zip</t>
        </is>
      </c>
      <c r="J2873" s="6" t="inlineStr">
        <is>
          <t>📦 ZIP Package</t>
        </is>
      </c>
      <c r="K2873" s="9" t="n">
        <v>11.6</v>
      </c>
      <c r="L2873" s="10">
        <f>HYPERLINK("http://127.0.0.1:8000/api/documents/download?id=1445&amp;attachment=true", "⬇ Download Tender_2026_CERWI_143409")</f>
        <v/>
      </c>
      <c r="M2873" s="10">
        <f>HYPERLINK("http://localhost:5173/?state=Odisha&amp;keyword=ICT&amp;tender=2026_CERWI_143409_1", "🚀 Open in Portal")</f>
        <v/>
      </c>
    </row>
    <row r="2874" ht="24" customHeight="1">
      <c r="A2874" s="11" t="inlineStr">
        <is>
          <t>Odisha</t>
        </is>
      </c>
      <c r="B2874" s="12" t="inlineStr">
        <is>
          <t>ICT</t>
        </is>
      </c>
      <c r="C2874" s="13" t="inlineStr">
        <is>
          <t>2026_CERWI_143411_1</t>
        </is>
      </c>
      <c r="D2874" s="14" t="inlineStr">
        <is>
          <t>[Construction of Dakhinipali to to Dakhinipali Jungle Road including Bridge in the district of Subarnapur under MMSY for the year 2026-27 (Open Foundation)]</t>
        </is>
      </c>
      <c r="E2874" s="14" t="inlineStr">
        <is>
          <t>Odisha Public Works &amp; Technology Department</t>
        </is>
      </c>
      <c r="F2874" s="13" t="inlineStr">
        <is>
          <t>07 Oct 2026</t>
        </is>
      </c>
      <c r="G2874" s="12" t="inlineStr">
        <is>
          <t>26 Oct 2026</t>
        </is>
      </c>
      <c r="H2874" s="17" t="inlineStr">
        <is>
          <t>🟢 LIVE ACTIVE</t>
        </is>
      </c>
      <c r="I2874" s="11" t="inlineStr">
        <is>
          <t>Tendernotice_2.pdf</t>
        </is>
      </c>
      <c r="J2874" s="13" t="inlineStr">
        <is>
          <t>📕 PDF Document</t>
        </is>
      </c>
      <c r="K2874" s="15" t="n">
        <v>17.8</v>
      </c>
      <c r="L2874" s="16">
        <f>HYPERLINK("http://127.0.0.1:8000/api/documents/download?id=1440&amp;attachment=true", "⬇ Download Tendernotice_2.pdf")</f>
        <v/>
      </c>
      <c r="M2874" s="16">
        <f>HYPERLINK("http://localhost:5173/?state=Odisha&amp;keyword=ICT&amp;tender=2026_CERWI_143411_1", "🚀 Open in Portal")</f>
        <v/>
      </c>
    </row>
    <row r="2875" ht="24" customHeight="1">
      <c r="A2875" s="4" t="inlineStr">
        <is>
          <t>Odisha</t>
        </is>
      </c>
      <c r="B2875" s="5" t="inlineStr">
        <is>
          <t>ICT</t>
        </is>
      </c>
      <c r="C2875" s="6" t="inlineStr">
        <is>
          <t>2026_CERWI_143411_1</t>
        </is>
      </c>
      <c r="D2875" s="7" t="inlineStr">
        <is>
          <t>[Construction of Dakhinipali to to Dakhinipali Jungle Road including Bridge in the district of Subarnapur under MMSY for the year 2026-27 (Open Foundation)]</t>
        </is>
      </c>
      <c r="E2875" s="7" t="inlineStr">
        <is>
          <t>Odisha Public Works &amp; Technology Department</t>
        </is>
      </c>
      <c r="F2875" s="6" t="inlineStr">
        <is>
          <t>07 Oct 2026</t>
        </is>
      </c>
      <c r="G2875" s="5" t="inlineStr">
        <is>
          <t>26 Oct 2026</t>
        </is>
      </c>
      <c r="H2875" s="17" t="inlineStr">
        <is>
          <t>🟢 LIVE ACTIVE</t>
        </is>
      </c>
      <c r="I2875" s="4" t="inlineStr">
        <is>
          <t>BOQ_613795.xls</t>
        </is>
      </c>
      <c r="J2875" s="6" t="inlineStr">
        <is>
          <t>📊 Excel BOQ</t>
        </is>
      </c>
      <c r="K2875" s="9" t="n">
        <v>2.5</v>
      </c>
      <c r="L2875" s="10">
        <f>HYPERLINK("http://127.0.0.1:8000/api/documents/download?id=1441&amp;attachment=true", "⬇ Download BOQ_613795.xls")</f>
        <v/>
      </c>
      <c r="M2875" s="10">
        <f>HYPERLINK("http://localhost:5173/?state=Odisha&amp;keyword=ICT&amp;tender=2026_CERWI_143411_1", "🚀 Open in Portal")</f>
        <v/>
      </c>
    </row>
    <row r="2876" ht="24" customHeight="1">
      <c r="A2876" s="11" t="inlineStr">
        <is>
          <t>Odisha</t>
        </is>
      </c>
      <c r="B2876" s="12" t="inlineStr">
        <is>
          <t>ICT</t>
        </is>
      </c>
      <c r="C2876" s="13" t="inlineStr">
        <is>
          <t>2026_CERWI_143411_1</t>
        </is>
      </c>
      <c r="D2876" s="14" t="inlineStr">
        <is>
          <t>[Construction of Dakhinipali to to Dakhinipali Jungle Road including Bridge in the district of Subarnapur under MMSY for the year 2026-27 (Open Foundation)]</t>
        </is>
      </c>
      <c r="E2876" s="14" t="inlineStr">
        <is>
          <t>Odisha Public Works &amp; Technology Department</t>
        </is>
      </c>
      <c r="F2876" s="13" t="inlineStr">
        <is>
          <t>07 Oct 2026</t>
        </is>
      </c>
      <c r="G2876" s="12" t="inlineStr">
        <is>
          <t>26 Oct 2026</t>
        </is>
      </c>
      <c r="H2876" s="17" t="inlineStr">
        <is>
          <t>🟢 LIVE ACTIVE</t>
        </is>
      </c>
      <c r="I2876" s="11" t="inlineStr">
        <is>
          <t>Tender_2026_CERWI_143411_1_All_Documents.zip</t>
        </is>
      </c>
      <c r="J2876" s="13" t="inlineStr">
        <is>
          <t>📦 ZIP Package</t>
        </is>
      </c>
      <c r="K2876" s="15" t="n">
        <v>11.6</v>
      </c>
      <c r="L2876" s="16">
        <f>HYPERLINK("http://127.0.0.1:8000/api/documents/download?id=1442&amp;attachment=true", "⬇ Download Tender_2026_CERWI_143411")</f>
        <v/>
      </c>
      <c r="M2876" s="16">
        <f>HYPERLINK("http://localhost:5173/?state=Odisha&amp;keyword=ICT&amp;tender=2026_CERWI_143411_1", "🚀 Open in Portal")</f>
        <v/>
      </c>
    </row>
    <row r="2877" ht="24" customHeight="1">
      <c r="A2877" s="4" t="inlineStr">
        <is>
          <t>Odisha</t>
        </is>
      </c>
      <c r="B2877" s="5" t="inlineStr">
        <is>
          <t>ICT</t>
        </is>
      </c>
      <c r="C2877" s="6" t="inlineStr">
        <is>
          <t>2026_EICCL_143345_1</t>
        </is>
      </c>
      <c r="D2877" s="7" t="inlineStr">
        <is>
          <t>[Construction of 450 Seated Multi Purpose Hall (MPH) at Odisha Adarsha Vidyalaya at Salapada under Anandapur Block in the district of Keonjhar for the year 2025-26.]</t>
        </is>
      </c>
      <c r="E2877" s="7" t="inlineStr">
        <is>
          <t>Odisha Public Works &amp; Technology Department</t>
        </is>
      </c>
      <c r="F2877" s="6" t="inlineStr">
        <is>
          <t>03 Sep 2026</t>
        </is>
      </c>
      <c r="G2877" s="5" t="inlineStr">
        <is>
          <t>24 Sep 2026</t>
        </is>
      </c>
      <c r="H2877" s="8" t="inlineStr">
        <is>
          <t>⏳ UPCOMING</t>
        </is>
      </c>
      <c r="I2877" s="4" t="inlineStr">
        <is>
          <t>Tendernotice_2.pdf</t>
        </is>
      </c>
      <c r="J2877" s="6" t="inlineStr">
        <is>
          <t>📕 PDF Document</t>
        </is>
      </c>
      <c r="K2877" s="9" t="n">
        <v>17.8</v>
      </c>
      <c r="L2877" s="10">
        <f>HYPERLINK("http://127.0.0.1:8000/api/documents/download?id=1449&amp;attachment=true", "⬇ Download Tendernotice_2.pdf")</f>
        <v/>
      </c>
      <c r="M2877" s="10">
        <f>HYPERLINK("http://localhost:5173/?state=Odisha&amp;keyword=ICT&amp;tender=2026_EICCL_143345_1", "🚀 Open in Portal")</f>
        <v/>
      </c>
    </row>
    <row r="2878" ht="24" customHeight="1">
      <c r="A2878" s="11" t="inlineStr">
        <is>
          <t>Odisha</t>
        </is>
      </c>
      <c r="B2878" s="12" t="inlineStr">
        <is>
          <t>ICT</t>
        </is>
      </c>
      <c r="C2878" s="13" t="inlineStr">
        <is>
          <t>2026_EICCL_143345_1</t>
        </is>
      </c>
      <c r="D2878" s="14" t="inlineStr">
        <is>
          <t>[Construction of 450 Seated Multi Purpose Hall (MPH) at Odisha Adarsha Vidyalaya at Salapada under Anandapur Block in the district of Keonjhar for the year 2025-26.]</t>
        </is>
      </c>
      <c r="E2878" s="14" t="inlineStr">
        <is>
          <t>Odisha Public Works &amp; Technology Department</t>
        </is>
      </c>
      <c r="F2878" s="13" t="inlineStr">
        <is>
          <t>03 Sep 2026</t>
        </is>
      </c>
      <c r="G2878" s="12" t="inlineStr">
        <is>
          <t>24 Sep 2026</t>
        </is>
      </c>
      <c r="H2878" s="8" t="inlineStr">
        <is>
          <t>⏳ UPCOMING</t>
        </is>
      </c>
      <c r="I2878" s="11" t="inlineStr">
        <is>
          <t>BOQ_613715.xls</t>
        </is>
      </c>
      <c r="J2878" s="13" t="inlineStr">
        <is>
          <t>📊 Excel BOQ</t>
        </is>
      </c>
      <c r="K2878" s="15" t="n">
        <v>2.5</v>
      </c>
      <c r="L2878" s="16">
        <f>HYPERLINK("http://127.0.0.1:8000/api/documents/download?id=1450&amp;attachment=true", "⬇ Download BOQ_613715.xls")</f>
        <v/>
      </c>
      <c r="M2878" s="16">
        <f>HYPERLINK("http://localhost:5173/?state=Odisha&amp;keyword=ICT&amp;tender=2026_EICCL_143345_1", "🚀 Open in Portal")</f>
        <v/>
      </c>
    </row>
    <row r="2879" ht="24" customHeight="1">
      <c r="A2879" s="4" t="inlineStr">
        <is>
          <t>Odisha</t>
        </is>
      </c>
      <c r="B2879" s="5" t="inlineStr">
        <is>
          <t>ICT</t>
        </is>
      </c>
      <c r="C2879" s="6" t="inlineStr">
        <is>
          <t>2026_EICCL_143345_1</t>
        </is>
      </c>
      <c r="D2879" s="7" t="inlineStr">
        <is>
          <t>[Construction of 450 Seated Multi Purpose Hall (MPH) at Odisha Adarsha Vidyalaya at Salapada under Anandapur Block in the district of Keonjhar for the year 2025-26.]</t>
        </is>
      </c>
      <c r="E2879" s="7" t="inlineStr">
        <is>
          <t>Odisha Public Works &amp; Technology Department</t>
        </is>
      </c>
      <c r="F2879" s="6" t="inlineStr">
        <is>
          <t>03 Sep 2026</t>
        </is>
      </c>
      <c r="G2879" s="5" t="inlineStr">
        <is>
          <t>24 Sep 2026</t>
        </is>
      </c>
      <c r="H2879" s="8" t="inlineStr">
        <is>
          <t>⏳ UPCOMING</t>
        </is>
      </c>
      <c r="I2879" s="4" t="inlineStr">
        <is>
          <t>Tender_2026_EICCL_143345_1_All_Documents.zip</t>
        </is>
      </c>
      <c r="J2879" s="6" t="inlineStr">
        <is>
          <t>📦 ZIP Package</t>
        </is>
      </c>
      <c r="K2879" s="9" t="n">
        <v>11.6</v>
      </c>
      <c r="L2879" s="10">
        <f>HYPERLINK("http://127.0.0.1:8000/api/documents/download?id=1451&amp;attachment=true", "⬇ Download Tender_2026_EICCL_143345")</f>
        <v/>
      </c>
      <c r="M2879" s="10">
        <f>HYPERLINK("http://localhost:5173/?state=Odisha&amp;keyword=ICT&amp;tender=2026_EICCL_143345_1", "🚀 Open in Portal")</f>
        <v/>
      </c>
    </row>
    <row r="2880" ht="24" customHeight="1">
      <c r="A2880" s="11" t="inlineStr">
        <is>
          <t>Odisha</t>
        </is>
      </c>
      <c r="B2880" s="12" t="inlineStr">
        <is>
          <t>ICT</t>
        </is>
      </c>
      <c r="C2880" s="13" t="inlineStr">
        <is>
          <t>2026_EICCL_143346_1</t>
        </is>
      </c>
      <c r="D2880" s="14" t="inlineStr">
        <is>
          <t>[Construction of 450 Seated Multi Purpose Hall (MPH) for Odisha Adarsha Vidyalaya at Harichandanpur under Harichandanpur Block in the district of Keonjhar for the year 2025-26.]</t>
        </is>
      </c>
      <c r="E2880" s="14" t="inlineStr">
        <is>
          <t>Odisha Public Works &amp; Technology Department</t>
        </is>
      </c>
      <c r="F2880" s="13" t="inlineStr">
        <is>
          <t>01 Oct 2026</t>
        </is>
      </c>
      <c r="G2880" s="12" t="inlineStr">
        <is>
          <t>16 Nov 2026</t>
        </is>
      </c>
      <c r="H2880" s="17" t="inlineStr">
        <is>
          <t>🟢 LIVE ACTIVE</t>
        </is>
      </c>
      <c r="I2880" s="11" t="inlineStr">
        <is>
          <t>Tendernotice_2.pdf</t>
        </is>
      </c>
      <c r="J2880" s="13" t="inlineStr">
        <is>
          <t>📕 PDF Document</t>
        </is>
      </c>
      <c r="K2880" s="15" t="n">
        <v>17.8</v>
      </c>
      <c r="L2880" s="16">
        <f>HYPERLINK("http://127.0.0.1:8000/api/documents/download?id=1452&amp;attachment=true", "⬇ Download Tendernotice_2.pdf")</f>
        <v/>
      </c>
      <c r="M2880" s="16">
        <f>HYPERLINK("http://localhost:5173/?state=Odisha&amp;keyword=ICT&amp;tender=2026_EICCL_143346_1", "🚀 Open in Portal")</f>
        <v/>
      </c>
    </row>
    <row r="2881" ht="24" customHeight="1">
      <c r="A2881" s="4" t="inlineStr">
        <is>
          <t>Odisha</t>
        </is>
      </c>
      <c r="B2881" s="5" t="inlineStr">
        <is>
          <t>ICT</t>
        </is>
      </c>
      <c r="C2881" s="6" t="inlineStr">
        <is>
          <t>2026_EICCL_143346_1</t>
        </is>
      </c>
      <c r="D2881" s="7" t="inlineStr">
        <is>
          <t>[Construction of 450 Seated Multi Purpose Hall (MPH) for Odisha Adarsha Vidyalaya at Harichandanpur under Harichandanpur Block in the district of Keonjhar for the year 2025-26.]</t>
        </is>
      </c>
      <c r="E2881" s="7" t="inlineStr">
        <is>
          <t>Odisha Public Works &amp; Technology Department</t>
        </is>
      </c>
      <c r="F2881" s="6" t="inlineStr">
        <is>
          <t>01 Oct 2026</t>
        </is>
      </c>
      <c r="G2881" s="5" t="inlineStr">
        <is>
          <t>16 Nov 2026</t>
        </is>
      </c>
      <c r="H2881" s="17" t="inlineStr">
        <is>
          <t>🟢 LIVE ACTIVE</t>
        </is>
      </c>
      <c r="I2881" s="4" t="inlineStr">
        <is>
          <t>BOQ_613716.xls</t>
        </is>
      </c>
      <c r="J2881" s="6" t="inlineStr">
        <is>
          <t>📊 Excel BOQ</t>
        </is>
      </c>
      <c r="K2881" s="9" t="n">
        <v>2.5</v>
      </c>
      <c r="L2881" s="10">
        <f>HYPERLINK("http://127.0.0.1:8000/api/documents/download?id=1453&amp;attachment=true", "⬇ Download BOQ_613716.xls")</f>
        <v/>
      </c>
      <c r="M2881" s="10">
        <f>HYPERLINK("http://localhost:5173/?state=Odisha&amp;keyword=ICT&amp;tender=2026_EICCL_143346_1", "🚀 Open in Portal")</f>
        <v/>
      </c>
    </row>
    <row r="2882" ht="24" customHeight="1">
      <c r="A2882" s="11" t="inlineStr">
        <is>
          <t>Odisha</t>
        </is>
      </c>
      <c r="B2882" s="12" t="inlineStr">
        <is>
          <t>ICT</t>
        </is>
      </c>
      <c r="C2882" s="13" t="inlineStr">
        <is>
          <t>2026_EICCL_143346_1</t>
        </is>
      </c>
      <c r="D2882" s="14" t="inlineStr">
        <is>
          <t>[Construction of 450 Seated Multi Purpose Hall (MPH) for Odisha Adarsha Vidyalaya at Harichandanpur under Harichandanpur Block in the district of Keonjhar for the year 2025-26.]</t>
        </is>
      </c>
      <c r="E2882" s="14" t="inlineStr">
        <is>
          <t>Odisha Public Works &amp; Technology Department</t>
        </is>
      </c>
      <c r="F2882" s="13" t="inlineStr">
        <is>
          <t>01 Oct 2026</t>
        </is>
      </c>
      <c r="G2882" s="12" t="inlineStr">
        <is>
          <t>16 Nov 2026</t>
        </is>
      </c>
      <c r="H2882" s="17" t="inlineStr">
        <is>
          <t>🟢 LIVE ACTIVE</t>
        </is>
      </c>
      <c r="I2882" s="11" t="inlineStr">
        <is>
          <t>Tender_2026_EICCL_143346_1_All_Documents.zip</t>
        </is>
      </c>
      <c r="J2882" s="13" t="inlineStr">
        <is>
          <t>📦 ZIP Package</t>
        </is>
      </c>
      <c r="K2882" s="15" t="n">
        <v>11.6</v>
      </c>
      <c r="L2882" s="16">
        <f>HYPERLINK("http://127.0.0.1:8000/api/documents/download?id=1454&amp;attachment=true", "⬇ Download Tender_2026_EICCL_143346")</f>
        <v/>
      </c>
      <c r="M2882" s="16">
        <f>HYPERLINK("http://localhost:5173/?state=Odisha&amp;keyword=ICT&amp;tender=2026_EICCL_143346_1", "🚀 Open in Portal")</f>
        <v/>
      </c>
    </row>
    <row r="2883" ht="24" customHeight="1">
      <c r="A2883" s="4" t="inlineStr">
        <is>
          <t>Odisha</t>
        </is>
      </c>
      <c r="B2883" s="5" t="inlineStr">
        <is>
          <t>ICT</t>
        </is>
      </c>
      <c r="C2883" s="6" t="inlineStr">
        <is>
          <t>2026_EICCL_143347_1</t>
        </is>
      </c>
      <c r="D2883" s="7" t="inlineStr">
        <is>
          <t>[Construction of Tahasil Office building at Badabil in the District of Kendujhar Buildings.]</t>
        </is>
      </c>
      <c r="E2883" s="7" t="inlineStr">
        <is>
          <t>Odisha Public Works &amp; Technology Department</t>
        </is>
      </c>
      <c r="F2883" s="6" t="inlineStr">
        <is>
          <t>14 Sep 2026</t>
        </is>
      </c>
      <c r="G2883" s="5" t="inlineStr">
        <is>
          <t>14 Oct 2026</t>
        </is>
      </c>
      <c r="H2883" s="8" t="inlineStr">
        <is>
          <t>⏳ UPCOMING</t>
        </is>
      </c>
      <c r="I2883" s="4" t="inlineStr">
        <is>
          <t>Tendernotice_2.pdf</t>
        </is>
      </c>
      <c r="J2883" s="6" t="inlineStr">
        <is>
          <t>📕 PDF Document</t>
        </is>
      </c>
      <c r="K2883" s="9" t="n">
        <v>17.8</v>
      </c>
      <c r="L2883" s="10">
        <f>HYPERLINK("http://127.0.0.1:8000/api/documents/download?id=1479&amp;attachment=true", "⬇ Download Tendernotice_2.pdf")</f>
        <v/>
      </c>
      <c r="M2883" s="10">
        <f>HYPERLINK("http://localhost:5173/?state=Odisha&amp;keyword=ICT&amp;tender=2026_EICCL_143347_1", "🚀 Open in Portal")</f>
        <v/>
      </c>
    </row>
    <row r="2884" ht="24" customHeight="1">
      <c r="A2884" s="11" t="inlineStr">
        <is>
          <t>Odisha</t>
        </is>
      </c>
      <c r="B2884" s="12" t="inlineStr">
        <is>
          <t>ICT</t>
        </is>
      </c>
      <c r="C2884" s="13" t="inlineStr">
        <is>
          <t>2026_EICCL_143347_1</t>
        </is>
      </c>
      <c r="D2884" s="14" t="inlineStr">
        <is>
          <t>[Construction of Tahasil Office building at Badabil in the District of Kendujhar Buildings.]</t>
        </is>
      </c>
      <c r="E2884" s="14" t="inlineStr">
        <is>
          <t>Odisha Public Works &amp; Technology Department</t>
        </is>
      </c>
      <c r="F2884" s="13" t="inlineStr">
        <is>
          <t>14 Sep 2026</t>
        </is>
      </c>
      <c r="G2884" s="12" t="inlineStr">
        <is>
          <t>14 Oct 2026</t>
        </is>
      </c>
      <c r="H2884" s="8" t="inlineStr">
        <is>
          <t>⏳ UPCOMING</t>
        </is>
      </c>
      <c r="I2884" s="11" t="inlineStr">
        <is>
          <t>BOQ_613717.xls</t>
        </is>
      </c>
      <c r="J2884" s="13" t="inlineStr">
        <is>
          <t>📊 Excel BOQ</t>
        </is>
      </c>
      <c r="K2884" s="15" t="n">
        <v>2.5</v>
      </c>
      <c r="L2884" s="16">
        <f>HYPERLINK("http://127.0.0.1:8000/api/documents/download?id=1480&amp;attachment=true", "⬇ Download BOQ_613717.xls")</f>
        <v/>
      </c>
      <c r="M2884" s="16">
        <f>HYPERLINK("http://localhost:5173/?state=Odisha&amp;keyword=ICT&amp;tender=2026_EICCL_143347_1", "🚀 Open in Portal")</f>
        <v/>
      </c>
    </row>
    <row r="2885" ht="24" customHeight="1">
      <c r="A2885" s="4" t="inlineStr">
        <is>
          <t>Odisha</t>
        </is>
      </c>
      <c r="B2885" s="5" t="inlineStr">
        <is>
          <t>ICT</t>
        </is>
      </c>
      <c r="C2885" s="6" t="inlineStr">
        <is>
          <t>2026_EICCL_143347_1</t>
        </is>
      </c>
      <c r="D2885" s="7" t="inlineStr">
        <is>
          <t>[Construction of Tahasil Office building at Badabil in the District of Kendujhar Buildings.]</t>
        </is>
      </c>
      <c r="E2885" s="7" t="inlineStr">
        <is>
          <t>Odisha Public Works &amp; Technology Department</t>
        </is>
      </c>
      <c r="F2885" s="6" t="inlineStr">
        <is>
          <t>14 Sep 2026</t>
        </is>
      </c>
      <c r="G2885" s="5" t="inlineStr">
        <is>
          <t>14 Oct 2026</t>
        </is>
      </c>
      <c r="H2885" s="8" t="inlineStr">
        <is>
          <t>⏳ UPCOMING</t>
        </is>
      </c>
      <c r="I2885" s="4" t="inlineStr">
        <is>
          <t>Tender_2026_EICCL_143347_1_All_Documents.zip</t>
        </is>
      </c>
      <c r="J2885" s="6" t="inlineStr">
        <is>
          <t>📦 ZIP Package</t>
        </is>
      </c>
      <c r="K2885" s="9" t="n">
        <v>11.5</v>
      </c>
      <c r="L2885" s="10">
        <f>HYPERLINK("http://127.0.0.1:8000/api/documents/download?id=1481&amp;attachment=true", "⬇ Download Tender_2026_EICCL_143347")</f>
        <v/>
      </c>
      <c r="M2885" s="10">
        <f>HYPERLINK("http://localhost:5173/?state=Odisha&amp;keyword=ICT&amp;tender=2026_EICCL_143347_1", "🚀 Open in Portal")</f>
        <v/>
      </c>
    </row>
    <row r="2886" ht="24" customHeight="1">
      <c r="A2886" s="11" t="inlineStr">
        <is>
          <t>Odisha</t>
        </is>
      </c>
      <c r="B2886" s="12" t="inlineStr">
        <is>
          <t>ICT</t>
        </is>
      </c>
      <c r="C2886" s="13" t="inlineStr">
        <is>
          <t>2026_OBCC_143282_1</t>
        </is>
      </c>
      <c r="D2886" s="14" t="inlineStr">
        <is>
          <t>[Construction of Toilet Block at Gcvt Municipal Girls High School Military Line in Berhampur District under CSR fund 2025-26]</t>
        </is>
      </c>
      <c r="E2886" s="14" t="inlineStr">
        <is>
          <t>Odisha Public Works &amp; Technology Department</t>
        </is>
      </c>
      <c r="F2886" s="13" t="inlineStr">
        <is>
          <t>17 Aug 2026</t>
        </is>
      </c>
      <c r="G2886" s="12" t="inlineStr">
        <is>
          <t>10 Sep 2026</t>
        </is>
      </c>
      <c r="H2886" s="8" t="inlineStr">
        <is>
          <t>⏳ UPCOMING</t>
        </is>
      </c>
      <c r="I2886" s="11" t="inlineStr">
        <is>
          <t>Tendernotice_1.pdf</t>
        </is>
      </c>
      <c r="J2886" s="13" t="inlineStr">
        <is>
          <t>📕 PDF Document</t>
        </is>
      </c>
      <c r="K2886" s="15" t="n">
        <v>17.8</v>
      </c>
      <c r="L2886" s="16">
        <f>HYPERLINK("http://127.0.0.1:8000/api/documents/download?id=1494&amp;attachment=true", "⬇ Download Tendernotice_1.pdf")</f>
        <v/>
      </c>
      <c r="M2886" s="16">
        <f>HYPERLINK("http://localhost:5173/?state=Odisha&amp;keyword=ICT&amp;tender=2026_OBCC_143282_1", "🚀 Open in Portal")</f>
        <v/>
      </c>
    </row>
    <row r="2887" ht="24" customHeight="1">
      <c r="A2887" s="4" t="inlineStr">
        <is>
          <t>Odisha</t>
        </is>
      </c>
      <c r="B2887" s="5" t="inlineStr">
        <is>
          <t>ICT</t>
        </is>
      </c>
      <c r="C2887" s="6" t="inlineStr">
        <is>
          <t>2026_OBCC_143282_1</t>
        </is>
      </c>
      <c r="D2887" s="7" t="inlineStr">
        <is>
          <t>[Construction of Toilet Block at Gcvt Municipal Girls High School Military Line in Berhampur District under CSR fund 2025-26]</t>
        </is>
      </c>
      <c r="E2887" s="7" t="inlineStr">
        <is>
          <t>Odisha Public Works &amp; Technology Department</t>
        </is>
      </c>
      <c r="F2887" s="6" t="inlineStr">
        <is>
          <t>17 Aug 2026</t>
        </is>
      </c>
      <c r="G2887" s="5" t="inlineStr">
        <is>
          <t>10 Sep 2026</t>
        </is>
      </c>
      <c r="H2887" s="8" t="inlineStr">
        <is>
          <t>⏳ UPCOMING</t>
        </is>
      </c>
      <c r="I2887" s="4" t="inlineStr">
        <is>
          <t>DTCN.pdf</t>
        </is>
      </c>
      <c r="J2887" s="6" t="inlineStr">
        <is>
          <t>📕 PDF Document</t>
        </is>
      </c>
      <c r="K2887" s="9" t="n">
        <v>17.8</v>
      </c>
      <c r="L2887" s="10">
        <f>HYPERLINK("http://127.0.0.1:8000/api/documents/download?id=1495&amp;attachment=true", "⬇ Download DTCN.pdf")</f>
        <v/>
      </c>
      <c r="M2887" s="10">
        <f>HYPERLINK("http://localhost:5173/?state=Odisha&amp;keyword=ICT&amp;tender=2026_OBCC_143282_1", "🚀 Open in Portal")</f>
        <v/>
      </c>
    </row>
    <row r="2888" ht="24" customHeight="1">
      <c r="A2888" s="11" t="inlineStr">
        <is>
          <t>Odisha</t>
        </is>
      </c>
      <c r="B2888" s="12" t="inlineStr">
        <is>
          <t>ICT</t>
        </is>
      </c>
      <c r="C2888" s="13" t="inlineStr">
        <is>
          <t>2026_OBCC_143282_1</t>
        </is>
      </c>
      <c r="D2888" s="14" t="inlineStr">
        <is>
          <t>[Construction of Toilet Block at Gcvt Municipal Girls High School Military Line in Berhampur District under CSR fund 2025-26]</t>
        </is>
      </c>
      <c r="E2888" s="14" t="inlineStr">
        <is>
          <t>Odisha Public Works &amp; Technology Department</t>
        </is>
      </c>
      <c r="F2888" s="13" t="inlineStr">
        <is>
          <t>17 Aug 2026</t>
        </is>
      </c>
      <c r="G2888" s="12" t="inlineStr">
        <is>
          <t>10 Sep 2026</t>
        </is>
      </c>
      <c r="H2888" s="8" t="inlineStr">
        <is>
          <t>⏳ UPCOMING</t>
        </is>
      </c>
      <c r="I2888" s="11" t="inlineStr">
        <is>
          <t>BOQ_613608.xls</t>
        </is>
      </c>
      <c r="J2888" s="13" t="inlineStr">
        <is>
          <t>📊 Excel BOQ</t>
        </is>
      </c>
      <c r="K2888" s="15" t="n">
        <v>2.5</v>
      </c>
      <c r="L2888" s="16">
        <f>HYPERLINK("http://127.0.0.1:8000/api/documents/download?id=1496&amp;attachment=true", "⬇ Download BOQ_613608.xls")</f>
        <v/>
      </c>
      <c r="M2888" s="16">
        <f>HYPERLINK("http://localhost:5173/?state=Odisha&amp;keyword=ICT&amp;tender=2026_OBCC_143282_1", "🚀 Open in Portal")</f>
        <v/>
      </c>
    </row>
    <row r="2889" ht="24" customHeight="1">
      <c r="A2889" s="4" t="inlineStr">
        <is>
          <t>Odisha</t>
        </is>
      </c>
      <c r="B2889" s="5" t="inlineStr">
        <is>
          <t>ICT</t>
        </is>
      </c>
      <c r="C2889" s="6" t="inlineStr">
        <is>
          <t>2026_OBCC_143282_1</t>
        </is>
      </c>
      <c r="D2889" s="7" t="inlineStr">
        <is>
          <t>[Construction of Toilet Block at Gcvt Municipal Girls High School Military Line in Berhampur District under CSR fund 2025-26]</t>
        </is>
      </c>
      <c r="E2889" s="7" t="inlineStr">
        <is>
          <t>Odisha Public Works &amp; Technology Department</t>
        </is>
      </c>
      <c r="F2889" s="6" t="inlineStr">
        <is>
          <t>17 Aug 2026</t>
        </is>
      </c>
      <c r="G2889" s="5" t="inlineStr">
        <is>
          <t>10 Sep 2026</t>
        </is>
      </c>
      <c r="H2889" s="8" t="inlineStr">
        <is>
          <t>⏳ UPCOMING</t>
        </is>
      </c>
      <c r="I2889" s="4" t="inlineStr">
        <is>
          <t>Tender_2026_OBCC_143282_1_All_Documents.zip</t>
        </is>
      </c>
      <c r="J2889" s="6" t="inlineStr">
        <is>
          <t>📦 ZIP Package</t>
        </is>
      </c>
      <c r="K2889" s="9" t="n">
        <v>20.7</v>
      </c>
      <c r="L2889" s="10">
        <f>HYPERLINK("http://127.0.0.1:8000/api/documents/download?id=1497&amp;attachment=true", "⬇ Download Tender_2026_OBCC_143282_")</f>
        <v/>
      </c>
      <c r="M2889" s="10">
        <f>HYPERLINK("http://localhost:5173/?state=Odisha&amp;keyword=ICT&amp;tender=2026_OBCC_143282_1", "🚀 Open in Portal")</f>
        <v/>
      </c>
    </row>
    <row r="2890" ht="24" customHeight="1">
      <c r="A2890" s="11" t="inlineStr">
        <is>
          <t>Odisha</t>
        </is>
      </c>
      <c r="B2890" s="12" t="inlineStr">
        <is>
          <t>Spatial</t>
        </is>
      </c>
      <c r="C2890" s="13" t="inlineStr">
        <is>
          <t>2026_ODI_8159007_97</t>
        </is>
      </c>
      <c r="D2890" s="14" t="inlineStr">
        <is>
          <t>Spatial-Based Geospatial Road Asset Inventory &amp; Pavement Condition Digital Survey</t>
        </is>
      </c>
      <c r="E2890" s="14" t="inlineStr">
        <is>
          <t>PUBLIC WORKS &amp; HIGHWAYS DEPARTMENT</t>
        </is>
      </c>
      <c r="F2890" s="13" t="inlineStr">
        <is>
          <t>01 Sep 2026</t>
        </is>
      </c>
      <c r="G2890" s="12" t="inlineStr">
        <is>
          <t>23 Sep 2026</t>
        </is>
      </c>
      <c r="H2890" s="8" t="inlineStr">
        <is>
          <t>⏳ UPCOMING</t>
        </is>
      </c>
      <c r="I2890" s="11" t="inlineStr">
        <is>
          <t>Tendernotice_2026_ODI_8159007_97.pdf</t>
        </is>
      </c>
      <c r="J2890" s="13" t="inlineStr">
        <is>
          <t>📕 PDF Document</t>
        </is>
      </c>
      <c r="K2890" s="15" t="n">
        <v>17.9</v>
      </c>
      <c r="L2890" s="16">
        <f>HYPERLINK("http://127.0.0.1:8000/api/documents/download?id=3069&amp;attachment=true", "⬇ Download Tendernotice_2026_ODI_81")</f>
        <v/>
      </c>
      <c r="M2890" s="16">
        <f>HYPERLINK("http://localhost:5173/?state=Odisha&amp;keyword=Spatial&amp;tender=2026_ODI_8159007_97", "🚀 Open in Portal")</f>
        <v/>
      </c>
    </row>
    <row r="2891" ht="24" customHeight="1">
      <c r="A2891" s="4" t="inlineStr">
        <is>
          <t>Odisha</t>
        </is>
      </c>
      <c r="B2891" s="5" t="inlineStr">
        <is>
          <t>Spatial</t>
        </is>
      </c>
      <c r="C2891" s="6" t="inlineStr">
        <is>
          <t>2026_ODI_8159007_97</t>
        </is>
      </c>
      <c r="D2891" s="7" t="inlineStr">
        <is>
          <t>Spatial-Based Geospatial Road Asset Inventory &amp; Pavement Condition Digital Survey</t>
        </is>
      </c>
      <c r="E2891" s="7" t="inlineStr">
        <is>
          <t>PUBLIC WORKS &amp; HIGHWAYS DEPARTMENT</t>
        </is>
      </c>
      <c r="F2891" s="6" t="inlineStr">
        <is>
          <t>01 Sep 2026</t>
        </is>
      </c>
      <c r="G2891" s="5" t="inlineStr">
        <is>
          <t>23 Sep 2026</t>
        </is>
      </c>
      <c r="H2891" s="8" t="inlineStr">
        <is>
          <t>⏳ UPCOMING</t>
        </is>
      </c>
      <c r="I2891" s="4" t="inlineStr">
        <is>
          <t>Technical_RFP_Specification_Spatial.pdf</t>
        </is>
      </c>
      <c r="J2891" s="6" t="inlineStr">
        <is>
          <t>📕 PDF Document</t>
        </is>
      </c>
      <c r="K2891" s="9" t="n">
        <v>17.9</v>
      </c>
      <c r="L2891" s="10">
        <f>HYPERLINK("http://127.0.0.1:8000/api/documents/download?id=3070&amp;attachment=true", "⬇ Download Technical_RFP_Specificat")</f>
        <v/>
      </c>
      <c r="M2891" s="10">
        <f>HYPERLINK("http://localhost:5173/?state=Odisha&amp;keyword=Spatial&amp;tender=2026_ODI_8159007_97", "🚀 Open in Portal")</f>
        <v/>
      </c>
    </row>
    <row r="2892" ht="24" customHeight="1">
      <c r="A2892" s="11" t="inlineStr">
        <is>
          <t>Odisha</t>
        </is>
      </c>
      <c r="B2892" s="12" t="inlineStr">
        <is>
          <t>Spatial</t>
        </is>
      </c>
      <c r="C2892" s="13" t="inlineStr">
        <is>
          <t>2026_ODI_8159007_97</t>
        </is>
      </c>
      <c r="D2892" s="14" t="inlineStr">
        <is>
          <t>Spatial-Based Geospatial Road Asset Inventory &amp; Pavement Condition Digital Survey</t>
        </is>
      </c>
      <c r="E2892" s="14" t="inlineStr">
        <is>
          <t>PUBLIC WORKS &amp; HIGHWAYS DEPARTMENT</t>
        </is>
      </c>
      <c r="F2892" s="13" t="inlineStr">
        <is>
          <t>01 Sep 2026</t>
        </is>
      </c>
      <c r="G2892" s="12" t="inlineStr">
        <is>
          <t>23 Sep 2026</t>
        </is>
      </c>
      <c r="H2892" s="8" t="inlineStr">
        <is>
          <t>⏳ UPCOMING</t>
        </is>
      </c>
      <c r="I2892" s="11" t="inlineStr">
        <is>
          <t>BOQ_Financial_Schedule_2026_ODI_8159007_97.xlsx</t>
        </is>
      </c>
      <c r="J2892" s="13" t="inlineStr">
        <is>
          <t>📊 Excel BOQ</t>
        </is>
      </c>
      <c r="K2892" s="15" t="n">
        <v>2.4</v>
      </c>
      <c r="L2892" s="16">
        <f>HYPERLINK("http://127.0.0.1:8000/api/documents/download?id=3071&amp;attachment=true", "⬇ Download BOQ_Financial_Schedule_2")</f>
        <v/>
      </c>
      <c r="M2892" s="16">
        <f>HYPERLINK("http://localhost:5173/?state=Odisha&amp;keyword=Spatial&amp;tender=2026_ODI_8159007_97", "🚀 Open in Portal")</f>
        <v/>
      </c>
    </row>
    <row r="2893" ht="24" customHeight="1">
      <c r="A2893" s="4" t="inlineStr">
        <is>
          <t>Odisha</t>
        </is>
      </c>
      <c r="B2893" s="5" t="inlineStr">
        <is>
          <t>Spatial</t>
        </is>
      </c>
      <c r="C2893" s="6" t="inlineStr">
        <is>
          <t>2026_ODI_8159007_97</t>
        </is>
      </c>
      <c r="D2893" s="7" t="inlineStr">
        <is>
          <t>Spatial-Based Geospatial Road Asset Inventory &amp; Pavement Condition Digital Survey</t>
        </is>
      </c>
      <c r="E2893" s="7" t="inlineStr">
        <is>
          <t>PUBLIC WORKS &amp; HIGHWAYS DEPARTMENT</t>
        </is>
      </c>
      <c r="F2893" s="6" t="inlineStr">
        <is>
          <t>01 Sep 2026</t>
        </is>
      </c>
      <c r="G2893" s="5" t="inlineStr">
        <is>
          <t>23 Sep 2026</t>
        </is>
      </c>
      <c r="H2893" s="8" t="inlineStr">
        <is>
          <t>⏳ UPCOMING</t>
        </is>
      </c>
      <c r="I2893" s="4" t="inlineStr">
        <is>
          <t>Tender_2026_ODI_8159007_97_All_Documents.zip</t>
        </is>
      </c>
      <c r="J2893" s="6" t="inlineStr">
        <is>
          <t>📦 ZIP Package</t>
        </is>
      </c>
      <c r="K2893" s="9" t="n">
        <v>45</v>
      </c>
      <c r="L2893" s="10">
        <f>HYPERLINK("https://tendersodisha.gov.in/tender/2026_ODI_8159007_97", "⬇ Download Tender_2026_ODI_8159007_")</f>
        <v/>
      </c>
      <c r="M2893" s="10">
        <f>HYPERLINK("http://localhost:5173/?state=Odisha&amp;keyword=Spatial&amp;tender=2026_ODI_8159007_97", "🚀 Open in Portal")</f>
        <v/>
      </c>
    </row>
    <row r="2894" ht="24" customHeight="1">
      <c r="A2894" s="11" t="inlineStr">
        <is>
          <t>Odisha</t>
        </is>
      </c>
      <c r="B2894" s="12" t="inlineStr">
        <is>
          <t>Mapping</t>
        </is>
      </c>
      <c r="C2894" s="13" t="inlineStr">
        <is>
          <t>2026_ODI_2839068_85</t>
        </is>
      </c>
      <c r="D2894" s="14" t="inlineStr">
        <is>
          <t>Mapping-Based High Resolution Satellite Imagery Land Use &amp; Land Cover Spatial Mapping</t>
        </is>
      </c>
      <c r="E2894" s="14" t="inlineStr">
        <is>
          <t>DEPARTMENT OF SCIENCE, TECHNOLOGY &amp; REMOTE SENSING</t>
        </is>
      </c>
      <c r="F2894" s="13" t="inlineStr">
        <is>
          <t>15 Sep 2026</t>
        </is>
      </c>
      <c r="G2894" s="12" t="inlineStr">
        <is>
          <t>08 Oct 2026</t>
        </is>
      </c>
      <c r="H2894" s="8" t="inlineStr">
        <is>
          <t>⏳ UPCOMING</t>
        </is>
      </c>
      <c r="I2894" s="11" t="inlineStr">
        <is>
          <t>Tendernotice_2026_ODI_2839068_85.pdf</t>
        </is>
      </c>
      <c r="J2894" s="13" t="inlineStr">
        <is>
          <t>📕 PDF Document</t>
        </is>
      </c>
      <c r="K2894" s="15" t="n">
        <v>17.9</v>
      </c>
      <c r="L2894" s="16">
        <f>HYPERLINK("http://127.0.0.1:8000/api/documents/download?id=3277&amp;attachment=true", "⬇ Download Tendernotice_2026_ODI_28")</f>
        <v/>
      </c>
      <c r="M2894" s="16">
        <f>HYPERLINK("http://localhost:5173/?state=Odisha&amp;keyword=Mapping&amp;tender=2026_ODI_2839068_85", "🚀 Open in Portal")</f>
        <v/>
      </c>
    </row>
    <row r="2895" ht="24" customHeight="1">
      <c r="A2895" s="4" t="inlineStr">
        <is>
          <t>Odisha</t>
        </is>
      </c>
      <c r="B2895" s="5" t="inlineStr">
        <is>
          <t>Mapping</t>
        </is>
      </c>
      <c r="C2895" s="6" t="inlineStr">
        <is>
          <t>2026_ODI_2839068_85</t>
        </is>
      </c>
      <c r="D2895" s="7" t="inlineStr">
        <is>
          <t>Mapping-Based High Resolution Satellite Imagery Land Use &amp; Land Cover Spatial Mapping</t>
        </is>
      </c>
      <c r="E2895" s="7" t="inlineStr">
        <is>
          <t>DEPARTMENT OF SCIENCE, TECHNOLOGY &amp; REMOTE SENSING</t>
        </is>
      </c>
      <c r="F2895" s="6" t="inlineStr">
        <is>
          <t>15 Sep 2026</t>
        </is>
      </c>
      <c r="G2895" s="5" t="inlineStr">
        <is>
          <t>08 Oct 2026</t>
        </is>
      </c>
      <c r="H2895" s="8" t="inlineStr">
        <is>
          <t>⏳ UPCOMING</t>
        </is>
      </c>
      <c r="I2895" s="4" t="inlineStr">
        <is>
          <t>Technical_RFP_Specification_Mapping.pdf</t>
        </is>
      </c>
      <c r="J2895" s="6" t="inlineStr">
        <is>
          <t>📕 PDF Document</t>
        </is>
      </c>
      <c r="K2895" s="9" t="n">
        <v>17.9</v>
      </c>
      <c r="L2895" s="10">
        <f>HYPERLINK("http://127.0.0.1:8000/api/documents/download?id=3278&amp;attachment=true", "⬇ Download Technical_RFP_Specificat")</f>
        <v/>
      </c>
      <c r="M2895" s="10">
        <f>HYPERLINK("http://localhost:5173/?state=Odisha&amp;keyword=Mapping&amp;tender=2026_ODI_2839068_85", "🚀 Open in Portal")</f>
        <v/>
      </c>
    </row>
    <row r="2896" ht="24" customHeight="1">
      <c r="A2896" s="11" t="inlineStr">
        <is>
          <t>Odisha</t>
        </is>
      </c>
      <c r="B2896" s="12" t="inlineStr">
        <is>
          <t>Mapping</t>
        </is>
      </c>
      <c r="C2896" s="13" t="inlineStr">
        <is>
          <t>2026_ODI_2839068_85</t>
        </is>
      </c>
      <c r="D2896" s="14" t="inlineStr">
        <is>
          <t>Mapping-Based High Resolution Satellite Imagery Land Use &amp; Land Cover Spatial Mapping</t>
        </is>
      </c>
      <c r="E2896" s="14" t="inlineStr">
        <is>
          <t>DEPARTMENT OF SCIENCE, TECHNOLOGY &amp; REMOTE SENSING</t>
        </is>
      </c>
      <c r="F2896" s="13" t="inlineStr">
        <is>
          <t>15 Sep 2026</t>
        </is>
      </c>
      <c r="G2896" s="12" t="inlineStr">
        <is>
          <t>08 Oct 2026</t>
        </is>
      </c>
      <c r="H2896" s="8" t="inlineStr">
        <is>
          <t>⏳ UPCOMING</t>
        </is>
      </c>
      <c r="I2896" s="11" t="inlineStr">
        <is>
          <t>BOQ_Financial_Schedule_2026_ODI_2839068_85.xlsx</t>
        </is>
      </c>
      <c r="J2896" s="13" t="inlineStr">
        <is>
          <t>📊 Excel BOQ</t>
        </is>
      </c>
      <c r="K2896" s="15" t="n">
        <v>2.5</v>
      </c>
      <c r="L2896" s="16">
        <f>HYPERLINK("http://127.0.0.1:8000/api/documents/download?id=3279&amp;attachment=true", "⬇ Download BOQ_Financial_Schedule_2")</f>
        <v/>
      </c>
      <c r="M2896" s="16">
        <f>HYPERLINK("http://localhost:5173/?state=Odisha&amp;keyword=Mapping&amp;tender=2026_ODI_2839068_85", "🚀 Open in Portal")</f>
        <v/>
      </c>
    </row>
    <row r="2897" ht="24" customHeight="1">
      <c r="A2897" s="4" t="inlineStr">
        <is>
          <t>Odisha</t>
        </is>
      </c>
      <c r="B2897" s="5" t="inlineStr">
        <is>
          <t>Mapping</t>
        </is>
      </c>
      <c r="C2897" s="6" t="inlineStr">
        <is>
          <t>2026_ODI_2839068_85</t>
        </is>
      </c>
      <c r="D2897" s="7" t="inlineStr">
        <is>
          <t>Mapping-Based High Resolution Satellite Imagery Land Use &amp; Land Cover Spatial Mapping</t>
        </is>
      </c>
      <c r="E2897" s="7" t="inlineStr">
        <is>
          <t>DEPARTMENT OF SCIENCE, TECHNOLOGY &amp; REMOTE SENSING</t>
        </is>
      </c>
      <c r="F2897" s="6" t="inlineStr">
        <is>
          <t>15 Sep 2026</t>
        </is>
      </c>
      <c r="G2897" s="5" t="inlineStr">
        <is>
          <t>08 Oct 2026</t>
        </is>
      </c>
      <c r="H2897" s="8" t="inlineStr">
        <is>
          <t>⏳ UPCOMING</t>
        </is>
      </c>
      <c r="I2897" s="4" t="inlineStr">
        <is>
          <t>Tender_2026_ODI_2839068_85_All_Documents.zip</t>
        </is>
      </c>
      <c r="J2897" s="6" t="inlineStr">
        <is>
          <t>📦 ZIP Package</t>
        </is>
      </c>
      <c r="K2897" s="9" t="n">
        <v>45</v>
      </c>
      <c r="L2897" s="10">
        <f>HYPERLINK("https://tendersodisha.gov.in/tender/2026_ODI_2839068_85", "⬇ Download Tender_2026_ODI_2839068_")</f>
        <v/>
      </c>
      <c r="M2897" s="10">
        <f>HYPERLINK("http://localhost:5173/?state=Odisha&amp;keyword=Mapping&amp;tender=2026_ODI_2839068_85", "🚀 Open in Portal")</f>
        <v/>
      </c>
    </row>
    <row r="2898" ht="24" customHeight="1">
      <c r="A2898" s="11" t="inlineStr">
        <is>
          <t>Odisha</t>
        </is>
      </c>
      <c r="B2898" s="12" t="inlineStr">
        <is>
          <t>Mapping</t>
        </is>
      </c>
      <c r="C2898" s="13" t="inlineStr">
        <is>
          <t>2026_ODI_3812094_52</t>
        </is>
      </c>
      <c r="D2898" s="14" t="inlineStr">
        <is>
          <t>Mapping-Based High Resolution Satellite Imagery Land Use &amp; Land Cover Spatial Mapping</t>
        </is>
      </c>
      <c r="E2898" s="14" t="inlineStr">
        <is>
          <t>DEPARTMENT OF SCIENCE, TECHNOLOGY &amp; REMOTE SENSING</t>
        </is>
      </c>
      <c r="F2898" s="13" t="inlineStr">
        <is>
          <t>29 Sep 2026</t>
        </is>
      </c>
      <c r="G2898" s="12" t="inlineStr">
        <is>
          <t>14 Nov 2026</t>
        </is>
      </c>
      <c r="H2898" s="17" t="inlineStr">
        <is>
          <t>🟢 LIVE ACTIVE</t>
        </is>
      </c>
      <c r="I2898" s="11" t="inlineStr">
        <is>
          <t>Tendernotice_2026_ODI_3812094_52.pdf</t>
        </is>
      </c>
      <c r="J2898" s="13" t="inlineStr">
        <is>
          <t>📕 PDF Document</t>
        </is>
      </c>
      <c r="K2898" s="15" t="n">
        <v>17.9</v>
      </c>
      <c r="L2898" s="16">
        <f>HYPERLINK("http://127.0.0.1:8000/api/documents/download?id=3293&amp;attachment=true", "⬇ Download Tendernotice_2026_ODI_38")</f>
        <v/>
      </c>
      <c r="M2898" s="16">
        <f>HYPERLINK("http://localhost:5173/?state=Odisha&amp;keyword=Mapping&amp;tender=2026_ODI_3812094_52", "🚀 Open in Portal")</f>
        <v/>
      </c>
    </row>
    <row r="2899" ht="24" customHeight="1">
      <c r="A2899" s="4" t="inlineStr">
        <is>
          <t>Odisha</t>
        </is>
      </c>
      <c r="B2899" s="5" t="inlineStr">
        <is>
          <t>Mapping</t>
        </is>
      </c>
      <c r="C2899" s="6" t="inlineStr">
        <is>
          <t>2026_ODI_3812094_52</t>
        </is>
      </c>
      <c r="D2899" s="7" t="inlineStr">
        <is>
          <t>Mapping-Based High Resolution Satellite Imagery Land Use &amp; Land Cover Spatial Mapping</t>
        </is>
      </c>
      <c r="E2899" s="7" t="inlineStr">
        <is>
          <t>DEPARTMENT OF SCIENCE, TECHNOLOGY &amp; REMOTE SENSING</t>
        </is>
      </c>
      <c r="F2899" s="6" t="inlineStr">
        <is>
          <t>29 Sep 2026</t>
        </is>
      </c>
      <c r="G2899" s="5" t="inlineStr">
        <is>
          <t>14 Nov 2026</t>
        </is>
      </c>
      <c r="H2899" s="17" t="inlineStr">
        <is>
          <t>🟢 LIVE ACTIVE</t>
        </is>
      </c>
      <c r="I2899" s="4" t="inlineStr">
        <is>
          <t>Technical_RFP_Specification_Mapping.pdf</t>
        </is>
      </c>
      <c r="J2899" s="6" t="inlineStr">
        <is>
          <t>📕 PDF Document</t>
        </is>
      </c>
      <c r="K2899" s="9" t="n">
        <v>17.9</v>
      </c>
      <c r="L2899" s="10">
        <f>HYPERLINK("http://127.0.0.1:8000/api/documents/download?id=3294&amp;attachment=true", "⬇ Download Technical_RFP_Specificat")</f>
        <v/>
      </c>
      <c r="M2899" s="10">
        <f>HYPERLINK("http://localhost:5173/?state=Odisha&amp;keyword=Mapping&amp;tender=2026_ODI_3812094_52", "🚀 Open in Portal")</f>
        <v/>
      </c>
    </row>
    <row r="2900" ht="24" customHeight="1">
      <c r="A2900" s="11" t="inlineStr">
        <is>
          <t>Odisha</t>
        </is>
      </c>
      <c r="B2900" s="12" t="inlineStr">
        <is>
          <t>Mapping</t>
        </is>
      </c>
      <c r="C2900" s="13" t="inlineStr">
        <is>
          <t>2026_ODI_3812094_52</t>
        </is>
      </c>
      <c r="D2900" s="14" t="inlineStr">
        <is>
          <t>Mapping-Based High Resolution Satellite Imagery Land Use &amp; Land Cover Spatial Mapping</t>
        </is>
      </c>
      <c r="E2900" s="14" t="inlineStr">
        <is>
          <t>DEPARTMENT OF SCIENCE, TECHNOLOGY &amp; REMOTE SENSING</t>
        </is>
      </c>
      <c r="F2900" s="13" t="inlineStr">
        <is>
          <t>29 Sep 2026</t>
        </is>
      </c>
      <c r="G2900" s="12" t="inlineStr">
        <is>
          <t>14 Nov 2026</t>
        </is>
      </c>
      <c r="H2900" s="17" t="inlineStr">
        <is>
          <t>🟢 LIVE ACTIVE</t>
        </is>
      </c>
      <c r="I2900" s="11" t="inlineStr">
        <is>
          <t>BOQ_Financial_Schedule_2026_ODI_3812094_52.xlsx</t>
        </is>
      </c>
      <c r="J2900" s="13" t="inlineStr">
        <is>
          <t>📊 Excel BOQ</t>
        </is>
      </c>
      <c r="K2900" s="15" t="n">
        <v>2.5</v>
      </c>
      <c r="L2900" s="16">
        <f>HYPERLINK("http://127.0.0.1:8000/api/documents/download?id=3295&amp;attachment=true", "⬇ Download BOQ_Financial_Schedule_2")</f>
        <v/>
      </c>
      <c r="M2900" s="16">
        <f>HYPERLINK("http://localhost:5173/?state=Odisha&amp;keyword=Mapping&amp;tender=2026_ODI_3812094_52", "🚀 Open in Portal")</f>
        <v/>
      </c>
    </row>
    <row r="2901" ht="24" customHeight="1">
      <c r="A2901" s="4" t="inlineStr">
        <is>
          <t>Odisha</t>
        </is>
      </c>
      <c r="B2901" s="5" t="inlineStr">
        <is>
          <t>Mapping</t>
        </is>
      </c>
      <c r="C2901" s="6" t="inlineStr">
        <is>
          <t>2026_ODI_3812094_52</t>
        </is>
      </c>
      <c r="D2901" s="7" t="inlineStr">
        <is>
          <t>Mapping-Based High Resolution Satellite Imagery Land Use &amp; Land Cover Spatial Mapping</t>
        </is>
      </c>
      <c r="E2901" s="7" t="inlineStr">
        <is>
          <t>DEPARTMENT OF SCIENCE, TECHNOLOGY &amp; REMOTE SENSING</t>
        </is>
      </c>
      <c r="F2901" s="6" t="inlineStr">
        <is>
          <t>29 Sep 2026</t>
        </is>
      </c>
      <c r="G2901" s="5" t="inlineStr">
        <is>
          <t>14 Nov 2026</t>
        </is>
      </c>
      <c r="H2901" s="17" t="inlineStr">
        <is>
          <t>🟢 LIVE ACTIVE</t>
        </is>
      </c>
      <c r="I2901" s="4" t="inlineStr">
        <is>
          <t>Tender_2026_ODI_3812094_52_All_Documents.zip</t>
        </is>
      </c>
      <c r="J2901" s="6" t="inlineStr">
        <is>
          <t>📦 ZIP Package</t>
        </is>
      </c>
      <c r="K2901" s="9" t="n">
        <v>45</v>
      </c>
      <c r="L2901" s="10">
        <f>HYPERLINK("https://tendersodisha.gov.in/tender/2026_ODI_3812094_52", "⬇ Download Tender_2026_ODI_3812094_")</f>
        <v/>
      </c>
      <c r="M2901" s="10">
        <f>HYPERLINK("http://localhost:5173/?state=Odisha&amp;keyword=Mapping&amp;tender=2026_ODI_3812094_52", "🚀 Open in Portal")</f>
        <v/>
      </c>
    </row>
    <row r="2902" ht="24" customHeight="1">
      <c r="A2902" s="11" t="inlineStr">
        <is>
          <t>Punjab</t>
        </is>
      </c>
      <c r="B2902" s="12" t="inlineStr">
        <is>
          <t>GIS</t>
        </is>
      </c>
      <c r="C2902" s="13" t="inlineStr">
        <is>
          <t>2026_DLG_173878_1</t>
        </is>
      </c>
      <c r="D2902" s="14" t="inlineStr">
        <is>
          <t>[GIS based Comprehensive Right of Way Sweeping and Washing Services including Mechanized cleaning, Litter Picking and Ensuring Cleanliness of Internal roads]</t>
        </is>
      </c>
      <c r="E2902" s="14" t="inlineStr">
        <is>
          <t>Punjab Public Works &amp; Technology Department</t>
        </is>
      </c>
      <c r="F2902" s="13" t="inlineStr">
        <is>
          <t>09 Sep 2026</t>
        </is>
      </c>
      <c r="G2902" s="12" t="inlineStr">
        <is>
          <t>04 Oct 2026</t>
        </is>
      </c>
      <c r="H2902" s="8" t="inlineStr">
        <is>
          <t>⏳ UPCOMING</t>
        </is>
      </c>
      <c r="I2902" s="11" t="inlineStr">
        <is>
          <t>Tendernotice_1.pdf</t>
        </is>
      </c>
      <c r="J2902" s="13" t="inlineStr">
        <is>
          <t>📕 PDF Document</t>
        </is>
      </c>
      <c r="K2902" s="15" t="n">
        <v>17.8</v>
      </c>
      <c r="L2902" s="16">
        <f>HYPERLINK("http://127.0.0.1:8000/api/documents/download?id=1351&amp;attachment=true", "⬇ Download Tendernotice_1.pdf")</f>
        <v/>
      </c>
      <c r="M2902" s="16">
        <f>HYPERLINK("http://localhost:5173/?state=Punjab&amp;keyword=GIS&amp;tender=2026_DLG_173878_1", "🚀 Open in Portal")</f>
        <v/>
      </c>
    </row>
    <row r="2903" ht="24" customHeight="1">
      <c r="A2903" s="4" t="inlineStr">
        <is>
          <t>Punjab</t>
        </is>
      </c>
      <c r="B2903" s="5" t="inlineStr">
        <is>
          <t>GIS</t>
        </is>
      </c>
      <c r="C2903" s="6" t="inlineStr">
        <is>
          <t>2026_DLG_173878_1</t>
        </is>
      </c>
      <c r="D2903" s="7" t="inlineStr">
        <is>
          <t>[GIS based Comprehensive Right of Way Sweeping and Washing Services including Mechanized cleaning, Litter Picking and Ensuring Cleanliness of Internal roads]</t>
        </is>
      </c>
      <c r="E2903" s="7" t="inlineStr">
        <is>
          <t>Punjab Public Works &amp; Technology Department</t>
        </is>
      </c>
      <c r="F2903" s="6" t="inlineStr">
        <is>
          <t>09 Sep 2026</t>
        </is>
      </c>
      <c r="G2903" s="5" t="inlineStr">
        <is>
          <t>04 Oct 2026</t>
        </is>
      </c>
      <c r="H2903" s="8" t="inlineStr">
        <is>
          <t>⏳ UPCOMING</t>
        </is>
      </c>
      <c r="I2903" s="4" t="inlineStr">
        <is>
          <t>BOQ_353829.xls</t>
        </is>
      </c>
      <c r="J2903" s="6" t="inlineStr">
        <is>
          <t>📊 Excel BOQ</t>
        </is>
      </c>
      <c r="K2903" s="9" t="n">
        <v>2.5</v>
      </c>
      <c r="L2903" s="10">
        <f>HYPERLINK("http://127.0.0.1:8000/api/documents/download?id=1352&amp;attachment=true", "⬇ Download BOQ_353829.xls")</f>
        <v/>
      </c>
      <c r="M2903" s="10">
        <f>HYPERLINK("http://localhost:5173/?state=Punjab&amp;keyword=GIS&amp;tender=2026_DLG_173878_1", "🚀 Open in Portal")</f>
        <v/>
      </c>
    </row>
    <row r="2904" ht="24" customHeight="1">
      <c r="A2904" s="11" t="inlineStr">
        <is>
          <t>Punjab</t>
        </is>
      </c>
      <c r="B2904" s="12" t="inlineStr">
        <is>
          <t>GIS</t>
        </is>
      </c>
      <c r="C2904" s="13" t="inlineStr">
        <is>
          <t>2026_DLG_173878_1</t>
        </is>
      </c>
      <c r="D2904" s="14" t="inlineStr">
        <is>
          <t>[GIS based Comprehensive Right of Way Sweeping and Washing Services including Mechanized cleaning, Litter Picking and Ensuring Cleanliness of Internal roads]</t>
        </is>
      </c>
      <c r="E2904" s="14" t="inlineStr">
        <is>
          <t>Punjab Public Works &amp; Technology Department</t>
        </is>
      </c>
      <c r="F2904" s="13" t="inlineStr">
        <is>
          <t>09 Sep 2026</t>
        </is>
      </c>
      <c r="G2904" s="12" t="inlineStr">
        <is>
          <t>04 Oct 2026</t>
        </is>
      </c>
      <c r="H2904" s="8" t="inlineStr">
        <is>
          <t>⏳ UPCOMING</t>
        </is>
      </c>
      <c r="I2904" s="11" t="inlineStr">
        <is>
          <t>Tender_2026_DLG_173878_1_All_Documents.zip</t>
        </is>
      </c>
      <c r="J2904" s="13" t="inlineStr">
        <is>
          <t>📦 ZIP Package</t>
        </is>
      </c>
      <c r="K2904" s="15" t="n">
        <v>11.5</v>
      </c>
      <c r="L2904" s="16">
        <f>HYPERLINK("http://127.0.0.1:8000/api/documents/download?id=1353&amp;attachment=true", "⬇ Download Tender_2026_DLG_173878_1")</f>
        <v/>
      </c>
      <c r="M2904" s="16">
        <f>HYPERLINK("http://localhost:5173/?state=Punjab&amp;keyword=GIS&amp;tender=2026_DLG_173878_1", "🚀 Open in Portal")</f>
        <v/>
      </c>
    </row>
    <row r="2905" ht="24" customHeight="1">
      <c r="A2905" s="4" t="inlineStr">
        <is>
          <t>Punjab</t>
        </is>
      </c>
      <c r="B2905" s="5" t="inlineStr">
        <is>
          <t>GIS</t>
        </is>
      </c>
      <c r="C2905" s="6" t="inlineStr">
        <is>
          <t>2026_DLG_176949_1</t>
        </is>
      </c>
      <c r="D2905" s="7" t="inlineStr">
        <is>
          <t>[Annual Maintenance of GIS Data Management, Updation, Maintenance and GIS Support Services Municipal Corporation SAS Nagar Mohali. ]</t>
        </is>
      </c>
      <c r="E2905" s="7" t="inlineStr">
        <is>
          <t>Punjab Public Works &amp; Technology Department</t>
        </is>
      </c>
      <c r="F2905" s="6" t="inlineStr">
        <is>
          <t>11 Aug 2026</t>
        </is>
      </c>
      <c r="G2905" s="5" t="inlineStr">
        <is>
          <t>09 Sep 2026</t>
        </is>
      </c>
      <c r="H2905" s="8" t="inlineStr">
        <is>
          <t>⏳ UPCOMING</t>
        </is>
      </c>
      <c r="I2905" s="4" t="inlineStr">
        <is>
          <t>Tendernotice_1.pdf</t>
        </is>
      </c>
      <c r="J2905" s="6" t="inlineStr">
        <is>
          <t>📕 PDF Document</t>
        </is>
      </c>
      <c r="K2905" s="9" t="n">
        <v>17.8</v>
      </c>
      <c r="L2905" s="10">
        <f>HYPERLINK("http://127.0.0.1:8000/api/documents/download?id=1347&amp;attachment=true", "⬇ Download Tendernotice_1.pdf")</f>
        <v/>
      </c>
      <c r="M2905" s="10">
        <f>HYPERLINK("http://localhost:5173/?state=Punjab&amp;keyword=GIS&amp;tender=2026_DLG_176949_1", "🚀 Open in Portal")</f>
        <v/>
      </c>
    </row>
    <row r="2906" ht="24" customHeight="1">
      <c r="A2906" s="11" t="inlineStr">
        <is>
          <t>Punjab</t>
        </is>
      </c>
      <c r="B2906" s="12" t="inlineStr">
        <is>
          <t>GIS</t>
        </is>
      </c>
      <c r="C2906" s="13" t="inlineStr">
        <is>
          <t>2026_DLG_176949_1</t>
        </is>
      </c>
      <c r="D2906" s="14" t="inlineStr">
        <is>
          <t>[Annual Maintenance of GIS Data Management, Updation, Maintenance and GIS Support Services Municipal Corporation SAS Nagar Mohali. ]</t>
        </is>
      </c>
      <c r="E2906" s="14" t="inlineStr">
        <is>
          <t>Punjab Public Works &amp; Technology Department</t>
        </is>
      </c>
      <c r="F2906" s="13" t="inlineStr">
        <is>
          <t>11 Aug 2026</t>
        </is>
      </c>
      <c r="G2906" s="12" t="inlineStr">
        <is>
          <t>09 Sep 2026</t>
        </is>
      </c>
      <c r="H2906" s="8" t="inlineStr">
        <is>
          <t>⏳ UPCOMING</t>
        </is>
      </c>
      <c r="I2906" s="11" t="inlineStr">
        <is>
          <t>RFP.pdf</t>
        </is>
      </c>
      <c r="J2906" s="13" t="inlineStr">
        <is>
          <t>📕 PDF Document</t>
        </is>
      </c>
      <c r="K2906" s="15" t="n">
        <v>17.8</v>
      </c>
      <c r="L2906" s="16">
        <f>HYPERLINK("http://127.0.0.1:8000/api/documents/download?id=1348&amp;attachment=true", "⬇ Download RFP.pdf")</f>
        <v/>
      </c>
      <c r="M2906" s="16">
        <f>HYPERLINK("http://localhost:5173/?state=Punjab&amp;keyword=GIS&amp;tender=2026_DLG_176949_1", "🚀 Open in Portal")</f>
        <v/>
      </c>
    </row>
    <row r="2907" ht="24" customHeight="1">
      <c r="A2907" s="4" t="inlineStr">
        <is>
          <t>Punjab</t>
        </is>
      </c>
      <c r="B2907" s="5" t="inlineStr">
        <is>
          <t>GIS</t>
        </is>
      </c>
      <c r="C2907" s="6" t="inlineStr">
        <is>
          <t>2026_DLG_176949_1</t>
        </is>
      </c>
      <c r="D2907" s="7" t="inlineStr">
        <is>
          <t>[Annual Maintenance of GIS Data Management, Updation, Maintenance and GIS Support Services Municipal Corporation SAS Nagar Mohali. ]</t>
        </is>
      </c>
      <c r="E2907" s="7" t="inlineStr">
        <is>
          <t>Punjab Public Works &amp; Technology Department</t>
        </is>
      </c>
      <c r="F2907" s="6" t="inlineStr">
        <is>
          <t>11 Aug 2026</t>
        </is>
      </c>
      <c r="G2907" s="5" t="inlineStr">
        <is>
          <t>09 Sep 2026</t>
        </is>
      </c>
      <c r="H2907" s="8" t="inlineStr">
        <is>
          <t>⏳ UPCOMING</t>
        </is>
      </c>
      <c r="I2907" s="4" t="inlineStr">
        <is>
          <t>BOQ_360689.xls</t>
        </is>
      </c>
      <c r="J2907" s="6" t="inlineStr">
        <is>
          <t>📊 Excel BOQ</t>
        </is>
      </c>
      <c r="K2907" s="9" t="n">
        <v>2.5</v>
      </c>
      <c r="L2907" s="10">
        <f>HYPERLINK("http://127.0.0.1:8000/api/documents/download?id=1349&amp;attachment=true", "⬇ Download BOQ_360689.xls")</f>
        <v/>
      </c>
      <c r="M2907" s="10">
        <f>HYPERLINK("http://localhost:5173/?state=Punjab&amp;keyword=GIS&amp;tender=2026_DLG_176949_1", "🚀 Open in Portal")</f>
        <v/>
      </c>
    </row>
    <row r="2908" ht="24" customHeight="1">
      <c r="A2908" s="11" t="inlineStr">
        <is>
          <t>Punjab</t>
        </is>
      </c>
      <c r="B2908" s="12" t="inlineStr">
        <is>
          <t>GIS</t>
        </is>
      </c>
      <c r="C2908" s="13" t="inlineStr">
        <is>
          <t>2026_DLG_176949_1</t>
        </is>
      </c>
      <c r="D2908" s="14" t="inlineStr">
        <is>
          <t>[Annual Maintenance of GIS Data Management, Updation, Maintenance and GIS Support Services Municipal Corporation SAS Nagar Mohali. ]</t>
        </is>
      </c>
      <c r="E2908" s="14" t="inlineStr">
        <is>
          <t>Punjab Public Works &amp; Technology Department</t>
        </is>
      </c>
      <c r="F2908" s="13" t="inlineStr">
        <is>
          <t>11 Aug 2026</t>
        </is>
      </c>
      <c r="G2908" s="12" t="inlineStr">
        <is>
          <t>09 Sep 2026</t>
        </is>
      </c>
      <c r="H2908" s="8" t="inlineStr">
        <is>
          <t>⏳ UPCOMING</t>
        </is>
      </c>
      <c r="I2908" s="11" t="inlineStr">
        <is>
          <t>Tender_2026_DLG_176949_1_All_Documents.zip</t>
        </is>
      </c>
      <c r="J2908" s="13" t="inlineStr">
        <is>
          <t>📦 ZIP Package</t>
        </is>
      </c>
      <c r="K2908" s="15" t="n">
        <v>20.7</v>
      </c>
      <c r="L2908" s="16">
        <f>HYPERLINK("http://127.0.0.1:8000/api/documents/download?id=1350&amp;attachment=true", "⬇ Download Tender_2026_DLG_176949_1")</f>
        <v/>
      </c>
      <c r="M2908" s="16">
        <f>HYPERLINK("http://localhost:5173/?state=Punjab&amp;keyword=GIS&amp;tender=2026_DLG_176949_1", "🚀 Open in Portal")</f>
        <v/>
      </c>
    </row>
    <row r="2909" ht="24" customHeight="1">
      <c r="A2909" s="4" t="inlineStr">
        <is>
          <t>Punjab</t>
        </is>
      </c>
      <c r="B2909" s="5" t="inlineStr">
        <is>
          <t>ICT</t>
        </is>
      </c>
      <c r="C2909" s="6" t="inlineStr">
        <is>
          <t>2026_CEPW_177255_1</t>
        </is>
      </c>
      <c r="D2909" s="7" t="inlineStr">
        <is>
          <t>[Preparation of Detailed Project Report for Rehabilitation/Upgradation of 2-Lane to 4 Laning of Patiala Samana Patran Road SH 10 section from Patiala to Patran in District Patiala.]</t>
        </is>
      </c>
      <c r="E2909" s="7" t="inlineStr">
        <is>
          <t>Punjab Public Works &amp; Technology Department</t>
        </is>
      </c>
      <c r="F2909" s="6" t="inlineStr">
        <is>
          <t>30 Aug 2026</t>
        </is>
      </c>
      <c r="G2909" s="5" t="inlineStr">
        <is>
          <t>21 Sep 2026</t>
        </is>
      </c>
      <c r="H2909" s="8" t="inlineStr">
        <is>
          <t>⏳ UPCOMING</t>
        </is>
      </c>
      <c r="I2909" s="4" t="inlineStr">
        <is>
          <t>Tendernotice_1.pdf</t>
        </is>
      </c>
      <c r="J2909" s="6" t="inlineStr">
        <is>
          <t>📕 PDF Document</t>
        </is>
      </c>
      <c r="K2909" s="9" t="n">
        <v>17.8</v>
      </c>
      <c r="L2909" s="10">
        <f>HYPERLINK("http://127.0.0.1:8000/api/documents/download?id=1408&amp;attachment=true", "⬇ Download Tendernotice_1.pdf")</f>
        <v/>
      </c>
      <c r="M2909" s="10">
        <f>HYPERLINK("http://localhost:5173/?state=Punjab&amp;keyword=ICT&amp;tender=2026_CEPW_177255_1", "🚀 Open in Portal")</f>
        <v/>
      </c>
    </row>
    <row r="2910" ht="24" customHeight="1">
      <c r="A2910" s="11" t="inlineStr">
        <is>
          <t>Punjab</t>
        </is>
      </c>
      <c r="B2910" s="12" t="inlineStr">
        <is>
          <t>ICT</t>
        </is>
      </c>
      <c r="C2910" s="13" t="inlineStr">
        <is>
          <t>2026_CEPW_177255_1</t>
        </is>
      </c>
      <c r="D2910" s="14" t="inlineStr">
        <is>
          <t>[Preparation of Detailed Project Report for Rehabilitation/Upgradation of 2-Lane to 4 Laning of Patiala Samana Patran Road SH 10 section from Patiala to Patran in District Patiala.]</t>
        </is>
      </c>
      <c r="E2910" s="14" t="inlineStr">
        <is>
          <t>Punjab Public Works &amp; Technology Department</t>
        </is>
      </c>
      <c r="F2910" s="13" t="inlineStr">
        <is>
          <t>30 Aug 2026</t>
        </is>
      </c>
      <c r="G2910" s="12" t="inlineStr">
        <is>
          <t>21 Sep 2026</t>
        </is>
      </c>
      <c r="H2910" s="8" t="inlineStr">
        <is>
          <t>⏳ UPCOMING</t>
        </is>
      </c>
      <c r="I2910" s="11" t="inlineStr">
        <is>
          <t>dprsbd.pdf</t>
        </is>
      </c>
      <c r="J2910" s="13" t="inlineStr">
        <is>
          <t>📕 PDF Document</t>
        </is>
      </c>
      <c r="K2910" s="15" t="n">
        <v>17.8</v>
      </c>
      <c r="L2910" s="16">
        <f>HYPERLINK("http://127.0.0.1:8000/api/documents/download?id=1409&amp;attachment=true", "⬇ Download dprsbd.pdf")</f>
        <v/>
      </c>
      <c r="M2910" s="16">
        <f>HYPERLINK("http://localhost:5173/?state=Punjab&amp;keyword=ICT&amp;tender=2026_CEPW_177255_1", "🚀 Open in Portal")</f>
        <v/>
      </c>
    </row>
    <row r="2911" ht="24" customHeight="1">
      <c r="A2911" s="4" t="inlineStr">
        <is>
          <t>Punjab</t>
        </is>
      </c>
      <c r="B2911" s="5" t="inlineStr">
        <is>
          <t>ICT</t>
        </is>
      </c>
      <c r="C2911" s="6" t="inlineStr">
        <is>
          <t>2026_CEPW_177255_1</t>
        </is>
      </c>
      <c r="D2911" s="7" t="inlineStr">
        <is>
          <t>[Preparation of Detailed Project Report for Rehabilitation/Upgradation of 2-Lane to 4 Laning of Patiala Samana Patran Road SH 10 section from Patiala to Patran in District Patiala.]</t>
        </is>
      </c>
      <c r="E2911" s="7" t="inlineStr">
        <is>
          <t>Punjab Public Works &amp; Technology Department</t>
        </is>
      </c>
      <c r="F2911" s="6" t="inlineStr">
        <is>
          <t>30 Aug 2026</t>
        </is>
      </c>
      <c r="G2911" s="5" t="inlineStr">
        <is>
          <t>21 Sep 2026</t>
        </is>
      </c>
      <c r="H2911" s="8" t="inlineStr">
        <is>
          <t>⏳ UPCOMING</t>
        </is>
      </c>
      <c r="I2911" s="4" t="inlineStr">
        <is>
          <t>BOQ_361475.xls</t>
        </is>
      </c>
      <c r="J2911" s="6" t="inlineStr">
        <is>
          <t>📊 Excel BOQ</t>
        </is>
      </c>
      <c r="K2911" s="9" t="n">
        <v>2.5</v>
      </c>
      <c r="L2911" s="10">
        <f>HYPERLINK("http://127.0.0.1:8000/api/documents/download?id=1410&amp;attachment=true", "⬇ Download BOQ_361475.xls")</f>
        <v/>
      </c>
      <c r="M2911" s="10">
        <f>HYPERLINK("http://localhost:5173/?state=Punjab&amp;keyword=ICT&amp;tender=2026_CEPW_177255_1", "🚀 Open in Portal")</f>
        <v/>
      </c>
    </row>
    <row r="2912" ht="24" customHeight="1">
      <c r="A2912" s="11" t="inlineStr">
        <is>
          <t>Punjab</t>
        </is>
      </c>
      <c r="B2912" s="12" t="inlineStr">
        <is>
          <t>ICT</t>
        </is>
      </c>
      <c r="C2912" s="13" t="inlineStr">
        <is>
          <t>2026_CEPW_177255_1</t>
        </is>
      </c>
      <c r="D2912" s="14" t="inlineStr">
        <is>
          <t>[Preparation of Detailed Project Report for Rehabilitation/Upgradation of 2-Lane to 4 Laning of Patiala Samana Patran Road SH 10 section from Patiala to Patran in District Patiala.]</t>
        </is>
      </c>
      <c r="E2912" s="14" t="inlineStr">
        <is>
          <t>Punjab Public Works &amp; Technology Department</t>
        </is>
      </c>
      <c r="F2912" s="13" t="inlineStr">
        <is>
          <t>30 Aug 2026</t>
        </is>
      </c>
      <c r="G2912" s="12" t="inlineStr">
        <is>
          <t>21 Sep 2026</t>
        </is>
      </c>
      <c r="H2912" s="8" t="inlineStr">
        <is>
          <t>⏳ UPCOMING</t>
        </is>
      </c>
      <c r="I2912" s="11" t="inlineStr">
        <is>
          <t>Tender_2026_CEPW_177255_1_All_Documents.zip</t>
        </is>
      </c>
      <c r="J2912" s="13" t="inlineStr">
        <is>
          <t>📦 ZIP Package</t>
        </is>
      </c>
      <c r="K2912" s="15" t="n">
        <v>20.8</v>
      </c>
      <c r="L2912" s="16">
        <f>HYPERLINK("http://127.0.0.1:8000/api/documents/download?id=1411&amp;attachment=true", "⬇ Download Tender_2026_CEPW_177255_")</f>
        <v/>
      </c>
      <c r="M2912" s="16">
        <f>HYPERLINK("http://localhost:5173/?state=Punjab&amp;keyword=ICT&amp;tender=2026_CEPW_177255_1", "🚀 Open in Portal")</f>
        <v/>
      </c>
    </row>
    <row r="2913" ht="24" customHeight="1">
      <c r="A2913" s="4" t="inlineStr">
        <is>
          <t>Punjab</t>
        </is>
      </c>
      <c r="B2913" s="5" t="inlineStr">
        <is>
          <t>ICT</t>
        </is>
      </c>
      <c r="C2913" s="6" t="inlineStr">
        <is>
          <t>2026_CEPW_177257_1</t>
        </is>
      </c>
      <c r="D2913" s="7" t="inlineStr">
        <is>
          <t>[Construction of ITI at Tripari, Block Kharar District SAS Nagar, Punjab (Balance Work)]</t>
        </is>
      </c>
      <c r="E2913" s="7" t="inlineStr">
        <is>
          <t>Punjab Public Works &amp; Technology Department</t>
        </is>
      </c>
      <c r="F2913" s="6" t="inlineStr">
        <is>
          <t>27 Oct 2026</t>
        </is>
      </c>
      <c r="G2913" s="5" t="inlineStr">
        <is>
          <t>17 Nov 2026</t>
        </is>
      </c>
      <c r="H2913" s="8" t="inlineStr">
        <is>
          <t>⏳ UPCOMING</t>
        </is>
      </c>
      <c r="I2913" s="4" t="inlineStr">
        <is>
          <t>Tendernotice_1.pdf</t>
        </is>
      </c>
      <c r="J2913" s="6" t="inlineStr">
        <is>
          <t>📕 PDF Document</t>
        </is>
      </c>
      <c r="K2913" s="9" t="n">
        <v>17.8</v>
      </c>
      <c r="L2913" s="10">
        <f>HYPERLINK("http://127.0.0.1:8000/api/documents/download?id=1359&amp;attachment=true", "⬇ Download Tendernotice_1.pdf")</f>
        <v/>
      </c>
      <c r="M2913" s="10">
        <f>HYPERLINK("http://localhost:5173/?state=Punjab&amp;keyword=ICT&amp;tender=2026_CEPW_177257_1", "🚀 Open in Portal")</f>
        <v/>
      </c>
    </row>
    <row r="2914" ht="24" customHeight="1">
      <c r="A2914" s="11" t="inlineStr">
        <is>
          <t>Punjab</t>
        </is>
      </c>
      <c r="B2914" s="12" t="inlineStr">
        <is>
          <t>ICT</t>
        </is>
      </c>
      <c r="C2914" s="13" t="inlineStr">
        <is>
          <t>2026_CEPW_177257_1</t>
        </is>
      </c>
      <c r="D2914" s="14" t="inlineStr">
        <is>
          <t>[Construction of ITI at Tripari, Block Kharar District SAS Nagar, Punjab (Balance Work)]</t>
        </is>
      </c>
      <c r="E2914" s="14" t="inlineStr">
        <is>
          <t>Punjab Public Works &amp; Technology Department</t>
        </is>
      </c>
      <c r="F2914" s="13" t="inlineStr">
        <is>
          <t>27 Oct 2026</t>
        </is>
      </c>
      <c r="G2914" s="12" t="inlineStr">
        <is>
          <t>17 Nov 2026</t>
        </is>
      </c>
      <c r="H2914" s="8" t="inlineStr">
        <is>
          <t>⏳ UPCOMING</t>
        </is>
      </c>
      <c r="I2914" s="11" t="inlineStr">
        <is>
          <t>SBD32.pdf</t>
        </is>
      </c>
      <c r="J2914" s="13" t="inlineStr">
        <is>
          <t>📕 PDF Document</t>
        </is>
      </c>
      <c r="K2914" s="15" t="n">
        <v>17.8</v>
      </c>
      <c r="L2914" s="16">
        <f>HYPERLINK("http://127.0.0.1:8000/api/documents/download?id=1360&amp;attachment=true", "⬇ Download SBD32.pdf")</f>
        <v/>
      </c>
      <c r="M2914" s="16">
        <f>HYPERLINK("http://localhost:5173/?state=Punjab&amp;keyword=ICT&amp;tender=2026_CEPW_177257_1", "🚀 Open in Portal")</f>
        <v/>
      </c>
    </row>
    <row r="2915" ht="24" customHeight="1">
      <c r="A2915" s="4" t="inlineStr">
        <is>
          <t>Punjab</t>
        </is>
      </c>
      <c r="B2915" s="5" t="inlineStr">
        <is>
          <t>ICT</t>
        </is>
      </c>
      <c r="C2915" s="6" t="inlineStr">
        <is>
          <t>2026_CEPW_177257_1</t>
        </is>
      </c>
      <c r="D2915" s="7" t="inlineStr">
        <is>
          <t>[Construction of ITI at Tripari, Block Kharar District SAS Nagar, Punjab (Balance Work)]</t>
        </is>
      </c>
      <c r="E2915" s="7" t="inlineStr">
        <is>
          <t>Punjab Public Works &amp; Technology Department</t>
        </is>
      </c>
      <c r="F2915" s="6" t="inlineStr">
        <is>
          <t>27 Oct 2026</t>
        </is>
      </c>
      <c r="G2915" s="5" t="inlineStr">
        <is>
          <t>17 Nov 2026</t>
        </is>
      </c>
      <c r="H2915" s="8" t="inlineStr">
        <is>
          <t>⏳ UPCOMING</t>
        </is>
      </c>
      <c r="I2915" s="4" t="inlineStr">
        <is>
          <t>BOQ_361478.xls</t>
        </is>
      </c>
      <c r="J2915" s="6" t="inlineStr">
        <is>
          <t>📊 Excel BOQ</t>
        </is>
      </c>
      <c r="K2915" s="9" t="n">
        <v>2.5</v>
      </c>
      <c r="L2915" s="10">
        <f>HYPERLINK("http://127.0.0.1:8000/api/documents/download?id=1361&amp;attachment=true", "⬇ Download BOQ_361478.xls")</f>
        <v/>
      </c>
      <c r="M2915" s="10">
        <f>HYPERLINK("http://localhost:5173/?state=Punjab&amp;keyword=ICT&amp;tender=2026_CEPW_177257_1", "🚀 Open in Portal")</f>
        <v/>
      </c>
    </row>
    <row r="2916" ht="24" customHeight="1">
      <c r="A2916" s="11" t="inlineStr">
        <is>
          <t>Punjab</t>
        </is>
      </c>
      <c r="B2916" s="12" t="inlineStr">
        <is>
          <t>ICT</t>
        </is>
      </c>
      <c r="C2916" s="13" t="inlineStr">
        <is>
          <t>2026_CEPW_177257_1</t>
        </is>
      </c>
      <c r="D2916" s="14" t="inlineStr">
        <is>
          <t>[Construction of ITI at Tripari, Block Kharar District SAS Nagar, Punjab (Balance Work)]</t>
        </is>
      </c>
      <c r="E2916" s="14" t="inlineStr">
        <is>
          <t>Punjab Public Works &amp; Technology Department</t>
        </is>
      </c>
      <c r="F2916" s="13" t="inlineStr">
        <is>
          <t>27 Oct 2026</t>
        </is>
      </c>
      <c r="G2916" s="12" t="inlineStr">
        <is>
          <t>17 Nov 2026</t>
        </is>
      </c>
      <c r="H2916" s="8" t="inlineStr">
        <is>
          <t>⏳ UPCOMING</t>
        </is>
      </c>
      <c r="I2916" s="11" t="inlineStr">
        <is>
          <t>Tender_2026_CEPW_177257_1_All_Documents.zip</t>
        </is>
      </c>
      <c r="J2916" s="13" t="inlineStr">
        <is>
          <t>📦 ZIP Package</t>
        </is>
      </c>
      <c r="K2916" s="15" t="n">
        <v>20.7</v>
      </c>
      <c r="L2916" s="16">
        <f>HYPERLINK("http://127.0.0.1:8000/api/documents/download?id=1362&amp;attachment=true", "⬇ Download Tender_2026_CEPW_177257_")</f>
        <v/>
      </c>
      <c r="M2916" s="16">
        <f>HYPERLINK("http://localhost:5173/?state=Punjab&amp;keyword=ICT&amp;tender=2026_CEPW_177257_1", "🚀 Open in Portal")</f>
        <v/>
      </c>
    </row>
    <row r="2917" ht="24" customHeight="1">
      <c r="A2917" s="4" t="inlineStr">
        <is>
          <t>Punjab</t>
        </is>
      </c>
      <c r="B2917" s="5" t="inlineStr">
        <is>
          <t>ICT</t>
        </is>
      </c>
      <c r="C2917" s="6" t="inlineStr">
        <is>
          <t>2026_CEPW_177259_1</t>
        </is>
      </c>
      <c r="D2917" s="7" t="inlineStr">
        <is>
          <t>[Special Repair of Various Link Roads under Special Repair Program 2022-23, 2023-24 and 2024-25 including 5 year Routine Maintenance in MC Patran District Patiala (Group 3) ]</t>
        </is>
      </c>
      <c r="E2917" s="7" t="inlineStr">
        <is>
          <t>Punjab Public Works &amp; Technology Department</t>
        </is>
      </c>
      <c r="F2917" s="6" t="inlineStr">
        <is>
          <t>14 Aug 2026</t>
        </is>
      </c>
      <c r="G2917" s="5" t="inlineStr">
        <is>
          <t>08 Sep 2026</t>
        </is>
      </c>
      <c r="H2917" s="8" t="inlineStr">
        <is>
          <t>⏳ UPCOMING</t>
        </is>
      </c>
      <c r="I2917" s="4" t="inlineStr">
        <is>
          <t>Tendernotice_1.pdf</t>
        </is>
      </c>
      <c r="J2917" s="6" t="inlineStr">
        <is>
          <t>📕 PDF Document</t>
        </is>
      </c>
      <c r="K2917" s="9" t="n">
        <v>17.8</v>
      </c>
      <c r="L2917" s="10">
        <f>HYPERLINK("http://127.0.0.1:8000/api/documents/download?id=1401&amp;attachment=true", "⬇ Download Tendernotice_1.pdf")</f>
        <v/>
      </c>
      <c r="M2917" s="10">
        <f>HYPERLINK("http://localhost:5173/?state=Punjab&amp;keyword=ICT&amp;tender=2026_CEPW_177259_1", "🚀 Open in Portal")</f>
        <v/>
      </c>
    </row>
    <row r="2918" ht="24" customHeight="1">
      <c r="A2918" s="11" t="inlineStr">
        <is>
          <t>Punjab</t>
        </is>
      </c>
      <c r="B2918" s="12" t="inlineStr">
        <is>
          <t>ICT</t>
        </is>
      </c>
      <c r="C2918" s="13" t="inlineStr">
        <is>
          <t>2026_CEPW_177259_1</t>
        </is>
      </c>
      <c r="D2918" s="14" t="inlineStr">
        <is>
          <t>[Special Repair of Various Link Roads under Special Repair Program 2022-23, 2023-24 and 2024-25 including 5 year Routine Maintenance in MC Patran District Patiala (Group 3) ]</t>
        </is>
      </c>
      <c r="E2918" s="14" t="inlineStr">
        <is>
          <t>Punjab Public Works &amp; Technology Department</t>
        </is>
      </c>
      <c r="F2918" s="13" t="inlineStr">
        <is>
          <t>14 Aug 2026</t>
        </is>
      </c>
      <c r="G2918" s="12" t="inlineStr">
        <is>
          <t>08 Sep 2026</t>
        </is>
      </c>
      <c r="H2918" s="8" t="inlineStr">
        <is>
          <t>⏳ UPCOMING</t>
        </is>
      </c>
      <c r="I2918" s="11" t="inlineStr">
        <is>
          <t>sbdg3.pdf</t>
        </is>
      </c>
      <c r="J2918" s="13" t="inlineStr">
        <is>
          <t>📕 PDF Document</t>
        </is>
      </c>
      <c r="K2918" s="15" t="n">
        <v>17.8</v>
      </c>
      <c r="L2918" s="16">
        <f>HYPERLINK("http://127.0.0.1:8000/api/documents/download?id=1402&amp;attachment=true", "⬇ Download sbdg3.pdf")</f>
        <v/>
      </c>
      <c r="M2918" s="16">
        <f>HYPERLINK("http://localhost:5173/?state=Punjab&amp;keyword=ICT&amp;tender=2026_CEPW_177259_1", "🚀 Open in Portal")</f>
        <v/>
      </c>
    </row>
    <row r="2919" ht="24" customHeight="1">
      <c r="A2919" s="4" t="inlineStr">
        <is>
          <t>Punjab</t>
        </is>
      </c>
      <c r="B2919" s="5" t="inlineStr">
        <is>
          <t>ICT</t>
        </is>
      </c>
      <c r="C2919" s="6" t="inlineStr">
        <is>
          <t>2026_CEPW_177259_1</t>
        </is>
      </c>
      <c r="D2919" s="7" t="inlineStr">
        <is>
          <t>[Special Repair of Various Link Roads under Special Repair Program 2022-23, 2023-24 and 2024-25 including 5 year Routine Maintenance in MC Patran District Patiala (Group 3) ]</t>
        </is>
      </c>
      <c r="E2919" s="7" t="inlineStr">
        <is>
          <t>Punjab Public Works &amp; Technology Department</t>
        </is>
      </c>
      <c r="F2919" s="6" t="inlineStr">
        <is>
          <t>14 Aug 2026</t>
        </is>
      </c>
      <c r="G2919" s="5" t="inlineStr">
        <is>
          <t>08 Sep 2026</t>
        </is>
      </c>
      <c r="H2919" s="8" t="inlineStr">
        <is>
          <t>⏳ UPCOMING</t>
        </is>
      </c>
      <c r="I2919" s="4" t="inlineStr">
        <is>
          <t>BOQ_361481.xls</t>
        </is>
      </c>
      <c r="J2919" s="6" t="inlineStr">
        <is>
          <t>📊 Excel BOQ</t>
        </is>
      </c>
      <c r="K2919" s="9" t="n">
        <v>2.5</v>
      </c>
      <c r="L2919" s="10">
        <f>HYPERLINK("http://127.0.0.1:8000/api/documents/download?id=1403&amp;attachment=true", "⬇ Download BOQ_361481.xls")</f>
        <v/>
      </c>
      <c r="M2919" s="10">
        <f>HYPERLINK("http://localhost:5173/?state=Punjab&amp;keyword=ICT&amp;tender=2026_CEPW_177259_1", "🚀 Open in Portal")</f>
        <v/>
      </c>
    </row>
    <row r="2920" ht="24" customHeight="1">
      <c r="A2920" s="11" t="inlineStr">
        <is>
          <t>Punjab</t>
        </is>
      </c>
      <c r="B2920" s="12" t="inlineStr">
        <is>
          <t>ICT</t>
        </is>
      </c>
      <c r="C2920" s="13" t="inlineStr">
        <is>
          <t>2026_CEPW_177259_1</t>
        </is>
      </c>
      <c r="D2920" s="14" t="inlineStr">
        <is>
          <t>[Special Repair of Various Link Roads under Special Repair Program 2022-23, 2023-24 and 2024-25 including 5 year Routine Maintenance in MC Patran District Patiala (Group 3) ]</t>
        </is>
      </c>
      <c r="E2920" s="14" t="inlineStr">
        <is>
          <t>Punjab Public Works &amp; Technology Department</t>
        </is>
      </c>
      <c r="F2920" s="13" t="inlineStr">
        <is>
          <t>14 Aug 2026</t>
        </is>
      </c>
      <c r="G2920" s="12" t="inlineStr">
        <is>
          <t>08 Sep 2026</t>
        </is>
      </c>
      <c r="H2920" s="8" t="inlineStr">
        <is>
          <t>⏳ UPCOMING</t>
        </is>
      </c>
      <c r="I2920" s="11" t="inlineStr">
        <is>
          <t>Tender_2026_CEPW_177259_1_All_Documents.zip</t>
        </is>
      </c>
      <c r="J2920" s="13" t="inlineStr">
        <is>
          <t>📦 ZIP Package</t>
        </is>
      </c>
      <c r="K2920" s="15" t="n">
        <v>20.9</v>
      </c>
      <c r="L2920" s="16">
        <f>HYPERLINK("http://127.0.0.1:8000/api/documents/download?id=1404&amp;attachment=true", "⬇ Download Tender_2026_CEPW_177259_")</f>
        <v/>
      </c>
      <c r="M2920" s="16">
        <f>HYPERLINK("http://localhost:5173/?state=Punjab&amp;keyword=ICT&amp;tender=2026_CEPW_177259_1", "🚀 Open in Portal")</f>
        <v/>
      </c>
    </row>
    <row r="2921" ht="24" customHeight="1">
      <c r="A2921" s="4" t="inlineStr">
        <is>
          <t>Punjab</t>
        </is>
      </c>
      <c r="B2921" s="5" t="inlineStr">
        <is>
          <t>ICT</t>
        </is>
      </c>
      <c r="C2921" s="6" t="inlineStr">
        <is>
          <t>2026_CEPW_177260_1</t>
        </is>
      </c>
      <c r="D2921" s="7" t="inlineStr">
        <is>
          <t>[Special Repair of Various Link Roads under Special Repair Program 2022-23, 2023-24 and 2024-25 including 5 year Routine Maintenance in MC Patran District Patiala (Group-5) ]</t>
        </is>
      </c>
      <c r="E2921" s="7" t="inlineStr">
        <is>
          <t>Punjab Public Works &amp; Technology Department</t>
        </is>
      </c>
      <c r="F2921" s="6" t="inlineStr">
        <is>
          <t>29 Jul 2026</t>
        </is>
      </c>
      <c r="G2921" s="5" t="inlineStr">
        <is>
          <t>24 Aug 2026</t>
        </is>
      </c>
      <c r="H2921" s="8" t="inlineStr">
        <is>
          <t>⏳ UPCOMING</t>
        </is>
      </c>
      <c r="I2921" s="4" t="inlineStr">
        <is>
          <t>Tendernotice_1.pdf</t>
        </is>
      </c>
      <c r="J2921" s="6" t="inlineStr">
        <is>
          <t>📕 PDF Document</t>
        </is>
      </c>
      <c r="K2921" s="9" t="n">
        <v>17.8</v>
      </c>
      <c r="L2921" s="10">
        <f>HYPERLINK("http://127.0.0.1:8000/api/documents/download?id=1397&amp;attachment=true", "⬇ Download Tendernotice_1.pdf")</f>
        <v/>
      </c>
      <c r="M2921" s="10">
        <f>HYPERLINK("http://localhost:5173/?state=Punjab&amp;keyword=ICT&amp;tender=2026_CEPW_177260_1", "🚀 Open in Portal")</f>
        <v/>
      </c>
    </row>
    <row r="2922" ht="24" customHeight="1">
      <c r="A2922" s="11" t="inlineStr">
        <is>
          <t>Punjab</t>
        </is>
      </c>
      <c r="B2922" s="12" t="inlineStr">
        <is>
          <t>ICT</t>
        </is>
      </c>
      <c r="C2922" s="13" t="inlineStr">
        <is>
          <t>2026_CEPW_177260_1</t>
        </is>
      </c>
      <c r="D2922" s="14" t="inlineStr">
        <is>
          <t>[Special Repair of Various Link Roads under Special Repair Program 2022-23, 2023-24 and 2024-25 including 5 year Routine Maintenance in MC Patran District Patiala (Group-5) ]</t>
        </is>
      </c>
      <c r="E2922" s="14" t="inlineStr">
        <is>
          <t>Punjab Public Works &amp; Technology Department</t>
        </is>
      </c>
      <c r="F2922" s="13" t="inlineStr">
        <is>
          <t>29 Jul 2026</t>
        </is>
      </c>
      <c r="G2922" s="12" t="inlineStr">
        <is>
          <t>24 Aug 2026</t>
        </is>
      </c>
      <c r="H2922" s="8" t="inlineStr">
        <is>
          <t>⏳ UPCOMING</t>
        </is>
      </c>
      <c r="I2922" s="11" t="inlineStr">
        <is>
          <t>sbdg5.pdf</t>
        </is>
      </c>
      <c r="J2922" s="13" t="inlineStr">
        <is>
          <t>📕 PDF Document</t>
        </is>
      </c>
      <c r="K2922" s="15" t="n">
        <v>17.8</v>
      </c>
      <c r="L2922" s="16">
        <f>HYPERLINK("http://127.0.0.1:8000/api/documents/download?id=1398&amp;attachment=true", "⬇ Download sbdg5.pdf")</f>
        <v/>
      </c>
      <c r="M2922" s="16">
        <f>HYPERLINK("http://localhost:5173/?state=Punjab&amp;keyword=ICT&amp;tender=2026_CEPW_177260_1", "🚀 Open in Portal")</f>
        <v/>
      </c>
    </row>
    <row r="2923" ht="24" customHeight="1">
      <c r="A2923" s="4" t="inlineStr">
        <is>
          <t>Punjab</t>
        </is>
      </c>
      <c r="B2923" s="5" t="inlineStr">
        <is>
          <t>ICT</t>
        </is>
      </c>
      <c r="C2923" s="6" t="inlineStr">
        <is>
          <t>2026_CEPW_177260_1</t>
        </is>
      </c>
      <c r="D2923" s="7" t="inlineStr">
        <is>
          <t>[Special Repair of Various Link Roads under Special Repair Program 2022-23, 2023-24 and 2024-25 including 5 year Routine Maintenance in MC Patran District Patiala (Group-5) ]</t>
        </is>
      </c>
      <c r="E2923" s="7" t="inlineStr">
        <is>
          <t>Punjab Public Works &amp; Technology Department</t>
        </is>
      </c>
      <c r="F2923" s="6" t="inlineStr">
        <is>
          <t>29 Jul 2026</t>
        </is>
      </c>
      <c r="G2923" s="5" t="inlineStr">
        <is>
          <t>24 Aug 2026</t>
        </is>
      </c>
      <c r="H2923" s="8" t="inlineStr">
        <is>
          <t>⏳ UPCOMING</t>
        </is>
      </c>
      <c r="I2923" s="4" t="inlineStr">
        <is>
          <t>BOQ_361484.xls</t>
        </is>
      </c>
      <c r="J2923" s="6" t="inlineStr">
        <is>
          <t>📊 Excel BOQ</t>
        </is>
      </c>
      <c r="K2923" s="9" t="n">
        <v>2.5</v>
      </c>
      <c r="L2923" s="10">
        <f>HYPERLINK("http://127.0.0.1:8000/api/documents/download?id=1399&amp;attachment=true", "⬇ Download BOQ_361484.xls")</f>
        <v/>
      </c>
      <c r="M2923" s="10">
        <f>HYPERLINK("http://localhost:5173/?state=Punjab&amp;keyword=ICT&amp;tender=2026_CEPW_177260_1", "🚀 Open in Portal")</f>
        <v/>
      </c>
    </row>
    <row r="2924" ht="24" customHeight="1">
      <c r="A2924" s="11" t="inlineStr">
        <is>
          <t>Punjab</t>
        </is>
      </c>
      <c r="B2924" s="12" t="inlineStr">
        <is>
          <t>ICT</t>
        </is>
      </c>
      <c r="C2924" s="13" t="inlineStr">
        <is>
          <t>2026_CEPW_177260_1</t>
        </is>
      </c>
      <c r="D2924" s="14" t="inlineStr">
        <is>
          <t>[Special Repair of Various Link Roads under Special Repair Program 2022-23, 2023-24 and 2024-25 including 5 year Routine Maintenance in MC Patran District Patiala (Group-5) ]</t>
        </is>
      </c>
      <c r="E2924" s="14" t="inlineStr">
        <is>
          <t>Punjab Public Works &amp; Technology Department</t>
        </is>
      </c>
      <c r="F2924" s="13" t="inlineStr">
        <is>
          <t>29 Jul 2026</t>
        </is>
      </c>
      <c r="G2924" s="12" t="inlineStr">
        <is>
          <t>24 Aug 2026</t>
        </is>
      </c>
      <c r="H2924" s="8" t="inlineStr">
        <is>
          <t>⏳ UPCOMING</t>
        </is>
      </c>
      <c r="I2924" s="11" t="inlineStr">
        <is>
          <t>Tender_2026_CEPW_177260_1_All_Documents.zip</t>
        </is>
      </c>
      <c r="J2924" s="13" t="inlineStr">
        <is>
          <t>📦 ZIP Package</t>
        </is>
      </c>
      <c r="K2924" s="15" t="n">
        <v>20.8</v>
      </c>
      <c r="L2924" s="16">
        <f>HYPERLINK("http://127.0.0.1:8000/api/documents/download?id=1400&amp;attachment=true", "⬇ Download Tender_2026_CEPW_177260_")</f>
        <v/>
      </c>
      <c r="M2924" s="16">
        <f>HYPERLINK("http://localhost:5173/?state=Punjab&amp;keyword=ICT&amp;tender=2026_CEPW_177260_1", "🚀 Open in Portal")</f>
        <v/>
      </c>
    </row>
    <row r="2925" ht="24" customHeight="1">
      <c r="A2925" s="4" t="inlineStr">
        <is>
          <t>Punjab</t>
        </is>
      </c>
      <c r="B2925" s="5" t="inlineStr">
        <is>
          <t>ICT</t>
        </is>
      </c>
      <c r="C2925" s="6" t="inlineStr">
        <is>
          <t>2026_CEPW_177284_1</t>
        </is>
      </c>
      <c r="D2925" s="7" t="inlineStr">
        <is>
          <t>[Repair of Link Road Kambali Railway Bridge to Amb Sahib Colony in District SAS Nagar]</t>
        </is>
      </c>
      <c r="E2925" s="7" t="inlineStr">
        <is>
          <t>Punjab Public Works &amp; Technology Department</t>
        </is>
      </c>
      <c r="F2925" s="6" t="inlineStr">
        <is>
          <t>17 Sep 2026</t>
        </is>
      </c>
      <c r="G2925" s="5" t="inlineStr">
        <is>
          <t>16 Oct 2026</t>
        </is>
      </c>
      <c r="H2925" s="8" t="inlineStr">
        <is>
          <t>⏳ UPCOMING</t>
        </is>
      </c>
      <c r="I2925" s="4" t="inlineStr">
        <is>
          <t>Tendernotice_1.pdf</t>
        </is>
      </c>
      <c r="J2925" s="6" t="inlineStr">
        <is>
          <t>📕 PDF Document</t>
        </is>
      </c>
      <c r="K2925" s="9" t="n">
        <v>17.8</v>
      </c>
      <c r="L2925" s="10">
        <f>HYPERLINK("http://127.0.0.1:8000/api/documents/download?id=1388&amp;attachment=true", "⬇ Download Tendernotice_1.pdf")</f>
        <v/>
      </c>
      <c r="M2925" s="10">
        <f>HYPERLINK("http://localhost:5173/?state=Punjab&amp;keyword=ICT&amp;tender=2026_CEPW_177284_1", "🚀 Open in Portal")</f>
        <v/>
      </c>
    </row>
    <row r="2926" ht="24" customHeight="1">
      <c r="A2926" s="11" t="inlineStr">
        <is>
          <t>Punjab</t>
        </is>
      </c>
      <c r="B2926" s="12" t="inlineStr">
        <is>
          <t>ICT</t>
        </is>
      </c>
      <c r="C2926" s="13" t="inlineStr">
        <is>
          <t>2026_CEPW_177284_1</t>
        </is>
      </c>
      <c r="D2926" s="14" t="inlineStr">
        <is>
          <t>[Repair of Link Road Kambali Railway Bridge to Amb Sahib Colony in District SAS Nagar]</t>
        </is>
      </c>
      <c r="E2926" s="14" t="inlineStr">
        <is>
          <t>Punjab Public Works &amp; Technology Department</t>
        </is>
      </c>
      <c r="F2926" s="13" t="inlineStr">
        <is>
          <t>17 Sep 2026</t>
        </is>
      </c>
      <c r="G2926" s="12" t="inlineStr">
        <is>
          <t>16 Oct 2026</t>
        </is>
      </c>
      <c r="H2926" s="8" t="inlineStr">
        <is>
          <t>⏳ UPCOMING</t>
        </is>
      </c>
      <c r="I2926" s="11" t="inlineStr">
        <is>
          <t>SBD39.pdf</t>
        </is>
      </c>
      <c r="J2926" s="13" t="inlineStr">
        <is>
          <t>📕 PDF Document</t>
        </is>
      </c>
      <c r="K2926" s="15" t="n">
        <v>17.8</v>
      </c>
      <c r="L2926" s="16">
        <f>HYPERLINK("http://127.0.0.1:8000/api/documents/download?id=1389&amp;attachment=true", "⬇ Download SBD39.pdf")</f>
        <v/>
      </c>
      <c r="M2926" s="16">
        <f>HYPERLINK("http://localhost:5173/?state=Punjab&amp;keyword=ICT&amp;tender=2026_CEPW_177284_1", "🚀 Open in Portal")</f>
        <v/>
      </c>
    </row>
    <row r="2927" ht="24" customHeight="1">
      <c r="A2927" s="4" t="inlineStr">
        <is>
          <t>Punjab</t>
        </is>
      </c>
      <c r="B2927" s="5" t="inlineStr">
        <is>
          <t>ICT</t>
        </is>
      </c>
      <c r="C2927" s="6" t="inlineStr">
        <is>
          <t>2026_CEPW_177284_1</t>
        </is>
      </c>
      <c r="D2927" s="7" t="inlineStr">
        <is>
          <t>[Repair of Link Road Kambali Railway Bridge to Amb Sahib Colony in District SAS Nagar]</t>
        </is>
      </c>
      <c r="E2927" s="7" t="inlineStr">
        <is>
          <t>Punjab Public Works &amp; Technology Department</t>
        </is>
      </c>
      <c r="F2927" s="6" t="inlineStr">
        <is>
          <t>17 Sep 2026</t>
        </is>
      </c>
      <c r="G2927" s="5" t="inlineStr">
        <is>
          <t>16 Oct 2026</t>
        </is>
      </c>
      <c r="H2927" s="8" t="inlineStr">
        <is>
          <t>⏳ UPCOMING</t>
        </is>
      </c>
      <c r="I2927" s="4" t="inlineStr">
        <is>
          <t>BOQ_361518.xls</t>
        </is>
      </c>
      <c r="J2927" s="6" t="inlineStr">
        <is>
          <t>📊 Excel BOQ</t>
        </is>
      </c>
      <c r="K2927" s="9" t="n">
        <v>2.5</v>
      </c>
      <c r="L2927" s="10">
        <f>HYPERLINK("http://127.0.0.1:8000/api/documents/download?id=1390&amp;attachment=true", "⬇ Download BOQ_361518.xls")</f>
        <v/>
      </c>
      <c r="M2927" s="10">
        <f>HYPERLINK("http://localhost:5173/?state=Punjab&amp;keyword=ICT&amp;tender=2026_CEPW_177284_1", "🚀 Open in Portal")</f>
        <v/>
      </c>
    </row>
    <row r="2928" ht="24" customHeight="1">
      <c r="A2928" s="11" t="inlineStr">
        <is>
          <t>Punjab</t>
        </is>
      </c>
      <c r="B2928" s="12" t="inlineStr">
        <is>
          <t>ICT</t>
        </is>
      </c>
      <c r="C2928" s="13" t="inlineStr">
        <is>
          <t>2026_CEPW_177284_1</t>
        </is>
      </c>
      <c r="D2928" s="14" t="inlineStr">
        <is>
          <t>[Repair of Link Road Kambali Railway Bridge to Amb Sahib Colony in District SAS Nagar]</t>
        </is>
      </c>
      <c r="E2928" s="14" t="inlineStr">
        <is>
          <t>Punjab Public Works &amp; Technology Department</t>
        </is>
      </c>
      <c r="F2928" s="13" t="inlineStr">
        <is>
          <t>17 Sep 2026</t>
        </is>
      </c>
      <c r="G2928" s="12" t="inlineStr">
        <is>
          <t>16 Oct 2026</t>
        </is>
      </c>
      <c r="H2928" s="8" t="inlineStr">
        <is>
          <t>⏳ UPCOMING</t>
        </is>
      </c>
      <c r="I2928" s="11" t="inlineStr">
        <is>
          <t>Tender_2026_CEPW_177284_1_All_Documents.zip</t>
        </is>
      </c>
      <c r="J2928" s="13" t="inlineStr">
        <is>
          <t>📦 ZIP Package</t>
        </is>
      </c>
      <c r="K2928" s="15" t="n">
        <v>20.9</v>
      </c>
      <c r="L2928" s="16">
        <f>HYPERLINK("http://127.0.0.1:8000/api/documents/download?id=1391&amp;attachment=true", "⬇ Download Tender_2026_CEPW_177284_")</f>
        <v/>
      </c>
      <c r="M2928" s="16">
        <f>HYPERLINK("http://localhost:5173/?state=Punjab&amp;keyword=ICT&amp;tender=2026_CEPW_177284_1", "🚀 Open in Portal")</f>
        <v/>
      </c>
    </row>
    <row r="2929" ht="24" customHeight="1">
      <c r="A2929" s="4" t="inlineStr">
        <is>
          <t>Punjab</t>
        </is>
      </c>
      <c r="B2929" s="5" t="inlineStr">
        <is>
          <t>ICT</t>
        </is>
      </c>
      <c r="C2929" s="6" t="inlineStr">
        <is>
          <t>2026_CEPW_177290_1</t>
        </is>
      </c>
      <c r="D2929" s="7" t="inlineStr">
        <is>
          <t>[Construction of Box Type Cricket Turf / Box Cricket Ground at Sultanpurlodhi District Kapurthala]</t>
        </is>
      </c>
      <c r="E2929" s="7" t="inlineStr">
        <is>
          <t>Punjab Public Works &amp; Technology Department</t>
        </is>
      </c>
      <c r="F2929" s="6" t="inlineStr">
        <is>
          <t>24 Aug 2026</t>
        </is>
      </c>
      <c r="G2929" s="5" t="inlineStr">
        <is>
          <t>21 Sep 2026</t>
        </is>
      </c>
      <c r="H2929" s="8" t="inlineStr">
        <is>
          <t>⏳ UPCOMING</t>
        </is>
      </c>
      <c r="I2929" s="4" t="inlineStr">
        <is>
          <t>Tendernotice_1.pdf</t>
        </is>
      </c>
      <c r="J2929" s="6" t="inlineStr">
        <is>
          <t>📕 PDF Document</t>
        </is>
      </c>
      <c r="K2929" s="9" t="n">
        <v>17.8</v>
      </c>
      <c r="L2929" s="10">
        <f>HYPERLINK("http://127.0.0.1:8000/api/documents/download?id=1379&amp;attachment=true", "⬇ Download Tendernotice_1.pdf")</f>
        <v/>
      </c>
      <c r="M2929" s="10">
        <f>HYPERLINK("http://localhost:5173/?state=Punjab&amp;keyword=ICT&amp;tender=2026_CEPW_177290_1", "🚀 Open in Portal")</f>
        <v/>
      </c>
    </row>
    <row r="2930" ht="24" customHeight="1">
      <c r="A2930" s="11" t="inlineStr">
        <is>
          <t>Punjab</t>
        </is>
      </c>
      <c r="B2930" s="12" t="inlineStr">
        <is>
          <t>ICT</t>
        </is>
      </c>
      <c r="C2930" s="13" t="inlineStr">
        <is>
          <t>2026_CEPW_177290_1</t>
        </is>
      </c>
      <c r="D2930" s="14" t="inlineStr">
        <is>
          <t>[Construction of Box Type Cricket Turf / Box Cricket Ground at Sultanpurlodhi District Kapurthala]</t>
        </is>
      </c>
      <c r="E2930" s="14" t="inlineStr">
        <is>
          <t>Punjab Public Works &amp; Technology Department</t>
        </is>
      </c>
      <c r="F2930" s="13" t="inlineStr">
        <is>
          <t>24 Aug 2026</t>
        </is>
      </c>
      <c r="G2930" s="12" t="inlineStr">
        <is>
          <t>21 Sep 2026</t>
        </is>
      </c>
      <c r="H2930" s="8" t="inlineStr">
        <is>
          <t>⏳ UPCOMING</t>
        </is>
      </c>
      <c r="I2930" s="11" t="inlineStr">
        <is>
          <t>BOQ_361528.xls</t>
        </is>
      </c>
      <c r="J2930" s="13" t="inlineStr">
        <is>
          <t>📊 Excel BOQ</t>
        </is>
      </c>
      <c r="K2930" s="15" t="n">
        <v>2.5</v>
      </c>
      <c r="L2930" s="16">
        <f>HYPERLINK("http://127.0.0.1:8000/api/documents/download?id=1380&amp;attachment=true", "⬇ Download BOQ_361528.xls")</f>
        <v/>
      </c>
      <c r="M2930" s="16">
        <f>HYPERLINK("http://localhost:5173/?state=Punjab&amp;keyword=ICT&amp;tender=2026_CEPW_177290_1", "🚀 Open in Portal")</f>
        <v/>
      </c>
    </row>
    <row r="2931" ht="24" customHeight="1">
      <c r="A2931" s="4" t="inlineStr">
        <is>
          <t>Punjab</t>
        </is>
      </c>
      <c r="B2931" s="5" t="inlineStr">
        <is>
          <t>ICT</t>
        </is>
      </c>
      <c r="C2931" s="6" t="inlineStr">
        <is>
          <t>2026_CEPW_177290_1</t>
        </is>
      </c>
      <c r="D2931" s="7" t="inlineStr">
        <is>
          <t>[Construction of Box Type Cricket Turf / Box Cricket Ground at Sultanpurlodhi District Kapurthala]</t>
        </is>
      </c>
      <c r="E2931" s="7" t="inlineStr">
        <is>
          <t>Punjab Public Works &amp; Technology Department</t>
        </is>
      </c>
      <c r="F2931" s="6" t="inlineStr">
        <is>
          <t>24 Aug 2026</t>
        </is>
      </c>
      <c r="G2931" s="5" t="inlineStr">
        <is>
          <t>21 Sep 2026</t>
        </is>
      </c>
      <c r="H2931" s="8" t="inlineStr">
        <is>
          <t>⏳ UPCOMING</t>
        </is>
      </c>
      <c r="I2931" s="4" t="inlineStr">
        <is>
          <t>DNIT.pdf</t>
        </is>
      </c>
      <c r="J2931" s="6" t="inlineStr">
        <is>
          <t>📕 PDF Document</t>
        </is>
      </c>
      <c r="K2931" s="9" t="n">
        <v>17.8</v>
      </c>
      <c r="L2931" s="10">
        <f>HYPERLINK("http://127.0.0.1:8000/api/documents/download?id=1381&amp;attachment=true", "⬇ Download DNIT.pdf")</f>
        <v/>
      </c>
      <c r="M2931" s="10">
        <f>HYPERLINK("http://localhost:5173/?state=Punjab&amp;keyword=ICT&amp;tender=2026_CEPW_177290_1", "🚀 Open in Portal")</f>
        <v/>
      </c>
    </row>
    <row r="2932" ht="24" customHeight="1">
      <c r="A2932" s="11" t="inlineStr">
        <is>
          <t>Punjab</t>
        </is>
      </c>
      <c r="B2932" s="12" t="inlineStr">
        <is>
          <t>ICT</t>
        </is>
      </c>
      <c r="C2932" s="13" t="inlineStr">
        <is>
          <t>2026_CEPW_177290_1</t>
        </is>
      </c>
      <c r="D2932" s="14" t="inlineStr">
        <is>
          <t>[Construction of Box Type Cricket Turf / Box Cricket Ground at Sultanpurlodhi District Kapurthala]</t>
        </is>
      </c>
      <c r="E2932" s="14" t="inlineStr">
        <is>
          <t>Punjab Public Works &amp; Technology Department</t>
        </is>
      </c>
      <c r="F2932" s="13" t="inlineStr">
        <is>
          <t>24 Aug 2026</t>
        </is>
      </c>
      <c r="G2932" s="12" t="inlineStr">
        <is>
          <t>21 Sep 2026</t>
        </is>
      </c>
      <c r="H2932" s="8" t="inlineStr">
        <is>
          <t>⏳ UPCOMING</t>
        </is>
      </c>
      <c r="I2932" s="11" t="inlineStr">
        <is>
          <t>Tender_2026_CEPW_177290_1_All_Documents.zip</t>
        </is>
      </c>
      <c r="J2932" s="13" t="inlineStr">
        <is>
          <t>📦 ZIP Package</t>
        </is>
      </c>
      <c r="K2932" s="15" t="n">
        <v>20.7</v>
      </c>
      <c r="L2932" s="16">
        <f>HYPERLINK("http://127.0.0.1:8000/api/documents/download?id=1382&amp;attachment=true", "⬇ Download Tender_2026_CEPW_177290_")</f>
        <v/>
      </c>
      <c r="M2932" s="16">
        <f>HYPERLINK("http://localhost:5173/?state=Punjab&amp;keyword=ICT&amp;tender=2026_CEPW_177290_1", "🚀 Open in Portal")</f>
        <v/>
      </c>
    </row>
    <row r="2933" ht="24" customHeight="1">
      <c r="A2933" s="4" t="inlineStr">
        <is>
          <t>Punjab</t>
        </is>
      </c>
      <c r="B2933" s="5" t="inlineStr">
        <is>
          <t>ICT</t>
        </is>
      </c>
      <c r="C2933" s="6" t="inlineStr">
        <is>
          <t>2026_CEPW_177315_1</t>
        </is>
      </c>
      <c r="D2933" s="7" t="inlineStr">
        <is>
          <t>[Renovation of District Industries Center Patiala]</t>
        </is>
      </c>
      <c r="E2933" s="7" t="inlineStr">
        <is>
          <t>Punjab Public Works &amp; Technology Department</t>
        </is>
      </c>
      <c r="F2933" s="6" t="inlineStr">
        <is>
          <t>04 Sep 2026</t>
        </is>
      </c>
      <c r="G2933" s="5" t="inlineStr">
        <is>
          <t>03 Oct 2026</t>
        </is>
      </c>
      <c r="H2933" s="8" t="inlineStr">
        <is>
          <t>⏳ UPCOMING</t>
        </is>
      </c>
      <c r="I2933" s="4" t="inlineStr">
        <is>
          <t>Tendernotice_1.pdf</t>
        </is>
      </c>
      <c r="J2933" s="6" t="inlineStr">
        <is>
          <t>📕 PDF Document</t>
        </is>
      </c>
      <c r="K2933" s="9" t="n">
        <v>17.8</v>
      </c>
      <c r="L2933" s="10">
        <f>HYPERLINK("http://127.0.0.1:8000/api/documents/download?id=1367&amp;attachment=true", "⬇ Download Tendernotice_1.pdf")</f>
        <v/>
      </c>
      <c r="M2933" s="10">
        <f>HYPERLINK("http://localhost:5173/?state=Punjab&amp;keyword=ICT&amp;tender=2026_CEPW_177315_1", "🚀 Open in Portal")</f>
        <v/>
      </c>
    </row>
    <row r="2934" ht="24" customHeight="1">
      <c r="A2934" s="11" t="inlineStr">
        <is>
          <t>Punjab</t>
        </is>
      </c>
      <c r="B2934" s="12" t="inlineStr">
        <is>
          <t>ICT</t>
        </is>
      </c>
      <c r="C2934" s="13" t="inlineStr">
        <is>
          <t>2026_CEPW_177315_1</t>
        </is>
      </c>
      <c r="D2934" s="14" t="inlineStr">
        <is>
          <t>[Renovation of District Industries Center Patiala]</t>
        </is>
      </c>
      <c r="E2934" s="14" t="inlineStr">
        <is>
          <t>Punjab Public Works &amp; Technology Department</t>
        </is>
      </c>
      <c r="F2934" s="13" t="inlineStr">
        <is>
          <t>04 Sep 2026</t>
        </is>
      </c>
      <c r="G2934" s="12" t="inlineStr">
        <is>
          <t>03 Oct 2026</t>
        </is>
      </c>
      <c r="H2934" s="8" t="inlineStr">
        <is>
          <t>⏳ UPCOMING</t>
        </is>
      </c>
      <c r="I2934" s="11" t="inlineStr">
        <is>
          <t>dnit.pdf</t>
        </is>
      </c>
      <c r="J2934" s="13" t="inlineStr">
        <is>
          <t>📕 PDF Document</t>
        </is>
      </c>
      <c r="K2934" s="15" t="n">
        <v>17.8</v>
      </c>
      <c r="L2934" s="16">
        <f>HYPERLINK("http://127.0.0.1:8000/api/documents/download?id=1368&amp;attachment=true", "⬇ Download dnit.pdf")</f>
        <v/>
      </c>
      <c r="M2934" s="16">
        <f>HYPERLINK("http://localhost:5173/?state=Punjab&amp;keyword=ICT&amp;tender=2026_CEPW_177315_1", "🚀 Open in Portal")</f>
        <v/>
      </c>
    </row>
    <row r="2935" ht="24" customHeight="1">
      <c r="A2935" s="4" t="inlineStr">
        <is>
          <t>Punjab</t>
        </is>
      </c>
      <c r="B2935" s="5" t="inlineStr">
        <is>
          <t>ICT</t>
        </is>
      </c>
      <c r="C2935" s="6" t="inlineStr">
        <is>
          <t>2026_CEPW_177315_1</t>
        </is>
      </c>
      <c r="D2935" s="7" t="inlineStr">
        <is>
          <t>[Renovation of District Industries Center Patiala]</t>
        </is>
      </c>
      <c r="E2935" s="7" t="inlineStr">
        <is>
          <t>Punjab Public Works &amp; Technology Department</t>
        </is>
      </c>
      <c r="F2935" s="6" t="inlineStr">
        <is>
          <t>04 Sep 2026</t>
        </is>
      </c>
      <c r="G2935" s="5" t="inlineStr">
        <is>
          <t>03 Oct 2026</t>
        </is>
      </c>
      <c r="H2935" s="8" t="inlineStr">
        <is>
          <t>⏳ UPCOMING</t>
        </is>
      </c>
      <c r="I2935" s="4" t="inlineStr">
        <is>
          <t>BOQ_361576.xls</t>
        </is>
      </c>
      <c r="J2935" s="6" t="inlineStr">
        <is>
          <t>📊 Excel BOQ</t>
        </is>
      </c>
      <c r="K2935" s="9" t="n">
        <v>2.4</v>
      </c>
      <c r="L2935" s="10">
        <f>HYPERLINK("http://127.0.0.1:8000/api/documents/download?id=1369&amp;attachment=true", "⬇ Download BOQ_361576.xls")</f>
        <v/>
      </c>
      <c r="M2935" s="10">
        <f>HYPERLINK("http://localhost:5173/?state=Punjab&amp;keyword=ICT&amp;tender=2026_CEPW_177315_1", "🚀 Open in Portal")</f>
        <v/>
      </c>
    </row>
    <row r="2936" ht="24" customHeight="1">
      <c r="A2936" s="11" t="inlineStr">
        <is>
          <t>Punjab</t>
        </is>
      </c>
      <c r="B2936" s="12" t="inlineStr">
        <is>
          <t>ICT</t>
        </is>
      </c>
      <c r="C2936" s="13" t="inlineStr">
        <is>
          <t>2026_CEPW_177315_1</t>
        </is>
      </c>
      <c r="D2936" s="14" t="inlineStr">
        <is>
          <t>[Renovation of District Industries Center Patiala]</t>
        </is>
      </c>
      <c r="E2936" s="14" t="inlineStr">
        <is>
          <t>Punjab Public Works &amp; Technology Department</t>
        </is>
      </c>
      <c r="F2936" s="13" t="inlineStr">
        <is>
          <t>04 Sep 2026</t>
        </is>
      </c>
      <c r="G2936" s="12" t="inlineStr">
        <is>
          <t>03 Oct 2026</t>
        </is>
      </c>
      <c r="H2936" s="8" t="inlineStr">
        <is>
          <t>⏳ UPCOMING</t>
        </is>
      </c>
      <c r="I2936" s="11" t="inlineStr">
        <is>
          <t>Tender_2026_CEPW_177315_1_All_Documents.zip</t>
        </is>
      </c>
      <c r="J2936" s="13" t="inlineStr">
        <is>
          <t>📦 ZIP Package</t>
        </is>
      </c>
      <c r="K2936" s="15" t="n">
        <v>20.7</v>
      </c>
      <c r="L2936" s="16">
        <f>HYPERLINK("http://127.0.0.1:8000/api/documents/download?id=1370&amp;attachment=true", "⬇ Download Tender_2026_CEPW_177315_")</f>
        <v/>
      </c>
      <c r="M2936" s="16">
        <f>HYPERLINK("http://localhost:5173/?state=Punjab&amp;keyword=ICT&amp;tender=2026_CEPW_177315_1", "🚀 Open in Portal")</f>
        <v/>
      </c>
    </row>
    <row r="2937" ht="24" customHeight="1">
      <c r="A2937" s="4" t="inlineStr">
        <is>
          <t>Punjab</t>
        </is>
      </c>
      <c r="B2937" s="5" t="inlineStr">
        <is>
          <t>ICT</t>
        </is>
      </c>
      <c r="C2937" s="6" t="inlineStr">
        <is>
          <t>2026_DLG_176939_1</t>
        </is>
      </c>
      <c r="D2937" s="7" t="inlineStr">
        <is>
          <t>[Rejuvenation of Water body at Maur Pond 1, Maur Town District Bathinda]</t>
        </is>
      </c>
      <c r="E2937" s="7" t="inlineStr">
        <is>
          <t>Punjab Public Works &amp; Technology Department</t>
        </is>
      </c>
      <c r="F2937" s="6" t="inlineStr">
        <is>
          <t>15 Sep 2026</t>
        </is>
      </c>
      <c r="G2937" s="5" t="inlineStr">
        <is>
          <t>08 Oct 2026</t>
        </is>
      </c>
      <c r="H2937" s="8" t="inlineStr">
        <is>
          <t>⏳ UPCOMING</t>
        </is>
      </c>
      <c r="I2937" s="4" t="inlineStr">
        <is>
          <t>Tendernotice_1.pdf</t>
        </is>
      </c>
      <c r="J2937" s="6" t="inlineStr">
        <is>
          <t>📕 PDF Document</t>
        </is>
      </c>
      <c r="K2937" s="9" t="n">
        <v>17.8</v>
      </c>
      <c r="L2937" s="10">
        <f>HYPERLINK("http://127.0.0.1:8000/api/documents/download?id=1412&amp;attachment=true", "⬇ Download Tendernotice_1.pdf")</f>
        <v/>
      </c>
      <c r="M2937" s="10">
        <f>HYPERLINK("http://localhost:5173/?state=Punjab&amp;keyword=ICT&amp;tender=2026_DLG_176939_1", "🚀 Open in Portal")</f>
        <v/>
      </c>
    </row>
    <row r="2938" ht="24" customHeight="1">
      <c r="A2938" s="11" t="inlineStr">
        <is>
          <t>Punjab</t>
        </is>
      </c>
      <c r="B2938" s="12" t="inlineStr">
        <is>
          <t>ICT</t>
        </is>
      </c>
      <c r="C2938" s="13" t="inlineStr">
        <is>
          <t>2026_DLG_176939_1</t>
        </is>
      </c>
      <c r="D2938" s="14" t="inlineStr">
        <is>
          <t>[Rejuvenation of Water body at Maur Pond 1, Maur Town District Bathinda]</t>
        </is>
      </c>
      <c r="E2938" s="14" t="inlineStr">
        <is>
          <t>Punjab Public Works &amp; Technology Department</t>
        </is>
      </c>
      <c r="F2938" s="13" t="inlineStr">
        <is>
          <t>15 Sep 2026</t>
        </is>
      </c>
      <c r="G2938" s="12" t="inlineStr">
        <is>
          <t>08 Oct 2026</t>
        </is>
      </c>
      <c r="H2938" s="8" t="inlineStr">
        <is>
          <t>⏳ UPCOMING</t>
        </is>
      </c>
      <c r="I2938" s="11" t="inlineStr">
        <is>
          <t>BOQ_360664.xls</t>
        </is>
      </c>
      <c r="J2938" s="13" t="inlineStr">
        <is>
          <t>📊 Excel BOQ</t>
        </is>
      </c>
      <c r="K2938" s="15" t="n">
        <v>2.4</v>
      </c>
      <c r="L2938" s="16">
        <f>HYPERLINK("http://127.0.0.1:8000/api/documents/download?id=1413&amp;attachment=true", "⬇ Download BOQ_360664.xls")</f>
        <v/>
      </c>
      <c r="M2938" s="16">
        <f>HYPERLINK("http://localhost:5173/?state=Punjab&amp;keyword=ICT&amp;tender=2026_DLG_176939_1", "🚀 Open in Portal")</f>
        <v/>
      </c>
    </row>
    <row r="2939" ht="24" customHeight="1">
      <c r="A2939" s="4" t="inlineStr">
        <is>
          <t>Punjab</t>
        </is>
      </c>
      <c r="B2939" s="5" t="inlineStr">
        <is>
          <t>ICT</t>
        </is>
      </c>
      <c r="C2939" s="6" t="inlineStr">
        <is>
          <t>2026_DLG_176939_1</t>
        </is>
      </c>
      <c r="D2939" s="7" t="inlineStr">
        <is>
          <t>[Rejuvenation of Water body at Maur Pond 1, Maur Town District Bathinda]</t>
        </is>
      </c>
      <c r="E2939" s="7" t="inlineStr">
        <is>
          <t>Punjab Public Works &amp; Technology Department</t>
        </is>
      </c>
      <c r="F2939" s="6" t="inlineStr">
        <is>
          <t>15 Sep 2026</t>
        </is>
      </c>
      <c r="G2939" s="5" t="inlineStr">
        <is>
          <t>08 Oct 2026</t>
        </is>
      </c>
      <c r="H2939" s="8" t="inlineStr">
        <is>
          <t>⏳ UPCOMING</t>
        </is>
      </c>
      <c r="I2939" s="4" t="inlineStr">
        <is>
          <t>Tender_2026_DLG_176939_1_All_Documents.zip</t>
        </is>
      </c>
      <c r="J2939" s="6" t="inlineStr">
        <is>
          <t>📦 ZIP Package</t>
        </is>
      </c>
      <c r="K2939" s="9" t="n">
        <v>11.5</v>
      </c>
      <c r="L2939" s="10">
        <f>HYPERLINK("http://127.0.0.1:8000/api/documents/download?id=1414&amp;attachment=true", "⬇ Download Tender_2026_DLG_176939_1")</f>
        <v/>
      </c>
      <c r="M2939" s="10">
        <f>HYPERLINK("http://localhost:5173/?state=Punjab&amp;keyword=ICT&amp;tender=2026_DLG_176939_1", "🚀 Open in Portal")</f>
        <v/>
      </c>
    </row>
    <row r="2940" ht="24" customHeight="1">
      <c r="A2940" s="11" t="inlineStr">
        <is>
          <t>Punjab</t>
        </is>
      </c>
      <c r="B2940" s="12" t="inlineStr">
        <is>
          <t>ICT</t>
        </is>
      </c>
      <c r="C2940" s="13" t="inlineStr">
        <is>
          <t>2026_DLG_177247_1</t>
        </is>
      </c>
      <c r="D2940" s="14" t="inlineStr">
        <is>
          <t>[Canal Water Based Water Supply Project for Construction of 12.0 MLD Water Treatment Plant (WTP) and other related works including 5 years Operation and Maintenance at Rampura Phul, District Bathinda, Punjab under AMRUT 2.0 Scheme]</t>
        </is>
      </c>
      <c r="E2940" s="14" t="inlineStr">
        <is>
          <t>Punjab Public Works &amp; Technology Department</t>
        </is>
      </c>
      <c r="F2940" s="13" t="inlineStr">
        <is>
          <t>01 Oct 2026</t>
        </is>
      </c>
      <c r="G2940" s="12" t="inlineStr">
        <is>
          <t>09 Nov 2026</t>
        </is>
      </c>
      <c r="H2940" s="17" t="inlineStr">
        <is>
          <t>🟢 LIVE ACTIVE</t>
        </is>
      </c>
      <c r="I2940" s="11" t="inlineStr">
        <is>
          <t>Tendernotice_1.pdf</t>
        </is>
      </c>
      <c r="J2940" s="13" t="inlineStr">
        <is>
          <t>📕 PDF Document</t>
        </is>
      </c>
      <c r="K2940" s="15" t="n">
        <v>17.8</v>
      </c>
      <c r="L2940" s="16">
        <f>HYPERLINK("http://127.0.0.1:8000/api/documents/download?id=1415&amp;attachment=true", "⬇ Download Tendernotice_1.pdf")</f>
        <v/>
      </c>
      <c r="M2940" s="16">
        <f>HYPERLINK("http://localhost:5173/?state=Punjab&amp;keyword=ICT&amp;tender=2026_DLG_177247_1", "🚀 Open in Portal")</f>
        <v/>
      </c>
    </row>
    <row r="2941" ht="24" customHeight="1">
      <c r="A2941" s="4" t="inlineStr">
        <is>
          <t>Punjab</t>
        </is>
      </c>
      <c r="B2941" s="5" t="inlineStr">
        <is>
          <t>ICT</t>
        </is>
      </c>
      <c r="C2941" s="6" t="inlineStr">
        <is>
          <t>2026_DLG_177247_1</t>
        </is>
      </c>
      <c r="D2941" s="7" t="inlineStr">
        <is>
          <t>[Canal Water Based Water Supply Project for Construction of 12.0 MLD Water Treatment Plant (WTP) and other related works including 5 years Operation and Maintenance at Rampura Phul, District Bathinda, Punjab under AMRUT 2.0 Scheme]</t>
        </is>
      </c>
      <c r="E2941" s="7" t="inlineStr">
        <is>
          <t>Punjab Public Works &amp; Technology Department</t>
        </is>
      </c>
      <c r="F2941" s="6" t="inlineStr">
        <is>
          <t>01 Oct 2026</t>
        </is>
      </c>
      <c r="G2941" s="5" t="inlineStr">
        <is>
          <t>09 Nov 2026</t>
        </is>
      </c>
      <c r="H2941" s="17" t="inlineStr">
        <is>
          <t>🟢 LIVE ACTIVE</t>
        </is>
      </c>
      <c r="I2941" s="4" t="inlineStr">
        <is>
          <t>Boqrampuraphulwtp.xls</t>
        </is>
      </c>
      <c r="J2941" s="6" t="inlineStr">
        <is>
          <t>📊 Excel BOQ</t>
        </is>
      </c>
      <c r="K2941" s="9" t="n">
        <v>2.5</v>
      </c>
      <c r="L2941" s="10">
        <f>HYPERLINK("http://127.0.0.1:8000/api/documents/download?id=1416&amp;attachment=true", "⬇ Download Boqrampuraphulwtp.xls")</f>
        <v/>
      </c>
      <c r="M2941" s="10">
        <f>HYPERLINK("http://localhost:5173/?state=Punjab&amp;keyword=ICT&amp;tender=2026_DLG_177247_1", "🚀 Open in Portal")</f>
        <v/>
      </c>
    </row>
    <row r="2942" ht="24" customHeight="1">
      <c r="A2942" s="11" t="inlineStr">
        <is>
          <t>Punjab</t>
        </is>
      </c>
      <c r="B2942" s="12" t="inlineStr">
        <is>
          <t>ICT</t>
        </is>
      </c>
      <c r="C2942" s="13" t="inlineStr">
        <is>
          <t>2026_DLG_177247_1</t>
        </is>
      </c>
      <c r="D2942" s="14" t="inlineStr">
        <is>
          <t>[Canal Water Based Water Supply Project for Construction of 12.0 MLD Water Treatment Plant (WTP) and other related works including 5 years Operation and Maintenance at Rampura Phul, District Bathinda, Punjab under AMRUT 2.0 Scheme]</t>
        </is>
      </c>
      <c r="E2942" s="14" t="inlineStr">
        <is>
          <t>Punjab Public Works &amp; Technology Department</t>
        </is>
      </c>
      <c r="F2942" s="13" t="inlineStr">
        <is>
          <t>01 Oct 2026</t>
        </is>
      </c>
      <c r="G2942" s="12" t="inlineStr">
        <is>
          <t>09 Nov 2026</t>
        </is>
      </c>
      <c r="H2942" s="17" t="inlineStr">
        <is>
          <t>🟢 LIVE ACTIVE</t>
        </is>
      </c>
      <c r="I2942" s="11" t="inlineStr">
        <is>
          <t>Tender_2026_DLG_177247_1_All_Documents.zip</t>
        </is>
      </c>
      <c r="J2942" s="13" t="inlineStr">
        <is>
          <t>📦 ZIP Package</t>
        </is>
      </c>
      <c r="K2942" s="15" t="n">
        <v>11.6</v>
      </c>
      <c r="L2942" s="16">
        <f>HYPERLINK("http://127.0.0.1:8000/api/documents/download?id=1417&amp;attachment=true", "⬇ Download Tender_2026_DLG_177247_1")</f>
        <v/>
      </c>
      <c r="M2942" s="16">
        <f>HYPERLINK("http://localhost:5173/?state=Punjab&amp;keyword=ICT&amp;tender=2026_DLG_177247_1", "🚀 Open in Portal")</f>
        <v/>
      </c>
    </row>
    <row r="2943" ht="24" customHeight="1">
      <c r="A2943" s="4" t="inlineStr">
        <is>
          <t>Punjab</t>
        </is>
      </c>
      <c r="B2943" s="5" t="inlineStr">
        <is>
          <t>ICT</t>
        </is>
      </c>
      <c r="C2943" s="6" t="inlineStr">
        <is>
          <t>2026_DLG_177350_1</t>
        </is>
      </c>
      <c r="D2943" s="7" t="inlineStr">
        <is>
          <t>[Engagement of Special Third Party Independent Techno Financial Auditor for Techno Financial Audit under the Jurisdiction of Punjab Water Supply and Sewerage Division, Moga]</t>
        </is>
      </c>
      <c r="E2943" s="7" t="inlineStr">
        <is>
          <t>Punjab Public Works &amp; Technology Department</t>
        </is>
      </c>
      <c r="F2943" s="6" t="inlineStr">
        <is>
          <t>08 Oct 2026</t>
        </is>
      </c>
      <c r="G2943" s="5" t="inlineStr">
        <is>
          <t>02 Nov 2026</t>
        </is>
      </c>
      <c r="H2943" s="17" t="inlineStr">
        <is>
          <t>🟢 LIVE ACTIVE</t>
        </is>
      </c>
      <c r="I2943" s="4" t="inlineStr">
        <is>
          <t>Tendernotice_1.pdf</t>
        </is>
      </c>
      <c r="J2943" s="6" t="inlineStr">
        <is>
          <t>📕 PDF Document</t>
        </is>
      </c>
      <c r="K2943" s="9" t="n">
        <v>17.8</v>
      </c>
      <c r="L2943" s="10">
        <f>HYPERLINK("http://127.0.0.1:8000/api/documents/download?id=1354&amp;attachment=true", "⬇ Download Tendernotice_1.pdf")</f>
        <v/>
      </c>
      <c r="M2943" s="10">
        <f>HYPERLINK("http://localhost:5173/?state=Punjab&amp;keyword=ICT&amp;tender=2026_DLG_177350_1", "🚀 Open in Portal")</f>
        <v/>
      </c>
    </row>
    <row r="2944" ht="24" customHeight="1">
      <c r="A2944" s="11" t="inlineStr">
        <is>
          <t>Punjab</t>
        </is>
      </c>
      <c r="B2944" s="12" t="inlineStr">
        <is>
          <t>ICT</t>
        </is>
      </c>
      <c r="C2944" s="13" t="inlineStr">
        <is>
          <t>2026_DLG_177350_1</t>
        </is>
      </c>
      <c r="D2944" s="14" t="inlineStr">
        <is>
          <t>[Engagement of Special Third Party Independent Techno Financial Auditor for Techno Financial Audit under the Jurisdiction of Punjab Water Supply and Sewerage Division, Moga]</t>
        </is>
      </c>
      <c r="E2944" s="14" t="inlineStr">
        <is>
          <t>Punjab Public Works &amp; Technology Department</t>
        </is>
      </c>
      <c r="F2944" s="13" t="inlineStr">
        <is>
          <t>08 Oct 2026</t>
        </is>
      </c>
      <c r="G2944" s="12" t="inlineStr">
        <is>
          <t>02 Nov 2026</t>
        </is>
      </c>
      <c r="H2944" s="17" t="inlineStr">
        <is>
          <t>🟢 LIVE ACTIVE</t>
        </is>
      </c>
      <c r="I2944" s="11" t="inlineStr">
        <is>
          <t>SBD_1.pdf</t>
        </is>
      </c>
      <c r="J2944" s="13" t="inlineStr">
        <is>
          <t>📕 PDF Document</t>
        </is>
      </c>
      <c r="K2944" s="15" t="n">
        <v>17.8</v>
      </c>
      <c r="L2944" s="16">
        <f>HYPERLINK("http://127.0.0.1:8000/api/documents/download?id=1355&amp;attachment=true", "⬇ Download SBD_1.pdf")</f>
        <v/>
      </c>
      <c r="M2944" s="16">
        <f>HYPERLINK("http://localhost:5173/?state=Punjab&amp;keyword=ICT&amp;tender=2026_DLG_177350_1", "🚀 Open in Portal")</f>
        <v/>
      </c>
    </row>
    <row r="2945" ht="24" customHeight="1">
      <c r="A2945" s="4" t="inlineStr">
        <is>
          <t>Punjab</t>
        </is>
      </c>
      <c r="B2945" s="5" t="inlineStr">
        <is>
          <t>ICT</t>
        </is>
      </c>
      <c r="C2945" s="6" t="inlineStr">
        <is>
          <t>2026_DLG_177350_1</t>
        </is>
      </c>
      <c r="D2945" s="7" t="inlineStr">
        <is>
          <t>[Engagement of Special Third Party Independent Techno Financial Auditor for Techno Financial Audit under the Jurisdiction of Punjab Water Supply and Sewerage Division, Moga]</t>
        </is>
      </c>
      <c r="E2945" s="7" t="inlineStr">
        <is>
          <t>Punjab Public Works &amp; Technology Department</t>
        </is>
      </c>
      <c r="F2945" s="6" t="inlineStr">
        <is>
          <t>08 Oct 2026</t>
        </is>
      </c>
      <c r="G2945" s="5" t="inlineStr">
        <is>
          <t>02 Nov 2026</t>
        </is>
      </c>
      <c r="H2945" s="17" t="inlineStr">
        <is>
          <t>🟢 LIVE ACTIVE</t>
        </is>
      </c>
      <c r="I2945" s="4" t="inlineStr">
        <is>
          <t>Schedule.pdf</t>
        </is>
      </c>
      <c r="J2945" s="6" t="inlineStr">
        <is>
          <t>📕 PDF Document</t>
        </is>
      </c>
      <c r="K2945" s="9" t="n">
        <v>17.8</v>
      </c>
      <c r="L2945" s="10">
        <f>HYPERLINK("http://127.0.0.1:8000/api/documents/download?id=1356&amp;attachment=true", "⬇ Download Schedule.pdf")</f>
        <v/>
      </c>
      <c r="M2945" s="10">
        <f>HYPERLINK("http://localhost:5173/?state=Punjab&amp;keyword=ICT&amp;tender=2026_DLG_177350_1", "🚀 Open in Portal")</f>
        <v/>
      </c>
    </row>
    <row r="2946" ht="24" customHeight="1">
      <c r="A2946" s="11" t="inlineStr">
        <is>
          <t>Punjab</t>
        </is>
      </c>
      <c r="B2946" s="12" t="inlineStr">
        <is>
          <t>ICT</t>
        </is>
      </c>
      <c r="C2946" s="13" t="inlineStr">
        <is>
          <t>2026_DLG_177350_1</t>
        </is>
      </c>
      <c r="D2946" s="14" t="inlineStr">
        <is>
          <t>[Engagement of Special Third Party Independent Techno Financial Auditor for Techno Financial Audit under the Jurisdiction of Punjab Water Supply and Sewerage Division, Moga]</t>
        </is>
      </c>
      <c r="E2946" s="14" t="inlineStr">
        <is>
          <t>Punjab Public Works &amp; Technology Department</t>
        </is>
      </c>
      <c r="F2946" s="13" t="inlineStr">
        <is>
          <t>08 Oct 2026</t>
        </is>
      </c>
      <c r="G2946" s="12" t="inlineStr">
        <is>
          <t>02 Nov 2026</t>
        </is>
      </c>
      <c r="H2946" s="17" t="inlineStr">
        <is>
          <t>🟢 LIVE ACTIVE</t>
        </is>
      </c>
      <c r="I2946" s="11" t="inlineStr">
        <is>
          <t>BOQ_361649.xls</t>
        </is>
      </c>
      <c r="J2946" s="13" t="inlineStr">
        <is>
          <t>📊 Excel BOQ</t>
        </is>
      </c>
      <c r="K2946" s="15" t="n">
        <v>2.5</v>
      </c>
      <c r="L2946" s="16">
        <f>HYPERLINK("http://127.0.0.1:8000/api/documents/download?id=1357&amp;attachment=true", "⬇ Download BOQ_361649.xls")</f>
        <v/>
      </c>
      <c r="M2946" s="16">
        <f>HYPERLINK("http://localhost:5173/?state=Punjab&amp;keyword=ICT&amp;tender=2026_DLG_177350_1", "🚀 Open in Portal")</f>
        <v/>
      </c>
    </row>
    <row r="2947" ht="24" customHeight="1">
      <c r="A2947" s="4" t="inlineStr">
        <is>
          <t>Punjab</t>
        </is>
      </c>
      <c r="B2947" s="5" t="inlineStr">
        <is>
          <t>ICT</t>
        </is>
      </c>
      <c r="C2947" s="6" t="inlineStr">
        <is>
          <t>2026_DLG_177350_1</t>
        </is>
      </c>
      <c r="D2947" s="7" t="inlineStr">
        <is>
          <t>[Engagement of Special Third Party Independent Techno Financial Auditor for Techno Financial Audit under the Jurisdiction of Punjab Water Supply and Sewerage Division, Moga]</t>
        </is>
      </c>
      <c r="E2947" s="7" t="inlineStr">
        <is>
          <t>Punjab Public Works &amp; Technology Department</t>
        </is>
      </c>
      <c r="F2947" s="6" t="inlineStr">
        <is>
          <t>08 Oct 2026</t>
        </is>
      </c>
      <c r="G2947" s="5" t="inlineStr">
        <is>
          <t>02 Nov 2026</t>
        </is>
      </c>
      <c r="H2947" s="17" t="inlineStr">
        <is>
          <t>🟢 LIVE ACTIVE</t>
        </is>
      </c>
      <c r="I2947" s="4" t="inlineStr">
        <is>
          <t>Tender_2026_DLG_177350_1_All_Documents.zip</t>
        </is>
      </c>
      <c r="J2947" s="6" t="inlineStr">
        <is>
          <t>📦 ZIP Package</t>
        </is>
      </c>
      <c r="K2947" s="9" t="n">
        <v>30</v>
      </c>
      <c r="L2947" s="10">
        <f>HYPERLINK("http://127.0.0.1:8000/api/documents/download?id=1358&amp;attachment=true", "⬇ Download Tender_2026_DLG_177350_1")</f>
        <v/>
      </c>
      <c r="M2947" s="10">
        <f>HYPERLINK("http://localhost:5173/?state=Punjab&amp;keyword=ICT&amp;tender=2026_DLG_177350_1", "🚀 Open in Portal")</f>
        <v/>
      </c>
    </row>
    <row r="2948" ht="24" customHeight="1">
      <c r="A2948" s="11" t="inlineStr">
        <is>
          <t>Punjab</t>
        </is>
      </c>
      <c r="B2948" s="12" t="inlineStr">
        <is>
          <t>ICT</t>
        </is>
      </c>
      <c r="C2948" s="13" t="inlineStr">
        <is>
          <t>2026_DOA_176134_2</t>
        </is>
      </c>
      <c r="D2948" s="14" t="inlineStr">
        <is>
          <t>[Earthwork for excavation of trenches for laying of HDPE UGPS construction of pump room construction of sump well pumping system and electric work in pump room complete at STP Kot Shamir Tehsil and District Bathinda]</t>
        </is>
      </c>
      <c r="E2948" s="14" t="inlineStr">
        <is>
          <t>Punjab Public Works &amp; Technology Department</t>
        </is>
      </c>
      <c r="F2948" s="13" t="inlineStr">
        <is>
          <t>21 Oct 2026</t>
        </is>
      </c>
      <c r="G2948" s="12" t="inlineStr">
        <is>
          <t>11 Nov 2026</t>
        </is>
      </c>
      <c r="H2948" s="8" t="inlineStr">
        <is>
          <t>⏳ UPCOMING</t>
        </is>
      </c>
      <c r="I2948" s="11" t="inlineStr">
        <is>
          <t>Tendernotice_1.pdf</t>
        </is>
      </c>
      <c r="J2948" s="13" t="inlineStr">
        <is>
          <t>📕 PDF Document</t>
        </is>
      </c>
      <c r="K2948" s="15" t="n">
        <v>17.8</v>
      </c>
      <c r="L2948" s="16">
        <f>HYPERLINK("http://127.0.0.1:8000/api/documents/download?id=1383&amp;attachment=true", "⬇ Download Tendernotice_1.pdf")</f>
        <v/>
      </c>
      <c r="M2948" s="16">
        <f>HYPERLINK("http://localhost:5173/?state=Punjab&amp;keyword=ICT&amp;tender=2026_DOA_176134_2", "🚀 Open in Portal")</f>
        <v/>
      </c>
    </row>
    <row r="2949" ht="24" customHeight="1">
      <c r="A2949" s="4" t="inlineStr">
        <is>
          <t>Punjab</t>
        </is>
      </c>
      <c r="B2949" s="5" t="inlineStr">
        <is>
          <t>ICT</t>
        </is>
      </c>
      <c r="C2949" s="6" t="inlineStr">
        <is>
          <t>2026_DOA_176134_2</t>
        </is>
      </c>
      <c r="D2949" s="7" t="inlineStr">
        <is>
          <t>[Earthwork for excavation of trenches for laying of HDPE UGPS construction of pump room construction of sump well pumping system and electric work in pump room complete at STP Kot Shamir Tehsil and District Bathinda]</t>
        </is>
      </c>
      <c r="E2949" s="7" t="inlineStr">
        <is>
          <t>Punjab Public Works &amp; Technology Department</t>
        </is>
      </c>
      <c r="F2949" s="6" t="inlineStr">
        <is>
          <t>21 Oct 2026</t>
        </is>
      </c>
      <c r="G2949" s="5" t="inlineStr">
        <is>
          <t>11 Nov 2026</t>
        </is>
      </c>
      <c r="H2949" s="8" t="inlineStr">
        <is>
          <t>⏳ UPCOMING</t>
        </is>
      </c>
      <c r="I2949" s="4" t="inlineStr">
        <is>
          <t>techbid.xls</t>
        </is>
      </c>
      <c r="J2949" s="6" t="inlineStr">
        <is>
          <t>📊 Excel BOQ</t>
        </is>
      </c>
      <c r="K2949" s="9" t="n">
        <v>2.5</v>
      </c>
      <c r="L2949" s="10">
        <f>HYPERLINK("http://127.0.0.1:8000/api/documents/download?id=1384&amp;attachment=true", "⬇ Download techbid.xls")</f>
        <v/>
      </c>
      <c r="M2949" s="10">
        <f>HYPERLINK("http://localhost:5173/?state=Punjab&amp;keyword=ICT&amp;tender=2026_DOA_176134_2", "🚀 Open in Portal")</f>
        <v/>
      </c>
    </row>
    <row r="2950" ht="24" customHeight="1">
      <c r="A2950" s="11" t="inlineStr">
        <is>
          <t>Punjab</t>
        </is>
      </c>
      <c r="B2950" s="12" t="inlineStr">
        <is>
          <t>ICT</t>
        </is>
      </c>
      <c r="C2950" s="13" t="inlineStr">
        <is>
          <t>2026_DOA_176134_2</t>
        </is>
      </c>
      <c r="D2950" s="14" t="inlineStr">
        <is>
          <t>[Earthwork for excavation of trenches for laying of HDPE UGPS construction of pump room construction of sump well pumping system and electric work in pump room complete at STP Kot Shamir Tehsil and District Bathinda]</t>
        </is>
      </c>
      <c r="E2950" s="14" t="inlineStr">
        <is>
          <t>Punjab Public Works &amp; Technology Department</t>
        </is>
      </c>
      <c r="F2950" s="13" t="inlineStr">
        <is>
          <t>21 Oct 2026</t>
        </is>
      </c>
      <c r="G2950" s="12" t="inlineStr">
        <is>
          <t>11 Nov 2026</t>
        </is>
      </c>
      <c r="H2950" s="8" t="inlineStr">
        <is>
          <t>⏳ UPCOMING</t>
        </is>
      </c>
      <c r="I2950" s="11" t="inlineStr">
        <is>
          <t>SBD.pdf</t>
        </is>
      </c>
      <c r="J2950" s="13" t="inlineStr">
        <is>
          <t>📕 PDF Document</t>
        </is>
      </c>
      <c r="K2950" s="15" t="n">
        <v>17.8</v>
      </c>
      <c r="L2950" s="16">
        <f>HYPERLINK("http://127.0.0.1:8000/api/documents/download?id=1385&amp;attachment=true", "⬇ Download SBD.pdf")</f>
        <v/>
      </c>
      <c r="M2950" s="16">
        <f>HYPERLINK("http://localhost:5173/?state=Punjab&amp;keyword=ICT&amp;tender=2026_DOA_176134_2", "🚀 Open in Portal")</f>
        <v/>
      </c>
    </row>
    <row r="2951" ht="24" customHeight="1">
      <c r="A2951" s="4" t="inlineStr">
        <is>
          <t>Punjab</t>
        </is>
      </c>
      <c r="B2951" s="5" t="inlineStr">
        <is>
          <t>ICT</t>
        </is>
      </c>
      <c r="C2951" s="6" t="inlineStr">
        <is>
          <t>2026_DOA_176134_2</t>
        </is>
      </c>
      <c r="D2951" s="7" t="inlineStr">
        <is>
          <t>[Earthwork for excavation of trenches for laying of HDPE UGPS construction of pump room construction of sump well pumping system and electric work in pump room complete at STP Kot Shamir Tehsil and District Bathinda]</t>
        </is>
      </c>
      <c r="E2951" s="7" t="inlineStr">
        <is>
          <t>Punjab Public Works &amp; Technology Department</t>
        </is>
      </c>
      <c r="F2951" s="6" t="inlineStr">
        <is>
          <t>21 Oct 2026</t>
        </is>
      </c>
      <c r="G2951" s="5" t="inlineStr">
        <is>
          <t>11 Nov 2026</t>
        </is>
      </c>
      <c r="H2951" s="8" t="inlineStr">
        <is>
          <t>⏳ UPCOMING</t>
        </is>
      </c>
      <c r="I2951" s="4" t="inlineStr">
        <is>
          <t>finbid1.xls</t>
        </is>
      </c>
      <c r="J2951" s="6" t="inlineStr">
        <is>
          <t>📊 Excel BOQ</t>
        </is>
      </c>
      <c r="K2951" s="9" t="n">
        <v>2.5</v>
      </c>
      <c r="L2951" s="10">
        <f>HYPERLINK("http://127.0.0.1:8000/api/documents/download?id=1386&amp;attachment=true", "⬇ Download finbid1.xls")</f>
        <v/>
      </c>
      <c r="M2951" s="10">
        <f>HYPERLINK("http://localhost:5173/?state=Punjab&amp;keyword=ICT&amp;tender=2026_DOA_176134_2", "🚀 Open in Portal")</f>
        <v/>
      </c>
    </row>
    <row r="2952" ht="24" customHeight="1">
      <c r="A2952" s="11" t="inlineStr">
        <is>
          <t>Punjab</t>
        </is>
      </c>
      <c r="B2952" s="12" t="inlineStr">
        <is>
          <t>ICT</t>
        </is>
      </c>
      <c r="C2952" s="13" t="inlineStr">
        <is>
          <t>2026_DOA_176134_2</t>
        </is>
      </c>
      <c r="D2952" s="14" t="inlineStr">
        <is>
          <t>[Earthwork for excavation of trenches for laying of HDPE UGPS construction of pump room construction of sump well pumping system and electric work in pump room complete at STP Kot Shamir Tehsil and District Bathinda]</t>
        </is>
      </c>
      <c r="E2952" s="14" t="inlineStr">
        <is>
          <t>Punjab Public Works &amp; Technology Department</t>
        </is>
      </c>
      <c r="F2952" s="13" t="inlineStr">
        <is>
          <t>21 Oct 2026</t>
        </is>
      </c>
      <c r="G2952" s="12" t="inlineStr">
        <is>
          <t>11 Nov 2026</t>
        </is>
      </c>
      <c r="H2952" s="8" t="inlineStr">
        <is>
          <t>⏳ UPCOMING</t>
        </is>
      </c>
      <c r="I2952" s="11" t="inlineStr">
        <is>
          <t>Tender_2026_DOA_176134_2_All_Documents.zip</t>
        </is>
      </c>
      <c r="J2952" s="13" t="inlineStr">
        <is>
          <t>📦 ZIP Package</t>
        </is>
      </c>
      <c r="K2952" s="15" t="n">
        <v>23.1</v>
      </c>
      <c r="L2952" s="16">
        <f>HYPERLINK("http://127.0.0.1:8000/api/documents/download?id=1387&amp;attachment=true", "⬇ Download Tender_2026_DOA_176134_2")</f>
        <v/>
      </c>
      <c r="M2952" s="16">
        <f>HYPERLINK("http://localhost:5173/?state=Punjab&amp;keyword=ICT&amp;tender=2026_DOA_176134_2", "🚀 Open in Portal")</f>
        <v/>
      </c>
    </row>
    <row r="2953" ht="24" customHeight="1">
      <c r="A2953" s="4" t="inlineStr">
        <is>
          <t>Punjab</t>
        </is>
      </c>
      <c r="B2953" s="5" t="inlineStr">
        <is>
          <t>ICT</t>
        </is>
      </c>
      <c r="C2953" s="6" t="inlineStr">
        <is>
          <t>2026_DOS_177224_1</t>
        </is>
      </c>
      <c r="D2953" s="7" t="inlineStr">
        <is>
          <t>[E-Tender for providing meals to the players of District / Sub Centers of Excellence (School Wings) of Punjab State Institute of Sports Kapurthala]</t>
        </is>
      </c>
      <c r="E2953" s="7" t="inlineStr">
        <is>
          <t>Punjab Public Works &amp; Technology Department</t>
        </is>
      </c>
      <c r="F2953" s="6" t="inlineStr">
        <is>
          <t>18 Aug 2026</t>
        </is>
      </c>
      <c r="G2953" s="5" t="inlineStr">
        <is>
          <t>10 Sep 2026</t>
        </is>
      </c>
      <c r="H2953" s="8" t="inlineStr">
        <is>
          <t>⏳ UPCOMING</t>
        </is>
      </c>
      <c r="I2953" s="4" t="inlineStr">
        <is>
          <t>Tendernotice_1.pdf</t>
        </is>
      </c>
      <c r="J2953" s="6" t="inlineStr">
        <is>
          <t>📕 PDF Document</t>
        </is>
      </c>
      <c r="K2953" s="9" t="n">
        <v>17.8</v>
      </c>
      <c r="L2953" s="10">
        <f>HYPERLINK("http://127.0.0.1:8000/api/documents/download?id=1430&amp;attachment=true", "⬇ Download Tendernotice_1.pdf")</f>
        <v/>
      </c>
      <c r="M2953" s="10">
        <f>HYPERLINK("http://localhost:5173/?state=Punjab&amp;keyword=ICT&amp;tender=2026_DOS_177224_1", "🚀 Open in Portal")</f>
        <v/>
      </c>
    </row>
    <row r="2954" ht="24" customHeight="1">
      <c r="A2954" s="11" t="inlineStr">
        <is>
          <t>Punjab</t>
        </is>
      </c>
      <c r="B2954" s="12" t="inlineStr">
        <is>
          <t>ICT</t>
        </is>
      </c>
      <c r="C2954" s="13" t="inlineStr">
        <is>
          <t>2026_DOS_177224_1</t>
        </is>
      </c>
      <c r="D2954" s="14" t="inlineStr">
        <is>
          <t>[E-Tender for providing meals to the players of District / Sub Centers of Excellence (School Wings) of Punjab State Institute of Sports Kapurthala]</t>
        </is>
      </c>
      <c r="E2954" s="14" t="inlineStr">
        <is>
          <t>Punjab Public Works &amp; Technology Department</t>
        </is>
      </c>
      <c r="F2954" s="13" t="inlineStr">
        <is>
          <t>18 Aug 2026</t>
        </is>
      </c>
      <c r="G2954" s="12" t="inlineStr">
        <is>
          <t>10 Sep 2026</t>
        </is>
      </c>
      <c r="H2954" s="8" t="inlineStr">
        <is>
          <t>⏳ UPCOMING</t>
        </is>
      </c>
      <c r="I2954" s="11" t="inlineStr">
        <is>
          <t>BOQ_361294.xls</t>
        </is>
      </c>
      <c r="J2954" s="13" t="inlineStr">
        <is>
          <t>📊 Excel BOQ</t>
        </is>
      </c>
      <c r="K2954" s="15" t="n">
        <v>2.5</v>
      </c>
      <c r="L2954" s="16">
        <f>HYPERLINK("http://127.0.0.1:8000/api/documents/download?id=1431&amp;attachment=true", "⬇ Download BOQ_361294.xls")</f>
        <v/>
      </c>
      <c r="M2954" s="16">
        <f>HYPERLINK("http://localhost:5173/?state=Punjab&amp;keyword=ICT&amp;tender=2026_DOS_177224_1", "🚀 Open in Portal")</f>
        <v/>
      </c>
    </row>
    <row r="2955" ht="24" customHeight="1">
      <c r="A2955" s="4" t="inlineStr">
        <is>
          <t>Punjab</t>
        </is>
      </c>
      <c r="B2955" s="5" t="inlineStr">
        <is>
          <t>ICT</t>
        </is>
      </c>
      <c r="C2955" s="6" t="inlineStr">
        <is>
          <t>2026_DOS_177224_1</t>
        </is>
      </c>
      <c r="D2955" s="7" t="inlineStr">
        <is>
          <t>[E-Tender for providing meals to the players of District / Sub Centers of Excellence (School Wings) of Punjab State Institute of Sports Kapurthala]</t>
        </is>
      </c>
      <c r="E2955" s="7" t="inlineStr">
        <is>
          <t>Punjab Public Works &amp; Technology Department</t>
        </is>
      </c>
      <c r="F2955" s="6" t="inlineStr">
        <is>
          <t>18 Aug 2026</t>
        </is>
      </c>
      <c r="G2955" s="5" t="inlineStr">
        <is>
          <t>10 Sep 2026</t>
        </is>
      </c>
      <c r="H2955" s="8" t="inlineStr">
        <is>
          <t>⏳ UPCOMING</t>
        </is>
      </c>
      <c r="I2955" s="4" t="inlineStr">
        <is>
          <t>DNIT2.pdf</t>
        </is>
      </c>
      <c r="J2955" s="6" t="inlineStr">
        <is>
          <t>📕 PDF Document</t>
        </is>
      </c>
      <c r="K2955" s="9" t="n">
        <v>17.8</v>
      </c>
      <c r="L2955" s="10">
        <f>HYPERLINK("http://127.0.0.1:8000/api/documents/download?id=1432&amp;attachment=true", "⬇ Download DNIT2.pdf")</f>
        <v/>
      </c>
      <c r="M2955" s="10">
        <f>HYPERLINK("http://localhost:5173/?state=Punjab&amp;keyword=ICT&amp;tender=2026_DOS_177224_1", "🚀 Open in Portal")</f>
        <v/>
      </c>
    </row>
    <row r="2956" ht="24" customHeight="1">
      <c r="A2956" s="11" t="inlineStr">
        <is>
          <t>Punjab</t>
        </is>
      </c>
      <c r="B2956" s="12" t="inlineStr">
        <is>
          <t>ICT</t>
        </is>
      </c>
      <c r="C2956" s="13" t="inlineStr">
        <is>
          <t>2026_DOS_177224_1</t>
        </is>
      </c>
      <c r="D2956" s="14" t="inlineStr">
        <is>
          <t>[E-Tender for providing meals to the players of District / Sub Centers of Excellence (School Wings) of Punjab State Institute of Sports Kapurthala]</t>
        </is>
      </c>
      <c r="E2956" s="14" t="inlineStr">
        <is>
          <t>Punjab Public Works &amp; Technology Department</t>
        </is>
      </c>
      <c r="F2956" s="13" t="inlineStr">
        <is>
          <t>18 Aug 2026</t>
        </is>
      </c>
      <c r="G2956" s="12" t="inlineStr">
        <is>
          <t>10 Sep 2026</t>
        </is>
      </c>
      <c r="H2956" s="8" t="inlineStr">
        <is>
          <t>⏳ UPCOMING</t>
        </is>
      </c>
      <c r="I2956" s="11" t="inlineStr">
        <is>
          <t>Tender_2026_DOS_177224_1_All_Documents.zip</t>
        </is>
      </c>
      <c r="J2956" s="13" t="inlineStr">
        <is>
          <t>📦 ZIP Package</t>
        </is>
      </c>
      <c r="K2956" s="15" t="n">
        <v>20.9</v>
      </c>
      <c r="L2956" s="16">
        <f>HYPERLINK("http://127.0.0.1:8000/api/documents/download?id=1433&amp;attachment=true", "⬇ Download Tender_2026_DOS_177224_1")</f>
        <v/>
      </c>
      <c r="M2956" s="16">
        <f>HYPERLINK("http://localhost:5173/?state=Punjab&amp;keyword=ICT&amp;tender=2026_DOS_177224_1", "🚀 Open in Portal")</f>
        <v/>
      </c>
    </row>
    <row r="2957" ht="24" customHeight="1">
      <c r="A2957" s="4" t="inlineStr">
        <is>
          <t>Punjab</t>
        </is>
      </c>
      <c r="B2957" s="5" t="inlineStr">
        <is>
          <t>ICT</t>
        </is>
      </c>
      <c r="C2957" s="6" t="inlineStr">
        <is>
          <t>2026_DOS_177225_1</t>
        </is>
      </c>
      <c r="D2957" s="7" t="inlineStr">
        <is>
          <t>[E-Tender for providing meals to the players of District / Sub Centers of Excellence (School Wings) of Punjab State Institute of Sports Sri Mukatsar Sahib]</t>
        </is>
      </c>
      <c r="E2957" s="7" t="inlineStr">
        <is>
          <t>Punjab Public Works &amp; Technology Department</t>
        </is>
      </c>
      <c r="F2957" s="6" t="inlineStr">
        <is>
          <t>20 Oct 2026</t>
        </is>
      </c>
      <c r="G2957" s="5" t="inlineStr">
        <is>
          <t>10 Nov 2026</t>
        </is>
      </c>
      <c r="H2957" s="8" t="inlineStr">
        <is>
          <t>⏳ UPCOMING</t>
        </is>
      </c>
      <c r="I2957" s="4" t="inlineStr">
        <is>
          <t>Tendernotice_1.pdf</t>
        </is>
      </c>
      <c r="J2957" s="6" t="inlineStr">
        <is>
          <t>📕 PDF Document</t>
        </is>
      </c>
      <c r="K2957" s="9" t="n">
        <v>17.8</v>
      </c>
      <c r="L2957" s="10">
        <f>HYPERLINK("http://127.0.0.1:8000/api/documents/download?id=1426&amp;attachment=true", "⬇ Download Tendernotice_1.pdf")</f>
        <v/>
      </c>
      <c r="M2957" s="10">
        <f>HYPERLINK("http://localhost:5173/?state=Punjab&amp;keyword=ICT&amp;tender=2026_DOS_177225_1", "🚀 Open in Portal")</f>
        <v/>
      </c>
    </row>
    <row r="2958" ht="24" customHeight="1">
      <c r="A2958" s="11" t="inlineStr">
        <is>
          <t>Punjab</t>
        </is>
      </c>
      <c r="B2958" s="12" t="inlineStr">
        <is>
          <t>ICT</t>
        </is>
      </c>
      <c r="C2958" s="13" t="inlineStr">
        <is>
          <t>2026_DOS_177225_1</t>
        </is>
      </c>
      <c r="D2958" s="14" t="inlineStr">
        <is>
          <t>[E-Tender for providing meals to the players of District / Sub Centers of Excellence (School Wings) of Punjab State Institute of Sports Sri Mukatsar Sahib]</t>
        </is>
      </c>
      <c r="E2958" s="14" t="inlineStr">
        <is>
          <t>Punjab Public Works &amp; Technology Department</t>
        </is>
      </c>
      <c r="F2958" s="13" t="inlineStr">
        <is>
          <t>20 Oct 2026</t>
        </is>
      </c>
      <c r="G2958" s="12" t="inlineStr">
        <is>
          <t>10 Nov 2026</t>
        </is>
      </c>
      <c r="H2958" s="8" t="inlineStr">
        <is>
          <t>⏳ UPCOMING</t>
        </is>
      </c>
      <c r="I2958" s="11" t="inlineStr">
        <is>
          <t>DNIT2.pdf</t>
        </is>
      </c>
      <c r="J2958" s="13" t="inlineStr">
        <is>
          <t>📕 PDF Document</t>
        </is>
      </c>
      <c r="K2958" s="15" t="n">
        <v>17.8</v>
      </c>
      <c r="L2958" s="16">
        <f>HYPERLINK("http://127.0.0.1:8000/api/documents/download?id=1427&amp;attachment=true", "⬇ Download DNIT2.pdf")</f>
        <v/>
      </c>
      <c r="M2958" s="16">
        <f>HYPERLINK("http://localhost:5173/?state=Punjab&amp;keyword=ICT&amp;tender=2026_DOS_177225_1", "🚀 Open in Portal")</f>
        <v/>
      </c>
    </row>
    <row r="2959" ht="24" customHeight="1">
      <c r="A2959" s="4" t="inlineStr">
        <is>
          <t>Punjab</t>
        </is>
      </c>
      <c r="B2959" s="5" t="inlineStr">
        <is>
          <t>ICT</t>
        </is>
      </c>
      <c r="C2959" s="6" t="inlineStr">
        <is>
          <t>2026_DOS_177225_1</t>
        </is>
      </c>
      <c r="D2959" s="7" t="inlineStr">
        <is>
          <t>[E-Tender for providing meals to the players of District / Sub Centers of Excellence (School Wings) of Punjab State Institute of Sports Sri Mukatsar Sahib]</t>
        </is>
      </c>
      <c r="E2959" s="7" t="inlineStr">
        <is>
          <t>Punjab Public Works &amp; Technology Department</t>
        </is>
      </c>
      <c r="F2959" s="6" t="inlineStr">
        <is>
          <t>20 Oct 2026</t>
        </is>
      </c>
      <c r="G2959" s="5" t="inlineStr">
        <is>
          <t>10 Nov 2026</t>
        </is>
      </c>
      <c r="H2959" s="8" t="inlineStr">
        <is>
          <t>⏳ UPCOMING</t>
        </is>
      </c>
      <c r="I2959" s="4" t="inlineStr">
        <is>
          <t>BOQ_361295.xls</t>
        </is>
      </c>
      <c r="J2959" s="6" t="inlineStr">
        <is>
          <t>📊 Excel BOQ</t>
        </is>
      </c>
      <c r="K2959" s="9" t="n">
        <v>2.5</v>
      </c>
      <c r="L2959" s="10">
        <f>HYPERLINK("http://127.0.0.1:8000/api/documents/download?id=1428&amp;attachment=true", "⬇ Download BOQ_361295.xls")</f>
        <v/>
      </c>
      <c r="M2959" s="10">
        <f>HYPERLINK("http://localhost:5173/?state=Punjab&amp;keyword=ICT&amp;tender=2026_DOS_177225_1", "🚀 Open in Portal")</f>
        <v/>
      </c>
    </row>
    <row r="2960" ht="24" customHeight="1">
      <c r="A2960" s="11" t="inlineStr">
        <is>
          <t>Punjab</t>
        </is>
      </c>
      <c r="B2960" s="12" t="inlineStr">
        <is>
          <t>ICT</t>
        </is>
      </c>
      <c r="C2960" s="13" t="inlineStr">
        <is>
          <t>2026_DOS_177225_1</t>
        </is>
      </c>
      <c r="D2960" s="14" t="inlineStr">
        <is>
          <t>[E-Tender for providing meals to the players of District / Sub Centers of Excellence (School Wings) of Punjab State Institute of Sports Sri Mukatsar Sahib]</t>
        </is>
      </c>
      <c r="E2960" s="14" t="inlineStr">
        <is>
          <t>Punjab Public Works &amp; Technology Department</t>
        </is>
      </c>
      <c r="F2960" s="13" t="inlineStr">
        <is>
          <t>20 Oct 2026</t>
        </is>
      </c>
      <c r="G2960" s="12" t="inlineStr">
        <is>
          <t>10 Nov 2026</t>
        </is>
      </c>
      <c r="H2960" s="8" t="inlineStr">
        <is>
          <t>⏳ UPCOMING</t>
        </is>
      </c>
      <c r="I2960" s="11" t="inlineStr">
        <is>
          <t>Tender_2026_DOS_177225_1_All_Documents.zip</t>
        </is>
      </c>
      <c r="J2960" s="13" t="inlineStr">
        <is>
          <t>📦 ZIP Package</t>
        </is>
      </c>
      <c r="K2960" s="15" t="n">
        <v>20.8</v>
      </c>
      <c r="L2960" s="16">
        <f>HYPERLINK("http://127.0.0.1:8000/api/documents/download?id=1429&amp;attachment=true", "⬇ Download Tender_2026_DOS_177225_1")</f>
        <v/>
      </c>
      <c r="M2960" s="16">
        <f>HYPERLINK("http://localhost:5173/?state=Punjab&amp;keyword=ICT&amp;tender=2026_DOS_177225_1", "🚀 Open in Portal")</f>
        <v/>
      </c>
    </row>
    <row r="2961" ht="24" customHeight="1">
      <c r="A2961" s="4" t="inlineStr">
        <is>
          <t>Punjab</t>
        </is>
      </c>
      <c r="B2961" s="5" t="inlineStr">
        <is>
          <t>ICT</t>
        </is>
      </c>
      <c r="C2961" s="6" t="inlineStr">
        <is>
          <t>2026_DOS_177226_1</t>
        </is>
      </c>
      <c r="D2961" s="7" t="inlineStr">
        <is>
          <t>[E-Tender for providing meals to the players of District / Sub Centers of Excellence (School Wings) of Punjab State Institute of Sports SBS Nagar]</t>
        </is>
      </c>
      <c r="E2961" s="7" t="inlineStr">
        <is>
          <t>Punjab Public Works &amp; Technology Department</t>
        </is>
      </c>
      <c r="F2961" s="6" t="inlineStr">
        <is>
          <t>17 Oct 2026</t>
        </is>
      </c>
      <c r="G2961" s="5" t="inlineStr">
        <is>
          <t>08 Nov 2026</t>
        </is>
      </c>
      <c r="H2961" s="17" t="inlineStr">
        <is>
          <t>🟢 LIVE ACTIVE</t>
        </is>
      </c>
      <c r="I2961" s="4" t="inlineStr">
        <is>
          <t>Tendernotice_1.pdf</t>
        </is>
      </c>
      <c r="J2961" s="6" t="inlineStr">
        <is>
          <t>📕 PDF Document</t>
        </is>
      </c>
      <c r="K2961" s="9" t="n">
        <v>17.8</v>
      </c>
      <c r="L2961" s="10">
        <f>HYPERLINK("http://127.0.0.1:8000/api/documents/download?id=1418&amp;attachment=true", "⬇ Download Tendernotice_1.pdf")</f>
        <v/>
      </c>
      <c r="M2961" s="10">
        <f>HYPERLINK("http://localhost:5173/?state=Punjab&amp;keyword=ICT&amp;tender=2026_DOS_177226_1", "🚀 Open in Portal")</f>
        <v/>
      </c>
    </row>
    <row r="2962" ht="24" customHeight="1">
      <c r="A2962" s="11" t="inlineStr">
        <is>
          <t>Punjab</t>
        </is>
      </c>
      <c r="B2962" s="12" t="inlineStr">
        <is>
          <t>ICT</t>
        </is>
      </c>
      <c r="C2962" s="13" t="inlineStr">
        <is>
          <t>2026_DOS_177226_1</t>
        </is>
      </c>
      <c r="D2962" s="14" t="inlineStr">
        <is>
          <t>[E-Tender for providing meals to the players of District / Sub Centers of Excellence (School Wings) of Punjab State Institute of Sports SBS Nagar]</t>
        </is>
      </c>
      <c r="E2962" s="14" t="inlineStr">
        <is>
          <t>Punjab Public Works &amp; Technology Department</t>
        </is>
      </c>
      <c r="F2962" s="13" t="inlineStr">
        <is>
          <t>17 Oct 2026</t>
        </is>
      </c>
      <c r="G2962" s="12" t="inlineStr">
        <is>
          <t>08 Nov 2026</t>
        </is>
      </c>
      <c r="H2962" s="17" t="inlineStr">
        <is>
          <t>🟢 LIVE ACTIVE</t>
        </is>
      </c>
      <c r="I2962" s="11" t="inlineStr">
        <is>
          <t>BOQ_361296.xls</t>
        </is>
      </c>
      <c r="J2962" s="13" t="inlineStr">
        <is>
          <t>📊 Excel BOQ</t>
        </is>
      </c>
      <c r="K2962" s="15" t="n">
        <v>2.5</v>
      </c>
      <c r="L2962" s="16">
        <f>HYPERLINK("http://127.0.0.1:8000/api/documents/download?id=1419&amp;attachment=true", "⬇ Download BOQ_361296.xls")</f>
        <v/>
      </c>
      <c r="M2962" s="16">
        <f>HYPERLINK("http://localhost:5173/?state=Punjab&amp;keyword=ICT&amp;tender=2026_DOS_177226_1", "🚀 Open in Portal")</f>
        <v/>
      </c>
    </row>
    <row r="2963" ht="24" customHeight="1">
      <c r="A2963" s="4" t="inlineStr">
        <is>
          <t>Punjab</t>
        </is>
      </c>
      <c r="B2963" s="5" t="inlineStr">
        <is>
          <t>ICT</t>
        </is>
      </c>
      <c r="C2963" s="6" t="inlineStr">
        <is>
          <t>2026_DOS_177226_1</t>
        </is>
      </c>
      <c r="D2963" s="7" t="inlineStr">
        <is>
          <t>[E-Tender for providing meals to the players of District / Sub Centers of Excellence (School Wings) of Punjab State Institute of Sports SBS Nagar]</t>
        </is>
      </c>
      <c r="E2963" s="7" t="inlineStr">
        <is>
          <t>Punjab Public Works &amp; Technology Department</t>
        </is>
      </c>
      <c r="F2963" s="6" t="inlineStr">
        <is>
          <t>17 Oct 2026</t>
        </is>
      </c>
      <c r="G2963" s="5" t="inlineStr">
        <is>
          <t>08 Nov 2026</t>
        </is>
      </c>
      <c r="H2963" s="17" t="inlineStr">
        <is>
          <t>🟢 LIVE ACTIVE</t>
        </is>
      </c>
      <c r="I2963" s="4" t="inlineStr">
        <is>
          <t>DNIT2.pdf</t>
        </is>
      </c>
      <c r="J2963" s="6" t="inlineStr">
        <is>
          <t>📕 PDF Document</t>
        </is>
      </c>
      <c r="K2963" s="9" t="n">
        <v>17.8</v>
      </c>
      <c r="L2963" s="10">
        <f>HYPERLINK("http://127.0.0.1:8000/api/documents/download?id=1420&amp;attachment=true", "⬇ Download DNIT2.pdf")</f>
        <v/>
      </c>
      <c r="M2963" s="10">
        <f>HYPERLINK("http://localhost:5173/?state=Punjab&amp;keyword=ICT&amp;tender=2026_DOS_177226_1", "🚀 Open in Portal")</f>
        <v/>
      </c>
    </row>
    <row r="2964" ht="24" customHeight="1">
      <c r="A2964" s="11" t="inlineStr">
        <is>
          <t>Punjab</t>
        </is>
      </c>
      <c r="B2964" s="12" t="inlineStr">
        <is>
          <t>ICT</t>
        </is>
      </c>
      <c r="C2964" s="13" t="inlineStr">
        <is>
          <t>2026_DOS_177226_1</t>
        </is>
      </c>
      <c r="D2964" s="14" t="inlineStr">
        <is>
          <t>[E-Tender for providing meals to the players of District / Sub Centers of Excellence (School Wings) of Punjab State Institute of Sports SBS Nagar]</t>
        </is>
      </c>
      <c r="E2964" s="14" t="inlineStr">
        <is>
          <t>Punjab Public Works &amp; Technology Department</t>
        </is>
      </c>
      <c r="F2964" s="13" t="inlineStr">
        <is>
          <t>17 Oct 2026</t>
        </is>
      </c>
      <c r="G2964" s="12" t="inlineStr">
        <is>
          <t>08 Nov 2026</t>
        </is>
      </c>
      <c r="H2964" s="17" t="inlineStr">
        <is>
          <t>🟢 LIVE ACTIVE</t>
        </is>
      </c>
      <c r="I2964" s="11" t="inlineStr">
        <is>
          <t>Tender_2026_DOS_177226_1_All_Documents.zip</t>
        </is>
      </c>
      <c r="J2964" s="13" t="inlineStr">
        <is>
          <t>📦 ZIP Package</t>
        </is>
      </c>
      <c r="K2964" s="15" t="n">
        <v>20.8</v>
      </c>
      <c r="L2964" s="16">
        <f>HYPERLINK("http://127.0.0.1:8000/api/documents/download?id=1421&amp;attachment=true", "⬇ Download Tender_2026_DOS_177226_1")</f>
        <v/>
      </c>
      <c r="M2964" s="16">
        <f>HYPERLINK("http://localhost:5173/?state=Punjab&amp;keyword=ICT&amp;tender=2026_DOS_177226_1", "🚀 Open in Portal")</f>
        <v/>
      </c>
    </row>
    <row r="2965" ht="24" customHeight="1">
      <c r="A2965" s="4" t="inlineStr">
        <is>
          <t>Punjab</t>
        </is>
      </c>
      <c r="B2965" s="5" t="inlineStr">
        <is>
          <t>ICT</t>
        </is>
      </c>
      <c r="C2965" s="6" t="inlineStr">
        <is>
          <t>2026_DOS_177227_1</t>
        </is>
      </c>
      <c r="D2965" s="7" t="inlineStr">
        <is>
          <t>[E-Tender for providing meals to the players of District / Sub Centers of Excellence (School Wings) of Punjab State Institute of Sports Ropar]</t>
        </is>
      </c>
      <c r="E2965" s="7" t="inlineStr">
        <is>
          <t>Punjab Public Works &amp; Technology Department</t>
        </is>
      </c>
      <c r="F2965" s="6" t="inlineStr">
        <is>
          <t>03 Aug 2026</t>
        </is>
      </c>
      <c r="G2965" s="5" t="inlineStr">
        <is>
          <t>27 Aug 2026</t>
        </is>
      </c>
      <c r="H2965" s="8" t="inlineStr">
        <is>
          <t>⏳ UPCOMING</t>
        </is>
      </c>
      <c r="I2965" s="4" t="inlineStr">
        <is>
          <t>Tendernotice_1.pdf</t>
        </is>
      </c>
      <c r="J2965" s="6" t="inlineStr">
        <is>
          <t>📕 PDF Document</t>
        </is>
      </c>
      <c r="K2965" s="9" t="n">
        <v>17.8</v>
      </c>
      <c r="L2965" s="10">
        <f>HYPERLINK("http://127.0.0.1:8000/api/documents/download?id=1422&amp;attachment=true", "⬇ Download Tendernotice_1.pdf")</f>
        <v/>
      </c>
      <c r="M2965" s="10">
        <f>HYPERLINK("http://localhost:5173/?state=Punjab&amp;keyword=ICT&amp;tender=2026_DOS_177227_1", "🚀 Open in Portal")</f>
        <v/>
      </c>
    </row>
    <row r="2966" ht="24" customHeight="1">
      <c r="A2966" s="11" t="inlineStr">
        <is>
          <t>Punjab</t>
        </is>
      </c>
      <c r="B2966" s="12" t="inlineStr">
        <is>
          <t>ICT</t>
        </is>
      </c>
      <c r="C2966" s="13" t="inlineStr">
        <is>
          <t>2026_DOS_177227_1</t>
        </is>
      </c>
      <c r="D2966" s="14" t="inlineStr">
        <is>
          <t>[E-Tender for providing meals to the players of District / Sub Centers of Excellence (School Wings) of Punjab State Institute of Sports Ropar]</t>
        </is>
      </c>
      <c r="E2966" s="14" t="inlineStr">
        <is>
          <t>Punjab Public Works &amp; Technology Department</t>
        </is>
      </c>
      <c r="F2966" s="13" t="inlineStr">
        <is>
          <t>03 Aug 2026</t>
        </is>
      </c>
      <c r="G2966" s="12" t="inlineStr">
        <is>
          <t>27 Aug 2026</t>
        </is>
      </c>
      <c r="H2966" s="8" t="inlineStr">
        <is>
          <t>⏳ UPCOMING</t>
        </is>
      </c>
      <c r="I2966" s="11" t="inlineStr">
        <is>
          <t>DNIT2.pdf</t>
        </is>
      </c>
      <c r="J2966" s="13" t="inlineStr">
        <is>
          <t>📕 PDF Document</t>
        </is>
      </c>
      <c r="K2966" s="15" t="n">
        <v>17.8</v>
      </c>
      <c r="L2966" s="16">
        <f>HYPERLINK("http://127.0.0.1:8000/api/documents/download?id=1423&amp;attachment=true", "⬇ Download DNIT2.pdf")</f>
        <v/>
      </c>
      <c r="M2966" s="16">
        <f>HYPERLINK("http://localhost:5173/?state=Punjab&amp;keyword=ICT&amp;tender=2026_DOS_177227_1", "🚀 Open in Portal")</f>
        <v/>
      </c>
    </row>
    <row r="2967" ht="24" customHeight="1">
      <c r="A2967" s="4" t="inlineStr">
        <is>
          <t>Punjab</t>
        </is>
      </c>
      <c r="B2967" s="5" t="inlineStr">
        <is>
          <t>ICT</t>
        </is>
      </c>
      <c r="C2967" s="6" t="inlineStr">
        <is>
          <t>2026_DOS_177227_1</t>
        </is>
      </c>
      <c r="D2967" s="7" t="inlineStr">
        <is>
          <t>[E-Tender for providing meals to the players of District / Sub Centers of Excellence (School Wings) of Punjab State Institute of Sports Ropar]</t>
        </is>
      </c>
      <c r="E2967" s="7" t="inlineStr">
        <is>
          <t>Punjab Public Works &amp; Technology Department</t>
        </is>
      </c>
      <c r="F2967" s="6" t="inlineStr">
        <is>
          <t>03 Aug 2026</t>
        </is>
      </c>
      <c r="G2967" s="5" t="inlineStr">
        <is>
          <t>27 Aug 2026</t>
        </is>
      </c>
      <c r="H2967" s="8" t="inlineStr">
        <is>
          <t>⏳ UPCOMING</t>
        </is>
      </c>
      <c r="I2967" s="4" t="inlineStr">
        <is>
          <t>BOQ_361297.xls</t>
        </is>
      </c>
      <c r="J2967" s="6" t="inlineStr">
        <is>
          <t>📊 Excel BOQ</t>
        </is>
      </c>
      <c r="K2967" s="9" t="n">
        <v>2.5</v>
      </c>
      <c r="L2967" s="10">
        <f>HYPERLINK("http://127.0.0.1:8000/api/documents/download?id=1424&amp;attachment=true", "⬇ Download BOQ_361297.xls")</f>
        <v/>
      </c>
      <c r="M2967" s="10">
        <f>HYPERLINK("http://localhost:5173/?state=Punjab&amp;keyword=ICT&amp;tender=2026_DOS_177227_1", "🚀 Open in Portal")</f>
        <v/>
      </c>
    </row>
    <row r="2968" ht="24" customHeight="1">
      <c r="A2968" s="11" t="inlineStr">
        <is>
          <t>Punjab</t>
        </is>
      </c>
      <c r="B2968" s="12" t="inlineStr">
        <is>
          <t>ICT</t>
        </is>
      </c>
      <c r="C2968" s="13" t="inlineStr">
        <is>
          <t>2026_DOS_177227_1</t>
        </is>
      </c>
      <c r="D2968" s="14" t="inlineStr">
        <is>
          <t>[E-Tender for providing meals to the players of District / Sub Centers of Excellence (School Wings) of Punjab State Institute of Sports Ropar]</t>
        </is>
      </c>
      <c r="E2968" s="14" t="inlineStr">
        <is>
          <t>Punjab Public Works &amp; Technology Department</t>
        </is>
      </c>
      <c r="F2968" s="13" t="inlineStr">
        <is>
          <t>03 Aug 2026</t>
        </is>
      </c>
      <c r="G2968" s="12" t="inlineStr">
        <is>
          <t>27 Aug 2026</t>
        </is>
      </c>
      <c r="H2968" s="8" t="inlineStr">
        <is>
          <t>⏳ UPCOMING</t>
        </is>
      </c>
      <c r="I2968" s="11" t="inlineStr">
        <is>
          <t>Tender_2026_DOS_177227_1_All_Documents.zip</t>
        </is>
      </c>
      <c r="J2968" s="13" t="inlineStr">
        <is>
          <t>📦 ZIP Package</t>
        </is>
      </c>
      <c r="K2968" s="15" t="n">
        <v>20.8</v>
      </c>
      <c r="L2968" s="16">
        <f>HYPERLINK("http://127.0.0.1:8000/api/documents/download?id=1425&amp;attachment=true", "⬇ Download Tender_2026_DOS_177227_1")</f>
        <v/>
      </c>
      <c r="M2968" s="16">
        <f>HYPERLINK("http://localhost:5173/?state=Punjab&amp;keyword=ICT&amp;tender=2026_DOS_177227_1", "🚀 Open in Portal")</f>
        <v/>
      </c>
    </row>
    <row r="2969" ht="24" customHeight="1">
      <c r="A2969" s="4" t="inlineStr">
        <is>
          <t>Punjab</t>
        </is>
      </c>
      <c r="B2969" s="5" t="inlineStr">
        <is>
          <t>ICT</t>
        </is>
      </c>
      <c r="C2969" s="6" t="inlineStr">
        <is>
          <t>2026_PUN_3544805_60</t>
        </is>
      </c>
      <c r="D2969" s="7" t="inlineStr">
        <is>
          <t>ICT-Based Cloud Data Center Modernization &amp; Statewide Integrated Video Command Analytics</t>
        </is>
      </c>
      <c r="E2969" s="7" t="inlineStr">
        <is>
          <t>DEPARTMENT OF INFORMATION TECHNOLOGY &amp; e-GOVERNANCE</t>
        </is>
      </c>
      <c r="F2969" s="6" t="inlineStr">
        <is>
          <t>13 Oct 2026</t>
        </is>
      </c>
      <c r="G2969" s="5" t="inlineStr">
        <is>
          <t>23 Oct 2026</t>
        </is>
      </c>
      <c r="H2969" s="17" t="inlineStr">
        <is>
          <t>🟢 LIVE ACTIVE</t>
        </is>
      </c>
      <c r="I2969" s="4" t="inlineStr">
        <is>
          <t>Tendernotice_2026_PUN_3544805_60.pdf</t>
        </is>
      </c>
      <c r="J2969" s="6" t="inlineStr">
        <is>
          <t>📕 PDF Document</t>
        </is>
      </c>
      <c r="K2969" s="9" t="n">
        <v>17.9</v>
      </c>
      <c r="L2969" s="10">
        <f>HYPERLINK("http://127.0.0.1:8000/api/documents/download?id=3189&amp;attachment=true", "⬇ Download Tendernotice_2026_PUN_35")</f>
        <v/>
      </c>
      <c r="M2969" s="10">
        <f>HYPERLINK("http://localhost:5173/?state=Punjab&amp;keyword=ICT&amp;tender=2026_PUN_3544805_60", "🚀 Open in Portal")</f>
        <v/>
      </c>
    </row>
    <row r="2970" ht="24" customHeight="1">
      <c r="A2970" s="11" t="inlineStr">
        <is>
          <t>Punjab</t>
        </is>
      </c>
      <c r="B2970" s="12" t="inlineStr">
        <is>
          <t>ICT</t>
        </is>
      </c>
      <c r="C2970" s="13" t="inlineStr">
        <is>
          <t>2026_PUN_3544805_60</t>
        </is>
      </c>
      <c r="D2970" s="14" t="inlineStr">
        <is>
          <t>ICT-Based Cloud Data Center Modernization &amp; Statewide Integrated Video Command Analytics</t>
        </is>
      </c>
      <c r="E2970" s="14" t="inlineStr">
        <is>
          <t>DEPARTMENT OF INFORMATION TECHNOLOGY &amp; e-GOVERNANCE</t>
        </is>
      </c>
      <c r="F2970" s="13" t="inlineStr">
        <is>
          <t>13 Oct 2026</t>
        </is>
      </c>
      <c r="G2970" s="12" t="inlineStr">
        <is>
          <t>23 Oct 2026</t>
        </is>
      </c>
      <c r="H2970" s="17" t="inlineStr">
        <is>
          <t>🟢 LIVE ACTIVE</t>
        </is>
      </c>
      <c r="I2970" s="11" t="inlineStr">
        <is>
          <t>Technical_RFP_Specification_ICT.pdf</t>
        </is>
      </c>
      <c r="J2970" s="13" t="inlineStr">
        <is>
          <t>📕 PDF Document</t>
        </is>
      </c>
      <c r="K2970" s="15" t="n">
        <v>17.9</v>
      </c>
      <c r="L2970" s="16">
        <f>HYPERLINK("http://127.0.0.1:8000/api/documents/download?id=3190&amp;attachment=true", "⬇ Download Technical_RFP_Specificat")</f>
        <v/>
      </c>
      <c r="M2970" s="16">
        <f>HYPERLINK("http://localhost:5173/?state=Punjab&amp;keyword=ICT&amp;tender=2026_PUN_3544805_60", "🚀 Open in Portal")</f>
        <v/>
      </c>
    </row>
    <row r="2971" ht="24" customHeight="1">
      <c r="A2971" s="4" t="inlineStr">
        <is>
          <t>Punjab</t>
        </is>
      </c>
      <c r="B2971" s="5" t="inlineStr">
        <is>
          <t>ICT</t>
        </is>
      </c>
      <c r="C2971" s="6" t="inlineStr">
        <is>
          <t>2026_PUN_3544805_60</t>
        </is>
      </c>
      <c r="D2971" s="7" t="inlineStr">
        <is>
          <t>ICT-Based Cloud Data Center Modernization &amp; Statewide Integrated Video Command Analytics</t>
        </is>
      </c>
      <c r="E2971" s="7" t="inlineStr">
        <is>
          <t>DEPARTMENT OF INFORMATION TECHNOLOGY &amp; e-GOVERNANCE</t>
        </is>
      </c>
      <c r="F2971" s="6" t="inlineStr">
        <is>
          <t>13 Oct 2026</t>
        </is>
      </c>
      <c r="G2971" s="5" t="inlineStr">
        <is>
          <t>23 Oct 2026</t>
        </is>
      </c>
      <c r="H2971" s="17" t="inlineStr">
        <is>
          <t>🟢 LIVE ACTIVE</t>
        </is>
      </c>
      <c r="I2971" s="4" t="inlineStr">
        <is>
          <t>BOQ_Financial_Schedule_2026_PUN_3544805_60.xlsx</t>
        </is>
      </c>
      <c r="J2971" s="6" t="inlineStr">
        <is>
          <t>📊 Excel BOQ</t>
        </is>
      </c>
      <c r="K2971" s="9" t="n">
        <v>2.5</v>
      </c>
      <c r="L2971" s="10">
        <f>HYPERLINK("http://127.0.0.1:8000/api/documents/download?id=3191&amp;attachment=true", "⬇ Download BOQ_Financial_Schedule_2")</f>
        <v/>
      </c>
      <c r="M2971" s="10">
        <f>HYPERLINK("http://localhost:5173/?state=Punjab&amp;keyword=ICT&amp;tender=2026_PUN_3544805_60", "🚀 Open in Portal")</f>
        <v/>
      </c>
    </row>
    <row r="2972" ht="24" customHeight="1">
      <c r="A2972" s="11" t="inlineStr">
        <is>
          <t>Punjab</t>
        </is>
      </c>
      <c r="B2972" s="12" t="inlineStr">
        <is>
          <t>ICT</t>
        </is>
      </c>
      <c r="C2972" s="13" t="inlineStr">
        <is>
          <t>2026_PUN_3544805_60</t>
        </is>
      </c>
      <c r="D2972" s="14" t="inlineStr">
        <is>
          <t>ICT-Based Cloud Data Center Modernization &amp; Statewide Integrated Video Command Analytics</t>
        </is>
      </c>
      <c r="E2972" s="14" t="inlineStr">
        <is>
          <t>DEPARTMENT OF INFORMATION TECHNOLOGY &amp; e-GOVERNANCE</t>
        </is>
      </c>
      <c r="F2972" s="13" t="inlineStr">
        <is>
          <t>13 Oct 2026</t>
        </is>
      </c>
      <c r="G2972" s="12" t="inlineStr">
        <is>
          <t>23 Oct 2026</t>
        </is>
      </c>
      <c r="H2972" s="17" t="inlineStr">
        <is>
          <t>🟢 LIVE ACTIVE</t>
        </is>
      </c>
      <c r="I2972" s="11" t="inlineStr">
        <is>
          <t>Tender_2026_PUN_3544805_60_All_Documents.zip</t>
        </is>
      </c>
      <c r="J2972" s="13" t="inlineStr">
        <is>
          <t>📦 ZIP Package</t>
        </is>
      </c>
      <c r="K2972" s="15" t="n">
        <v>45</v>
      </c>
      <c r="L2972" s="16">
        <f>HYPERLINK("https://eproc.punjab.gov.in/tender/2026_PUN_3544805_60", "⬇ Download Tender_2026_PUN_3544805_")</f>
        <v/>
      </c>
      <c r="M2972" s="16">
        <f>HYPERLINK("http://localhost:5173/?state=Punjab&amp;keyword=ICT&amp;tender=2026_PUN_3544805_60", "🚀 Open in Portal")</f>
        <v/>
      </c>
    </row>
    <row r="2973" ht="24" customHeight="1">
      <c r="A2973" s="4" t="inlineStr">
        <is>
          <t>Punjab</t>
        </is>
      </c>
      <c r="B2973" s="5" t="inlineStr">
        <is>
          <t>ICT</t>
        </is>
      </c>
      <c r="C2973" s="6" t="inlineStr">
        <is>
          <t>2026_PUN_3565812_21</t>
        </is>
      </c>
      <c r="D2973" s="7" t="inlineStr">
        <is>
          <t>ICT-Based Cloud Data Center Modernization &amp; Statewide Integrated Video Command Analytics</t>
        </is>
      </c>
      <c r="E2973" s="7" t="inlineStr">
        <is>
          <t>DEPARTMENT OF INFORMATION TECHNOLOGY &amp; e-GOVERNANCE</t>
        </is>
      </c>
      <c r="F2973" s="6" t="inlineStr">
        <is>
          <t>27 Jul 2026</t>
        </is>
      </c>
      <c r="G2973" s="5" t="inlineStr">
        <is>
          <t>22 Aug 2026</t>
        </is>
      </c>
      <c r="H2973" s="8" t="inlineStr">
        <is>
          <t>⏳ UPCOMING</t>
        </is>
      </c>
      <c r="I2973" s="4" t="inlineStr">
        <is>
          <t>Tendernotice_2026_PUN_3565812_21.pdf</t>
        </is>
      </c>
      <c r="J2973" s="6" t="inlineStr">
        <is>
          <t>📕 PDF Document</t>
        </is>
      </c>
      <c r="K2973" s="9" t="n">
        <v>17.9</v>
      </c>
      <c r="L2973" s="10">
        <f>HYPERLINK("http://127.0.0.1:8000/api/documents/download?id=3193&amp;attachment=true", "⬇ Download Tendernotice_2026_PUN_35")</f>
        <v/>
      </c>
      <c r="M2973" s="10">
        <f>HYPERLINK("http://localhost:5173/?state=Punjab&amp;keyword=ICT&amp;tender=2026_PUN_3565812_21", "🚀 Open in Portal")</f>
        <v/>
      </c>
    </row>
    <row r="2974" ht="24" customHeight="1">
      <c r="A2974" s="11" t="inlineStr">
        <is>
          <t>Punjab</t>
        </is>
      </c>
      <c r="B2974" s="12" t="inlineStr">
        <is>
          <t>ICT</t>
        </is>
      </c>
      <c r="C2974" s="13" t="inlineStr">
        <is>
          <t>2026_PUN_3565812_21</t>
        </is>
      </c>
      <c r="D2974" s="14" t="inlineStr">
        <is>
          <t>ICT-Based Cloud Data Center Modernization &amp; Statewide Integrated Video Command Analytics</t>
        </is>
      </c>
      <c r="E2974" s="14" t="inlineStr">
        <is>
          <t>DEPARTMENT OF INFORMATION TECHNOLOGY &amp; e-GOVERNANCE</t>
        </is>
      </c>
      <c r="F2974" s="13" t="inlineStr">
        <is>
          <t>27 Jul 2026</t>
        </is>
      </c>
      <c r="G2974" s="12" t="inlineStr">
        <is>
          <t>22 Aug 2026</t>
        </is>
      </c>
      <c r="H2974" s="8" t="inlineStr">
        <is>
          <t>⏳ UPCOMING</t>
        </is>
      </c>
      <c r="I2974" s="11" t="inlineStr">
        <is>
          <t>Technical_RFP_Specification_ICT.pdf</t>
        </is>
      </c>
      <c r="J2974" s="13" t="inlineStr">
        <is>
          <t>📕 PDF Document</t>
        </is>
      </c>
      <c r="K2974" s="15" t="n">
        <v>17.9</v>
      </c>
      <c r="L2974" s="16">
        <f>HYPERLINK("http://127.0.0.1:8000/api/documents/download?id=3194&amp;attachment=true", "⬇ Download Technical_RFP_Specificat")</f>
        <v/>
      </c>
      <c r="M2974" s="16">
        <f>HYPERLINK("http://localhost:5173/?state=Punjab&amp;keyword=ICT&amp;tender=2026_PUN_3565812_21", "🚀 Open in Portal")</f>
        <v/>
      </c>
    </row>
    <row r="2975" ht="24" customHeight="1">
      <c r="A2975" s="4" t="inlineStr">
        <is>
          <t>Punjab</t>
        </is>
      </c>
      <c r="B2975" s="5" t="inlineStr">
        <is>
          <t>ICT</t>
        </is>
      </c>
      <c r="C2975" s="6" t="inlineStr">
        <is>
          <t>2026_PUN_3565812_21</t>
        </is>
      </c>
      <c r="D2975" s="7" t="inlineStr">
        <is>
          <t>ICT-Based Cloud Data Center Modernization &amp; Statewide Integrated Video Command Analytics</t>
        </is>
      </c>
      <c r="E2975" s="7" t="inlineStr">
        <is>
          <t>DEPARTMENT OF INFORMATION TECHNOLOGY &amp; e-GOVERNANCE</t>
        </is>
      </c>
      <c r="F2975" s="6" t="inlineStr">
        <is>
          <t>27 Jul 2026</t>
        </is>
      </c>
      <c r="G2975" s="5" t="inlineStr">
        <is>
          <t>22 Aug 2026</t>
        </is>
      </c>
      <c r="H2975" s="8" t="inlineStr">
        <is>
          <t>⏳ UPCOMING</t>
        </is>
      </c>
      <c r="I2975" s="4" t="inlineStr">
        <is>
          <t>BOQ_Financial_Schedule_2026_PUN_3565812_21.xlsx</t>
        </is>
      </c>
      <c r="J2975" s="6" t="inlineStr">
        <is>
          <t>📊 Excel BOQ</t>
        </is>
      </c>
      <c r="K2975" s="9" t="n">
        <v>2.5</v>
      </c>
      <c r="L2975" s="10">
        <f>HYPERLINK("http://127.0.0.1:8000/api/documents/download?id=3195&amp;attachment=true", "⬇ Download BOQ_Financial_Schedule_2")</f>
        <v/>
      </c>
      <c r="M2975" s="10">
        <f>HYPERLINK("http://localhost:5173/?state=Punjab&amp;keyword=ICT&amp;tender=2026_PUN_3565812_21", "🚀 Open in Portal")</f>
        <v/>
      </c>
    </row>
    <row r="2976" ht="24" customHeight="1">
      <c r="A2976" s="11" t="inlineStr">
        <is>
          <t>Punjab</t>
        </is>
      </c>
      <c r="B2976" s="12" t="inlineStr">
        <is>
          <t>ICT</t>
        </is>
      </c>
      <c r="C2976" s="13" t="inlineStr">
        <is>
          <t>2026_PUN_3565812_21</t>
        </is>
      </c>
      <c r="D2976" s="14" t="inlineStr">
        <is>
          <t>ICT-Based Cloud Data Center Modernization &amp; Statewide Integrated Video Command Analytics</t>
        </is>
      </c>
      <c r="E2976" s="14" t="inlineStr">
        <is>
          <t>DEPARTMENT OF INFORMATION TECHNOLOGY &amp; e-GOVERNANCE</t>
        </is>
      </c>
      <c r="F2976" s="13" t="inlineStr">
        <is>
          <t>27 Jul 2026</t>
        </is>
      </c>
      <c r="G2976" s="12" t="inlineStr">
        <is>
          <t>22 Aug 2026</t>
        </is>
      </c>
      <c r="H2976" s="8" t="inlineStr">
        <is>
          <t>⏳ UPCOMING</t>
        </is>
      </c>
      <c r="I2976" s="11" t="inlineStr">
        <is>
          <t>Tender_2026_PUN_3565812_21_All_Documents.zip</t>
        </is>
      </c>
      <c r="J2976" s="13" t="inlineStr">
        <is>
          <t>📦 ZIP Package</t>
        </is>
      </c>
      <c r="K2976" s="15" t="n">
        <v>45</v>
      </c>
      <c r="L2976" s="16">
        <f>HYPERLINK("https://eproc.punjab.gov.in/tender/2026_PUN_3565812_21", "⬇ Download Tender_2026_PUN_3565812_")</f>
        <v/>
      </c>
      <c r="M2976" s="16">
        <f>HYPERLINK("http://localhost:5173/?state=Punjab&amp;keyword=ICT&amp;tender=2026_PUN_3565812_21", "🚀 Open in Portal")</f>
        <v/>
      </c>
    </row>
    <row r="2977" ht="24" customHeight="1">
      <c r="A2977" s="4" t="inlineStr">
        <is>
          <t>Punjab</t>
        </is>
      </c>
      <c r="B2977" s="5" t="inlineStr">
        <is>
          <t>ICT</t>
        </is>
      </c>
      <c r="C2977" s="6" t="inlineStr">
        <is>
          <t>2026_WR_177261_1</t>
        </is>
      </c>
      <c r="D2977" s="7" t="inlineStr">
        <is>
          <t>[ESTIMATE FOR HIRING OF VEHICLE FOR INSPECTION UNDER THE PROJECT ESTIMATE FOR LINING/RELINING/LAYING PIPELINE OF VARIOUS OUTLETS UNDER THE JURISDICTION OF FARIDKOT CANAL AND GROUNDWATER DIVISION FARIDKOT ]</t>
        </is>
      </c>
      <c r="E2977" s="7" t="inlineStr">
        <is>
          <t>Punjab Public Works &amp; Technology Department</t>
        </is>
      </c>
      <c r="F2977" s="6" t="inlineStr">
        <is>
          <t>26 Oct 2026</t>
        </is>
      </c>
      <c r="G2977" s="5" t="inlineStr">
        <is>
          <t>16 Nov 2026</t>
        </is>
      </c>
      <c r="H2977" s="8" t="inlineStr">
        <is>
          <t>⏳ UPCOMING</t>
        </is>
      </c>
      <c r="I2977" s="4" t="inlineStr">
        <is>
          <t>Tendernotice_1.pdf</t>
        </is>
      </c>
      <c r="J2977" s="6" t="inlineStr">
        <is>
          <t>📕 PDF Document</t>
        </is>
      </c>
      <c r="K2977" s="9" t="n">
        <v>17.8</v>
      </c>
      <c r="L2977" s="10">
        <f>HYPERLINK("http://127.0.0.1:8000/api/documents/download?id=1405&amp;attachment=true", "⬇ Download Tendernotice_1.pdf")</f>
        <v/>
      </c>
      <c r="M2977" s="10">
        <f>HYPERLINK("http://localhost:5173/?state=Punjab&amp;keyword=ICT&amp;tender=2026_WR_177261_1", "🚀 Open in Portal")</f>
        <v/>
      </c>
    </row>
    <row r="2978" ht="24" customHeight="1">
      <c r="A2978" s="11" t="inlineStr">
        <is>
          <t>Punjab</t>
        </is>
      </c>
      <c r="B2978" s="12" t="inlineStr">
        <is>
          <t>ICT</t>
        </is>
      </c>
      <c r="C2978" s="13" t="inlineStr">
        <is>
          <t>2026_WR_177261_1</t>
        </is>
      </c>
      <c r="D2978" s="14" t="inlineStr">
        <is>
          <t>[ESTIMATE FOR HIRING OF VEHICLE FOR INSPECTION UNDER THE PROJECT ESTIMATE FOR LINING/RELINING/LAYING PIPELINE OF VARIOUS OUTLETS UNDER THE JURISDICTION OF FARIDKOT CANAL AND GROUNDWATER DIVISION FARIDKOT ]</t>
        </is>
      </c>
      <c r="E2978" s="14" t="inlineStr">
        <is>
          <t>Punjab Public Works &amp; Technology Department</t>
        </is>
      </c>
      <c r="F2978" s="13" t="inlineStr">
        <is>
          <t>26 Oct 2026</t>
        </is>
      </c>
      <c r="G2978" s="12" t="inlineStr">
        <is>
          <t>16 Nov 2026</t>
        </is>
      </c>
      <c r="H2978" s="8" t="inlineStr">
        <is>
          <t>⏳ UPCOMING</t>
        </is>
      </c>
      <c r="I2978" s="11" t="inlineStr">
        <is>
          <t>BOQ_361487.xls</t>
        </is>
      </c>
      <c r="J2978" s="13" t="inlineStr">
        <is>
          <t>📊 Excel BOQ</t>
        </is>
      </c>
      <c r="K2978" s="15" t="n">
        <v>2.5</v>
      </c>
      <c r="L2978" s="16">
        <f>HYPERLINK("http://127.0.0.1:8000/api/documents/download?id=1406&amp;attachment=true", "⬇ Download BOQ_361487.xls")</f>
        <v/>
      </c>
      <c r="M2978" s="16">
        <f>HYPERLINK("http://localhost:5173/?state=Punjab&amp;keyword=ICT&amp;tender=2026_WR_177261_1", "🚀 Open in Portal")</f>
        <v/>
      </c>
    </row>
    <row r="2979" ht="24" customHeight="1">
      <c r="A2979" s="4" t="inlineStr">
        <is>
          <t>Punjab</t>
        </is>
      </c>
      <c r="B2979" s="5" t="inlineStr">
        <is>
          <t>ICT</t>
        </is>
      </c>
      <c r="C2979" s="6" t="inlineStr">
        <is>
          <t>2026_WR_177261_1</t>
        </is>
      </c>
      <c r="D2979" s="7" t="inlineStr">
        <is>
          <t>[ESTIMATE FOR HIRING OF VEHICLE FOR INSPECTION UNDER THE PROJECT ESTIMATE FOR LINING/RELINING/LAYING PIPELINE OF VARIOUS OUTLETS UNDER THE JURISDICTION OF FARIDKOT CANAL AND GROUNDWATER DIVISION FARIDKOT ]</t>
        </is>
      </c>
      <c r="E2979" s="7" t="inlineStr">
        <is>
          <t>Punjab Public Works &amp; Technology Department</t>
        </is>
      </c>
      <c r="F2979" s="6" t="inlineStr">
        <is>
          <t>26 Oct 2026</t>
        </is>
      </c>
      <c r="G2979" s="5" t="inlineStr">
        <is>
          <t>16 Nov 2026</t>
        </is>
      </c>
      <c r="H2979" s="8" t="inlineStr">
        <is>
          <t>⏳ UPCOMING</t>
        </is>
      </c>
      <c r="I2979" s="4" t="inlineStr">
        <is>
          <t>Tender_2026_WR_177261_1_All_Documents.zip</t>
        </is>
      </c>
      <c r="J2979" s="6" t="inlineStr">
        <is>
          <t>📦 ZIP Package</t>
        </is>
      </c>
      <c r="K2979" s="9" t="n">
        <v>11.6</v>
      </c>
      <c r="L2979" s="10">
        <f>HYPERLINK("http://127.0.0.1:8000/api/documents/download?id=1407&amp;attachment=true", "⬇ Download Tender_2026_WR_177261_1_")</f>
        <v/>
      </c>
      <c r="M2979" s="10">
        <f>HYPERLINK("http://localhost:5173/?state=Punjab&amp;keyword=ICT&amp;tender=2026_WR_177261_1", "🚀 Open in Portal")</f>
        <v/>
      </c>
    </row>
    <row r="2980" ht="24" customHeight="1">
      <c r="A2980" s="11" t="inlineStr">
        <is>
          <t>Punjab</t>
        </is>
      </c>
      <c r="B2980" s="12" t="inlineStr">
        <is>
          <t>ICT</t>
        </is>
      </c>
      <c r="C2980" s="13" t="inlineStr">
        <is>
          <t>2026_WR_177326_1</t>
        </is>
      </c>
      <c r="D2980" s="14" t="inlineStr">
        <is>
          <t>[Estimate for Lining / Relining of watercourses of outlet RD 22275-R of Low Level Machaki Mr. of village Daggo Romana and Dana Romana District Faridkot Br. E E4 Length 1290 m by Laying Brick Masonry. ]</t>
        </is>
      </c>
      <c r="E2980" s="14" t="inlineStr">
        <is>
          <t>Punjab Public Works &amp; Technology Department</t>
        </is>
      </c>
      <c r="F2980" s="13" t="inlineStr">
        <is>
          <t>07 Aug 2026</t>
        </is>
      </c>
      <c r="G2980" s="12" t="inlineStr">
        <is>
          <t>01 Sep 2026</t>
        </is>
      </c>
      <c r="H2980" s="8" t="inlineStr">
        <is>
          <t>⏳ UPCOMING</t>
        </is>
      </c>
      <c r="I2980" s="11" t="inlineStr">
        <is>
          <t>Tendernotice_1.pdf</t>
        </is>
      </c>
      <c r="J2980" s="13" t="inlineStr">
        <is>
          <t>📕 PDF Document</t>
        </is>
      </c>
      <c r="K2980" s="15" t="n">
        <v>17.8</v>
      </c>
      <c r="L2980" s="16">
        <f>HYPERLINK("http://127.0.0.1:8000/api/documents/download?id=1363&amp;attachment=true", "⬇ Download Tendernotice_1.pdf")</f>
        <v/>
      </c>
      <c r="M2980" s="16">
        <f>HYPERLINK("http://localhost:5173/?state=Punjab&amp;keyword=ICT&amp;tender=2026_WR_177326_1", "🚀 Open in Portal")</f>
        <v/>
      </c>
    </row>
    <row r="2981" ht="24" customHeight="1">
      <c r="A2981" s="4" t="inlineStr">
        <is>
          <t>Punjab</t>
        </is>
      </c>
      <c r="B2981" s="5" t="inlineStr">
        <is>
          <t>ICT</t>
        </is>
      </c>
      <c r="C2981" s="6" t="inlineStr">
        <is>
          <t>2026_WR_177326_1</t>
        </is>
      </c>
      <c r="D2981" s="7" t="inlineStr">
        <is>
          <t>[Estimate for Lining / Relining of watercourses of outlet RD 22275-R of Low Level Machaki Mr. of village Daggo Romana and Dana Romana District Faridkot Br. E E4 Length 1290 m by Laying Brick Masonry. ]</t>
        </is>
      </c>
      <c r="E2981" s="7" t="inlineStr">
        <is>
          <t>Punjab Public Works &amp; Technology Department</t>
        </is>
      </c>
      <c r="F2981" s="6" t="inlineStr">
        <is>
          <t>07 Aug 2026</t>
        </is>
      </c>
      <c r="G2981" s="5" t="inlineStr">
        <is>
          <t>01 Sep 2026</t>
        </is>
      </c>
      <c r="H2981" s="8" t="inlineStr">
        <is>
          <t>⏳ UPCOMING</t>
        </is>
      </c>
      <c r="I2981" s="4" t="inlineStr">
        <is>
          <t>TB01.xls</t>
        </is>
      </c>
      <c r="J2981" s="6" t="inlineStr">
        <is>
          <t>📊 Excel BOQ</t>
        </is>
      </c>
      <c r="K2981" s="9" t="n">
        <v>2.5</v>
      </c>
      <c r="L2981" s="10">
        <f>HYPERLINK("http://127.0.0.1:8000/api/documents/download?id=1364&amp;attachment=true", "⬇ Download TB01.xls")</f>
        <v/>
      </c>
      <c r="M2981" s="10">
        <f>HYPERLINK("http://localhost:5173/?state=Punjab&amp;keyword=ICT&amp;tender=2026_WR_177326_1", "🚀 Open in Portal")</f>
        <v/>
      </c>
    </row>
    <row r="2982" ht="24" customHeight="1">
      <c r="A2982" s="11" t="inlineStr">
        <is>
          <t>Punjab</t>
        </is>
      </c>
      <c r="B2982" s="12" t="inlineStr">
        <is>
          <t>ICT</t>
        </is>
      </c>
      <c r="C2982" s="13" t="inlineStr">
        <is>
          <t>2026_WR_177326_1</t>
        </is>
      </c>
      <c r="D2982" s="14" t="inlineStr">
        <is>
          <t>[Estimate for Lining / Relining of watercourses of outlet RD 22275-R of Low Level Machaki Mr. of village Daggo Romana and Dana Romana District Faridkot Br. E E4 Length 1290 m by Laying Brick Masonry. ]</t>
        </is>
      </c>
      <c r="E2982" s="14" t="inlineStr">
        <is>
          <t>Punjab Public Works &amp; Technology Department</t>
        </is>
      </c>
      <c r="F2982" s="13" t="inlineStr">
        <is>
          <t>07 Aug 2026</t>
        </is>
      </c>
      <c r="G2982" s="12" t="inlineStr">
        <is>
          <t>01 Sep 2026</t>
        </is>
      </c>
      <c r="H2982" s="8" t="inlineStr">
        <is>
          <t>⏳ UPCOMING</t>
        </is>
      </c>
      <c r="I2982" s="11" t="inlineStr">
        <is>
          <t>BOQ_361622.xls</t>
        </is>
      </c>
      <c r="J2982" s="13" t="inlineStr">
        <is>
          <t>📊 Excel BOQ</t>
        </is>
      </c>
      <c r="K2982" s="15" t="n">
        <v>2.5</v>
      </c>
      <c r="L2982" s="16">
        <f>HYPERLINK("http://127.0.0.1:8000/api/documents/download?id=1365&amp;attachment=true", "⬇ Download BOQ_361622.xls")</f>
        <v/>
      </c>
      <c r="M2982" s="16">
        <f>HYPERLINK("http://localhost:5173/?state=Punjab&amp;keyword=ICT&amp;tender=2026_WR_177326_1", "🚀 Open in Portal")</f>
        <v/>
      </c>
    </row>
    <row r="2983" ht="24" customHeight="1">
      <c r="A2983" s="4" t="inlineStr">
        <is>
          <t>Punjab</t>
        </is>
      </c>
      <c r="B2983" s="5" t="inlineStr">
        <is>
          <t>ICT</t>
        </is>
      </c>
      <c r="C2983" s="6" t="inlineStr">
        <is>
          <t>2026_WR_177326_1</t>
        </is>
      </c>
      <c r="D2983" s="7" t="inlineStr">
        <is>
          <t>[Estimate for Lining / Relining of watercourses of outlet RD 22275-R of Low Level Machaki Mr. of village Daggo Romana and Dana Romana District Faridkot Br. E E4 Length 1290 m by Laying Brick Masonry. ]</t>
        </is>
      </c>
      <c r="E2983" s="7" t="inlineStr">
        <is>
          <t>Punjab Public Works &amp; Technology Department</t>
        </is>
      </c>
      <c r="F2983" s="6" t="inlineStr">
        <is>
          <t>07 Aug 2026</t>
        </is>
      </c>
      <c r="G2983" s="5" t="inlineStr">
        <is>
          <t>01 Sep 2026</t>
        </is>
      </c>
      <c r="H2983" s="8" t="inlineStr">
        <is>
          <t>⏳ UPCOMING</t>
        </is>
      </c>
      <c r="I2983" s="4" t="inlineStr">
        <is>
          <t>Tender_2026_WR_177326_1_All_Documents.zip</t>
        </is>
      </c>
      <c r="J2983" s="6" t="inlineStr">
        <is>
          <t>📦 ZIP Package</t>
        </is>
      </c>
      <c r="K2983" s="9" t="n">
        <v>13.9</v>
      </c>
      <c r="L2983" s="10">
        <f>HYPERLINK("http://127.0.0.1:8000/api/documents/download?id=1366&amp;attachment=true", "⬇ Download Tender_2026_WR_177326_1_")</f>
        <v/>
      </c>
      <c r="M2983" s="10">
        <f>HYPERLINK("http://localhost:5173/?state=Punjab&amp;keyword=ICT&amp;tender=2026_WR_177326_1", "🚀 Open in Portal")</f>
        <v/>
      </c>
    </row>
    <row r="2984" ht="24" customHeight="1">
      <c r="A2984" s="11" t="inlineStr">
        <is>
          <t>Punjab</t>
        </is>
      </c>
      <c r="B2984" s="12" t="inlineStr">
        <is>
          <t>ICT</t>
        </is>
      </c>
      <c r="C2984" s="13" t="inlineStr">
        <is>
          <t>2026_WSS_177278_1</t>
        </is>
      </c>
      <c r="D2984" s="14" t="inlineStr">
        <is>
          <t>[Proposed Rural water suplly scheme for village Dullowal in Block and District Mansa]</t>
        </is>
      </c>
      <c r="E2984" s="14" t="inlineStr">
        <is>
          <t>Punjab Public Works &amp; Technology Department</t>
        </is>
      </c>
      <c r="F2984" s="13" t="inlineStr">
        <is>
          <t>09 Oct 2026</t>
        </is>
      </c>
      <c r="G2984" s="12" t="inlineStr">
        <is>
          <t>15 Nov 2026</t>
        </is>
      </c>
      <c r="H2984" s="17" t="inlineStr">
        <is>
          <t>🟢 LIVE ACTIVE</t>
        </is>
      </c>
      <c r="I2984" s="11" t="inlineStr">
        <is>
          <t>Tendernotice_1.pdf</t>
        </is>
      </c>
      <c r="J2984" s="13" t="inlineStr">
        <is>
          <t>📕 PDF Document</t>
        </is>
      </c>
      <c r="K2984" s="15" t="n">
        <v>17.8</v>
      </c>
      <c r="L2984" s="16">
        <f>HYPERLINK("http://127.0.0.1:8000/api/documents/download?id=1392&amp;attachment=true", "⬇ Download Tendernotice_1.pdf")</f>
        <v/>
      </c>
      <c r="M2984" s="16">
        <f>HYPERLINK("http://localhost:5173/?state=Punjab&amp;keyword=ICT&amp;tender=2026_WSS_177278_1", "🚀 Open in Portal")</f>
        <v/>
      </c>
    </row>
    <row r="2985" ht="24" customHeight="1">
      <c r="A2985" s="4" t="inlineStr">
        <is>
          <t>Punjab</t>
        </is>
      </c>
      <c r="B2985" s="5" t="inlineStr">
        <is>
          <t>ICT</t>
        </is>
      </c>
      <c r="C2985" s="6" t="inlineStr">
        <is>
          <t>2026_WSS_177278_1</t>
        </is>
      </c>
      <c r="D2985" s="7" t="inlineStr">
        <is>
          <t>[Proposed Rural water suplly scheme for village Dullowal in Block and District Mansa]</t>
        </is>
      </c>
      <c r="E2985" s="7" t="inlineStr">
        <is>
          <t>Punjab Public Works &amp; Technology Department</t>
        </is>
      </c>
      <c r="F2985" s="6" t="inlineStr">
        <is>
          <t>09 Oct 2026</t>
        </is>
      </c>
      <c r="G2985" s="5" t="inlineStr">
        <is>
          <t>15 Nov 2026</t>
        </is>
      </c>
      <c r="H2985" s="17" t="inlineStr">
        <is>
          <t>🟢 LIVE ACTIVE</t>
        </is>
      </c>
      <c r="I2985" s="4" t="inlineStr">
        <is>
          <t>DNITRateDrawingandSpecification.pdf</t>
        </is>
      </c>
      <c r="J2985" s="6" t="inlineStr">
        <is>
          <t>📕 PDF Document</t>
        </is>
      </c>
      <c r="K2985" s="9" t="n">
        <v>17.9</v>
      </c>
      <c r="L2985" s="10">
        <f>HYPERLINK("http://127.0.0.1:8000/api/documents/download?id=1393&amp;attachment=true", "⬇ Download DNITRateDrawingandSpecif")</f>
        <v/>
      </c>
      <c r="M2985" s="10">
        <f>HYPERLINK("http://localhost:5173/?state=Punjab&amp;keyword=ICT&amp;tender=2026_WSS_177278_1", "🚀 Open in Portal")</f>
        <v/>
      </c>
    </row>
    <row r="2986" ht="24" customHeight="1">
      <c r="A2986" s="11" t="inlineStr">
        <is>
          <t>Punjab</t>
        </is>
      </c>
      <c r="B2986" s="12" t="inlineStr">
        <is>
          <t>ICT</t>
        </is>
      </c>
      <c r="C2986" s="13" t="inlineStr">
        <is>
          <t>2026_WSS_177278_1</t>
        </is>
      </c>
      <c r="D2986" s="14" t="inlineStr">
        <is>
          <t>[Proposed Rural water suplly scheme for village Dullowal in Block and District Mansa]</t>
        </is>
      </c>
      <c r="E2986" s="14" t="inlineStr">
        <is>
          <t>Punjab Public Works &amp; Technology Department</t>
        </is>
      </c>
      <c r="F2986" s="13" t="inlineStr">
        <is>
          <t>09 Oct 2026</t>
        </is>
      </c>
      <c r="G2986" s="12" t="inlineStr">
        <is>
          <t>15 Nov 2026</t>
        </is>
      </c>
      <c r="H2986" s="17" t="inlineStr">
        <is>
          <t>🟢 LIVE ACTIVE</t>
        </is>
      </c>
      <c r="I2986" s="11" t="inlineStr">
        <is>
          <t>DNIT.pdf</t>
        </is>
      </c>
      <c r="J2986" s="13" t="inlineStr">
        <is>
          <t>📕 PDF Document</t>
        </is>
      </c>
      <c r="K2986" s="15" t="n">
        <v>17.8</v>
      </c>
      <c r="L2986" s="16">
        <f>HYPERLINK("http://127.0.0.1:8000/api/documents/download?id=1394&amp;attachment=true", "⬇ Download DNIT.pdf")</f>
        <v/>
      </c>
      <c r="M2986" s="16">
        <f>HYPERLINK("http://localhost:5173/?state=Punjab&amp;keyword=ICT&amp;tender=2026_WSS_177278_1", "🚀 Open in Portal")</f>
        <v/>
      </c>
    </row>
    <row r="2987" ht="24" customHeight="1">
      <c r="A2987" s="4" t="inlineStr">
        <is>
          <t>Punjab</t>
        </is>
      </c>
      <c r="B2987" s="5" t="inlineStr">
        <is>
          <t>ICT</t>
        </is>
      </c>
      <c r="C2987" s="6" t="inlineStr">
        <is>
          <t>2026_WSS_177278_1</t>
        </is>
      </c>
      <c r="D2987" s="7" t="inlineStr">
        <is>
          <t>[Proposed Rural water suplly scheme for village Dullowal in Block and District Mansa]</t>
        </is>
      </c>
      <c r="E2987" s="7" t="inlineStr">
        <is>
          <t>Punjab Public Works &amp; Technology Department</t>
        </is>
      </c>
      <c r="F2987" s="6" t="inlineStr">
        <is>
          <t>09 Oct 2026</t>
        </is>
      </c>
      <c r="G2987" s="5" t="inlineStr">
        <is>
          <t>15 Nov 2026</t>
        </is>
      </c>
      <c r="H2987" s="17" t="inlineStr">
        <is>
          <t>🟢 LIVE ACTIVE</t>
        </is>
      </c>
      <c r="I2987" s="4" t="inlineStr">
        <is>
          <t>BOQ_361512.xls</t>
        </is>
      </c>
      <c r="J2987" s="6" t="inlineStr">
        <is>
          <t>📊 Excel BOQ</t>
        </is>
      </c>
      <c r="K2987" s="9" t="n">
        <v>2.5</v>
      </c>
      <c r="L2987" s="10">
        <f>HYPERLINK("http://127.0.0.1:8000/api/documents/download?id=1395&amp;attachment=true", "⬇ Download BOQ_361512.xls")</f>
        <v/>
      </c>
      <c r="M2987" s="10">
        <f>HYPERLINK("http://localhost:5173/?state=Punjab&amp;keyword=ICT&amp;tender=2026_WSS_177278_1", "🚀 Open in Portal")</f>
        <v/>
      </c>
    </row>
    <row r="2988" ht="24" customHeight="1">
      <c r="A2988" s="11" t="inlineStr">
        <is>
          <t>Punjab</t>
        </is>
      </c>
      <c r="B2988" s="12" t="inlineStr">
        <is>
          <t>ICT</t>
        </is>
      </c>
      <c r="C2988" s="13" t="inlineStr">
        <is>
          <t>2026_WSS_177278_1</t>
        </is>
      </c>
      <c r="D2988" s="14" t="inlineStr">
        <is>
          <t>[Proposed Rural water suplly scheme for village Dullowal in Block and District Mansa]</t>
        </is>
      </c>
      <c r="E2988" s="14" t="inlineStr">
        <is>
          <t>Punjab Public Works &amp; Technology Department</t>
        </is>
      </c>
      <c r="F2988" s="13" t="inlineStr">
        <is>
          <t>09 Oct 2026</t>
        </is>
      </c>
      <c r="G2988" s="12" t="inlineStr">
        <is>
          <t>15 Nov 2026</t>
        </is>
      </c>
      <c r="H2988" s="17" t="inlineStr">
        <is>
          <t>🟢 LIVE ACTIVE</t>
        </is>
      </c>
      <c r="I2988" s="11" t="inlineStr">
        <is>
          <t>Tender_2026_WSS_177278_1_All_Documents.zip</t>
        </is>
      </c>
      <c r="J2988" s="13" t="inlineStr">
        <is>
          <t>📦 ZIP Package</t>
        </is>
      </c>
      <c r="K2988" s="15" t="n">
        <v>30.2</v>
      </c>
      <c r="L2988" s="16">
        <f>HYPERLINK("http://127.0.0.1:8000/api/documents/download?id=1396&amp;attachment=true", "⬇ Download Tender_2026_WSS_177278_1")</f>
        <v/>
      </c>
      <c r="M2988" s="16">
        <f>HYPERLINK("http://localhost:5173/?state=Punjab&amp;keyword=ICT&amp;tender=2026_WSS_177278_1", "🚀 Open in Portal")</f>
        <v/>
      </c>
    </row>
    <row r="2989" ht="24" customHeight="1">
      <c r="A2989" s="4" t="inlineStr">
        <is>
          <t>Punjab</t>
        </is>
      </c>
      <c r="B2989" s="5" t="inlineStr">
        <is>
          <t>ICT</t>
        </is>
      </c>
      <c r="C2989" s="6" t="inlineStr">
        <is>
          <t>2026_WSS_177295_1</t>
        </is>
      </c>
      <c r="D2989" s="7" t="inlineStr">
        <is>
          <t>[Providing New Water Works at Village Kothe Nathiana Block Goniana District Bathinda Nabard-31]</t>
        </is>
      </c>
      <c r="E2989" s="7" t="inlineStr">
        <is>
          <t>Punjab Public Works &amp; Technology Department</t>
        </is>
      </c>
      <c r="F2989" s="6" t="inlineStr">
        <is>
          <t>29 Jul 2026</t>
        </is>
      </c>
      <c r="G2989" s="5" t="inlineStr">
        <is>
          <t>26 Aug 2026</t>
        </is>
      </c>
      <c r="H2989" s="8" t="inlineStr">
        <is>
          <t>⏳ UPCOMING</t>
        </is>
      </c>
      <c r="I2989" s="4" t="inlineStr">
        <is>
          <t>Tendernotice_1.pdf</t>
        </is>
      </c>
      <c r="J2989" s="6" t="inlineStr">
        <is>
          <t>📕 PDF Document</t>
        </is>
      </c>
      <c r="K2989" s="9" t="n">
        <v>17.8</v>
      </c>
      <c r="L2989" s="10">
        <f>HYPERLINK("http://127.0.0.1:8000/api/documents/download?id=1376&amp;attachment=true", "⬇ Download Tendernotice_1.pdf")</f>
        <v/>
      </c>
      <c r="M2989" s="10">
        <f>HYPERLINK("http://localhost:5173/?state=Punjab&amp;keyword=ICT&amp;tender=2026_WSS_177295_1", "🚀 Open in Portal")</f>
        <v/>
      </c>
    </row>
    <row r="2990" ht="24" customHeight="1">
      <c r="A2990" s="11" t="inlineStr">
        <is>
          <t>Punjab</t>
        </is>
      </c>
      <c r="B2990" s="12" t="inlineStr">
        <is>
          <t>ICT</t>
        </is>
      </c>
      <c r="C2990" s="13" t="inlineStr">
        <is>
          <t>2026_WSS_177295_1</t>
        </is>
      </c>
      <c r="D2990" s="14" t="inlineStr">
        <is>
          <t>[Providing New Water Works at Village Kothe Nathiana Block Goniana District Bathinda Nabard-31]</t>
        </is>
      </c>
      <c r="E2990" s="14" t="inlineStr">
        <is>
          <t>Punjab Public Works &amp; Technology Department</t>
        </is>
      </c>
      <c r="F2990" s="13" t="inlineStr">
        <is>
          <t>29 Jul 2026</t>
        </is>
      </c>
      <c r="G2990" s="12" t="inlineStr">
        <is>
          <t>26 Aug 2026</t>
        </is>
      </c>
      <c r="H2990" s="8" t="inlineStr">
        <is>
          <t>⏳ UPCOMING</t>
        </is>
      </c>
      <c r="I2990" s="11" t="inlineStr">
        <is>
          <t>BOQ_361548.xls</t>
        </is>
      </c>
      <c r="J2990" s="13" t="inlineStr">
        <is>
          <t>📊 Excel BOQ</t>
        </is>
      </c>
      <c r="K2990" s="15" t="n">
        <v>2.5</v>
      </c>
      <c r="L2990" s="16">
        <f>HYPERLINK("http://127.0.0.1:8000/api/documents/download?id=1377&amp;attachment=true", "⬇ Download BOQ_361548.xls")</f>
        <v/>
      </c>
      <c r="M2990" s="16">
        <f>HYPERLINK("http://localhost:5173/?state=Punjab&amp;keyword=ICT&amp;tender=2026_WSS_177295_1", "🚀 Open in Portal")</f>
        <v/>
      </c>
    </row>
    <row r="2991" ht="24" customHeight="1">
      <c r="A2991" s="4" t="inlineStr">
        <is>
          <t>Punjab</t>
        </is>
      </c>
      <c r="B2991" s="5" t="inlineStr">
        <is>
          <t>ICT</t>
        </is>
      </c>
      <c r="C2991" s="6" t="inlineStr">
        <is>
          <t>2026_WSS_177295_1</t>
        </is>
      </c>
      <c r="D2991" s="7" t="inlineStr">
        <is>
          <t>[Providing New Water Works at Village Kothe Nathiana Block Goniana District Bathinda Nabard-31]</t>
        </is>
      </c>
      <c r="E2991" s="7" t="inlineStr">
        <is>
          <t>Punjab Public Works &amp; Technology Department</t>
        </is>
      </c>
      <c r="F2991" s="6" t="inlineStr">
        <is>
          <t>29 Jul 2026</t>
        </is>
      </c>
      <c r="G2991" s="5" t="inlineStr">
        <is>
          <t>26 Aug 2026</t>
        </is>
      </c>
      <c r="H2991" s="8" t="inlineStr">
        <is>
          <t>⏳ UPCOMING</t>
        </is>
      </c>
      <c r="I2991" s="4" t="inlineStr">
        <is>
          <t>Tender_2026_WSS_177295_1_All_Documents.zip</t>
        </is>
      </c>
      <c r="J2991" s="6" t="inlineStr">
        <is>
          <t>📦 ZIP Package</t>
        </is>
      </c>
      <c r="K2991" s="9" t="n">
        <v>11.5</v>
      </c>
      <c r="L2991" s="10">
        <f>HYPERLINK("http://127.0.0.1:8000/api/documents/download?id=1378&amp;attachment=true", "⬇ Download Tender_2026_WSS_177295_1")</f>
        <v/>
      </c>
      <c r="M2991" s="10">
        <f>HYPERLINK("http://localhost:5173/?state=Punjab&amp;keyword=ICT&amp;tender=2026_WSS_177295_1", "🚀 Open in Portal")</f>
        <v/>
      </c>
    </row>
    <row r="2992" ht="24" customHeight="1">
      <c r="A2992" s="11" t="inlineStr">
        <is>
          <t>Punjab</t>
        </is>
      </c>
      <c r="B2992" s="12" t="inlineStr">
        <is>
          <t>ICT</t>
        </is>
      </c>
      <c r="C2992" s="13" t="inlineStr">
        <is>
          <t>2026_WSS_177314_1</t>
        </is>
      </c>
      <c r="D2992" s="14" t="inlineStr">
        <is>
          <t>[Proposed Rural water suplly scheme for village Korewala in Block Jhunir District Mansa]</t>
        </is>
      </c>
      <c r="E2992" s="14" t="inlineStr">
        <is>
          <t>Punjab Public Works &amp; Technology Department</t>
        </is>
      </c>
      <c r="F2992" s="13" t="inlineStr">
        <is>
          <t>02 Oct 2026</t>
        </is>
      </c>
      <c r="G2992" s="12" t="inlineStr">
        <is>
          <t>26 Oct 2026</t>
        </is>
      </c>
      <c r="H2992" s="17" t="inlineStr">
        <is>
          <t>🟢 LIVE ACTIVE</t>
        </is>
      </c>
      <c r="I2992" s="11" t="inlineStr">
        <is>
          <t>Tendernotice_1.pdf</t>
        </is>
      </c>
      <c r="J2992" s="13" t="inlineStr">
        <is>
          <t>📕 PDF Document</t>
        </is>
      </c>
      <c r="K2992" s="15" t="n">
        <v>17.8</v>
      </c>
      <c r="L2992" s="16">
        <f>HYPERLINK("http://127.0.0.1:8000/api/documents/download?id=1371&amp;attachment=true", "⬇ Download Tendernotice_1.pdf")</f>
        <v/>
      </c>
      <c r="M2992" s="16">
        <f>HYPERLINK("http://localhost:5173/?state=Punjab&amp;keyword=ICT&amp;tender=2026_WSS_177314_1", "🚀 Open in Portal")</f>
        <v/>
      </c>
    </row>
    <row r="2993" ht="24" customHeight="1">
      <c r="A2993" s="4" t="inlineStr">
        <is>
          <t>Punjab</t>
        </is>
      </c>
      <c r="B2993" s="5" t="inlineStr">
        <is>
          <t>ICT</t>
        </is>
      </c>
      <c r="C2993" s="6" t="inlineStr">
        <is>
          <t>2026_WSS_177314_1</t>
        </is>
      </c>
      <c r="D2993" s="7" t="inlineStr">
        <is>
          <t>[Proposed Rural water suplly scheme for village Korewala in Block Jhunir District Mansa]</t>
        </is>
      </c>
      <c r="E2993" s="7" t="inlineStr">
        <is>
          <t>Punjab Public Works &amp; Technology Department</t>
        </is>
      </c>
      <c r="F2993" s="6" t="inlineStr">
        <is>
          <t>02 Oct 2026</t>
        </is>
      </c>
      <c r="G2993" s="5" t="inlineStr">
        <is>
          <t>26 Oct 2026</t>
        </is>
      </c>
      <c r="H2993" s="17" t="inlineStr">
        <is>
          <t>🟢 LIVE ACTIVE</t>
        </is>
      </c>
      <c r="I2993" s="4" t="inlineStr">
        <is>
          <t>DNIT.pdf</t>
        </is>
      </c>
      <c r="J2993" s="6" t="inlineStr">
        <is>
          <t>📕 PDF Document</t>
        </is>
      </c>
      <c r="K2993" s="9" t="n">
        <v>17.8</v>
      </c>
      <c r="L2993" s="10">
        <f>HYPERLINK("http://127.0.0.1:8000/api/documents/download?id=1372&amp;attachment=true", "⬇ Download DNIT.pdf")</f>
        <v/>
      </c>
      <c r="M2993" s="10">
        <f>HYPERLINK("http://localhost:5173/?state=Punjab&amp;keyword=ICT&amp;tender=2026_WSS_177314_1", "🚀 Open in Portal")</f>
        <v/>
      </c>
    </row>
    <row r="2994" ht="24" customHeight="1">
      <c r="A2994" s="11" t="inlineStr">
        <is>
          <t>Punjab</t>
        </is>
      </c>
      <c r="B2994" s="12" t="inlineStr">
        <is>
          <t>ICT</t>
        </is>
      </c>
      <c r="C2994" s="13" t="inlineStr">
        <is>
          <t>2026_WSS_177314_1</t>
        </is>
      </c>
      <c r="D2994" s="14" t="inlineStr">
        <is>
          <t>[Proposed Rural water suplly scheme for village Korewala in Block Jhunir District Mansa]</t>
        </is>
      </c>
      <c r="E2994" s="14" t="inlineStr">
        <is>
          <t>Punjab Public Works &amp; Technology Department</t>
        </is>
      </c>
      <c r="F2994" s="13" t="inlineStr">
        <is>
          <t>02 Oct 2026</t>
        </is>
      </c>
      <c r="G2994" s="12" t="inlineStr">
        <is>
          <t>26 Oct 2026</t>
        </is>
      </c>
      <c r="H2994" s="17" t="inlineStr">
        <is>
          <t>🟢 LIVE ACTIVE</t>
        </is>
      </c>
      <c r="I2994" s="11" t="inlineStr">
        <is>
          <t>DNITDrawingRateandSpecifications.pdf</t>
        </is>
      </c>
      <c r="J2994" s="13" t="inlineStr">
        <is>
          <t>📕 PDF Document</t>
        </is>
      </c>
      <c r="K2994" s="15" t="n">
        <v>17.9</v>
      </c>
      <c r="L2994" s="16">
        <f>HYPERLINK("http://127.0.0.1:8000/api/documents/download?id=1373&amp;attachment=true", "⬇ Download DNITDrawingRateandSpecif")</f>
        <v/>
      </c>
      <c r="M2994" s="16">
        <f>HYPERLINK("http://localhost:5173/?state=Punjab&amp;keyword=ICT&amp;tender=2026_WSS_177314_1", "🚀 Open in Portal")</f>
        <v/>
      </c>
    </row>
    <row r="2995" ht="24" customHeight="1">
      <c r="A2995" s="4" t="inlineStr">
        <is>
          <t>Punjab</t>
        </is>
      </c>
      <c r="B2995" s="5" t="inlineStr">
        <is>
          <t>ICT</t>
        </is>
      </c>
      <c r="C2995" s="6" t="inlineStr">
        <is>
          <t>2026_WSS_177314_1</t>
        </is>
      </c>
      <c r="D2995" s="7" t="inlineStr">
        <is>
          <t>[Proposed Rural water suplly scheme for village Korewala in Block Jhunir District Mansa]</t>
        </is>
      </c>
      <c r="E2995" s="7" t="inlineStr">
        <is>
          <t>Punjab Public Works &amp; Technology Department</t>
        </is>
      </c>
      <c r="F2995" s="6" t="inlineStr">
        <is>
          <t>02 Oct 2026</t>
        </is>
      </c>
      <c r="G2995" s="5" t="inlineStr">
        <is>
          <t>26 Oct 2026</t>
        </is>
      </c>
      <c r="H2995" s="17" t="inlineStr">
        <is>
          <t>🟢 LIVE ACTIVE</t>
        </is>
      </c>
      <c r="I2995" s="4" t="inlineStr">
        <is>
          <t>BOQ_361575.xls</t>
        </is>
      </c>
      <c r="J2995" s="6" t="inlineStr">
        <is>
          <t>📊 Excel BOQ</t>
        </is>
      </c>
      <c r="K2995" s="9" t="n">
        <v>2.5</v>
      </c>
      <c r="L2995" s="10">
        <f>HYPERLINK("http://127.0.0.1:8000/api/documents/download?id=1374&amp;attachment=true", "⬇ Download BOQ_361575.xls")</f>
        <v/>
      </c>
      <c r="M2995" s="10">
        <f>HYPERLINK("http://localhost:5173/?state=Punjab&amp;keyword=ICT&amp;tender=2026_WSS_177314_1", "🚀 Open in Portal")</f>
        <v/>
      </c>
    </row>
    <row r="2996" ht="24" customHeight="1">
      <c r="A2996" s="11" t="inlineStr">
        <is>
          <t>Punjab</t>
        </is>
      </c>
      <c r="B2996" s="12" t="inlineStr">
        <is>
          <t>ICT</t>
        </is>
      </c>
      <c r="C2996" s="13" t="inlineStr">
        <is>
          <t>2026_WSS_177314_1</t>
        </is>
      </c>
      <c r="D2996" s="14" t="inlineStr">
        <is>
          <t>[Proposed Rural water suplly scheme for village Korewala in Block Jhunir District Mansa]</t>
        </is>
      </c>
      <c r="E2996" s="14" t="inlineStr">
        <is>
          <t>Punjab Public Works &amp; Technology Department</t>
        </is>
      </c>
      <c r="F2996" s="13" t="inlineStr">
        <is>
          <t>02 Oct 2026</t>
        </is>
      </c>
      <c r="G2996" s="12" t="inlineStr">
        <is>
          <t>26 Oct 2026</t>
        </is>
      </c>
      <c r="H2996" s="17" t="inlineStr">
        <is>
          <t>🟢 LIVE ACTIVE</t>
        </is>
      </c>
      <c r="I2996" s="11" t="inlineStr">
        <is>
          <t>Tender_2026_WSS_177314_1_All_Documents.zip</t>
        </is>
      </c>
      <c r="J2996" s="13" t="inlineStr">
        <is>
          <t>📦 ZIP Package</t>
        </is>
      </c>
      <c r="K2996" s="15" t="n">
        <v>30</v>
      </c>
      <c r="L2996" s="16">
        <f>HYPERLINK("http://127.0.0.1:8000/api/documents/download?id=1375&amp;attachment=true", "⬇ Download Tender_2026_WSS_177314_1")</f>
        <v/>
      </c>
      <c r="M2996" s="16">
        <f>HYPERLINK("http://localhost:5173/?state=Punjab&amp;keyword=ICT&amp;tender=2026_WSS_177314_1", "🚀 Open in Portal")</f>
        <v/>
      </c>
    </row>
    <row r="2997" ht="24" customHeight="1">
      <c r="A2997" s="4" t="inlineStr">
        <is>
          <t>Punjab</t>
        </is>
      </c>
      <c r="B2997" s="5" t="inlineStr">
        <is>
          <t>Spatial</t>
        </is>
      </c>
      <c r="C2997" s="6" t="inlineStr">
        <is>
          <t>2026_PUN_4756549_77</t>
        </is>
      </c>
      <c r="D2997" s="7" t="inlineStr">
        <is>
          <t>Spatial-Based Geospatial Road Asset Inventory &amp; Pavement Condition Digital Survey</t>
        </is>
      </c>
      <c r="E2997" s="7" t="inlineStr">
        <is>
          <t>PUBLIC WORKS &amp; HIGHWAYS DEPARTMENT</t>
        </is>
      </c>
      <c r="F2997" s="6" t="inlineStr">
        <is>
          <t>07 Aug 2026</t>
        </is>
      </c>
      <c r="G2997" s="5" t="inlineStr">
        <is>
          <t>28 Aug 2026</t>
        </is>
      </c>
      <c r="H2997" s="8" t="inlineStr">
        <is>
          <t>⏳ UPCOMING</t>
        </is>
      </c>
      <c r="I2997" s="4" t="inlineStr">
        <is>
          <t>Tendernotice_2026_PUN_4756549_77.pdf</t>
        </is>
      </c>
      <c r="J2997" s="6" t="inlineStr">
        <is>
          <t>📕 PDF Document</t>
        </is>
      </c>
      <c r="K2997" s="9" t="n">
        <v>17.9</v>
      </c>
      <c r="L2997" s="10">
        <f>HYPERLINK("http://127.0.0.1:8000/api/documents/download?id=3309&amp;attachment=true", "⬇ Download Tendernotice_2026_PUN_47")</f>
        <v/>
      </c>
      <c r="M2997" s="10">
        <f>HYPERLINK("http://localhost:5173/?state=Punjab&amp;keyword=Spatial&amp;tender=2026_PUN_4756549_77", "🚀 Open in Portal")</f>
        <v/>
      </c>
    </row>
    <row r="2998" ht="24" customHeight="1">
      <c r="A2998" s="11" t="inlineStr">
        <is>
          <t>Punjab</t>
        </is>
      </c>
      <c r="B2998" s="12" t="inlineStr">
        <is>
          <t>Spatial</t>
        </is>
      </c>
      <c r="C2998" s="13" t="inlineStr">
        <is>
          <t>2026_PUN_4756549_77</t>
        </is>
      </c>
      <c r="D2998" s="14" t="inlineStr">
        <is>
          <t>Spatial-Based Geospatial Road Asset Inventory &amp; Pavement Condition Digital Survey</t>
        </is>
      </c>
      <c r="E2998" s="14" t="inlineStr">
        <is>
          <t>PUBLIC WORKS &amp; HIGHWAYS DEPARTMENT</t>
        </is>
      </c>
      <c r="F2998" s="13" t="inlineStr">
        <is>
          <t>07 Aug 2026</t>
        </is>
      </c>
      <c r="G2998" s="12" t="inlineStr">
        <is>
          <t>28 Aug 2026</t>
        </is>
      </c>
      <c r="H2998" s="8" t="inlineStr">
        <is>
          <t>⏳ UPCOMING</t>
        </is>
      </c>
      <c r="I2998" s="11" t="inlineStr">
        <is>
          <t>Technical_RFP_Specification_Spatial.pdf</t>
        </is>
      </c>
      <c r="J2998" s="13" t="inlineStr">
        <is>
          <t>📕 PDF Document</t>
        </is>
      </c>
      <c r="K2998" s="15" t="n">
        <v>17.9</v>
      </c>
      <c r="L2998" s="16">
        <f>HYPERLINK("http://127.0.0.1:8000/api/documents/download?id=3310&amp;attachment=true", "⬇ Download Technical_RFP_Specificat")</f>
        <v/>
      </c>
      <c r="M2998" s="16">
        <f>HYPERLINK("http://localhost:5173/?state=Punjab&amp;keyword=Spatial&amp;tender=2026_PUN_4756549_77", "🚀 Open in Portal")</f>
        <v/>
      </c>
    </row>
    <row r="2999" ht="24" customHeight="1">
      <c r="A2999" s="4" t="inlineStr">
        <is>
          <t>Punjab</t>
        </is>
      </c>
      <c r="B2999" s="5" t="inlineStr">
        <is>
          <t>Spatial</t>
        </is>
      </c>
      <c r="C2999" s="6" t="inlineStr">
        <is>
          <t>2026_PUN_4756549_77</t>
        </is>
      </c>
      <c r="D2999" s="7" t="inlineStr">
        <is>
          <t>Spatial-Based Geospatial Road Asset Inventory &amp; Pavement Condition Digital Survey</t>
        </is>
      </c>
      <c r="E2999" s="7" t="inlineStr">
        <is>
          <t>PUBLIC WORKS &amp; HIGHWAYS DEPARTMENT</t>
        </is>
      </c>
      <c r="F2999" s="6" t="inlineStr">
        <is>
          <t>07 Aug 2026</t>
        </is>
      </c>
      <c r="G2999" s="5" t="inlineStr">
        <is>
          <t>28 Aug 2026</t>
        </is>
      </c>
      <c r="H2999" s="8" t="inlineStr">
        <is>
          <t>⏳ UPCOMING</t>
        </is>
      </c>
      <c r="I2999" s="4" t="inlineStr">
        <is>
          <t>BOQ_Financial_Schedule_2026_PUN_4756549_77.xlsx</t>
        </is>
      </c>
      <c r="J2999" s="6" t="inlineStr">
        <is>
          <t>📊 Excel BOQ</t>
        </is>
      </c>
      <c r="K2999" s="9" t="n">
        <v>2.4</v>
      </c>
      <c r="L2999" s="10">
        <f>HYPERLINK("http://127.0.0.1:8000/api/documents/download?id=3311&amp;attachment=true", "⬇ Download BOQ_Financial_Schedule_2")</f>
        <v/>
      </c>
      <c r="M2999" s="10">
        <f>HYPERLINK("http://localhost:5173/?state=Punjab&amp;keyword=Spatial&amp;tender=2026_PUN_4756549_77", "🚀 Open in Portal")</f>
        <v/>
      </c>
    </row>
    <row r="3000" ht="24" customHeight="1">
      <c r="A3000" s="11" t="inlineStr">
        <is>
          <t>Punjab</t>
        </is>
      </c>
      <c r="B3000" s="12" t="inlineStr">
        <is>
          <t>Spatial</t>
        </is>
      </c>
      <c r="C3000" s="13" t="inlineStr">
        <is>
          <t>2026_PUN_4756549_77</t>
        </is>
      </c>
      <c r="D3000" s="14" t="inlineStr">
        <is>
          <t>Spatial-Based Geospatial Road Asset Inventory &amp; Pavement Condition Digital Survey</t>
        </is>
      </c>
      <c r="E3000" s="14" t="inlineStr">
        <is>
          <t>PUBLIC WORKS &amp; HIGHWAYS DEPARTMENT</t>
        </is>
      </c>
      <c r="F3000" s="13" t="inlineStr">
        <is>
          <t>07 Aug 2026</t>
        </is>
      </c>
      <c r="G3000" s="12" t="inlineStr">
        <is>
          <t>28 Aug 2026</t>
        </is>
      </c>
      <c r="H3000" s="8" t="inlineStr">
        <is>
          <t>⏳ UPCOMING</t>
        </is>
      </c>
      <c r="I3000" s="11" t="inlineStr">
        <is>
          <t>Tender_2026_PUN_4756549_77_All_Documents.zip</t>
        </is>
      </c>
      <c r="J3000" s="13" t="inlineStr">
        <is>
          <t>📦 ZIP Package</t>
        </is>
      </c>
      <c r="K3000" s="15" t="n">
        <v>45</v>
      </c>
      <c r="L3000" s="16">
        <f>HYPERLINK("https://eproc.punjab.gov.in/tender/2026_PUN_4756549_77", "⬇ Download Tender_2026_PUN_4756549_")</f>
        <v/>
      </c>
      <c r="M3000" s="16">
        <f>HYPERLINK("http://localhost:5173/?state=Punjab&amp;keyword=Spatial&amp;tender=2026_PUN_4756549_77", "🚀 Open in Portal")</f>
        <v/>
      </c>
    </row>
    <row r="3001" ht="24" customHeight="1">
      <c r="A3001" s="4" t="inlineStr">
        <is>
          <t>Punjab</t>
        </is>
      </c>
      <c r="B3001" s="5" t="inlineStr">
        <is>
          <t>Spatial</t>
        </is>
      </c>
      <c r="C3001" s="6" t="inlineStr">
        <is>
          <t>2026_PUN_5109871_54</t>
        </is>
      </c>
      <c r="D3001" s="7" t="inlineStr">
        <is>
          <t>Spatial-Based Geospatial Road Asset Inventory &amp; Pavement Condition Digital Survey</t>
        </is>
      </c>
      <c r="E3001" s="7" t="inlineStr">
        <is>
          <t>PUBLIC WORKS &amp; HIGHWAYS DEPARTMENT</t>
        </is>
      </c>
      <c r="F3001" s="6" t="inlineStr">
        <is>
          <t>16 Aug 2026</t>
        </is>
      </c>
      <c r="G3001" s="5" t="inlineStr">
        <is>
          <t>13 Sep 2026</t>
        </is>
      </c>
      <c r="H3001" s="8" t="inlineStr">
        <is>
          <t>⏳ UPCOMING</t>
        </is>
      </c>
      <c r="I3001" s="4" t="inlineStr">
        <is>
          <t>Tendernotice_2026_PUN_5109871_54.pdf</t>
        </is>
      </c>
      <c r="J3001" s="6" t="inlineStr">
        <is>
          <t>📕 PDF Document</t>
        </is>
      </c>
      <c r="K3001" s="9" t="n">
        <v>7.6</v>
      </c>
      <c r="L3001" s="10">
        <f>HYPERLINK("http://127.0.0.1:8000/api/documents/download?id=3401&amp;attachment=true", "⬇ Download Tendernotice_2026_PUN_51")</f>
        <v/>
      </c>
      <c r="M3001" s="10">
        <f>HYPERLINK("http://localhost:5173/?state=Punjab&amp;keyword=Spatial&amp;tender=2026_PUN_5109871_54", "🚀 Open in Portal")</f>
        <v/>
      </c>
    </row>
    <row r="3002" ht="24" customHeight="1">
      <c r="A3002" s="11" t="inlineStr">
        <is>
          <t>Punjab</t>
        </is>
      </c>
      <c r="B3002" s="12" t="inlineStr">
        <is>
          <t>Spatial</t>
        </is>
      </c>
      <c r="C3002" s="13" t="inlineStr">
        <is>
          <t>2026_PUN_5109871_54</t>
        </is>
      </c>
      <c r="D3002" s="14" t="inlineStr">
        <is>
          <t>Spatial-Based Geospatial Road Asset Inventory &amp; Pavement Condition Digital Survey</t>
        </is>
      </c>
      <c r="E3002" s="14" t="inlineStr">
        <is>
          <t>PUBLIC WORKS &amp; HIGHWAYS DEPARTMENT</t>
        </is>
      </c>
      <c r="F3002" s="13" t="inlineStr">
        <is>
          <t>16 Aug 2026</t>
        </is>
      </c>
      <c r="G3002" s="12" t="inlineStr">
        <is>
          <t>13 Sep 2026</t>
        </is>
      </c>
      <c r="H3002" s="8" t="inlineStr">
        <is>
          <t>⏳ UPCOMING</t>
        </is>
      </c>
      <c r="I3002" s="11" t="inlineStr">
        <is>
          <t>Technical_RFP_Specification_Spatial.pdf</t>
        </is>
      </c>
      <c r="J3002" s="13" t="inlineStr">
        <is>
          <t>📕 PDF Document</t>
        </is>
      </c>
      <c r="K3002" s="15" t="n">
        <v>7.6</v>
      </c>
      <c r="L3002" s="16">
        <f>HYPERLINK("http://127.0.0.1:8000/api/documents/download?id=3402&amp;attachment=true", "⬇ Download Technical_RFP_Specificat")</f>
        <v/>
      </c>
      <c r="M3002" s="16">
        <f>HYPERLINK("http://localhost:5173/?state=Punjab&amp;keyword=Spatial&amp;tender=2026_PUN_5109871_54", "🚀 Open in Portal")</f>
        <v/>
      </c>
    </row>
    <row r="3003" ht="24" customHeight="1">
      <c r="A3003" s="4" t="inlineStr">
        <is>
          <t>Punjab</t>
        </is>
      </c>
      <c r="B3003" s="5" t="inlineStr">
        <is>
          <t>Spatial</t>
        </is>
      </c>
      <c r="C3003" s="6" t="inlineStr">
        <is>
          <t>2026_PUN_5109871_54</t>
        </is>
      </c>
      <c r="D3003" s="7" t="inlineStr">
        <is>
          <t>Spatial-Based Geospatial Road Asset Inventory &amp; Pavement Condition Digital Survey</t>
        </is>
      </c>
      <c r="E3003" s="7" t="inlineStr">
        <is>
          <t>PUBLIC WORKS &amp; HIGHWAYS DEPARTMENT</t>
        </is>
      </c>
      <c r="F3003" s="6" t="inlineStr">
        <is>
          <t>16 Aug 2026</t>
        </is>
      </c>
      <c r="G3003" s="5" t="inlineStr">
        <is>
          <t>13 Sep 2026</t>
        </is>
      </c>
      <c r="H3003" s="8" t="inlineStr">
        <is>
          <t>⏳ UPCOMING</t>
        </is>
      </c>
      <c r="I3003" s="4" t="inlineStr">
        <is>
          <t>BOQ_Financial_Schedule_2026_PUN_5109871_54.xlsx</t>
        </is>
      </c>
      <c r="J3003" s="6" t="inlineStr">
        <is>
          <t>📊 Excel BOQ</t>
        </is>
      </c>
      <c r="K3003" s="9" t="n">
        <v>5.9</v>
      </c>
      <c r="L3003" s="10">
        <f>HYPERLINK("http://127.0.0.1:8000/api/documents/download?id=3403&amp;attachment=true", "⬇ Download BOQ_Financial_Schedule_2")</f>
        <v/>
      </c>
      <c r="M3003" s="10">
        <f>HYPERLINK("http://localhost:5173/?state=Punjab&amp;keyword=Spatial&amp;tender=2026_PUN_5109871_54", "🚀 Open in Portal")</f>
        <v/>
      </c>
    </row>
    <row r="3004" ht="24" customHeight="1">
      <c r="A3004" s="11" t="inlineStr">
        <is>
          <t>Punjab</t>
        </is>
      </c>
      <c r="B3004" s="12" t="inlineStr">
        <is>
          <t>Spatial</t>
        </is>
      </c>
      <c r="C3004" s="13" t="inlineStr">
        <is>
          <t>2026_PUN_5109871_54</t>
        </is>
      </c>
      <c r="D3004" s="14" t="inlineStr">
        <is>
          <t>Spatial-Based Geospatial Road Asset Inventory &amp; Pavement Condition Digital Survey</t>
        </is>
      </c>
      <c r="E3004" s="14" t="inlineStr">
        <is>
          <t>PUBLIC WORKS &amp; HIGHWAYS DEPARTMENT</t>
        </is>
      </c>
      <c r="F3004" s="13" t="inlineStr">
        <is>
          <t>16 Aug 2026</t>
        </is>
      </c>
      <c r="G3004" s="12" t="inlineStr">
        <is>
          <t>13 Sep 2026</t>
        </is>
      </c>
      <c r="H3004" s="8" t="inlineStr">
        <is>
          <t>⏳ UPCOMING</t>
        </is>
      </c>
      <c r="I3004" s="11" t="inlineStr">
        <is>
          <t>Tender_2026_PUN_5109871_54_All_Documents.zip</t>
        </is>
      </c>
      <c r="J3004" s="13" t="inlineStr">
        <is>
          <t>📦 ZIP Package</t>
        </is>
      </c>
      <c r="K3004" s="15" t="n">
        <v>45</v>
      </c>
      <c r="L3004" s="16">
        <f>HYPERLINK("https://eproc.punjab.gov.in/tender/2026_PUN_5109871_54", "⬇ Download Tender_2026_PUN_5109871_")</f>
        <v/>
      </c>
      <c r="M3004" s="16">
        <f>HYPERLINK("http://localhost:5173/?state=Punjab&amp;keyword=Spatial&amp;tender=2026_PUN_5109871_54", "🚀 Open in Portal")</f>
        <v/>
      </c>
    </row>
    <row r="3005" ht="24" customHeight="1">
      <c r="A3005" s="4" t="inlineStr">
        <is>
          <t>Punjab</t>
        </is>
      </c>
      <c r="B3005" s="5" t="inlineStr">
        <is>
          <t>Spatial</t>
        </is>
      </c>
      <c r="C3005" s="6" t="inlineStr">
        <is>
          <t>2026_PUN_9818552_52</t>
        </is>
      </c>
      <c r="D3005" s="7" t="inlineStr">
        <is>
          <t>Spatial-Based Geospatial Road Asset Inventory &amp; Pavement Condition Digital Survey</t>
        </is>
      </c>
      <c r="E3005" s="7" t="inlineStr">
        <is>
          <t>PUBLIC WORKS &amp; HIGHWAYS DEPARTMENT</t>
        </is>
      </c>
      <c r="F3005" s="6" t="inlineStr">
        <is>
          <t>16 Sep 2026</t>
        </is>
      </c>
      <c r="G3005" s="5" t="inlineStr">
        <is>
          <t>08 Oct 2026</t>
        </is>
      </c>
      <c r="H3005" s="8" t="inlineStr">
        <is>
          <t>⏳ UPCOMING</t>
        </is>
      </c>
      <c r="I3005" s="4" t="inlineStr">
        <is>
          <t>Tendernotice_2026_PUN_9818552_52.pdf</t>
        </is>
      </c>
      <c r="J3005" s="6" t="inlineStr">
        <is>
          <t>📕 PDF Document</t>
        </is>
      </c>
      <c r="K3005" s="9" t="n">
        <v>17.9</v>
      </c>
      <c r="L3005" s="10">
        <f>HYPERLINK("http://127.0.0.1:8000/api/documents/download?id=3157&amp;attachment=true", "⬇ Download Tendernotice_2026_PUN_98")</f>
        <v/>
      </c>
      <c r="M3005" s="10">
        <f>HYPERLINK("http://localhost:5173/?state=Punjab&amp;keyword=Spatial&amp;tender=2026_PUN_9818552_52", "🚀 Open in Portal")</f>
        <v/>
      </c>
    </row>
    <row r="3006" ht="24" customHeight="1">
      <c r="A3006" s="11" t="inlineStr">
        <is>
          <t>Punjab</t>
        </is>
      </c>
      <c r="B3006" s="12" t="inlineStr">
        <is>
          <t>Spatial</t>
        </is>
      </c>
      <c r="C3006" s="13" t="inlineStr">
        <is>
          <t>2026_PUN_9818552_52</t>
        </is>
      </c>
      <c r="D3006" s="14" t="inlineStr">
        <is>
          <t>Spatial-Based Geospatial Road Asset Inventory &amp; Pavement Condition Digital Survey</t>
        </is>
      </c>
      <c r="E3006" s="14" t="inlineStr">
        <is>
          <t>PUBLIC WORKS &amp; HIGHWAYS DEPARTMENT</t>
        </is>
      </c>
      <c r="F3006" s="13" t="inlineStr">
        <is>
          <t>16 Sep 2026</t>
        </is>
      </c>
      <c r="G3006" s="12" t="inlineStr">
        <is>
          <t>08 Oct 2026</t>
        </is>
      </c>
      <c r="H3006" s="8" t="inlineStr">
        <is>
          <t>⏳ UPCOMING</t>
        </is>
      </c>
      <c r="I3006" s="11" t="inlineStr">
        <is>
          <t>Technical_RFP_Specification_Spatial.pdf</t>
        </is>
      </c>
      <c r="J3006" s="13" t="inlineStr">
        <is>
          <t>📕 PDF Document</t>
        </is>
      </c>
      <c r="K3006" s="15" t="n">
        <v>17.9</v>
      </c>
      <c r="L3006" s="16">
        <f>HYPERLINK("http://127.0.0.1:8000/api/documents/download?id=3158&amp;attachment=true", "⬇ Download Technical_RFP_Specificat")</f>
        <v/>
      </c>
      <c r="M3006" s="16">
        <f>HYPERLINK("http://localhost:5173/?state=Punjab&amp;keyword=Spatial&amp;tender=2026_PUN_9818552_52", "🚀 Open in Portal")</f>
        <v/>
      </c>
    </row>
    <row r="3007" ht="24" customHeight="1">
      <c r="A3007" s="4" t="inlineStr">
        <is>
          <t>Punjab</t>
        </is>
      </c>
      <c r="B3007" s="5" t="inlineStr">
        <is>
          <t>Spatial</t>
        </is>
      </c>
      <c r="C3007" s="6" t="inlineStr">
        <is>
          <t>2026_PUN_9818552_52</t>
        </is>
      </c>
      <c r="D3007" s="7" t="inlineStr">
        <is>
          <t>Spatial-Based Geospatial Road Asset Inventory &amp; Pavement Condition Digital Survey</t>
        </is>
      </c>
      <c r="E3007" s="7" t="inlineStr">
        <is>
          <t>PUBLIC WORKS &amp; HIGHWAYS DEPARTMENT</t>
        </is>
      </c>
      <c r="F3007" s="6" t="inlineStr">
        <is>
          <t>16 Sep 2026</t>
        </is>
      </c>
      <c r="G3007" s="5" t="inlineStr">
        <is>
          <t>08 Oct 2026</t>
        </is>
      </c>
      <c r="H3007" s="8" t="inlineStr">
        <is>
          <t>⏳ UPCOMING</t>
        </is>
      </c>
      <c r="I3007" s="4" t="inlineStr">
        <is>
          <t>BOQ_Financial_Schedule_2026_PUN_9818552_52.xlsx</t>
        </is>
      </c>
      <c r="J3007" s="6" t="inlineStr">
        <is>
          <t>📊 Excel BOQ</t>
        </is>
      </c>
      <c r="K3007" s="9" t="n">
        <v>2.4</v>
      </c>
      <c r="L3007" s="10">
        <f>HYPERLINK("http://127.0.0.1:8000/api/documents/download?id=3159&amp;attachment=true", "⬇ Download BOQ_Financial_Schedule_2")</f>
        <v/>
      </c>
      <c r="M3007" s="10">
        <f>HYPERLINK("http://localhost:5173/?state=Punjab&amp;keyword=Spatial&amp;tender=2026_PUN_9818552_52", "🚀 Open in Portal")</f>
        <v/>
      </c>
    </row>
    <row r="3008" ht="24" customHeight="1">
      <c r="A3008" s="11" t="inlineStr">
        <is>
          <t>Punjab</t>
        </is>
      </c>
      <c r="B3008" s="12" t="inlineStr">
        <is>
          <t>Spatial</t>
        </is>
      </c>
      <c r="C3008" s="13" t="inlineStr">
        <is>
          <t>2026_PUN_9818552_52</t>
        </is>
      </c>
      <c r="D3008" s="14" t="inlineStr">
        <is>
          <t>Spatial-Based Geospatial Road Asset Inventory &amp; Pavement Condition Digital Survey</t>
        </is>
      </c>
      <c r="E3008" s="14" t="inlineStr">
        <is>
          <t>PUBLIC WORKS &amp; HIGHWAYS DEPARTMENT</t>
        </is>
      </c>
      <c r="F3008" s="13" t="inlineStr">
        <is>
          <t>16 Sep 2026</t>
        </is>
      </c>
      <c r="G3008" s="12" t="inlineStr">
        <is>
          <t>08 Oct 2026</t>
        </is>
      </c>
      <c r="H3008" s="8" t="inlineStr">
        <is>
          <t>⏳ UPCOMING</t>
        </is>
      </c>
      <c r="I3008" s="11" t="inlineStr">
        <is>
          <t>Tender_2026_PUN_9818552_52_All_Documents.zip</t>
        </is>
      </c>
      <c r="J3008" s="13" t="inlineStr">
        <is>
          <t>📦 ZIP Package</t>
        </is>
      </c>
      <c r="K3008" s="15" t="n">
        <v>45</v>
      </c>
      <c r="L3008" s="16">
        <f>HYPERLINK("https://eproc.punjab.gov.in/tender/2026_PUN_9818552_52", "⬇ Download Tender_2026_PUN_9818552_")</f>
        <v/>
      </c>
      <c r="M3008" s="16">
        <f>HYPERLINK("http://localhost:5173/?state=Punjab&amp;keyword=Spatial&amp;tender=2026_PUN_9818552_52", "🚀 Open in Portal")</f>
        <v/>
      </c>
    </row>
    <row r="3009" ht="24" customHeight="1">
      <c r="A3009" s="4" t="inlineStr">
        <is>
          <t>Punjab</t>
        </is>
      </c>
      <c r="B3009" s="5" t="inlineStr">
        <is>
          <t>Mapping</t>
        </is>
      </c>
      <c r="C3009" s="6" t="inlineStr">
        <is>
          <t>2026_PUN_3479063_49</t>
        </is>
      </c>
      <c r="D3009" s="7" t="inlineStr">
        <is>
          <t>Mapping-Based High Resolution Satellite Imagery Land Use &amp; Land Cover Spatial Mapping</t>
        </is>
      </c>
      <c r="E3009" s="7" t="inlineStr">
        <is>
          <t>DEPARTMENT OF SCIENCE, TECHNOLOGY &amp; REMOTE SENSING</t>
        </is>
      </c>
      <c r="F3009" s="6" t="inlineStr">
        <is>
          <t>30 Sep 2026</t>
        </is>
      </c>
      <c r="G3009" s="5" t="inlineStr">
        <is>
          <t>29 Oct 2026</t>
        </is>
      </c>
      <c r="H3009" s="17" t="inlineStr">
        <is>
          <t>🟢 LIVE ACTIVE</t>
        </is>
      </c>
      <c r="I3009" s="4" t="inlineStr">
        <is>
          <t>Tendernotice_2026_PUN_3479063_49.pdf</t>
        </is>
      </c>
      <c r="J3009" s="6" t="inlineStr">
        <is>
          <t>📕 PDF Document</t>
        </is>
      </c>
      <c r="K3009" s="9" t="n">
        <v>17.9</v>
      </c>
      <c r="L3009" s="10">
        <f>HYPERLINK("http://127.0.0.1:8000/api/documents/download?id=3181&amp;attachment=true", "⬇ Download Tendernotice_2026_PUN_34")</f>
        <v/>
      </c>
      <c r="M3009" s="10">
        <f>HYPERLINK("http://localhost:5173/?state=Punjab&amp;keyword=Mapping&amp;tender=2026_PUN_3479063_49", "🚀 Open in Portal")</f>
        <v/>
      </c>
    </row>
    <row r="3010" ht="24" customHeight="1">
      <c r="A3010" s="11" t="inlineStr">
        <is>
          <t>Punjab</t>
        </is>
      </c>
      <c r="B3010" s="12" t="inlineStr">
        <is>
          <t>Mapping</t>
        </is>
      </c>
      <c r="C3010" s="13" t="inlineStr">
        <is>
          <t>2026_PUN_3479063_49</t>
        </is>
      </c>
      <c r="D3010" s="14" t="inlineStr">
        <is>
          <t>Mapping-Based High Resolution Satellite Imagery Land Use &amp; Land Cover Spatial Mapping</t>
        </is>
      </c>
      <c r="E3010" s="14" t="inlineStr">
        <is>
          <t>DEPARTMENT OF SCIENCE, TECHNOLOGY &amp; REMOTE SENSING</t>
        </is>
      </c>
      <c r="F3010" s="13" t="inlineStr">
        <is>
          <t>30 Sep 2026</t>
        </is>
      </c>
      <c r="G3010" s="12" t="inlineStr">
        <is>
          <t>29 Oct 2026</t>
        </is>
      </c>
      <c r="H3010" s="17" t="inlineStr">
        <is>
          <t>🟢 LIVE ACTIVE</t>
        </is>
      </c>
      <c r="I3010" s="11" t="inlineStr">
        <is>
          <t>Technical_RFP_Specification_Mapping.pdf</t>
        </is>
      </c>
      <c r="J3010" s="13" t="inlineStr">
        <is>
          <t>📕 PDF Document</t>
        </is>
      </c>
      <c r="K3010" s="15" t="n">
        <v>17.9</v>
      </c>
      <c r="L3010" s="16">
        <f>HYPERLINK("http://127.0.0.1:8000/api/documents/download?id=3182&amp;attachment=true", "⬇ Download Technical_RFP_Specificat")</f>
        <v/>
      </c>
      <c r="M3010" s="16">
        <f>HYPERLINK("http://localhost:5173/?state=Punjab&amp;keyword=Mapping&amp;tender=2026_PUN_3479063_49", "🚀 Open in Portal")</f>
        <v/>
      </c>
    </row>
    <row r="3011" ht="24" customHeight="1">
      <c r="A3011" s="4" t="inlineStr">
        <is>
          <t>Punjab</t>
        </is>
      </c>
      <c r="B3011" s="5" t="inlineStr">
        <is>
          <t>Mapping</t>
        </is>
      </c>
      <c r="C3011" s="6" t="inlineStr">
        <is>
          <t>2026_PUN_3479063_49</t>
        </is>
      </c>
      <c r="D3011" s="7" t="inlineStr">
        <is>
          <t>Mapping-Based High Resolution Satellite Imagery Land Use &amp; Land Cover Spatial Mapping</t>
        </is>
      </c>
      <c r="E3011" s="7" t="inlineStr">
        <is>
          <t>DEPARTMENT OF SCIENCE, TECHNOLOGY &amp; REMOTE SENSING</t>
        </is>
      </c>
      <c r="F3011" s="6" t="inlineStr">
        <is>
          <t>30 Sep 2026</t>
        </is>
      </c>
      <c r="G3011" s="5" t="inlineStr">
        <is>
          <t>29 Oct 2026</t>
        </is>
      </c>
      <c r="H3011" s="17" t="inlineStr">
        <is>
          <t>🟢 LIVE ACTIVE</t>
        </is>
      </c>
      <c r="I3011" s="4" t="inlineStr">
        <is>
          <t>BOQ_Financial_Schedule_2026_PUN_3479063_49.xlsx</t>
        </is>
      </c>
      <c r="J3011" s="6" t="inlineStr">
        <is>
          <t>📊 Excel BOQ</t>
        </is>
      </c>
      <c r="K3011" s="9" t="n">
        <v>2.5</v>
      </c>
      <c r="L3011" s="10">
        <f>HYPERLINK("http://127.0.0.1:8000/api/documents/download?id=3183&amp;attachment=true", "⬇ Download BOQ_Financial_Schedule_2")</f>
        <v/>
      </c>
      <c r="M3011" s="10">
        <f>HYPERLINK("http://localhost:5173/?state=Punjab&amp;keyword=Mapping&amp;tender=2026_PUN_3479063_49", "🚀 Open in Portal")</f>
        <v/>
      </c>
    </row>
    <row r="3012" ht="24" customHeight="1">
      <c r="A3012" s="11" t="inlineStr">
        <is>
          <t>Punjab</t>
        </is>
      </c>
      <c r="B3012" s="12" t="inlineStr">
        <is>
          <t>Mapping</t>
        </is>
      </c>
      <c r="C3012" s="13" t="inlineStr">
        <is>
          <t>2026_PUN_3479063_49</t>
        </is>
      </c>
      <c r="D3012" s="14" t="inlineStr">
        <is>
          <t>Mapping-Based High Resolution Satellite Imagery Land Use &amp; Land Cover Spatial Mapping</t>
        </is>
      </c>
      <c r="E3012" s="14" t="inlineStr">
        <is>
          <t>DEPARTMENT OF SCIENCE, TECHNOLOGY &amp; REMOTE SENSING</t>
        </is>
      </c>
      <c r="F3012" s="13" t="inlineStr">
        <is>
          <t>30 Sep 2026</t>
        </is>
      </c>
      <c r="G3012" s="12" t="inlineStr">
        <is>
          <t>29 Oct 2026</t>
        </is>
      </c>
      <c r="H3012" s="17" t="inlineStr">
        <is>
          <t>🟢 LIVE ACTIVE</t>
        </is>
      </c>
      <c r="I3012" s="11" t="inlineStr">
        <is>
          <t>Tender_2026_PUN_3479063_49_All_Documents.zip</t>
        </is>
      </c>
      <c r="J3012" s="13" t="inlineStr">
        <is>
          <t>📦 ZIP Package</t>
        </is>
      </c>
      <c r="K3012" s="15" t="n">
        <v>45</v>
      </c>
      <c r="L3012" s="16">
        <f>HYPERLINK("https://eproc.punjab.gov.in/tender/2026_PUN_3479063_49", "⬇ Download Tender_2026_PUN_3479063_")</f>
        <v/>
      </c>
      <c r="M3012" s="16">
        <f>HYPERLINK("http://localhost:5173/?state=Punjab&amp;keyword=Mapping&amp;tender=2026_PUN_3479063_49", "🚀 Open in Portal")</f>
        <v/>
      </c>
    </row>
    <row r="3013" ht="24" customHeight="1">
      <c r="A3013" s="4" t="inlineStr">
        <is>
          <t>Punjab</t>
        </is>
      </c>
      <c r="B3013" s="5" t="inlineStr">
        <is>
          <t>Empanelment</t>
        </is>
      </c>
      <c r="C3013" s="6" t="inlineStr">
        <is>
          <t>2026_PUN_7145_62</t>
        </is>
      </c>
      <c r="D3013" s="7" t="inlineStr">
        <is>
          <t>Empanelment-Based Empanelment of Specialized Geospatial &amp; AI Solutions Consulting Agencies</t>
        </is>
      </c>
      <c r="E3013" s="7" t="inlineStr">
        <is>
          <t>STATE ELECTRONICS DEVELOPMENT CORPORATION</t>
        </is>
      </c>
      <c r="F3013" s="6" t="inlineStr">
        <is>
          <t>02 Sep 2026</t>
        </is>
      </c>
      <c r="G3013" s="5" t="inlineStr">
        <is>
          <t>29 Sep 2026</t>
        </is>
      </c>
      <c r="H3013" s="8" t="inlineStr">
        <is>
          <t>⏳ UPCOMING</t>
        </is>
      </c>
      <c r="I3013" s="4" t="inlineStr">
        <is>
          <t>Tendernotice_2026_PUN_7145_62.pdf</t>
        </is>
      </c>
      <c r="J3013" s="6" t="inlineStr">
        <is>
          <t>📕 PDF Document</t>
        </is>
      </c>
      <c r="K3013" s="9" t="n">
        <v>17.9</v>
      </c>
      <c r="L3013" s="10">
        <f>HYPERLINK("http://127.0.0.1:8000/api/documents/download?id=3077&amp;attachment=true", "⬇ Download Tendernotice_2026_PUN_71")</f>
        <v/>
      </c>
      <c r="M3013" s="10">
        <f>HYPERLINK("http://localhost:5173/?state=Punjab&amp;keyword=Empanelment&amp;tender=2026_PUN_7145_62", "🚀 Open in Portal")</f>
        <v/>
      </c>
    </row>
    <row r="3014" ht="24" customHeight="1">
      <c r="A3014" s="11" t="inlineStr">
        <is>
          <t>Punjab</t>
        </is>
      </c>
      <c r="B3014" s="12" t="inlineStr">
        <is>
          <t>Empanelment</t>
        </is>
      </c>
      <c r="C3014" s="13" t="inlineStr">
        <is>
          <t>2026_PUN_7145_62</t>
        </is>
      </c>
      <c r="D3014" s="14" t="inlineStr">
        <is>
          <t>Empanelment-Based Empanelment of Specialized Geospatial &amp; AI Solutions Consulting Agencies</t>
        </is>
      </c>
      <c r="E3014" s="14" t="inlineStr">
        <is>
          <t>STATE ELECTRONICS DEVELOPMENT CORPORATION</t>
        </is>
      </c>
      <c r="F3014" s="13" t="inlineStr">
        <is>
          <t>02 Sep 2026</t>
        </is>
      </c>
      <c r="G3014" s="12" t="inlineStr">
        <is>
          <t>29 Sep 2026</t>
        </is>
      </c>
      <c r="H3014" s="8" t="inlineStr">
        <is>
          <t>⏳ UPCOMING</t>
        </is>
      </c>
      <c r="I3014" s="11" t="inlineStr">
        <is>
          <t>Technical_RFP_Specification_Empanelment.pdf</t>
        </is>
      </c>
      <c r="J3014" s="13" t="inlineStr">
        <is>
          <t>📕 PDF Document</t>
        </is>
      </c>
      <c r="K3014" s="15" t="n">
        <v>17.9</v>
      </c>
      <c r="L3014" s="16">
        <f>HYPERLINK("http://127.0.0.1:8000/api/documents/download?id=3078&amp;attachment=true", "⬇ Download Technical_RFP_Specificat")</f>
        <v/>
      </c>
      <c r="M3014" s="16">
        <f>HYPERLINK("http://localhost:5173/?state=Punjab&amp;keyword=Empanelment&amp;tender=2026_PUN_7145_62", "🚀 Open in Portal")</f>
        <v/>
      </c>
    </row>
    <row r="3015" ht="24" customHeight="1">
      <c r="A3015" s="4" t="inlineStr">
        <is>
          <t>Punjab</t>
        </is>
      </c>
      <c r="B3015" s="5" t="inlineStr">
        <is>
          <t>Empanelment</t>
        </is>
      </c>
      <c r="C3015" s="6" t="inlineStr">
        <is>
          <t>2026_PUN_7145_62</t>
        </is>
      </c>
      <c r="D3015" s="7" t="inlineStr">
        <is>
          <t>Empanelment-Based Empanelment of Specialized Geospatial &amp; AI Solutions Consulting Agencies</t>
        </is>
      </c>
      <c r="E3015" s="7" t="inlineStr">
        <is>
          <t>STATE ELECTRONICS DEVELOPMENT CORPORATION</t>
        </is>
      </c>
      <c r="F3015" s="6" t="inlineStr">
        <is>
          <t>02 Sep 2026</t>
        </is>
      </c>
      <c r="G3015" s="5" t="inlineStr">
        <is>
          <t>29 Sep 2026</t>
        </is>
      </c>
      <c r="H3015" s="8" t="inlineStr">
        <is>
          <t>⏳ UPCOMING</t>
        </is>
      </c>
      <c r="I3015" s="4" t="inlineStr">
        <is>
          <t>BOQ_Financial_Schedule_2026_PUN_7145_62.xlsx</t>
        </is>
      </c>
      <c r="J3015" s="6" t="inlineStr">
        <is>
          <t>📊 Excel BOQ</t>
        </is>
      </c>
      <c r="K3015" s="9" t="n">
        <v>2.5</v>
      </c>
      <c r="L3015" s="10">
        <f>HYPERLINK("http://127.0.0.1:8000/api/documents/download?id=3079&amp;attachment=true", "⬇ Download BOQ_Financial_Schedule_2")</f>
        <v/>
      </c>
      <c r="M3015" s="10">
        <f>HYPERLINK("http://localhost:5173/?state=Punjab&amp;keyword=Empanelment&amp;tender=2026_PUN_7145_62", "🚀 Open in Portal")</f>
        <v/>
      </c>
    </row>
    <row r="3016" ht="24" customHeight="1">
      <c r="A3016" s="11" t="inlineStr">
        <is>
          <t>Punjab</t>
        </is>
      </c>
      <c r="B3016" s="12" t="inlineStr">
        <is>
          <t>Empanelment</t>
        </is>
      </c>
      <c r="C3016" s="13" t="inlineStr">
        <is>
          <t>2026_PUN_7145_62</t>
        </is>
      </c>
      <c r="D3016" s="14" t="inlineStr">
        <is>
          <t>Empanelment-Based Empanelment of Specialized Geospatial &amp; AI Solutions Consulting Agencies</t>
        </is>
      </c>
      <c r="E3016" s="14" t="inlineStr">
        <is>
          <t>STATE ELECTRONICS DEVELOPMENT CORPORATION</t>
        </is>
      </c>
      <c r="F3016" s="13" t="inlineStr">
        <is>
          <t>02 Sep 2026</t>
        </is>
      </c>
      <c r="G3016" s="12" t="inlineStr">
        <is>
          <t>29 Sep 2026</t>
        </is>
      </c>
      <c r="H3016" s="8" t="inlineStr">
        <is>
          <t>⏳ UPCOMING</t>
        </is>
      </c>
      <c r="I3016" s="11" t="inlineStr">
        <is>
          <t>Tender_2026_PUN_7145_62_All_Documents.zip</t>
        </is>
      </c>
      <c r="J3016" s="13" t="inlineStr">
        <is>
          <t>📦 ZIP Package</t>
        </is>
      </c>
      <c r="K3016" s="15" t="n">
        <v>45</v>
      </c>
      <c r="L3016" s="16">
        <f>HYPERLINK("https://eproc.punjab.gov.in/tender/2026_PUN_7145_62", "⬇ Download Tender_2026_PUN_7145_62_")</f>
        <v/>
      </c>
      <c r="M3016" s="16">
        <f>HYPERLINK("http://localhost:5173/?state=Punjab&amp;keyword=Empanelment&amp;tender=2026_PUN_7145_62", "🚀 Open in Portal")</f>
        <v/>
      </c>
    </row>
    <row r="3017" ht="24" customHeight="1">
      <c r="A3017" s="4" t="inlineStr">
        <is>
          <t>Rajasthan</t>
        </is>
      </c>
      <c r="B3017" s="5" t="inlineStr">
        <is>
          <t>GIS</t>
        </is>
      </c>
      <c r="C3017" s="6" t="inlineStr">
        <is>
          <t>2026_DLB_602531_1</t>
        </is>
      </c>
      <c r="D3017" s="7" t="inlineStr">
        <is>
          <t>[RATE CONTRACT FOR VARIOUS TYPES OF REGISTERS, FILE COVERS AND OTHER PRINTING WORK IN JAIPUR MUNICIPAL CORPORATION]</t>
        </is>
      </c>
      <c r="E3017" s="7" t="inlineStr">
        <is>
          <t>Rajasthan Public Works &amp; Technology Department</t>
        </is>
      </c>
      <c r="F3017" s="6" t="inlineStr">
        <is>
          <t>21 Oct 2026</t>
        </is>
      </c>
      <c r="G3017" s="5" t="inlineStr">
        <is>
          <t>11 Nov 2026</t>
        </is>
      </c>
      <c r="H3017" s="8" t="inlineStr">
        <is>
          <t>⏳ UPCOMING</t>
        </is>
      </c>
      <c r="I3017" s="4" t="inlineStr">
        <is>
          <t>Tendernotice_1.pdf</t>
        </is>
      </c>
      <c r="J3017" s="6" t="inlineStr">
        <is>
          <t>📕 PDF Document</t>
        </is>
      </c>
      <c r="K3017" s="9" t="n">
        <v>17.9</v>
      </c>
      <c r="L3017" s="10">
        <f>HYPERLINK("http://127.0.0.1:8000/api/documents/download?id=1251&amp;attachment=true", "⬇ Download Tendernotice_1.pdf")</f>
        <v/>
      </c>
      <c r="M3017" s="10">
        <f>HYPERLINK("http://localhost:5173/?state=Rajasthan&amp;keyword=GIS&amp;tender=2026_DLB_602531_1", "🚀 Open in Portal")</f>
        <v/>
      </c>
    </row>
    <row r="3018" ht="24" customHeight="1">
      <c r="A3018" s="11" t="inlineStr">
        <is>
          <t>Rajasthan</t>
        </is>
      </c>
      <c r="B3018" s="12" t="inlineStr">
        <is>
          <t>GIS</t>
        </is>
      </c>
      <c r="C3018" s="13" t="inlineStr">
        <is>
          <t>2026_DLB_602531_1</t>
        </is>
      </c>
      <c r="D3018" s="14" t="inlineStr">
        <is>
          <t>[RATE CONTRACT FOR VARIOUS TYPES OF REGISTERS, FILE COVERS AND OTHER PRINTING WORK IN JAIPUR MUNICIPAL CORPORATION]</t>
        </is>
      </c>
      <c r="E3018" s="14" t="inlineStr">
        <is>
          <t>Rajasthan Public Works &amp; Technology Department</t>
        </is>
      </c>
      <c r="F3018" s="13" t="inlineStr">
        <is>
          <t>21 Oct 2026</t>
        </is>
      </c>
      <c r="G3018" s="12" t="inlineStr">
        <is>
          <t>11 Nov 2026</t>
        </is>
      </c>
      <c r="H3018" s="8" t="inlineStr">
        <is>
          <t>⏳ UPCOMING</t>
        </is>
      </c>
      <c r="I3018" s="11" t="inlineStr">
        <is>
          <t>EPROC03DCSTORE.pdf</t>
        </is>
      </c>
      <c r="J3018" s="13" t="inlineStr">
        <is>
          <t>📕 PDF Document</t>
        </is>
      </c>
      <c r="K3018" s="15" t="n">
        <v>17.9</v>
      </c>
      <c r="L3018" s="16">
        <f>HYPERLINK("http://127.0.0.1:8000/api/documents/download?id=1252&amp;attachment=true", "⬇ Download EPROC03DCSTORE.pdf")</f>
        <v/>
      </c>
      <c r="M3018" s="16">
        <f>HYPERLINK("http://localhost:5173/?state=Rajasthan&amp;keyword=GIS&amp;tender=2026_DLB_602531_1", "🚀 Open in Portal")</f>
        <v/>
      </c>
    </row>
    <row r="3019" ht="24" customHeight="1">
      <c r="A3019" s="4" t="inlineStr">
        <is>
          <t>Rajasthan</t>
        </is>
      </c>
      <c r="B3019" s="5" t="inlineStr">
        <is>
          <t>GIS</t>
        </is>
      </c>
      <c r="C3019" s="6" t="inlineStr">
        <is>
          <t>2026_DLB_602531_1</t>
        </is>
      </c>
      <c r="D3019" s="7" t="inlineStr">
        <is>
          <t>[RATE CONTRACT FOR VARIOUS TYPES OF REGISTERS, FILE COVERS AND OTHER PRINTING WORK IN JAIPUR MUNICIPAL CORPORATION]</t>
        </is>
      </c>
      <c r="E3019" s="7" t="inlineStr">
        <is>
          <t>Rajasthan Public Works &amp; Technology Department</t>
        </is>
      </c>
      <c r="F3019" s="6" t="inlineStr">
        <is>
          <t>21 Oct 2026</t>
        </is>
      </c>
      <c r="G3019" s="5" t="inlineStr">
        <is>
          <t>11 Nov 2026</t>
        </is>
      </c>
      <c r="H3019" s="8" t="inlineStr">
        <is>
          <t>⏳ UPCOMING</t>
        </is>
      </c>
      <c r="I3019" s="4" t="inlineStr">
        <is>
          <t>BOQ_1068113.xls</t>
        </is>
      </c>
      <c r="J3019" s="6" t="inlineStr">
        <is>
          <t>📊 Excel BOQ</t>
        </is>
      </c>
      <c r="K3019" s="9" t="n">
        <v>2.5</v>
      </c>
      <c r="L3019" s="10">
        <f>HYPERLINK("http://127.0.0.1:8000/api/documents/download?id=1253&amp;attachment=true", "⬇ Download BOQ_1068113.xls")</f>
        <v/>
      </c>
      <c r="M3019" s="10">
        <f>HYPERLINK("http://localhost:5173/?state=Rajasthan&amp;keyword=GIS&amp;tender=2026_DLB_602531_1", "🚀 Open in Portal")</f>
        <v/>
      </c>
    </row>
    <row r="3020" ht="24" customHeight="1">
      <c r="A3020" s="11" t="inlineStr">
        <is>
          <t>Rajasthan</t>
        </is>
      </c>
      <c r="B3020" s="12" t="inlineStr">
        <is>
          <t>GIS</t>
        </is>
      </c>
      <c r="C3020" s="13" t="inlineStr">
        <is>
          <t>2026_DLB_602531_1</t>
        </is>
      </c>
      <c r="D3020" s="14" t="inlineStr">
        <is>
          <t>[RATE CONTRACT FOR VARIOUS TYPES OF REGISTERS, FILE COVERS AND OTHER PRINTING WORK IN JAIPUR MUNICIPAL CORPORATION]</t>
        </is>
      </c>
      <c r="E3020" s="14" t="inlineStr">
        <is>
          <t>Rajasthan Public Works &amp; Technology Department</t>
        </is>
      </c>
      <c r="F3020" s="13" t="inlineStr">
        <is>
          <t>21 Oct 2026</t>
        </is>
      </c>
      <c r="G3020" s="12" t="inlineStr">
        <is>
          <t>11 Nov 2026</t>
        </is>
      </c>
      <c r="H3020" s="8" t="inlineStr">
        <is>
          <t>⏳ UPCOMING</t>
        </is>
      </c>
      <c r="I3020" s="11" t="inlineStr">
        <is>
          <t>Tender_2026_DLB_602531_1_All_Documents.zip</t>
        </is>
      </c>
      <c r="J3020" s="13" t="inlineStr">
        <is>
          <t>📦 ZIP Package</t>
        </is>
      </c>
      <c r="K3020" s="15" t="n">
        <v>20.9</v>
      </c>
      <c r="L3020" s="16">
        <f>HYPERLINK("http://127.0.0.1:8000/api/documents/download?id=1254&amp;attachment=true", "⬇ Download Tender_2026_DLB_602531_1")</f>
        <v/>
      </c>
      <c r="M3020" s="16">
        <f>HYPERLINK("http://localhost:5173/?state=Rajasthan&amp;keyword=GIS&amp;tender=2026_DLB_602531_1", "🚀 Open in Portal")</f>
        <v/>
      </c>
    </row>
    <row r="3021" ht="24" customHeight="1">
      <c r="A3021" s="4" t="inlineStr">
        <is>
          <t>Rajasthan</t>
        </is>
      </c>
      <c r="B3021" s="5" t="inlineStr">
        <is>
          <t>GIS</t>
        </is>
      </c>
      <c r="C3021" s="6" t="inlineStr">
        <is>
          <t>2026_DLB_603699_1</t>
        </is>
      </c>
      <c r="D3021" s="7" t="inlineStr">
        <is>
          <t>[Naksha pariyojna hetu GIS consultancy firm technical agency se GIS Specialist ki sewao hetu E dar sanvida]</t>
        </is>
      </c>
      <c r="E3021" s="7" t="inlineStr">
        <is>
          <t>Rajasthan Public Works &amp; Technology Department</t>
        </is>
      </c>
      <c r="F3021" s="6" t="inlineStr">
        <is>
          <t>12 Aug 2026</t>
        </is>
      </c>
      <c r="G3021" s="5" t="inlineStr">
        <is>
          <t>09 Sep 2026</t>
        </is>
      </c>
      <c r="H3021" s="8" t="inlineStr">
        <is>
          <t>⏳ UPCOMING</t>
        </is>
      </c>
      <c r="I3021" s="4" t="inlineStr">
        <is>
          <t>Tendernotice_1.pdf</t>
        </is>
      </c>
      <c r="J3021" s="6" t="inlineStr">
        <is>
          <t>📕 PDF Document</t>
        </is>
      </c>
      <c r="K3021" s="9" t="n">
        <v>17.9</v>
      </c>
      <c r="L3021" s="10">
        <f>HYPERLINK("http://127.0.0.1:8000/api/documents/download?id=1244&amp;attachment=true", "⬇ Download Tendernotice_1.pdf")</f>
        <v/>
      </c>
      <c r="M3021" s="10">
        <f>HYPERLINK("http://localhost:5173/?state=Rajasthan&amp;keyword=GIS&amp;tender=2026_DLB_603699_1", "🚀 Open in Portal")</f>
        <v/>
      </c>
    </row>
    <row r="3022" ht="24" customHeight="1">
      <c r="A3022" s="11" t="inlineStr">
        <is>
          <t>Rajasthan</t>
        </is>
      </c>
      <c r="B3022" s="12" t="inlineStr">
        <is>
          <t>GIS</t>
        </is>
      </c>
      <c r="C3022" s="13" t="inlineStr">
        <is>
          <t>2026_DLB_603699_1</t>
        </is>
      </c>
      <c r="D3022" s="14" t="inlineStr">
        <is>
          <t>[Naksha pariyojna hetu GIS consultancy firm technical agency se GIS Specialist ki sewao hetu E dar sanvida]</t>
        </is>
      </c>
      <c r="E3022" s="14" t="inlineStr">
        <is>
          <t>Rajasthan Public Works &amp; Technology Department</t>
        </is>
      </c>
      <c r="F3022" s="13" t="inlineStr">
        <is>
          <t>12 Aug 2026</t>
        </is>
      </c>
      <c r="G3022" s="12" t="inlineStr">
        <is>
          <t>09 Sep 2026</t>
        </is>
      </c>
      <c r="H3022" s="8" t="inlineStr">
        <is>
          <t>⏳ UPCOMING</t>
        </is>
      </c>
      <c r="I3022" s="11" t="inlineStr">
        <is>
          <t>BOQ_1070443.xls</t>
        </is>
      </c>
      <c r="J3022" s="13" t="inlineStr">
        <is>
          <t>📊 Excel BOQ</t>
        </is>
      </c>
      <c r="K3022" s="15" t="n">
        <v>2.5</v>
      </c>
      <c r="L3022" s="16">
        <f>HYPERLINK("http://127.0.0.1:8000/api/documents/download?id=1245&amp;attachment=true", "⬇ Download BOQ_1070443.xls")</f>
        <v/>
      </c>
      <c r="M3022" s="16">
        <f>HYPERLINK("http://localhost:5173/?state=Rajasthan&amp;keyword=GIS&amp;tender=2026_DLB_603699_1", "🚀 Open in Portal")</f>
        <v/>
      </c>
    </row>
    <row r="3023" ht="24" customHeight="1">
      <c r="A3023" s="4" t="inlineStr">
        <is>
          <t>Rajasthan</t>
        </is>
      </c>
      <c r="B3023" s="5" t="inlineStr">
        <is>
          <t>GIS</t>
        </is>
      </c>
      <c r="C3023" s="6" t="inlineStr">
        <is>
          <t>2026_DLB_603699_1</t>
        </is>
      </c>
      <c r="D3023" s="7" t="inlineStr">
        <is>
          <t>[Naksha pariyojna hetu GIS consultancy firm technical agency se GIS Specialist ki sewao hetu E dar sanvida]</t>
        </is>
      </c>
      <c r="E3023" s="7" t="inlineStr">
        <is>
          <t>Rajasthan Public Works &amp; Technology Department</t>
        </is>
      </c>
      <c r="F3023" s="6" t="inlineStr">
        <is>
          <t>12 Aug 2026</t>
        </is>
      </c>
      <c r="G3023" s="5" t="inlineStr">
        <is>
          <t>09 Sep 2026</t>
        </is>
      </c>
      <c r="H3023" s="8" t="inlineStr">
        <is>
          <t>⏳ UPCOMING</t>
        </is>
      </c>
      <c r="I3023" s="4" t="inlineStr">
        <is>
          <t>Tender_2026_DLB_603699_1_All_Documents.zip</t>
        </is>
      </c>
      <c r="J3023" s="6" t="inlineStr">
        <is>
          <t>📦 ZIP Package</t>
        </is>
      </c>
      <c r="K3023" s="9" t="n">
        <v>11.6</v>
      </c>
      <c r="L3023" s="10">
        <f>HYPERLINK("http://127.0.0.1:8000/api/documents/download?id=1246&amp;attachment=true", "⬇ Download Tender_2026_DLB_603699_1")</f>
        <v/>
      </c>
      <c r="M3023" s="10">
        <f>HYPERLINK("http://localhost:5173/?state=Rajasthan&amp;keyword=GIS&amp;tender=2026_DLB_603699_1", "🚀 Open in Portal")</f>
        <v/>
      </c>
    </row>
    <row r="3024" ht="24" customHeight="1">
      <c r="A3024" s="11" t="inlineStr">
        <is>
          <t>Rajasthan</t>
        </is>
      </c>
      <c r="B3024" s="12" t="inlineStr">
        <is>
          <t>GIS</t>
        </is>
      </c>
      <c r="C3024" s="13" t="inlineStr">
        <is>
          <t>2026_DST_601573_1</t>
        </is>
      </c>
      <c r="D3024" s="14" t="inlineStr">
        <is>
          <t>[Bid for Remote Sensing and GIS Technical Man Power Hiring for SRSAC Jodhpur and SRSAC Sub-center Jaipur]</t>
        </is>
      </c>
      <c r="E3024" s="14" t="inlineStr">
        <is>
          <t>Rajasthan Public Works &amp; Technology Department</t>
        </is>
      </c>
      <c r="F3024" s="13" t="inlineStr">
        <is>
          <t>09 Oct 2026</t>
        </is>
      </c>
      <c r="G3024" s="12" t="inlineStr">
        <is>
          <t>30 Oct 2026</t>
        </is>
      </c>
      <c r="H3024" s="17" t="inlineStr">
        <is>
          <t>🟢 LIVE ACTIVE</t>
        </is>
      </c>
      <c r="I3024" s="11" t="inlineStr">
        <is>
          <t>Tendernotice_1.pdf</t>
        </is>
      </c>
      <c r="J3024" s="13" t="inlineStr">
        <is>
          <t>📕 PDF Document</t>
        </is>
      </c>
      <c r="K3024" s="15" t="n">
        <v>17.9</v>
      </c>
      <c r="L3024" s="16">
        <f>HYPERLINK("http://127.0.0.1:8000/api/documents/download?id=1255&amp;attachment=true", "⬇ Download Tendernotice_1.pdf")</f>
        <v/>
      </c>
      <c r="M3024" s="16">
        <f>HYPERLINK("http://localhost:5173/?state=Rajasthan&amp;keyword=GIS&amp;tender=2026_DST_601573_1", "🚀 Open in Portal")</f>
        <v/>
      </c>
    </row>
    <row r="3025" ht="24" customHeight="1">
      <c r="A3025" s="4" t="inlineStr">
        <is>
          <t>Rajasthan</t>
        </is>
      </c>
      <c r="B3025" s="5" t="inlineStr">
        <is>
          <t>GIS</t>
        </is>
      </c>
      <c r="C3025" s="6" t="inlineStr">
        <is>
          <t>2026_DST_601573_1</t>
        </is>
      </c>
      <c r="D3025" s="7" t="inlineStr">
        <is>
          <t>[Bid for Remote Sensing and GIS Technical Man Power Hiring for SRSAC Jodhpur and SRSAC Sub-center Jaipur]</t>
        </is>
      </c>
      <c r="E3025" s="7" t="inlineStr">
        <is>
          <t>Rajasthan Public Works &amp; Technology Department</t>
        </is>
      </c>
      <c r="F3025" s="6" t="inlineStr">
        <is>
          <t>09 Oct 2026</t>
        </is>
      </c>
      <c r="G3025" s="5" t="inlineStr">
        <is>
          <t>30 Oct 2026</t>
        </is>
      </c>
      <c r="H3025" s="17" t="inlineStr">
        <is>
          <t>🟢 LIVE ACTIVE</t>
        </is>
      </c>
      <c r="I3025" s="4" t="inlineStr">
        <is>
          <t>BOQ_1066304.xls</t>
        </is>
      </c>
      <c r="J3025" s="6" t="inlineStr">
        <is>
          <t>📊 Excel BOQ</t>
        </is>
      </c>
      <c r="K3025" s="9" t="n">
        <v>2.5</v>
      </c>
      <c r="L3025" s="10">
        <f>HYPERLINK("http://127.0.0.1:8000/api/documents/download?id=1256&amp;attachment=true", "⬇ Download BOQ_1066304.xls")</f>
        <v/>
      </c>
      <c r="M3025" s="10">
        <f>HYPERLINK("http://localhost:5173/?state=Rajasthan&amp;keyword=GIS&amp;tender=2026_DST_601573_1", "🚀 Open in Portal")</f>
        <v/>
      </c>
    </row>
    <row r="3026" ht="24" customHeight="1">
      <c r="A3026" s="11" t="inlineStr">
        <is>
          <t>Rajasthan</t>
        </is>
      </c>
      <c r="B3026" s="12" t="inlineStr">
        <is>
          <t>GIS</t>
        </is>
      </c>
      <c r="C3026" s="13" t="inlineStr">
        <is>
          <t>2026_DST_601573_1</t>
        </is>
      </c>
      <c r="D3026" s="14" t="inlineStr">
        <is>
          <t>[Bid for Remote Sensing and GIS Technical Man Power Hiring for SRSAC Jodhpur and SRSAC Sub-center Jaipur]</t>
        </is>
      </c>
      <c r="E3026" s="14" t="inlineStr">
        <is>
          <t>Rajasthan Public Works &amp; Technology Department</t>
        </is>
      </c>
      <c r="F3026" s="13" t="inlineStr">
        <is>
          <t>09 Oct 2026</t>
        </is>
      </c>
      <c r="G3026" s="12" t="inlineStr">
        <is>
          <t>30 Oct 2026</t>
        </is>
      </c>
      <c r="H3026" s="17" t="inlineStr">
        <is>
          <t>🟢 LIVE ACTIVE</t>
        </is>
      </c>
      <c r="I3026" s="11" t="inlineStr">
        <is>
          <t>FinalTender.pdf</t>
        </is>
      </c>
      <c r="J3026" s="13" t="inlineStr">
        <is>
          <t>📕 PDF Document</t>
        </is>
      </c>
      <c r="K3026" s="15" t="n">
        <v>17.9</v>
      </c>
      <c r="L3026" s="16">
        <f>HYPERLINK("http://127.0.0.1:8000/api/documents/download?id=1257&amp;attachment=true", "⬇ Download FinalTender.pdf")</f>
        <v/>
      </c>
      <c r="M3026" s="16">
        <f>HYPERLINK("http://localhost:5173/?state=Rajasthan&amp;keyword=GIS&amp;tender=2026_DST_601573_1", "🚀 Open in Portal")</f>
        <v/>
      </c>
    </row>
    <row r="3027" ht="24" customHeight="1">
      <c r="A3027" s="4" t="inlineStr">
        <is>
          <t>Rajasthan</t>
        </is>
      </c>
      <c r="B3027" s="5" t="inlineStr">
        <is>
          <t>GIS</t>
        </is>
      </c>
      <c r="C3027" s="6" t="inlineStr">
        <is>
          <t>2026_DST_601573_1</t>
        </is>
      </c>
      <c r="D3027" s="7" t="inlineStr">
        <is>
          <t>[Bid for Remote Sensing and GIS Technical Man Power Hiring for SRSAC Jodhpur and SRSAC Sub-center Jaipur]</t>
        </is>
      </c>
      <c r="E3027" s="7" t="inlineStr">
        <is>
          <t>Rajasthan Public Works &amp; Technology Department</t>
        </is>
      </c>
      <c r="F3027" s="6" t="inlineStr">
        <is>
          <t>09 Oct 2026</t>
        </is>
      </c>
      <c r="G3027" s="5" t="inlineStr">
        <is>
          <t>30 Oct 2026</t>
        </is>
      </c>
      <c r="H3027" s="17" t="inlineStr">
        <is>
          <t>🟢 LIVE ACTIVE</t>
        </is>
      </c>
      <c r="I3027" s="4" t="inlineStr">
        <is>
          <t>Tender_2026_DST_601573_1_All_Documents.zip</t>
        </is>
      </c>
      <c r="J3027" s="6" t="inlineStr">
        <is>
          <t>📦 ZIP Package</t>
        </is>
      </c>
      <c r="K3027" s="9" t="n">
        <v>20.8</v>
      </c>
      <c r="L3027" s="10">
        <f>HYPERLINK("http://127.0.0.1:8000/api/documents/download?id=1258&amp;attachment=true", "⬇ Download Tender_2026_DST_601573_1")</f>
        <v/>
      </c>
      <c r="M3027" s="10">
        <f>HYPERLINK("http://localhost:5173/?state=Rajasthan&amp;keyword=GIS&amp;tender=2026_DST_601573_1", "🚀 Open in Portal")</f>
        <v/>
      </c>
    </row>
    <row r="3028" ht="24" customHeight="1">
      <c r="A3028" s="11" t="inlineStr">
        <is>
          <t>Rajasthan</t>
        </is>
      </c>
      <c r="B3028" s="12" t="inlineStr">
        <is>
          <t>GIS</t>
        </is>
      </c>
      <c r="C3028" s="13" t="inlineStr">
        <is>
          <t>2026_RAJ_6135948_58</t>
        </is>
      </c>
      <c r="D3028" s="14" t="inlineStr">
        <is>
          <t>GIS-Based Drone LiDAR Survey &amp; Web GIS Geodatabase Integration for Smart Infrastructure</t>
        </is>
      </c>
      <c r="E3028" s="14" t="inlineStr">
        <is>
          <t>DIRECTORATE OF MUNICIPAL URBAN INFRASTRUCTURE</t>
        </is>
      </c>
      <c r="F3028" s="13" t="inlineStr">
        <is>
          <t>17 Aug 2026</t>
        </is>
      </c>
      <c r="G3028" s="12" t="inlineStr">
        <is>
          <t>12 Sep 2026</t>
        </is>
      </c>
      <c r="H3028" s="8" t="inlineStr">
        <is>
          <t>⏳ UPCOMING</t>
        </is>
      </c>
      <c r="I3028" s="11" t="inlineStr">
        <is>
          <t>Tendernotice_2026_RAJ_6135948_58.pdf</t>
        </is>
      </c>
      <c r="J3028" s="13" t="inlineStr">
        <is>
          <t>📕 PDF Document</t>
        </is>
      </c>
      <c r="K3028" s="15" t="n">
        <v>17.9</v>
      </c>
      <c r="L3028" s="16">
        <f>HYPERLINK("http://127.0.0.1:8000/api/documents/download?id=3057&amp;attachment=true", "⬇ Download Tendernotice_2026_RAJ_61")</f>
        <v/>
      </c>
      <c r="M3028" s="16">
        <f>HYPERLINK("http://localhost:5173/?state=Rajasthan&amp;keyword=GIS&amp;tender=2026_RAJ_6135948_58", "🚀 Open in Portal")</f>
        <v/>
      </c>
    </row>
    <row r="3029" ht="24" customHeight="1">
      <c r="A3029" s="4" t="inlineStr">
        <is>
          <t>Rajasthan</t>
        </is>
      </c>
      <c r="B3029" s="5" t="inlineStr">
        <is>
          <t>GIS</t>
        </is>
      </c>
      <c r="C3029" s="6" t="inlineStr">
        <is>
          <t>2026_RAJ_6135948_58</t>
        </is>
      </c>
      <c r="D3029" s="7" t="inlineStr">
        <is>
          <t>GIS-Based Drone LiDAR Survey &amp; Web GIS Geodatabase Integration for Smart Infrastructure</t>
        </is>
      </c>
      <c r="E3029" s="7" t="inlineStr">
        <is>
          <t>DIRECTORATE OF MUNICIPAL URBAN INFRASTRUCTURE</t>
        </is>
      </c>
      <c r="F3029" s="6" t="inlineStr">
        <is>
          <t>17 Aug 2026</t>
        </is>
      </c>
      <c r="G3029" s="5" t="inlineStr">
        <is>
          <t>12 Sep 2026</t>
        </is>
      </c>
      <c r="H3029" s="8" t="inlineStr">
        <is>
          <t>⏳ UPCOMING</t>
        </is>
      </c>
      <c r="I3029" s="4" t="inlineStr">
        <is>
          <t>Technical_RFP_Specification_GIS.pdf</t>
        </is>
      </c>
      <c r="J3029" s="6" t="inlineStr">
        <is>
          <t>📕 PDF Document</t>
        </is>
      </c>
      <c r="K3029" s="9" t="n">
        <v>17.9</v>
      </c>
      <c r="L3029" s="10">
        <f>HYPERLINK("http://127.0.0.1:8000/api/documents/download?id=3058&amp;attachment=true", "⬇ Download Technical_RFP_Specificat")</f>
        <v/>
      </c>
      <c r="M3029" s="10">
        <f>HYPERLINK("http://localhost:5173/?state=Rajasthan&amp;keyword=GIS&amp;tender=2026_RAJ_6135948_58", "🚀 Open in Portal")</f>
        <v/>
      </c>
    </row>
    <row r="3030" ht="24" customHeight="1">
      <c r="A3030" s="11" t="inlineStr">
        <is>
          <t>Rajasthan</t>
        </is>
      </c>
      <c r="B3030" s="12" t="inlineStr">
        <is>
          <t>GIS</t>
        </is>
      </c>
      <c r="C3030" s="13" t="inlineStr">
        <is>
          <t>2026_RAJ_6135948_58</t>
        </is>
      </c>
      <c r="D3030" s="14" t="inlineStr">
        <is>
          <t>GIS-Based Drone LiDAR Survey &amp; Web GIS Geodatabase Integration for Smart Infrastructure</t>
        </is>
      </c>
      <c r="E3030" s="14" t="inlineStr">
        <is>
          <t>DIRECTORATE OF MUNICIPAL URBAN INFRASTRUCTURE</t>
        </is>
      </c>
      <c r="F3030" s="13" t="inlineStr">
        <is>
          <t>17 Aug 2026</t>
        </is>
      </c>
      <c r="G3030" s="12" t="inlineStr">
        <is>
          <t>12 Sep 2026</t>
        </is>
      </c>
      <c r="H3030" s="8" t="inlineStr">
        <is>
          <t>⏳ UPCOMING</t>
        </is>
      </c>
      <c r="I3030" s="11" t="inlineStr">
        <is>
          <t>BOQ_Financial_Schedule_2026_RAJ_6135948_58.xlsx</t>
        </is>
      </c>
      <c r="J3030" s="13" t="inlineStr">
        <is>
          <t>📊 Excel BOQ</t>
        </is>
      </c>
      <c r="K3030" s="15" t="n">
        <v>2.5</v>
      </c>
      <c r="L3030" s="16">
        <f>HYPERLINK("http://127.0.0.1:8000/api/documents/download?id=3059&amp;attachment=true", "⬇ Download BOQ_Financial_Schedule_2")</f>
        <v/>
      </c>
      <c r="M3030" s="16">
        <f>HYPERLINK("http://localhost:5173/?state=Rajasthan&amp;keyword=GIS&amp;tender=2026_RAJ_6135948_58", "🚀 Open in Portal")</f>
        <v/>
      </c>
    </row>
    <row r="3031" ht="24" customHeight="1">
      <c r="A3031" s="4" t="inlineStr">
        <is>
          <t>Rajasthan</t>
        </is>
      </c>
      <c r="B3031" s="5" t="inlineStr">
        <is>
          <t>GIS</t>
        </is>
      </c>
      <c r="C3031" s="6" t="inlineStr">
        <is>
          <t>2026_RAJ_6135948_58</t>
        </is>
      </c>
      <c r="D3031" s="7" t="inlineStr">
        <is>
          <t>GIS-Based Drone LiDAR Survey &amp; Web GIS Geodatabase Integration for Smart Infrastructure</t>
        </is>
      </c>
      <c r="E3031" s="7" t="inlineStr">
        <is>
          <t>DIRECTORATE OF MUNICIPAL URBAN INFRASTRUCTURE</t>
        </is>
      </c>
      <c r="F3031" s="6" t="inlineStr">
        <is>
          <t>17 Aug 2026</t>
        </is>
      </c>
      <c r="G3031" s="5" t="inlineStr">
        <is>
          <t>12 Sep 2026</t>
        </is>
      </c>
      <c r="H3031" s="8" t="inlineStr">
        <is>
          <t>⏳ UPCOMING</t>
        </is>
      </c>
      <c r="I3031" s="4" t="inlineStr">
        <is>
          <t>Tender_2026_RAJ_6135948_58_All_Documents.zip</t>
        </is>
      </c>
      <c r="J3031" s="6" t="inlineStr">
        <is>
          <t>📦 ZIP Package</t>
        </is>
      </c>
      <c r="K3031" s="9" t="n">
        <v>45</v>
      </c>
      <c r="L3031" s="10">
        <f>HYPERLINK("https://eproc.rajasthan.gov.in/tender/2026_RAJ_6135948_58", "⬇ Download Tender_2026_RAJ_6135948_")</f>
        <v/>
      </c>
      <c r="M3031" s="10">
        <f>HYPERLINK("http://localhost:5173/?state=Rajasthan&amp;keyword=GIS&amp;tender=2026_RAJ_6135948_58", "🚀 Open in Portal")</f>
        <v/>
      </c>
    </row>
    <row r="3032" ht="24" customHeight="1">
      <c r="A3032" s="11" t="inlineStr">
        <is>
          <t>Rajasthan</t>
        </is>
      </c>
      <c r="B3032" s="12" t="inlineStr">
        <is>
          <t>GIS</t>
        </is>
      </c>
      <c r="C3032" s="13" t="inlineStr">
        <is>
          <t>2026_RCDF_582570_1</t>
        </is>
      </c>
      <c r="D3032" s="14" t="inlineStr">
        <is>
          <t>[The Bid form/registration form is an applicable for empanelment of an applicant as a registered supplier for supply of cattle feed raw materials]</t>
        </is>
      </c>
      <c r="E3032" s="14" t="inlineStr">
        <is>
          <t>Rajasthan Public Works &amp; Technology Department</t>
        </is>
      </c>
      <c r="F3032" s="13" t="inlineStr">
        <is>
          <t>27 Oct 2026</t>
        </is>
      </c>
      <c r="G3032" s="12" t="inlineStr">
        <is>
          <t>17 Nov 2026</t>
        </is>
      </c>
      <c r="H3032" s="8" t="inlineStr">
        <is>
          <t>⏳ UPCOMING</t>
        </is>
      </c>
      <c r="I3032" s="11" t="inlineStr">
        <is>
          <t>Tendernotice_1.pdf</t>
        </is>
      </c>
      <c r="J3032" s="13" t="inlineStr">
        <is>
          <t>📕 PDF Document</t>
        </is>
      </c>
      <c r="K3032" s="15" t="n">
        <v>17.9</v>
      </c>
      <c r="L3032" s="16">
        <f>HYPERLINK("http://127.0.0.1:8000/api/documents/download?id=1278&amp;attachment=true", "⬇ Download Tendernotice_1.pdf")</f>
        <v/>
      </c>
      <c r="M3032" s="16">
        <f>HYPERLINK("http://localhost:5173/?state=Rajasthan&amp;keyword=GIS&amp;tender=2026_RCDF_582570_1", "🚀 Open in Portal")</f>
        <v/>
      </c>
    </row>
    <row r="3033" ht="24" customHeight="1">
      <c r="A3033" s="4" t="inlineStr">
        <is>
          <t>Rajasthan</t>
        </is>
      </c>
      <c r="B3033" s="5" t="inlineStr">
        <is>
          <t>GIS</t>
        </is>
      </c>
      <c r="C3033" s="6" t="inlineStr">
        <is>
          <t>2026_RCDF_582570_1</t>
        </is>
      </c>
      <c r="D3033" s="7" t="inlineStr">
        <is>
          <t>[The Bid form/registration form is an applicable for empanelment of an applicant as a registered supplier for supply of cattle feed raw materials]</t>
        </is>
      </c>
      <c r="E3033" s="7" t="inlineStr">
        <is>
          <t>Rajasthan Public Works &amp; Technology Department</t>
        </is>
      </c>
      <c r="F3033" s="6" t="inlineStr">
        <is>
          <t>27 Oct 2026</t>
        </is>
      </c>
      <c r="G3033" s="5" t="inlineStr">
        <is>
          <t>17 Nov 2026</t>
        </is>
      </c>
      <c r="H3033" s="8" t="inlineStr">
        <is>
          <t>⏳ UPCOMING</t>
        </is>
      </c>
      <c r="I3033" s="4" t="inlineStr">
        <is>
          <t>registrationdocument.pdf</t>
        </is>
      </c>
      <c r="J3033" s="6" t="inlineStr">
        <is>
          <t>📕 PDF Document</t>
        </is>
      </c>
      <c r="K3033" s="9" t="n">
        <v>17.9</v>
      </c>
      <c r="L3033" s="10">
        <f>HYPERLINK("http://127.0.0.1:8000/api/documents/download?id=1279&amp;attachment=true", "⬇ Download registrationdocument.pdf")</f>
        <v/>
      </c>
      <c r="M3033" s="10">
        <f>HYPERLINK("http://localhost:5173/?state=Rajasthan&amp;keyword=GIS&amp;tender=2026_RCDF_582570_1", "🚀 Open in Portal")</f>
        <v/>
      </c>
    </row>
    <row r="3034" ht="24" customHeight="1">
      <c r="A3034" s="11" t="inlineStr">
        <is>
          <t>Rajasthan</t>
        </is>
      </c>
      <c r="B3034" s="12" t="inlineStr">
        <is>
          <t>GIS</t>
        </is>
      </c>
      <c r="C3034" s="13" t="inlineStr">
        <is>
          <t>2026_RCDF_582570_1</t>
        </is>
      </c>
      <c r="D3034" s="14" t="inlineStr">
        <is>
          <t>[The Bid form/registration form is an applicable for empanelment of an applicant as a registered supplier for supply of cattle feed raw materials]</t>
        </is>
      </c>
      <c r="E3034" s="14" t="inlineStr">
        <is>
          <t>Rajasthan Public Works &amp; Technology Department</t>
        </is>
      </c>
      <c r="F3034" s="13" t="inlineStr">
        <is>
          <t>27 Oct 2026</t>
        </is>
      </c>
      <c r="G3034" s="12" t="inlineStr">
        <is>
          <t>17 Nov 2026</t>
        </is>
      </c>
      <c r="H3034" s="8" t="inlineStr">
        <is>
          <t>⏳ UPCOMING</t>
        </is>
      </c>
      <c r="I3034" s="11" t="inlineStr">
        <is>
          <t>Tender_2026_RCDF_582570_1_All_Documents.zip</t>
        </is>
      </c>
      <c r="J3034" s="13" t="inlineStr">
        <is>
          <t>📦 ZIP Package</t>
        </is>
      </c>
      <c r="K3034" s="15" t="n">
        <v>18.7</v>
      </c>
      <c r="L3034" s="16">
        <f>HYPERLINK("http://127.0.0.1:8000/api/documents/download?id=1280&amp;attachment=true", "⬇ Download Tender_2026_RCDF_582570_")</f>
        <v/>
      </c>
      <c r="M3034" s="16">
        <f>HYPERLINK("http://localhost:5173/?state=Rajasthan&amp;keyword=GIS&amp;tender=2026_RCDF_582570_1", "🚀 Open in Portal")</f>
        <v/>
      </c>
    </row>
    <row r="3035" ht="24" customHeight="1">
      <c r="A3035" s="4" t="inlineStr">
        <is>
          <t>Rajasthan</t>
        </is>
      </c>
      <c r="B3035" s="5" t="inlineStr">
        <is>
          <t>GIS</t>
        </is>
      </c>
      <c r="C3035" s="6" t="inlineStr">
        <is>
          <t>2026_RCDF_603470_1</t>
        </is>
      </c>
      <c r="D3035" s="7" t="inlineStr">
        <is>
          <t>[NOTICE INVITING TENDERS FOR SUPPLY OF CATTLE FEED RAW MATERIALS TO CATTLE FEED PLANT, BIKANER FROM REGISTERED PARTIES UNDER RM-842]</t>
        </is>
      </c>
      <c r="E3035" s="7" t="inlineStr">
        <is>
          <t>Rajasthan Public Works &amp; Technology Department</t>
        </is>
      </c>
      <c r="F3035" s="6" t="inlineStr">
        <is>
          <t>10 Sep 2026</t>
        </is>
      </c>
      <c r="G3035" s="5" t="inlineStr">
        <is>
          <t>04 Oct 2026</t>
        </is>
      </c>
      <c r="H3035" s="8" t="inlineStr">
        <is>
          <t>⏳ UPCOMING</t>
        </is>
      </c>
      <c r="I3035" s="4" t="inlineStr">
        <is>
          <t>Tendernotice_1.pdf</t>
        </is>
      </c>
      <c r="J3035" s="6" t="inlineStr">
        <is>
          <t>📕 PDF Document</t>
        </is>
      </c>
      <c r="K3035" s="9" t="n">
        <v>17.9</v>
      </c>
      <c r="L3035" s="10">
        <f>HYPERLINK("http://127.0.0.1:8000/api/documents/download?id=1247&amp;attachment=true", "⬇ Download Tendernotice_1.pdf")</f>
        <v/>
      </c>
      <c r="M3035" s="10">
        <f>HYPERLINK("http://localhost:5173/?state=Rajasthan&amp;keyword=GIS&amp;tender=2026_RCDF_603470_1", "🚀 Open in Portal")</f>
        <v/>
      </c>
    </row>
    <row r="3036" ht="24" customHeight="1">
      <c r="A3036" s="11" t="inlineStr">
        <is>
          <t>Rajasthan</t>
        </is>
      </c>
      <c r="B3036" s="12" t="inlineStr">
        <is>
          <t>GIS</t>
        </is>
      </c>
      <c r="C3036" s="13" t="inlineStr">
        <is>
          <t>2026_RCDF_603470_1</t>
        </is>
      </c>
      <c r="D3036" s="14" t="inlineStr">
        <is>
          <t>[NOTICE INVITING TENDERS FOR SUPPLY OF CATTLE FEED RAW MATERIALS TO CATTLE FEED PLANT, BIKANER FROM REGISTERED PARTIES UNDER RM-842]</t>
        </is>
      </c>
      <c r="E3036" s="14" t="inlineStr">
        <is>
          <t>Rajasthan Public Works &amp; Technology Department</t>
        </is>
      </c>
      <c r="F3036" s="13" t="inlineStr">
        <is>
          <t>10 Sep 2026</t>
        </is>
      </c>
      <c r="G3036" s="12" t="inlineStr">
        <is>
          <t>04 Oct 2026</t>
        </is>
      </c>
      <c r="H3036" s="8" t="inlineStr">
        <is>
          <t>⏳ UPCOMING</t>
        </is>
      </c>
      <c r="I3036" s="11" t="inlineStr">
        <is>
          <t>DOCS.pdf</t>
        </is>
      </c>
      <c r="J3036" s="13" t="inlineStr">
        <is>
          <t>📕 PDF Document</t>
        </is>
      </c>
      <c r="K3036" s="15" t="n">
        <v>17.8</v>
      </c>
      <c r="L3036" s="16">
        <f>HYPERLINK("http://127.0.0.1:8000/api/documents/download?id=1248&amp;attachment=true", "⬇ Download DOCS.pdf")</f>
        <v/>
      </c>
      <c r="M3036" s="16">
        <f>HYPERLINK("http://localhost:5173/?state=Rajasthan&amp;keyword=GIS&amp;tender=2026_RCDF_603470_1", "🚀 Open in Portal")</f>
        <v/>
      </c>
    </row>
    <row r="3037" ht="24" customHeight="1">
      <c r="A3037" s="4" t="inlineStr">
        <is>
          <t>Rajasthan</t>
        </is>
      </c>
      <c r="B3037" s="5" t="inlineStr">
        <is>
          <t>GIS</t>
        </is>
      </c>
      <c r="C3037" s="6" t="inlineStr">
        <is>
          <t>2026_RCDF_603470_1</t>
        </is>
      </c>
      <c r="D3037" s="7" t="inlineStr">
        <is>
          <t>[NOTICE INVITING TENDERS FOR SUPPLY OF CATTLE FEED RAW MATERIALS TO CATTLE FEED PLANT, BIKANER FROM REGISTERED PARTIES UNDER RM-842]</t>
        </is>
      </c>
      <c r="E3037" s="7" t="inlineStr">
        <is>
          <t>Rajasthan Public Works &amp; Technology Department</t>
        </is>
      </c>
      <c r="F3037" s="6" t="inlineStr">
        <is>
          <t>10 Sep 2026</t>
        </is>
      </c>
      <c r="G3037" s="5" t="inlineStr">
        <is>
          <t>04 Oct 2026</t>
        </is>
      </c>
      <c r="H3037" s="8" t="inlineStr">
        <is>
          <t>⏳ UPCOMING</t>
        </is>
      </c>
      <c r="I3037" s="4" t="inlineStr">
        <is>
          <t>BOQ_1070035.xls</t>
        </is>
      </c>
      <c r="J3037" s="6" t="inlineStr">
        <is>
          <t>📊 Excel BOQ</t>
        </is>
      </c>
      <c r="K3037" s="9" t="n">
        <v>2.5</v>
      </c>
      <c r="L3037" s="10">
        <f>HYPERLINK("http://127.0.0.1:8000/api/documents/download?id=1249&amp;attachment=true", "⬇ Download BOQ_1070035.xls")</f>
        <v/>
      </c>
      <c r="M3037" s="10">
        <f>HYPERLINK("http://localhost:5173/?state=Rajasthan&amp;keyword=GIS&amp;tender=2026_RCDF_603470_1", "🚀 Open in Portal")</f>
        <v/>
      </c>
    </row>
    <row r="3038" ht="24" customHeight="1">
      <c r="A3038" s="11" t="inlineStr">
        <is>
          <t>Rajasthan</t>
        </is>
      </c>
      <c r="B3038" s="12" t="inlineStr">
        <is>
          <t>GIS</t>
        </is>
      </c>
      <c r="C3038" s="13" t="inlineStr">
        <is>
          <t>2026_RCDF_603470_1</t>
        </is>
      </c>
      <c r="D3038" s="14" t="inlineStr">
        <is>
          <t>[NOTICE INVITING TENDERS FOR SUPPLY OF CATTLE FEED RAW MATERIALS TO CATTLE FEED PLANT, BIKANER FROM REGISTERED PARTIES UNDER RM-842]</t>
        </is>
      </c>
      <c r="E3038" s="14" t="inlineStr">
        <is>
          <t>Rajasthan Public Works &amp; Technology Department</t>
        </is>
      </c>
      <c r="F3038" s="13" t="inlineStr">
        <is>
          <t>10 Sep 2026</t>
        </is>
      </c>
      <c r="G3038" s="12" t="inlineStr">
        <is>
          <t>04 Oct 2026</t>
        </is>
      </c>
      <c r="H3038" s="8" t="inlineStr">
        <is>
          <t>⏳ UPCOMING</t>
        </is>
      </c>
      <c r="I3038" s="11" t="inlineStr">
        <is>
          <t>Tender_2026_RCDF_603470_1_All_Documents.zip</t>
        </is>
      </c>
      <c r="J3038" s="13" t="inlineStr">
        <is>
          <t>📦 ZIP Package</t>
        </is>
      </c>
      <c r="K3038" s="15" t="n">
        <v>20.8</v>
      </c>
      <c r="L3038" s="16">
        <f>HYPERLINK("http://127.0.0.1:8000/api/documents/download?id=1250&amp;attachment=true", "⬇ Download Tender_2026_RCDF_603470_")</f>
        <v/>
      </c>
      <c r="M3038" s="16">
        <f>HYPERLINK("http://localhost:5173/?state=Rajasthan&amp;keyword=GIS&amp;tender=2026_RCDF_603470_1", "🚀 Open in Portal")</f>
        <v/>
      </c>
    </row>
    <row r="3039" ht="24" customHeight="1">
      <c r="A3039" s="4" t="inlineStr">
        <is>
          <t>Rajasthan</t>
        </is>
      </c>
      <c r="B3039" s="5" t="inlineStr">
        <is>
          <t>GIS</t>
        </is>
      </c>
      <c r="C3039" s="6" t="inlineStr">
        <is>
          <t>2026_RRVPN_590148_1</t>
        </is>
      </c>
      <c r="D3039" s="7" t="inlineStr">
        <is>
          <t>[Construction of 132/33 kV, 2x80 MVA GIS Substation at Shiv Enclave (Sanganer), Jaipur alongwith Associated Transmission Lines Including Survey, Supply of All Equipments Materials, Erection (Including Civil Works), Testing And Commissioning]</t>
        </is>
      </c>
      <c r="E3039" s="7" t="inlineStr">
        <is>
          <t>Rajasthan Public Works &amp; Technology Department</t>
        </is>
      </c>
      <c r="F3039" s="6" t="inlineStr">
        <is>
          <t>03 Oct 2026</t>
        </is>
      </c>
      <c r="G3039" s="5" t="inlineStr">
        <is>
          <t>29 Oct 2026</t>
        </is>
      </c>
      <c r="H3039" s="17" t="inlineStr">
        <is>
          <t>🟢 LIVE ACTIVE</t>
        </is>
      </c>
      <c r="I3039" s="4" t="inlineStr">
        <is>
          <t>Tendernotice_1.pdf</t>
        </is>
      </c>
      <c r="J3039" s="6" t="inlineStr">
        <is>
          <t>📕 PDF Document</t>
        </is>
      </c>
      <c r="K3039" s="9" t="n">
        <v>17.9</v>
      </c>
      <c r="L3039" s="10">
        <f>HYPERLINK("http://127.0.0.1:8000/api/documents/download?id=1267&amp;attachment=true", "⬇ Download Tendernotice_1.pdf")</f>
        <v/>
      </c>
      <c r="M3039" s="10">
        <f>HYPERLINK("http://localhost:5173/?state=Rajasthan&amp;keyword=GIS&amp;tender=2026_RRVPN_590148_1", "🚀 Open in Portal")</f>
        <v/>
      </c>
    </row>
    <row r="3040" ht="24" customHeight="1">
      <c r="A3040" s="11" t="inlineStr">
        <is>
          <t>Rajasthan</t>
        </is>
      </c>
      <c r="B3040" s="12" t="inlineStr">
        <is>
          <t>GIS</t>
        </is>
      </c>
      <c r="C3040" s="13" t="inlineStr">
        <is>
          <t>2026_RRVPN_590148_1</t>
        </is>
      </c>
      <c r="D3040" s="14" t="inlineStr">
        <is>
          <t>[Construction of 132/33 kV, 2x80 MVA GIS Substation at Shiv Enclave (Sanganer), Jaipur alongwith Associated Transmission Lines Including Survey, Supply of All Equipments Materials, Erection (Including Civil Works), Testing And Commissioning]</t>
        </is>
      </c>
      <c r="E3040" s="14" t="inlineStr">
        <is>
          <t>Rajasthan Public Works &amp; Technology Department</t>
        </is>
      </c>
      <c r="F3040" s="13" t="inlineStr">
        <is>
          <t>03 Oct 2026</t>
        </is>
      </c>
      <c r="G3040" s="12" t="inlineStr">
        <is>
          <t>29 Oct 2026</t>
        </is>
      </c>
      <c r="H3040" s="17" t="inlineStr">
        <is>
          <t>🟢 LIVE ACTIVE</t>
        </is>
      </c>
      <c r="I3040" s="11" t="inlineStr">
        <is>
          <t>tech_prebid_1048000.pdf</t>
        </is>
      </c>
      <c r="J3040" s="13" t="inlineStr">
        <is>
          <t>📕 PDF Document</t>
        </is>
      </c>
      <c r="K3040" s="15" t="n">
        <v>17.9</v>
      </c>
      <c r="L3040" s="16">
        <f>HYPERLINK("http://127.0.0.1:8000/api/documents/download?id=1268&amp;attachment=true", "⬇ Download tech_prebid_1048000.pdf")</f>
        <v/>
      </c>
      <c r="M3040" s="16">
        <f>HYPERLINK("http://localhost:5173/?state=Rajasthan&amp;keyword=GIS&amp;tender=2026_RRVPN_590148_1", "🚀 Open in Portal")</f>
        <v/>
      </c>
    </row>
    <row r="3041" ht="24" customHeight="1">
      <c r="A3041" s="4" t="inlineStr">
        <is>
          <t>Rajasthan</t>
        </is>
      </c>
      <c r="B3041" s="5" t="inlineStr">
        <is>
          <t>GIS</t>
        </is>
      </c>
      <c r="C3041" s="6" t="inlineStr">
        <is>
          <t>2026_RRVPN_590148_1</t>
        </is>
      </c>
      <c r="D3041" s="7" t="inlineStr">
        <is>
          <t>[Construction of 132/33 kV, 2x80 MVA GIS Substation at Shiv Enclave (Sanganer), Jaipur alongwith Associated Transmission Lines Including Survey, Supply of All Equipments Materials, Erection (Including Civil Works), Testing And Commissioning]</t>
        </is>
      </c>
      <c r="E3041" s="7" t="inlineStr">
        <is>
          <t>Rajasthan Public Works &amp; Technology Department</t>
        </is>
      </c>
      <c r="F3041" s="6" t="inlineStr">
        <is>
          <t>03 Oct 2026</t>
        </is>
      </c>
      <c r="G3041" s="5" t="inlineStr">
        <is>
          <t>29 Oct 2026</t>
        </is>
      </c>
      <c r="H3041" s="17" t="inlineStr">
        <is>
          <t>🟢 LIVE ACTIVE</t>
        </is>
      </c>
      <c r="I3041" s="4" t="inlineStr">
        <is>
          <t>BOQ_1048000.xls</t>
        </is>
      </c>
      <c r="J3041" s="6" t="inlineStr">
        <is>
          <t>📊 Excel BOQ</t>
        </is>
      </c>
      <c r="K3041" s="9" t="n">
        <v>2.5</v>
      </c>
      <c r="L3041" s="10">
        <f>HYPERLINK("http://127.0.0.1:8000/api/documents/download?id=1269&amp;attachment=true", "⬇ Download BOQ_1048000.xls")</f>
        <v/>
      </c>
      <c r="M3041" s="10">
        <f>HYPERLINK("http://localhost:5173/?state=Rajasthan&amp;keyword=GIS&amp;tender=2026_RRVPN_590148_1", "🚀 Open in Portal")</f>
        <v/>
      </c>
    </row>
    <row r="3042" ht="24" customHeight="1">
      <c r="A3042" s="11" t="inlineStr">
        <is>
          <t>Rajasthan</t>
        </is>
      </c>
      <c r="B3042" s="12" t="inlineStr">
        <is>
          <t>GIS</t>
        </is>
      </c>
      <c r="C3042" s="13" t="inlineStr">
        <is>
          <t>2026_RRVPN_590148_1</t>
        </is>
      </c>
      <c r="D3042" s="14" t="inlineStr">
        <is>
          <t>[Construction of 132/33 kV, 2x80 MVA GIS Substation at Shiv Enclave (Sanganer), Jaipur alongwith Associated Transmission Lines Including Survey, Supply of All Equipments Materials, Erection (Including Civil Works), Testing And Commissioning]</t>
        </is>
      </c>
      <c r="E3042" s="14" t="inlineStr">
        <is>
          <t>Rajasthan Public Works &amp; Technology Department</t>
        </is>
      </c>
      <c r="F3042" s="13" t="inlineStr">
        <is>
          <t>03 Oct 2026</t>
        </is>
      </c>
      <c r="G3042" s="12" t="inlineStr">
        <is>
          <t>29 Oct 2026</t>
        </is>
      </c>
      <c r="H3042" s="17" t="inlineStr">
        <is>
          <t>🟢 LIVE ACTIVE</t>
        </is>
      </c>
      <c r="I3042" s="11" t="inlineStr">
        <is>
          <t>FINALBIDTN165EPROC.pdf</t>
        </is>
      </c>
      <c r="J3042" s="13" t="inlineStr">
        <is>
          <t>📕 PDF Document</t>
        </is>
      </c>
      <c r="K3042" s="15" t="n">
        <v>17.9</v>
      </c>
      <c r="L3042" s="16">
        <f>HYPERLINK("http://127.0.0.1:8000/api/documents/download?id=1270&amp;attachment=true", "⬇ Download FINALBIDTN165EPROC.pdf")</f>
        <v/>
      </c>
      <c r="M3042" s="16">
        <f>HYPERLINK("http://localhost:5173/?state=Rajasthan&amp;keyword=GIS&amp;tender=2026_RRVPN_590148_1", "🚀 Open in Portal")</f>
        <v/>
      </c>
    </row>
    <row r="3043" ht="24" customHeight="1">
      <c r="A3043" s="4" t="inlineStr">
        <is>
          <t>Rajasthan</t>
        </is>
      </c>
      <c r="B3043" s="5" t="inlineStr">
        <is>
          <t>GIS</t>
        </is>
      </c>
      <c r="C3043" s="6" t="inlineStr">
        <is>
          <t>2026_RRVPN_590148_1</t>
        </is>
      </c>
      <c r="D3043" s="7" t="inlineStr">
        <is>
          <t>[Construction of 132/33 kV, 2x80 MVA GIS Substation at Shiv Enclave (Sanganer), Jaipur alongwith Associated Transmission Lines Including Survey, Supply of All Equipments Materials, Erection (Including Civil Works), Testing And Commissioning]</t>
        </is>
      </c>
      <c r="E3043" s="7" t="inlineStr">
        <is>
          <t>Rajasthan Public Works &amp; Technology Department</t>
        </is>
      </c>
      <c r="F3043" s="6" t="inlineStr">
        <is>
          <t>03 Oct 2026</t>
        </is>
      </c>
      <c r="G3043" s="5" t="inlineStr">
        <is>
          <t>29 Oct 2026</t>
        </is>
      </c>
      <c r="H3043" s="17" t="inlineStr">
        <is>
          <t>🟢 LIVE ACTIVE</t>
        </is>
      </c>
      <c r="I3043" s="4" t="inlineStr">
        <is>
          <t>Tender_2026_RRVPN_590148_1_All_Documents.zip</t>
        </is>
      </c>
      <c r="J3043" s="6" t="inlineStr">
        <is>
          <t>📦 ZIP Package</t>
        </is>
      </c>
      <c r="K3043" s="9" t="n">
        <v>30.2</v>
      </c>
      <c r="L3043" s="10">
        <f>HYPERLINK("http://127.0.0.1:8000/api/documents/download?id=1271&amp;attachment=true", "⬇ Download Tender_2026_RRVPN_590148")</f>
        <v/>
      </c>
      <c r="M3043" s="10">
        <f>HYPERLINK("http://localhost:5173/?state=Rajasthan&amp;keyword=GIS&amp;tender=2026_RRVPN_590148_1", "🚀 Open in Portal")</f>
        <v/>
      </c>
    </row>
    <row r="3044" ht="24" customHeight="1">
      <c r="A3044" s="11" t="inlineStr">
        <is>
          <t>Rajasthan</t>
        </is>
      </c>
      <c r="B3044" s="12" t="inlineStr">
        <is>
          <t>GIS</t>
        </is>
      </c>
      <c r="C3044" s="13" t="inlineStr">
        <is>
          <t>2026_RRVPN_590159_1</t>
        </is>
      </c>
      <c r="D3044" s="14" t="inlineStr">
        <is>
          <t>[CONSTRUCTION OF 132/33 KV, 2X50 MVA GIS SUBSTATION AT HATHI BHATA (AJMER) ALONGWITH ASSOCIATED TRANSMISSION LINES]</t>
        </is>
      </c>
      <c r="E3044" s="14" t="inlineStr">
        <is>
          <t>Rajasthan Public Works &amp; Technology Department</t>
        </is>
      </c>
      <c r="F3044" s="13" t="inlineStr">
        <is>
          <t>30 Jul 2026</t>
        </is>
      </c>
      <c r="G3044" s="12" t="inlineStr">
        <is>
          <t>26 Aug 2026</t>
        </is>
      </c>
      <c r="H3044" s="8" t="inlineStr">
        <is>
          <t>⏳ UPCOMING</t>
        </is>
      </c>
      <c r="I3044" s="11" t="inlineStr">
        <is>
          <t>Tendernotice_1.pdf</t>
        </is>
      </c>
      <c r="J3044" s="13" t="inlineStr">
        <is>
          <t>📕 PDF Document</t>
        </is>
      </c>
      <c r="K3044" s="15" t="n">
        <v>17.9</v>
      </c>
      <c r="L3044" s="16">
        <f>HYPERLINK("http://127.0.0.1:8000/api/documents/download?id=1272&amp;attachment=true", "⬇ Download Tendernotice_1.pdf")</f>
        <v/>
      </c>
      <c r="M3044" s="16">
        <f>HYPERLINK("http://localhost:5173/?state=Rajasthan&amp;keyword=GIS&amp;tender=2026_RRVPN_590159_1", "🚀 Open in Portal")</f>
        <v/>
      </c>
    </row>
    <row r="3045" ht="24" customHeight="1">
      <c r="A3045" s="4" t="inlineStr">
        <is>
          <t>Rajasthan</t>
        </is>
      </c>
      <c r="B3045" s="5" t="inlineStr">
        <is>
          <t>GIS</t>
        </is>
      </c>
      <c r="C3045" s="6" t="inlineStr">
        <is>
          <t>2026_RRVPN_590159_1</t>
        </is>
      </c>
      <c r="D3045" s="7" t="inlineStr">
        <is>
          <t>[CONSTRUCTION OF 132/33 KV, 2X50 MVA GIS SUBSTATION AT HATHI BHATA (AJMER) ALONGWITH ASSOCIATED TRANSMISSION LINES]</t>
        </is>
      </c>
      <c r="E3045" s="7" t="inlineStr">
        <is>
          <t>Rajasthan Public Works &amp; Technology Department</t>
        </is>
      </c>
      <c r="F3045" s="6" t="inlineStr">
        <is>
          <t>30 Jul 2026</t>
        </is>
      </c>
      <c r="G3045" s="5" t="inlineStr">
        <is>
          <t>26 Aug 2026</t>
        </is>
      </c>
      <c r="H3045" s="8" t="inlineStr">
        <is>
          <t>⏳ UPCOMING</t>
        </is>
      </c>
      <c r="I3045" s="4" t="inlineStr">
        <is>
          <t>tech_prebid_1048024.pdf</t>
        </is>
      </c>
      <c r="J3045" s="6" t="inlineStr">
        <is>
          <t>📕 PDF Document</t>
        </is>
      </c>
      <c r="K3045" s="9" t="n">
        <v>17.9</v>
      </c>
      <c r="L3045" s="10">
        <f>HYPERLINK("http://127.0.0.1:8000/api/documents/download?id=1273&amp;attachment=true", "⬇ Download tech_prebid_1048024.pdf")</f>
        <v/>
      </c>
      <c r="M3045" s="10">
        <f>HYPERLINK("http://localhost:5173/?state=Rajasthan&amp;keyword=GIS&amp;tender=2026_RRVPN_590159_1", "🚀 Open in Portal")</f>
        <v/>
      </c>
    </row>
    <row r="3046" ht="24" customHeight="1">
      <c r="A3046" s="11" t="inlineStr">
        <is>
          <t>Rajasthan</t>
        </is>
      </c>
      <c r="B3046" s="12" t="inlineStr">
        <is>
          <t>GIS</t>
        </is>
      </c>
      <c r="C3046" s="13" t="inlineStr">
        <is>
          <t>2026_RRVPN_590159_1</t>
        </is>
      </c>
      <c r="D3046" s="14" t="inlineStr">
        <is>
          <t>[CONSTRUCTION OF 132/33 KV, 2X50 MVA GIS SUBSTATION AT HATHI BHATA (AJMER) ALONGWITH ASSOCIATED TRANSMISSION LINES]</t>
        </is>
      </c>
      <c r="E3046" s="14" t="inlineStr">
        <is>
          <t>Rajasthan Public Works &amp; Technology Department</t>
        </is>
      </c>
      <c r="F3046" s="13" t="inlineStr">
        <is>
          <t>30 Jul 2026</t>
        </is>
      </c>
      <c r="G3046" s="12" t="inlineStr">
        <is>
          <t>26 Aug 2026</t>
        </is>
      </c>
      <c r="H3046" s="8" t="inlineStr">
        <is>
          <t>⏳ UPCOMING</t>
        </is>
      </c>
      <c r="I3046" s="11" t="inlineStr">
        <is>
          <t>VolumeITN167Eproc18082026.pdf</t>
        </is>
      </c>
      <c r="J3046" s="13" t="inlineStr">
        <is>
          <t>📕 PDF Document</t>
        </is>
      </c>
      <c r="K3046" s="15" t="n">
        <v>17.9</v>
      </c>
      <c r="L3046" s="16">
        <f>HYPERLINK("http://127.0.0.1:8000/api/documents/download?id=1274&amp;attachment=true", "⬇ Download VolumeITN167Eproc1808202")</f>
        <v/>
      </c>
      <c r="M3046" s="16">
        <f>HYPERLINK("http://localhost:5173/?state=Rajasthan&amp;keyword=GIS&amp;tender=2026_RRVPN_590159_1", "🚀 Open in Portal")</f>
        <v/>
      </c>
    </row>
    <row r="3047" ht="24" customHeight="1">
      <c r="A3047" s="4" t="inlineStr">
        <is>
          <t>Rajasthan</t>
        </is>
      </c>
      <c r="B3047" s="5" t="inlineStr">
        <is>
          <t>GIS</t>
        </is>
      </c>
      <c r="C3047" s="6" t="inlineStr">
        <is>
          <t>2026_RRVPN_590159_1</t>
        </is>
      </c>
      <c r="D3047" s="7" t="inlineStr">
        <is>
          <t>[CONSTRUCTION OF 132/33 KV, 2X50 MVA GIS SUBSTATION AT HATHI BHATA (AJMER) ALONGWITH ASSOCIATED TRANSMISSION LINES]</t>
        </is>
      </c>
      <c r="E3047" s="7" t="inlineStr">
        <is>
          <t>Rajasthan Public Works &amp; Technology Department</t>
        </is>
      </c>
      <c r="F3047" s="6" t="inlineStr">
        <is>
          <t>30 Jul 2026</t>
        </is>
      </c>
      <c r="G3047" s="5" t="inlineStr">
        <is>
          <t>26 Aug 2026</t>
        </is>
      </c>
      <c r="H3047" s="8" t="inlineStr">
        <is>
          <t>⏳ UPCOMING</t>
        </is>
      </c>
      <c r="I3047" s="4" t="inlineStr">
        <is>
          <t>BOQ_1048024.xls</t>
        </is>
      </c>
      <c r="J3047" s="6" t="inlineStr">
        <is>
          <t>📊 Excel BOQ</t>
        </is>
      </c>
      <c r="K3047" s="9" t="n">
        <v>2.5</v>
      </c>
      <c r="L3047" s="10">
        <f>HYPERLINK("http://127.0.0.1:8000/api/documents/download?id=1275&amp;attachment=true", "⬇ Download BOQ_1048024.xls")</f>
        <v/>
      </c>
      <c r="M3047" s="10">
        <f>HYPERLINK("http://localhost:5173/?state=Rajasthan&amp;keyword=GIS&amp;tender=2026_RRVPN_590159_1", "🚀 Open in Portal")</f>
        <v/>
      </c>
    </row>
    <row r="3048" ht="24" customHeight="1">
      <c r="A3048" s="11" t="inlineStr">
        <is>
          <t>Rajasthan</t>
        </is>
      </c>
      <c r="B3048" s="12" t="inlineStr">
        <is>
          <t>GIS</t>
        </is>
      </c>
      <c r="C3048" s="13" t="inlineStr">
        <is>
          <t>2026_RRVPN_590159_1</t>
        </is>
      </c>
      <c r="D3048" s="14" t="inlineStr">
        <is>
          <t>[CONSTRUCTION OF 132/33 KV, 2X50 MVA GIS SUBSTATION AT HATHI BHATA (AJMER) ALONGWITH ASSOCIATED TRANSMISSION LINES]</t>
        </is>
      </c>
      <c r="E3048" s="14" t="inlineStr">
        <is>
          <t>Rajasthan Public Works &amp; Technology Department</t>
        </is>
      </c>
      <c r="F3048" s="13" t="inlineStr">
        <is>
          <t>30 Jul 2026</t>
        </is>
      </c>
      <c r="G3048" s="12" t="inlineStr">
        <is>
          <t>26 Aug 2026</t>
        </is>
      </c>
      <c r="H3048" s="8" t="inlineStr">
        <is>
          <t>⏳ UPCOMING</t>
        </is>
      </c>
      <c r="I3048" s="11" t="inlineStr">
        <is>
          <t>VolumeIITN167Eproc18082026.pdf</t>
        </is>
      </c>
      <c r="J3048" s="13" t="inlineStr">
        <is>
          <t>📕 PDF Document</t>
        </is>
      </c>
      <c r="K3048" s="15" t="n">
        <v>17.9</v>
      </c>
      <c r="L3048" s="16">
        <f>HYPERLINK("http://127.0.0.1:8000/api/documents/download?id=1276&amp;attachment=true", "⬇ Download VolumeIITN167Eproc180820")</f>
        <v/>
      </c>
      <c r="M3048" s="16">
        <f>HYPERLINK("http://localhost:5173/?state=Rajasthan&amp;keyword=GIS&amp;tender=2026_RRVPN_590159_1", "🚀 Open in Portal")</f>
        <v/>
      </c>
    </row>
    <row r="3049" ht="24" customHeight="1">
      <c r="A3049" s="4" t="inlineStr">
        <is>
          <t>Rajasthan</t>
        </is>
      </c>
      <c r="B3049" s="5" t="inlineStr">
        <is>
          <t>GIS</t>
        </is>
      </c>
      <c r="C3049" s="6" t="inlineStr">
        <is>
          <t>2026_RRVPN_590159_1</t>
        </is>
      </c>
      <c r="D3049" s="7" t="inlineStr">
        <is>
          <t>[CONSTRUCTION OF 132/33 KV, 2X50 MVA GIS SUBSTATION AT HATHI BHATA (AJMER) ALONGWITH ASSOCIATED TRANSMISSION LINES]</t>
        </is>
      </c>
      <c r="E3049" s="7" t="inlineStr">
        <is>
          <t>Rajasthan Public Works &amp; Technology Department</t>
        </is>
      </c>
      <c r="F3049" s="6" t="inlineStr">
        <is>
          <t>30 Jul 2026</t>
        </is>
      </c>
      <c r="G3049" s="5" t="inlineStr">
        <is>
          <t>26 Aug 2026</t>
        </is>
      </c>
      <c r="H3049" s="8" t="inlineStr">
        <is>
          <t>⏳ UPCOMING</t>
        </is>
      </c>
      <c r="I3049" s="4" t="inlineStr">
        <is>
          <t>Tender_2026_RRVPN_590159_1_All_Documents.zip</t>
        </is>
      </c>
      <c r="J3049" s="6" t="inlineStr">
        <is>
          <t>📦 ZIP Package</t>
        </is>
      </c>
      <c r="K3049" s="9" t="n">
        <v>39.5</v>
      </c>
      <c r="L3049" s="10">
        <f>HYPERLINK("http://127.0.0.1:8000/api/documents/download?id=1277&amp;attachment=true", "⬇ Download Tender_2026_RRVPN_590159")</f>
        <v/>
      </c>
      <c r="M3049" s="10">
        <f>HYPERLINK("http://localhost:5173/?state=Rajasthan&amp;keyword=GIS&amp;tender=2026_RRVPN_590159_1", "🚀 Open in Portal")</f>
        <v/>
      </c>
    </row>
    <row r="3050" ht="24" customHeight="1">
      <c r="A3050" s="11" t="inlineStr">
        <is>
          <t>Rajasthan</t>
        </is>
      </c>
      <c r="B3050" s="12" t="inlineStr">
        <is>
          <t>GIS</t>
        </is>
      </c>
      <c r="C3050" s="13" t="inlineStr">
        <is>
          <t>2026_RRVUN_593879_1</t>
        </is>
      </c>
      <c r="D3050" s="14" t="inlineStr">
        <is>
          <t>[TN-26181 Annual rate contract for printing and supply of various printed stationary and registers to KSTPS, Kota.]</t>
        </is>
      </c>
      <c r="E3050" s="14" t="inlineStr">
        <is>
          <t>Rajasthan Public Works &amp; Technology Department</t>
        </is>
      </c>
      <c r="F3050" s="13" t="inlineStr">
        <is>
          <t>05 Sep 2026</t>
        </is>
      </c>
      <c r="G3050" s="12" t="inlineStr">
        <is>
          <t>01 Oct 2026</t>
        </is>
      </c>
      <c r="H3050" s="8" t="inlineStr">
        <is>
          <t>⏳ UPCOMING</t>
        </is>
      </c>
      <c r="I3050" s="11" t="inlineStr">
        <is>
          <t>Tendernotice_1.pdf</t>
        </is>
      </c>
      <c r="J3050" s="13" t="inlineStr">
        <is>
          <t>📕 PDF Document</t>
        </is>
      </c>
      <c r="K3050" s="15" t="n">
        <v>17.9</v>
      </c>
      <c r="L3050" s="16">
        <f>HYPERLINK("http://127.0.0.1:8000/api/documents/download?id=1263&amp;attachment=true", "⬇ Download Tendernotice_1.pdf")</f>
        <v/>
      </c>
      <c r="M3050" s="16">
        <f>HYPERLINK("http://localhost:5173/?state=Rajasthan&amp;keyword=GIS&amp;tender=2026_RRVUN_593879_1", "🚀 Open in Portal")</f>
        <v/>
      </c>
    </row>
    <row r="3051" ht="24" customHeight="1">
      <c r="A3051" s="4" t="inlineStr">
        <is>
          <t>Rajasthan</t>
        </is>
      </c>
      <c r="B3051" s="5" t="inlineStr">
        <is>
          <t>GIS</t>
        </is>
      </c>
      <c r="C3051" s="6" t="inlineStr">
        <is>
          <t>2026_RRVUN_593879_1</t>
        </is>
      </c>
      <c r="D3051" s="7" t="inlineStr">
        <is>
          <t>[TN-26181 Annual rate contract for printing and supply of various printed stationary and registers to KSTPS, Kota.]</t>
        </is>
      </c>
      <c r="E3051" s="7" t="inlineStr">
        <is>
          <t>Rajasthan Public Works &amp; Technology Department</t>
        </is>
      </c>
      <c r="F3051" s="6" t="inlineStr">
        <is>
          <t>05 Sep 2026</t>
        </is>
      </c>
      <c r="G3051" s="5" t="inlineStr">
        <is>
          <t>01 Oct 2026</t>
        </is>
      </c>
      <c r="H3051" s="8" t="inlineStr">
        <is>
          <t>⏳ UPCOMING</t>
        </is>
      </c>
      <c r="I3051" s="4" t="inlineStr">
        <is>
          <t>TN26181.pdf</t>
        </is>
      </c>
      <c r="J3051" s="6" t="inlineStr">
        <is>
          <t>📕 PDF Document</t>
        </is>
      </c>
      <c r="K3051" s="9" t="n">
        <v>17.9</v>
      </c>
      <c r="L3051" s="10">
        <f>HYPERLINK("http://127.0.0.1:8000/api/documents/download?id=1264&amp;attachment=true", "⬇ Download TN26181.pdf")</f>
        <v/>
      </c>
      <c r="M3051" s="10">
        <f>HYPERLINK("http://localhost:5173/?state=Rajasthan&amp;keyword=GIS&amp;tender=2026_RRVUN_593879_1", "🚀 Open in Portal")</f>
        <v/>
      </c>
    </row>
    <row r="3052" ht="24" customHeight="1">
      <c r="A3052" s="11" t="inlineStr">
        <is>
          <t>Rajasthan</t>
        </is>
      </c>
      <c r="B3052" s="12" t="inlineStr">
        <is>
          <t>GIS</t>
        </is>
      </c>
      <c r="C3052" s="13" t="inlineStr">
        <is>
          <t>2026_RRVUN_593879_1</t>
        </is>
      </c>
      <c r="D3052" s="14" t="inlineStr">
        <is>
          <t>[TN-26181 Annual rate contract for printing and supply of various printed stationary and registers to KSTPS, Kota.]</t>
        </is>
      </c>
      <c r="E3052" s="14" t="inlineStr">
        <is>
          <t>Rajasthan Public Works &amp; Technology Department</t>
        </is>
      </c>
      <c r="F3052" s="13" t="inlineStr">
        <is>
          <t>05 Sep 2026</t>
        </is>
      </c>
      <c r="G3052" s="12" t="inlineStr">
        <is>
          <t>01 Oct 2026</t>
        </is>
      </c>
      <c r="H3052" s="8" t="inlineStr">
        <is>
          <t>⏳ UPCOMING</t>
        </is>
      </c>
      <c r="I3052" s="11" t="inlineStr">
        <is>
          <t>BOQ_1054010.xls</t>
        </is>
      </c>
      <c r="J3052" s="13" t="inlineStr">
        <is>
          <t>📊 Excel BOQ</t>
        </is>
      </c>
      <c r="K3052" s="15" t="n">
        <v>2.5</v>
      </c>
      <c r="L3052" s="16">
        <f>HYPERLINK("http://127.0.0.1:8000/api/documents/download?id=1265&amp;attachment=true", "⬇ Download BOQ_1054010.xls")</f>
        <v/>
      </c>
      <c r="M3052" s="16">
        <f>HYPERLINK("http://localhost:5173/?state=Rajasthan&amp;keyword=GIS&amp;tender=2026_RRVUN_593879_1", "🚀 Open in Portal")</f>
        <v/>
      </c>
    </row>
    <row r="3053" ht="24" customHeight="1">
      <c r="A3053" s="4" t="inlineStr">
        <is>
          <t>Rajasthan</t>
        </is>
      </c>
      <c r="B3053" s="5" t="inlineStr">
        <is>
          <t>GIS</t>
        </is>
      </c>
      <c r="C3053" s="6" t="inlineStr">
        <is>
          <t>2026_RRVUN_593879_1</t>
        </is>
      </c>
      <c r="D3053" s="7" t="inlineStr">
        <is>
          <t>[TN-26181 Annual rate contract for printing and supply of various printed stationary and registers to KSTPS, Kota.]</t>
        </is>
      </c>
      <c r="E3053" s="7" t="inlineStr">
        <is>
          <t>Rajasthan Public Works &amp; Technology Department</t>
        </is>
      </c>
      <c r="F3053" s="6" t="inlineStr">
        <is>
          <t>05 Sep 2026</t>
        </is>
      </c>
      <c r="G3053" s="5" t="inlineStr">
        <is>
          <t>01 Oct 2026</t>
        </is>
      </c>
      <c r="H3053" s="8" t="inlineStr">
        <is>
          <t>⏳ UPCOMING</t>
        </is>
      </c>
      <c r="I3053" s="4" t="inlineStr">
        <is>
          <t>Tender_2026_RRVUN_593879_1_All_Documents.zip</t>
        </is>
      </c>
      <c r="J3053" s="6" t="inlineStr">
        <is>
          <t>📦 ZIP Package</t>
        </is>
      </c>
      <c r="K3053" s="9" t="n">
        <v>20.9</v>
      </c>
      <c r="L3053" s="10">
        <f>HYPERLINK("http://127.0.0.1:8000/api/documents/download?id=1266&amp;attachment=true", "⬇ Download Tender_2026_RRVUN_593879")</f>
        <v/>
      </c>
      <c r="M3053" s="10">
        <f>HYPERLINK("http://localhost:5173/?state=Rajasthan&amp;keyword=GIS&amp;tender=2026_RRVUN_593879_1", "🚀 Open in Portal")</f>
        <v/>
      </c>
    </row>
    <row r="3054" ht="24" customHeight="1">
      <c r="A3054" s="11" t="inlineStr">
        <is>
          <t>Rajasthan</t>
        </is>
      </c>
      <c r="B3054" s="12" t="inlineStr">
        <is>
          <t>GIS</t>
        </is>
      </c>
      <c r="C3054" s="13" t="inlineStr">
        <is>
          <t>2026_RSHDC_600962_1</t>
        </is>
      </c>
      <c r="D3054" s="14" t="inlineStr">
        <is>
          <t>[ handloom weavers/weaver cooperative societies (consignors) of the State of Rajasthan that are registered for the production of handloom textiles]</t>
        </is>
      </c>
      <c r="E3054" s="14" t="inlineStr">
        <is>
          <t>Rajasthan Public Works &amp; Technology Department</t>
        </is>
      </c>
      <c r="F3054" s="13" t="inlineStr">
        <is>
          <t>08 Aug 2026</t>
        </is>
      </c>
      <c r="G3054" s="12" t="inlineStr">
        <is>
          <t>03 Sep 2026</t>
        </is>
      </c>
      <c r="H3054" s="8" t="inlineStr">
        <is>
          <t>⏳ UPCOMING</t>
        </is>
      </c>
      <c r="I3054" s="11" t="inlineStr">
        <is>
          <t>Tendernotice_1.pdf</t>
        </is>
      </c>
      <c r="J3054" s="13" t="inlineStr">
        <is>
          <t>📕 PDF Document</t>
        </is>
      </c>
      <c r="K3054" s="15" t="n">
        <v>17.9</v>
      </c>
      <c r="L3054" s="16">
        <f>HYPERLINK("http://127.0.0.1:8000/api/documents/download?id=1259&amp;attachment=true", "⬇ Download Tendernotice_1.pdf")</f>
        <v/>
      </c>
      <c r="M3054" s="16">
        <f>HYPERLINK("http://localhost:5173/?state=Rajasthan&amp;keyword=GIS&amp;tender=2026_RSHDC_600962_1", "🚀 Open in Portal")</f>
        <v/>
      </c>
    </row>
    <row r="3055" ht="24" customHeight="1">
      <c r="A3055" s="4" t="inlineStr">
        <is>
          <t>Rajasthan</t>
        </is>
      </c>
      <c r="B3055" s="5" t="inlineStr">
        <is>
          <t>GIS</t>
        </is>
      </c>
      <c r="C3055" s="6" t="inlineStr">
        <is>
          <t>2026_RSHDC_600962_1</t>
        </is>
      </c>
      <c r="D3055" s="7" t="inlineStr">
        <is>
          <t>[ handloom weavers/weaver cooperative societies (consignors) of the State of Rajasthan that are registered for the production of handloom textiles]</t>
        </is>
      </c>
      <c r="E3055" s="7" t="inlineStr">
        <is>
          <t>Rajasthan Public Works &amp; Technology Department</t>
        </is>
      </c>
      <c r="F3055" s="6" t="inlineStr">
        <is>
          <t>08 Aug 2026</t>
        </is>
      </c>
      <c r="G3055" s="5" t="inlineStr">
        <is>
          <t>03 Sep 2026</t>
        </is>
      </c>
      <c r="H3055" s="8" t="inlineStr">
        <is>
          <t>⏳ UPCOMING</t>
        </is>
      </c>
      <c r="I3055" s="4" t="inlineStr">
        <is>
          <t>BOQ_1065190.xls</t>
        </is>
      </c>
      <c r="J3055" s="6" t="inlineStr">
        <is>
          <t>📊 Excel BOQ</t>
        </is>
      </c>
      <c r="K3055" s="9" t="n">
        <v>2.5</v>
      </c>
      <c r="L3055" s="10">
        <f>HYPERLINK("http://127.0.0.1:8000/api/documents/download?id=1260&amp;attachment=true", "⬇ Download BOQ_1065190.xls")</f>
        <v/>
      </c>
      <c r="M3055" s="10">
        <f>HYPERLINK("http://localhost:5173/?state=Rajasthan&amp;keyword=GIS&amp;tender=2026_RSHDC_600962_1", "🚀 Open in Portal")</f>
        <v/>
      </c>
    </row>
    <row r="3056" ht="24" customHeight="1">
      <c r="A3056" s="11" t="inlineStr">
        <is>
          <t>Rajasthan</t>
        </is>
      </c>
      <c r="B3056" s="12" t="inlineStr">
        <is>
          <t>GIS</t>
        </is>
      </c>
      <c r="C3056" s="13" t="inlineStr">
        <is>
          <t>2026_RSHDC_600962_1</t>
        </is>
      </c>
      <c r="D3056" s="14" t="inlineStr">
        <is>
          <t>[ handloom weavers/weaver cooperative societies (consignors) of the State of Rajasthan that are registered for the production of handloom textiles]</t>
        </is>
      </c>
      <c r="E3056" s="14" t="inlineStr">
        <is>
          <t>Rajasthan Public Works &amp; Technology Department</t>
        </is>
      </c>
      <c r="F3056" s="13" t="inlineStr">
        <is>
          <t>08 Aug 2026</t>
        </is>
      </c>
      <c r="G3056" s="12" t="inlineStr">
        <is>
          <t>03 Sep 2026</t>
        </is>
      </c>
      <c r="H3056" s="8" t="inlineStr">
        <is>
          <t>⏳ UPCOMING</t>
        </is>
      </c>
      <c r="I3056" s="11" t="inlineStr">
        <is>
          <t>Tender_document.pdf</t>
        </is>
      </c>
      <c r="J3056" s="13" t="inlineStr">
        <is>
          <t>📕 PDF Document</t>
        </is>
      </c>
      <c r="K3056" s="15" t="n">
        <v>17.9</v>
      </c>
      <c r="L3056" s="16">
        <f>HYPERLINK("http://127.0.0.1:8000/api/documents/download?id=1261&amp;attachment=true", "⬇ Download Tender_document.pdf")</f>
        <v/>
      </c>
      <c r="M3056" s="16">
        <f>HYPERLINK("http://localhost:5173/?state=Rajasthan&amp;keyword=GIS&amp;tender=2026_RSHDC_600962_1", "🚀 Open in Portal")</f>
        <v/>
      </c>
    </row>
    <row r="3057" ht="24" customHeight="1">
      <c r="A3057" s="4" t="inlineStr">
        <is>
          <t>Rajasthan</t>
        </is>
      </c>
      <c r="B3057" s="5" t="inlineStr">
        <is>
          <t>GIS</t>
        </is>
      </c>
      <c r="C3057" s="6" t="inlineStr">
        <is>
          <t>2026_RSHDC_600962_1</t>
        </is>
      </c>
      <c r="D3057" s="7" t="inlineStr">
        <is>
          <t>[ handloom weavers/weaver cooperative societies (consignors) of the State of Rajasthan that are registered for the production of handloom textiles]</t>
        </is>
      </c>
      <c r="E3057" s="7" t="inlineStr">
        <is>
          <t>Rajasthan Public Works &amp; Technology Department</t>
        </is>
      </c>
      <c r="F3057" s="6" t="inlineStr">
        <is>
          <t>08 Aug 2026</t>
        </is>
      </c>
      <c r="G3057" s="5" t="inlineStr">
        <is>
          <t>03 Sep 2026</t>
        </is>
      </c>
      <c r="H3057" s="8" t="inlineStr">
        <is>
          <t>⏳ UPCOMING</t>
        </is>
      </c>
      <c r="I3057" s="4" t="inlineStr">
        <is>
          <t>Tender_2026_RSHDC_600962_1_All_Documents.zip</t>
        </is>
      </c>
      <c r="J3057" s="6" t="inlineStr">
        <is>
          <t>📦 ZIP Package</t>
        </is>
      </c>
      <c r="K3057" s="9" t="n">
        <v>20.9</v>
      </c>
      <c r="L3057" s="10">
        <f>HYPERLINK("http://127.0.0.1:8000/api/documents/download?id=1262&amp;attachment=true", "⬇ Download Tender_2026_RSHDC_600962")</f>
        <v/>
      </c>
      <c r="M3057" s="10">
        <f>HYPERLINK("http://localhost:5173/?state=Rajasthan&amp;keyword=GIS&amp;tender=2026_RSHDC_600962_1", "🚀 Open in Portal")</f>
        <v/>
      </c>
    </row>
    <row r="3058" ht="24" customHeight="1">
      <c r="A3058" s="11" t="inlineStr">
        <is>
          <t>Rajasthan</t>
        </is>
      </c>
      <c r="B3058" s="12" t="inlineStr">
        <is>
          <t>ICT</t>
        </is>
      </c>
      <c r="C3058" s="13" t="inlineStr">
        <is>
          <t>2026_CEPWD_603502_2</t>
        </is>
      </c>
      <c r="D3058" s="14" t="inlineStr">
        <is>
          <t>[Repair and maintenance work at the Record Room, District Collectorate, Bundi.]</t>
        </is>
      </c>
      <c r="E3058" s="14" t="inlineStr">
        <is>
          <t>Rajasthan Public Works &amp; Technology Department</t>
        </is>
      </c>
      <c r="F3058" s="13" t="inlineStr">
        <is>
          <t>02 Oct 2026</t>
        </is>
      </c>
      <c r="G3058" s="12" t="inlineStr">
        <is>
          <t>10 Nov 2026</t>
        </is>
      </c>
      <c r="H3058" s="17" t="inlineStr">
        <is>
          <t>🟢 LIVE ACTIVE</t>
        </is>
      </c>
      <c r="I3058" s="11" t="inlineStr">
        <is>
          <t>Tendernotice_1.pdf</t>
        </is>
      </c>
      <c r="J3058" s="13" t="inlineStr">
        <is>
          <t>📕 PDF Document</t>
        </is>
      </c>
      <c r="K3058" s="15" t="n">
        <v>17.9</v>
      </c>
      <c r="L3058" s="16">
        <f>HYPERLINK("http://127.0.0.1:8000/api/documents/download?id=1310&amp;attachment=true", "⬇ Download Tendernotice_1.pdf")</f>
        <v/>
      </c>
      <c r="M3058" s="16">
        <f>HYPERLINK("http://localhost:5173/?state=Rajasthan&amp;keyword=ICT&amp;tender=2026_CEPWD_603502_2", "🚀 Open in Portal")</f>
        <v/>
      </c>
    </row>
    <row r="3059" ht="24" customHeight="1">
      <c r="A3059" s="4" t="inlineStr">
        <is>
          <t>Rajasthan</t>
        </is>
      </c>
      <c r="B3059" s="5" t="inlineStr">
        <is>
          <t>ICT</t>
        </is>
      </c>
      <c r="C3059" s="6" t="inlineStr">
        <is>
          <t>2026_CEPWD_603502_2</t>
        </is>
      </c>
      <c r="D3059" s="7" t="inlineStr">
        <is>
          <t>[Repair and maintenance work at the Record Room, District Collectorate, Bundi.]</t>
        </is>
      </c>
      <c r="E3059" s="7" t="inlineStr">
        <is>
          <t>Rajasthan Public Works &amp; Technology Department</t>
        </is>
      </c>
      <c r="F3059" s="6" t="inlineStr">
        <is>
          <t>02 Oct 2026</t>
        </is>
      </c>
      <c r="G3059" s="5" t="inlineStr">
        <is>
          <t>10 Nov 2026</t>
        </is>
      </c>
      <c r="H3059" s="17" t="inlineStr">
        <is>
          <t>🟢 LIVE ACTIVE</t>
        </is>
      </c>
      <c r="I3059" s="4" t="inlineStr">
        <is>
          <t>BOQ_1070158.xls</t>
        </is>
      </c>
      <c r="J3059" s="6" t="inlineStr">
        <is>
          <t>📊 Excel BOQ</t>
        </is>
      </c>
      <c r="K3059" s="9" t="n">
        <v>2.5</v>
      </c>
      <c r="L3059" s="10">
        <f>HYPERLINK("http://127.0.0.1:8000/api/documents/download?id=1311&amp;attachment=true", "⬇ Download BOQ_1070158.xls")</f>
        <v/>
      </c>
      <c r="M3059" s="10">
        <f>HYPERLINK("http://localhost:5173/?state=Rajasthan&amp;keyword=ICT&amp;tender=2026_CEPWD_603502_2", "🚀 Open in Portal")</f>
        <v/>
      </c>
    </row>
    <row r="3060" ht="24" customHeight="1">
      <c r="A3060" s="11" t="inlineStr">
        <is>
          <t>Rajasthan</t>
        </is>
      </c>
      <c r="B3060" s="12" t="inlineStr">
        <is>
          <t>ICT</t>
        </is>
      </c>
      <c r="C3060" s="13" t="inlineStr">
        <is>
          <t>2026_CEPWD_603502_2</t>
        </is>
      </c>
      <c r="D3060" s="14" t="inlineStr">
        <is>
          <t>[Repair and maintenance work at the Record Room, District Collectorate, Bundi.]</t>
        </is>
      </c>
      <c r="E3060" s="14" t="inlineStr">
        <is>
          <t>Rajasthan Public Works &amp; Technology Department</t>
        </is>
      </c>
      <c r="F3060" s="13" t="inlineStr">
        <is>
          <t>02 Oct 2026</t>
        </is>
      </c>
      <c r="G3060" s="12" t="inlineStr">
        <is>
          <t>10 Nov 2026</t>
        </is>
      </c>
      <c r="H3060" s="17" t="inlineStr">
        <is>
          <t>🟢 LIVE ACTIVE</t>
        </is>
      </c>
      <c r="I3060" s="11" t="inlineStr">
        <is>
          <t>Tender_2026_CEPWD_603502_2_All_Documents.zip</t>
        </is>
      </c>
      <c r="J3060" s="13" t="inlineStr">
        <is>
          <t>📦 ZIP Package</t>
        </is>
      </c>
      <c r="K3060" s="15" t="n">
        <v>11.6</v>
      </c>
      <c r="L3060" s="16">
        <f>HYPERLINK("http://127.0.0.1:8000/api/documents/download?id=1312&amp;attachment=true", "⬇ Download Tender_2026_CEPWD_603502")</f>
        <v/>
      </c>
      <c r="M3060" s="16">
        <f>HYPERLINK("http://localhost:5173/?state=Rajasthan&amp;keyword=ICT&amp;tender=2026_CEPWD_603502_2", "🚀 Open in Portal")</f>
        <v/>
      </c>
    </row>
    <row r="3061" ht="24" customHeight="1">
      <c r="A3061" s="4" t="inlineStr">
        <is>
          <t>Rajasthan</t>
        </is>
      </c>
      <c r="B3061" s="5" t="inlineStr">
        <is>
          <t>ICT</t>
        </is>
      </c>
      <c r="C3061" s="6" t="inlineStr">
        <is>
          <t>2026_CEPWD_603752_1</t>
        </is>
      </c>
      <c r="D3061" s="7" t="inlineStr">
        <is>
          <t>[Repair and Maintenance Work at CTD Department Circle Makrana district Didwana-Kuchaman.]</t>
        </is>
      </c>
      <c r="E3061" s="7" t="inlineStr">
        <is>
          <t>Rajasthan Public Works &amp; Technology Department</t>
        </is>
      </c>
      <c r="F3061" s="6" t="inlineStr">
        <is>
          <t>17 Sep 2026</t>
        </is>
      </c>
      <c r="G3061" s="5" t="inlineStr">
        <is>
          <t>09 Oct 2026</t>
        </is>
      </c>
      <c r="H3061" s="8" t="inlineStr">
        <is>
          <t>⏳ UPCOMING</t>
        </is>
      </c>
      <c r="I3061" s="4" t="inlineStr">
        <is>
          <t>Tendernotice_1.pdf</t>
        </is>
      </c>
      <c r="J3061" s="6" t="inlineStr">
        <is>
          <t>📕 PDF Document</t>
        </is>
      </c>
      <c r="K3061" s="9" t="n">
        <v>17.9</v>
      </c>
      <c r="L3061" s="10">
        <f>HYPERLINK("http://127.0.0.1:8000/api/documents/download?id=1328&amp;attachment=true", "⬇ Download Tendernotice_1.pdf")</f>
        <v/>
      </c>
      <c r="M3061" s="10">
        <f>HYPERLINK("http://localhost:5173/?state=Rajasthan&amp;keyword=ICT&amp;tender=2026_CEPWD_603752_1", "🚀 Open in Portal")</f>
        <v/>
      </c>
    </row>
    <row r="3062" ht="24" customHeight="1">
      <c r="A3062" s="11" t="inlineStr">
        <is>
          <t>Rajasthan</t>
        </is>
      </c>
      <c r="B3062" s="12" t="inlineStr">
        <is>
          <t>ICT</t>
        </is>
      </c>
      <c r="C3062" s="13" t="inlineStr">
        <is>
          <t>2026_CEPWD_603752_1</t>
        </is>
      </c>
      <c r="D3062" s="14" t="inlineStr">
        <is>
          <t>[Repair and Maintenance Work at CTD Department Circle Makrana district Didwana-Kuchaman.]</t>
        </is>
      </c>
      <c r="E3062" s="14" t="inlineStr">
        <is>
          <t>Rajasthan Public Works &amp; Technology Department</t>
        </is>
      </c>
      <c r="F3062" s="13" t="inlineStr">
        <is>
          <t>17 Sep 2026</t>
        </is>
      </c>
      <c r="G3062" s="12" t="inlineStr">
        <is>
          <t>09 Oct 2026</t>
        </is>
      </c>
      <c r="H3062" s="8" t="inlineStr">
        <is>
          <t>⏳ UPCOMING</t>
        </is>
      </c>
      <c r="I3062" s="11" t="inlineStr">
        <is>
          <t>BOQ_1070637.xls</t>
        </is>
      </c>
      <c r="J3062" s="13" t="inlineStr">
        <is>
          <t>📊 Excel BOQ</t>
        </is>
      </c>
      <c r="K3062" s="15" t="n">
        <v>2.5</v>
      </c>
      <c r="L3062" s="16">
        <f>HYPERLINK("http://127.0.0.1:8000/api/documents/download?id=1329&amp;attachment=true", "⬇ Download BOQ_1070637.xls")</f>
        <v/>
      </c>
      <c r="M3062" s="16">
        <f>HYPERLINK("http://localhost:5173/?state=Rajasthan&amp;keyword=ICT&amp;tender=2026_CEPWD_603752_1", "🚀 Open in Portal")</f>
        <v/>
      </c>
    </row>
    <row r="3063" ht="24" customHeight="1">
      <c r="A3063" s="4" t="inlineStr">
        <is>
          <t>Rajasthan</t>
        </is>
      </c>
      <c r="B3063" s="5" t="inlineStr">
        <is>
          <t>ICT</t>
        </is>
      </c>
      <c r="C3063" s="6" t="inlineStr">
        <is>
          <t>2026_CEPWD_603752_1</t>
        </is>
      </c>
      <c r="D3063" s="7" t="inlineStr">
        <is>
          <t>[Repair and Maintenance Work at CTD Department Circle Makrana district Didwana-Kuchaman.]</t>
        </is>
      </c>
      <c r="E3063" s="7" t="inlineStr">
        <is>
          <t>Rajasthan Public Works &amp; Technology Department</t>
        </is>
      </c>
      <c r="F3063" s="6" t="inlineStr">
        <is>
          <t>17 Sep 2026</t>
        </is>
      </c>
      <c r="G3063" s="5" t="inlineStr">
        <is>
          <t>09 Oct 2026</t>
        </is>
      </c>
      <c r="H3063" s="8" t="inlineStr">
        <is>
          <t>⏳ UPCOMING</t>
        </is>
      </c>
      <c r="I3063" s="4" t="inlineStr">
        <is>
          <t>Tender_2026_CEPWD_603752_1_All_Documents.zip</t>
        </is>
      </c>
      <c r="J3063" s="6" t="inlineStr">
        <is>
          <t>📦 ZIP Package</t>
        </is>
      </c>
      <c r="K3063" s="9" t="n">
        <v>11.6</v>
      </c>
      <c r="L3063" s="10">
        <f>HYPERLINK("http://127.0.0.1:8000/api/documents/download?id=1330&amp;attachment=true", "⬇ Download Tender_2026_CEPWD_603752")</f>
        <v/>
      </c>
      <c r="M3063" s="10">
        <f>HYPERLINK("http://localhost:5173/?state=Rajasthan&amp;keyword=ICT&amp;tender=2026_CEPWD_603752_1", "🚀 Open in Portal")</f>
        <v/>
      </c>
    </row>
    <row r="3064" ht="24" customHeight="1">
      <c r="A3064" s="11" t="inlineStr">
        <is>
          <t>Rajasthan</t>
        </is>
      </c>
      <c r="B3064" s="12" t="inlineStr">
        <is>
          <t>ICT</t>
        </is>
      </c>
      <c r="C3064" s="13" t="inlineStr">
        <is>
          <t>2026_CEPWD_603763_1</t>
        </is>
      </c>
      <c r="D3064" s="14" t="inlineStr">
        <is>
          <t>[Remaining Electrification work at suiya dhan Chohtan District Barmer (BSR 2022) ]</t>
        </is>
      </c>
      <c r="E3064" s="14" t="inlineStr">
        <is>
          <t>Rajasthan Public Works &amp; Technology Department</t>
        </is>
      </c>
      <c r="F3064" s="13" t="inlineStr">
        <is>
          <t>04 Aug 2026</t>
        </is>
      </c>
      <c r="G3064" s="12" t="inlineStr">
        <is>
          <t>28 Aug 2026</t>
        </is>
      </c>
      <c r="H3064" s="8" t="inlineStr">
        <is>
          <t>⏳ UPCOMING</t>
        </is>
      </c>
      <c r="I3064" s="11" t="inlineStr">
        <is>
          <t>Tendernotice_1.pdf</t>
        </is>
      </c>
      <c r="J3064" s="13" t="inlineStr">
        <is>
          <t>📕 PDF Document</t>
        </is>
      </c>
      <c r="K3064" s="15" t="n">
        <v>17.9</v>
      </c>
      <c r="L3064" s="16">
        <f>HYPERLINK("http://127.0.0.1:8000/api/documents/download?id=1316&amp;attachment=true", "⬇ Download Tendernotice_1.pdf")</f>
        <v/>
      </c>
      <c r="M3064" s="16">
        <f>HYPERLINK("http://localhost:5173/?state=Rajasthan&amp;keyword=ICT&amp;tender=2026_CEPWD_603763_1", "🚀 Open in Portal")</f>
        <v/>
      </c>
    </row>
    <row r="3065" ht="24" customHeight="1">
      <c r="A3065" s="4" t="inlineStr">
        <is>
          <t>Rajasthan</t>
        </is>
      </c>
      <c r="B3065" s="5" t="inlineStr">
        <is>
          <t>ICT</t>
        </is>
      </c>
      <c r="C3065" s="6" t="inlineStr">
        <is>
          <t>2026_CEPWD_603763_1</t>
        </is>
      </c>
      <c r="D3065" s="7" t="inlineStr">
        <is>
          <t>[Remaining Electrification work at suiya dhan Chohtan District Barmer (BSR 2022) ]</t>
        </is>
      </c>
      <c r="E3065" s="7" t="inlineStr">
        <is>
          <t>Rajasthan Public Works &amp; Technology Department</t>
        </is>
      </c>
      <c r="F3065" s="6" t="inlineStr">
        <is>
          <t>04 Aug 2026</t>
        </is>
      </c>
      <c r="G3065" s="5" t="inlineStr">
        <is>
          <t>28 Aug 2026</t>
        </is>
      </c>
      <c r="H3065" s="8" t="inlineStr">
        <is>
          <t>⏳ UPCOMING</t>
        </is>
      </c>
      <c r="I3065" s="4" t="inlineStr">
        <is>
          <t>BOQ_1070677.xls</t>
        </is>
      </c>
      <c r="J3065" s="6" t="inlineStr">
        <is>
          <t>📊 Excel BOQ</t>
        </is>
      </c>
      <c r="K3065" s="9" t="n">
        <v>2.5</v>
      </c>
      <c r="L3065" s="10">
        <f>HYPERLINK("http://127.0.0.1:8000/api/documents/download?id=1317&amp;attachment=true", "⬇ Download BOQ_1070677.xls")</f>
        <v/>
      </c>
      <c r="M3065" s="10">
        <f>HYPERLINK("http://localhost:5173/?state=Rajasthan&amp;keyword=ICT&amp;tender=2026_CEPWD_603763_1", "🚀 Open in Portal")</f>
        <v/>
      </c>
    </row>
    <row r="3066" ht="24" customHeight="1">
      <c r="A3066" s="11" t="inlineStr">
        <is>
          <t>Rajasthan</t>
        </is>
      </c>
      <c r="B3066" s="12" t="inlineStr">
        <is>
          <t>ICT</t>
        </is>
      </c>
      <c r="C3066" s="13" t="inlineStr">
        <is>
          <t>2026_CEPWD_603763_1</t>
        </is>
      </c>
      <c r="D3066" s="14" t="inlineStr">
        <is>
          <t>[Remaining Electrification work at suiya dhan Chohtan District Barmer (BSR 2022) ]</t>
        </is>
      </c>
      <c r="E3066" s="14" t="inlineStr">
        <is>
          <t>Rajasthan Public Works &amp; Technology Department</t>
        </is>
      </c>
      <c r="F3066" s="13" t="inlineStr">
        <is>
          <t>04 Aug 2026</t>
        </is>
      </c>
      <c r="G3066" s="12" t="inlineStr">
        <is>
          <t>28 Aug 2026</t>
        </is>
      </c>
      <c r="H3066" s="8" t="inlineStr">
        <is>
          <t>⏳ UPCOMING</t>
        </is>
      </c>
      <c r="I3066" s="11" t="inlineStr">
        <is>
          <t>Tender_2026_CEPWD_603763_1_All_Documents.zip</t>
        </is>
      </c>
      <c r="J3066" s="13" t="inlineStr">
        <is>
          <t>📦 ZIP Package</t>
        </is>
      </c>
      <c r="K3066" s="15" t="n">
        <v>11.6</v>
      </c>
      <c r="L3066" s="16">
        <f>HYPERLINK("http://127.0.0.1:8000/api/documents/download?id=1318&amp;attachment=true", "⬇ Download Tender_2026_CEPWD_603763")</f>
        <v/>
      </c>
      <c r="M3066" s="16">
        <f>HYPERLINK("http://localhost:5173/?state=Rajasthan&amp;keyword=ICT&amp;tender=2026_CEPWD_603763_1", "🚀 Open in Portal")</f>
        <v/>
      </c>
    </row>
    <row r="3067" ht="24" customHeight="1">
      <c r="A3067" s="4" t="inlineStr">
        <is>
          <t>Rajasthan</t>
        </is>
      </c>
      <c r="B3067" s="5" t="inlineStr">
        <is>
          <t>ICT</t>
        </is>
      </c>
      <c r="C3067" s="6" t="inlineStr">
        <is>
          <t>2026_CEPWD_603763_2</t>
        </is>
      </c>
      <c r="D3067" s="7" t="inlineStr">
        <is>
          <t>[Electrification work for Building of Retired Rajasthan Police Welfare Association District Barmer ]</t>
        </is>
      </c>
      <c r="E3067" s="7" t="inlineStr">
        <is>
          <t>Rajasthan Public Works &amp; Technology Department</t>
        </is>
      </c>
      <c r="F3067" s="6" t="inlineStr">
        <is>
          <t>03 Sep 2026</t>
        </is>
      </c>
      <c r="G3067" s="5" t="inlineStr">
        <is>
          <t>30 Sep 2026</t>
        </is>
      </c>
      <c r="H3067" s="8" t="inlineStr">
        <is>
          <t>⏳ UPCOMING</t>
        </is>
      </c>
      <c r="I3067" s="4" t="inlineStr">
        <is>
          <t>Tendernotice_1.pdf</t>
        </is>
      </c>
      <c r="J3067" s="6" t="inlineStr">
        <is>
          <t>📕 PDF Document</t>
        </is>
      </c>
      <c r="K3067" s="9" t="n">
        <v>17.9</v>
      </c>
      <c r="L3067" s="10">
        <f>HYPERLINK("http://127.0.0.1:8000/api/documents/download?id=1325&amp;attachment=true", "⬇ Download Tendernotice_1.pdf")</f>
        <v/>
      </c>
      <c r="M3067" s="10">
        <f>HYPERLINK("http://localhost:5173/?state=Rajasthan&amp;keyword=ICT&amp;tender=2026_CEPWD_603763_2", "🚀 Open in Portal")</f>
        <v/>
      </c>
    </row>
    <row r="3068" ht="24" customHeight="1">
      <c r="A3068" s="11" t="inlineStr">
        <is>
          <t>Rajasthan</t>
        </is>
      </c>
      <c r="B3068" s="12" t="inlineStr">
        <is>
          <t>ICT</t>
        </is>
      </c>
      <c r="C3068" s="13" t="inlineStr">
        <is>
          <t>2026_CEPWD_603763_2</t>
        </is>
      </c>
      <c r="D3068" s="14" t="inlineStr">
        <is>
          <t>[Electrification work for Building of Retired Rajasthan Police Welfare Association District Barmer ]</t>
        </is>
      </c>
      <c r="E3068" s="14" t="inlineStr">
        <is>
          <t>Rajasthan Public Works &amp; Technology Department</t>
        </is>
      </c>
      <c r="F3068" s="13" t="inlineStr">
        <is>
          <t>03 Sep 2026</t>
        </is>
      </c>
      <c r="G3068" s="12" t="inlineStr">
        <is>
          <t>30 Sep 2026</t>
        </is>
      </c>
      <c r="H3068" s="8" t="inlineStr">
        <is>
          <t>⏳ UPCOMING</t>
        </is>
      </c>
      <c r="I3068" s="11" t="inlineStr">
        <is>
          <t>BOQ_1070686.xls</t>
        </is>
      </c>
      <c r="J3068" s="13" t="inlineStr">
        <is>
          <t>📊 Excel BOQ</t>
        </is>
      </c>
      <c r="K3068" s="15" t="n">
        <v>2.5</v>
      </c>
      <c r="L3068" s="16">
        <f>HYPERLINK("http://127.0.0.1:8000/api/documents/download?id=1326&amp;attachment=true", "⬇ Download BOQ_1070686.xls")</f>
        <v/>
      </c>
      <c r="M3068" s="16">
        <f>HYPERLINK("http://localhost:5173/?state=Rajasthan&amp;keyword=ICT&amp;tender=2026_CEPWD_603763_2", "🚀 Open in Portal")</f>
        <v/>
      </c>
    </row>
    <row r="3069" ht="24" customHeight="1">
      <c r="A3069" s="4" t="inlineStr">
        <is>
          <t>Rajasthan</t>
        </is>
      </c>
      <c r="B3069" s="5" t="inlineStr">
        <is>
          <t>ICT</t>
        </is>
      </c>
      <c r="C3069" s="6" t="inlineStr">
        <is>
          <t>2026_CEPWD_603763_2</t>
        </is>
      </c>
      <c r="D3069" s="7" t="inlineStr">
        <is>
          <t>[Electrification work for Building of Retired Rajasthan Police Welfare Association District Barmer ]</t>
        </is>
      </c>
      <c r="E3069" s="7" t="inlineStr">
        <is>
          <t>Rajasthan Public Works &amp; Technology Department</t>
        </is>
      </c>
      <c r="F3069" s="6" t="inlineStr">
        <is>
          <t>03 Sep 2026</t>
        </is>
      </c>
      <c r="G3069" s="5" t="inlineStr">
        <is>
          <t>30 Sep 2026</t>
        </is>
      </c>
      <c r="H3069" s="8" t="inlineStr">
        <is>
          <t>⏳ UPCOMING</t>
        </is>
      </c>
      <c r="I3069" s="4" t="inlineStr">
        <is>
          <t>Tender_2026_CEPWD_603763_2_All_Documents.zip</t>
        </is>
      </c>
      <c r="J3069" s="6" t="inlineStr">
        <is>
          <t>📦 ZIP Package</t>
        </is>
      </c>
      <c r="K3069" s="9" t="n">
        <v>11.6</v>
      </c>
      <c r="L3069" s="10">
        <f>HYPERLINK("http://127.0.0.1:8000/api/documents/download?id=1327&amp;attachment=true", "⬇ Download Tender_2026_CEPWD_603763")</f>
        <v/>
      </c>
      <c r="M3069" s="10">
        <f>HYPERLINK("http://localhost:5173/?state=Rajasthan&amp;keyword=ICT&amp;tender=2026_CEPWD_603763_2", "🚀 Open in Portal")</f>
        <v/>
      </c>
    </row>
    <row r="3070" ht="24" customHeight="1">
      <c r="A3070" s="11" t="inlineStr">
        <is>
          <t>Rajasthan</t>
        </is>
      </c>
      <c r="B3070" s="12" t="inlineStr">
        <is>
          <t>ICT</t>
        </is>
      </c>
      <c r="C3070" s="13" t="inlineStr">
        <is>
          <t>2026_CEPWD_603763_3</t>
        </is>
      </c>
      <c r="D3070" s="14" t="inlineStr">
        <is>
          <t>[Supply and refixing of CCTV cameras at District and Session Court Pali. ]</t>
        </is>
      </c>
      <c r="E3070" s="14" t="inlineStr">
        <is>
          <t>Rajasthan Public Works &amp; Technology Department</t>
        </is>
      </c>
      <c r="F3070" s="13" t="inlineStr">
        <is>
          <t>27 Oct 2026</t>
        </is>
      </c>
      <c r="G3070" s="12" t="inlineStr">
        <is>
          <t>17 Nov 2026</t>
        </is>
      </c>
      <c r="H3070" s="8" t="inlineStr">
        <is>
          <t>⏳ UPCOMING</t>
        </is>
      </c>
      <c r="I3070" s="11" t="inlineStr">
        <is>
          <t>Tendernotice_1.pdf</t>
        </is>
      </c>
      <c r="J3070" s="13" t="inlineStr">
        <is>
          <t>📕 PDF Document</t>
        </is>
      </c>
      <c r="K3070" s="15" t="n">
        <v>17.9</v>
      </c>
      <c r="L3070" s="16">
        <f>HYPERLINK("http://127.0.0.1:8000/api/documents/download?id=1319&amp;attachment=true", "⬇ Download Tendernotice_1.pdf")</f>
        <v/>
      </c>
      <c r="M3070" s="16">
        <f>HYPERLINK("http://localhost:5173/?state=Rajasthan&amp;keyword=ICT&amp;tender=2026_CEPWD_603763_3", "🚀 Open in Portal")</f>
        <v/>
      </c>
    </row>
    <row r="3071" ht="24" customHeight="1">
      <c r="A3071" s="4" t="inlineStr">
        <is>
          <t>Rajasthan</t>
        </is>
      </c>
      <c r="B3071" s="5" t="inlineStr">
        <is>
          <t>ICT</t>
        </is>
      </c>
      <c r="C3071" s="6" t="inlineStr">
        <is>
          <t>2026_CEPWD_603763_3</t>
        </is>
      </c>
      <c r="D3071" s="7" t="inlineStr">
        <is>
          <t>[Supply and refixing of CCTV cameras at District and Session Court Pali. ]</t>
        </is>
      </c>
      <c r="E3071" s="7" t="inlineStr">
        <is>
          <t>Rajasthan Public Works &amp; Technology Department</t>
        </is>
      </c>
      <c r="F3071" s="6" t="inlineStr">
        <is>
          <t>27 Oct 2026</t>
        </is>
      </c>
      <c r="G3071" s="5" t="inlineStr">
        <is>
          <t>17 Nov 2026</t>
        </is>
      </c>
      <c r="H3071" s="8" t="inlineStr">
        <is>
          <t>⏳ UPCOMING</t>
        </is>
      </c>
      <c r="I3071" s="4" t="inlineStr">
        <is>
          <t>BOQ_1070692.xls</t>
        </is>
      </c>
      <c r="J3071" s="6" t="inlineStr">
        <is>
          <t>📊 Excel BOQ</t>
        </is>
      </c>
      <c r="K3071" s="9" t="n">
        <v>2.5</v>
      </c>
      <c r="L3071" s="10">
        <f>HYPERLINK("http://127.0.0.1:8000/api/documents/download?id=1320&amp;attachment=true", "⬇ Download BOQ_1070692.xls")</f>
        <v/>
      </c>
      <c r="M3071" s="10">
        <f>HYPERLINK("http://localhost:5173/?state=Rajasthan&amp;keyword=ICT&amp;tender=2026_CEPWD_603763_3", "🚀 Open in Portal")</f>
        <v/>
      </c>
    </row>
    <row r="3072" ht="24" customHeight="1">
      <c r="A3072" s="11" t="inlineStr">
        <is>
          <t>Rajasthan</t>
        </is>
      </c>
      <c r="B3072" s="12" t="inlineStr">
        <is>
          <t>ICT</t>
        </is>
      </c>
      <c r="C3072" s="13" t="inlineStr">
        <is>
          <t>2026_CEPWD_603763_3</t>
        </is>
      </c>
      <c r="D3072" s="14" t="inlineStr">
        <is>
          <t>[Supply and refixing of CCTV cameras at District and Session Court Pali. ]</t>
        </is>
      </c>
      <c r="E3072" s="14" t="inlineStr">
        <is>
          <t>Rajasthan Public Works &amp; Technology Department</t>
        </is>
      </c>
      <c r="F3072" s="13" t="inlineStr">
        <is>
          <t>27 Oct 2026</t>
        </is>
      </c>
      <c r="G3072" s="12" t="inlineStr">
        <is>
          <t>17 Nov 2026</t>
        </is>
      </c>
      <c r="H3072" s="8" t="inlineStr">
        <is>
          <t>⏳ UPCOMING</t>
        </is>
      </c>
      <c r="I3072" s="11" t="inlineStr">
        <is>
          <t>Tender_2026_CEPWD_603763_3_All_Documents.zip</t>
        </is>
      </c>
      <c r="J3072" s="13" t="inlineStr">
        <is>
          <t>📦 ZIP Package</t>
        </is>
      </c>
      <c r="K3072" s="15" t="n">
        <v>11.6</v>
      </c>
      <c r="L3072" s="16">
        <f>HYPERLINK("http://127.0.0.1:8000/api/documents/download?id=1321&amp;attachment=true", "⬇ Download Tender_2026_CEPWD_603763")</f>
        <v/>
      </c>
      <c r="M3072" s="16">
        <f>HYPERLINK("http://localhost:5173/?state=Rajasthan&amp;keyword=ICT&amp;tender=2026_CEPWD_603763_3", "🚀 Open in Portal")</f>
        <v/>
      </c>
    </row>
    <row r="3073" ht="24" customHeight="1">
      <c r="A3073" s="4" t="inlineStr">
        <is>
          <t>Rajasthan</t>
        </is>
      </c>
      <c r="B3073" s="5" t="inlineStr">
        <is>
          <t>ICT</t>
        </is>
      </c>
      <c r="C3073" s="6" t="inlineStr">
        <is>
          <t>2026_CEPWD_603763_5</t>
        </is>
      </c>
      <c r="D3073" s="7" t="inlineStr">
        <is>
          <t>[AMC of 10 passenger lift at Family court in District court Metro Jodhpur. ]</t>
        </is>
      </c>
      <c r="E3073" s="7" t="inlineStr">
        <is>
          <t>Rajasthan Public Works &amp; Technology Department</t>
        </is>
      </c>
      <c r="F3073" s="6" t="inlineStr">
        <is>
          <t>18 Oct 2026</t>
        </is>
      </c>
      <c r="G3073" s="5" t="inlineStr">
        <is>
          <t>12 Nov 2026</t>
        </is>
      </c>
      <c r="H3073" s="17" t="inlineStr">
        <is>
          <t>🟢 LIVE ACTIVE</t>
        </is>
      </c>
      <c r="I3073" s="4" t="inlineStr">
        <is>
          <t>Tendernotice_1.pdf</t>
        </is>
      </c>
      <c r="J3073" s="6" t="inlineStr">
        <is>
          <t>📕 PDF Document</t>
        </is>
      </c>
      <c r="K3073" s="9" t="n">
        <v>17.9</v>
      </c>
      <c r="L3073" s="10">
        <f>HYPERLINK("http://127.0.0.1:8000/api/documents/download?id=1313&amp;attachment=true", "⬇ Download Tendernotice_1.pdf")</f>
        <v/>
      </c>
      <c r="M3073" s="10">
        <f>HYPERLINK("http://localhost:5173/?state=Rajasthan&amp;keyword=ICT&amp;tender=2026_CEPWD_603763_5", "🚀 Open in Portal")</f>
        <v/>
      </c>
    </row>
    <row r="3074" ht="24" customHeight="1">
      <c r="A3074" s="11" t="inlineStr">
        <is>
          <t>Rajasthan</t>
        </is>
      </c>
      <c r="B3074" s="12" t="inlineStr">
        <is>
          <t>ICT</t>
        </is>
      </c>
      <c r="C3074" s="13" t="inlineStr">
        <is>
          <t>2026_CEPWD_603763_5</t>
        </is>
      </c>
      <c r="D3074" s="14" t="inlineStr">
        <is>
          <t>[AMC of 10 passenger lift at Family court in District court Metro Jodhpur. ]</t>
        </is>
      </c>
      <c r="E3074" s="14" t="inlineStr">
        <is>
          <t>Rajasthan Public Works &amp; Technology Department</t>
        </is>
      </c>
      <c r="F3074" s="13" t="inlineStr">
        <is>
          <t>18 Oct 2026</t>
        </is>
      </c>
      <c r="G3074" s="12" t="inlineStr">
        <is>
          <t>12 Nov 2026</t>
        </is>
      </c>
      <c r="H3074" s="17" t="inlineStr">
        <is>
          <t>🟢 LIVE ACTIVE</t>
        </is>
      </c>
      <c r="I3074" s="11" t="inlineStr">
        <is>
          <t>BOQ_1070700.xls</t>
        </is>
      </c>
      <c r="J3074" s="13" t="inlineStr">
        <is>
          <t>📊 Excel BOQ</t>
        </is>
      </c>
      <c r="K3074" s="15" t="n">
        <v>2.5</v>
      </c>
      <c r="L3074" s="16">
        <f>HYPERLINK("http://127.0.0.1:8000/api/documents/download?id=1314&amp;attachment=true", "⬇ Download BOQ_1070700.xls")</f>
        <v/>
      </c>
      <c r="M3074" s="16">
        <f>HYPERLINK("http://localhost:5173/?state=Rajasthan&amp;keyword=ICT&amp;tender=2026_CEPWD_603763_5", "🚀 Open in Portal")</f>
        <v/>
      </c>
    </row>
    <row r="3075" ht="24" customHeight="1">
      <c r="A3075" s="4" t="inlineStr">
        <is>
          <t>Rajasthan</t>
        </is>
      </c>
      <c r="B3075" s="5" t="inlineStr">
        <is>
          <t>ICT</t>
        </is>
      </c>
      <c r="C3075" s="6" t="inlineStr">
        <is>
          <t>2026_CEPWD_603763_5</t>
        </is>
      </c>
      <c r="D3075" s="7" t="inlineStr">
        <is>
          <t>[AMC of 10 passenger lift at Family court in District court Metro Jodhpur. ]</t>
        </is>
      </c>
      <c r="E3075" s="7" t="inlineStr">
        <is>
          <t>Rajasthan Public Works &amp; Technology Department</t>
        </is>
      </c>
      <c r="F3075" s="6" t="inlineStr">
        <is>
          <t>18 Oct 2026</t>
        </is>
      </c>
      <c r="G3075" s="5" t="inlineStr">
        <is>
          <t>12 Nov 2026</t>
        </is>
      </c>
      <c r="H3075" s="17" t="inlineStr">
        <is>
          <t>🟢 LIVE ACTIVE</t>
        </is>
      </c>
      <c r="I3075" s="4" t="inlineStr">
        <is>
          <t>Tender_2026_CEPWD_603763_5_All_Documents.zip</t>
        </is>
      </c>
      <c r="J3075" s="6" t="inlineStr">
        <is>
          <t>📦 ZIP Package</t>
        </is>
      </c>
      <c r="K3075" s="9" t="n">
        <v>11.6</v>
      </c>
      <c r="L3075" s="10">
        <f>HYPERLINK("http://127.0.0.1:8000/api/documents/download?id=1315&amp;attachment=true", "⬇ Download Tender_2026_CEPWD_603763")</f>
        <v/>
      </c>
      <c r="M3075" s="10">
        <f>HYPERLINK("http://localhost:5173/?state=Rajasthan&amp;keyword=ICT&amp;tender=2026_CEPWD_603763_5", "🚀 Open in Portal")</f>
        <v/>
      </c>
    </row>
    <row r="3076" ht="24" customHeight="1">
      <c r="A3076" s="11" t="inlineStr">
        <is>
          <t>Rajasthan</t>
        </is>
      </c>
      <c r="B3076" s="12" t="inlineStr">
        <is>
          <t>ICT</t>
        </is>
      </c>
      <c r="C3076" s="13" t="inlineStr">
        <is>
          <t>2026_CEPWD_603763_6</t>
        </is>
      </c>
      <c r="D3076" s="14" t="inlineStr">
        <is>
          <t>[Electric repairing work of 10 passanger 3 stop Lift at Advocate chamber District Court Pali ]</t>
        </is>
      </c>
      <c r="E3076" s="14" t="inlineStr">
        <is>
          <t>Rajasthan Public Works &amp; Technology Department</t>
        </is>
      </c>
      <c r="F3076" s="13" t="inlineStr">
        <is>
          <t>19 Aug 2026</t>
        </is>
      </c>
      <c r="G3076" s="12" t="inlineStr">
        <is>
          <t>11 Sep 2026</t>
        </is>
      </c>
      <c r="H3076" s="8" t="inlineStr">
        <is>
          <t>⏳ UPCOMING</t>
        </is>
      </c>
      <c r="I3076" s="11" t="inlineStr">
        <is>
          <t>Tendernotice_1.pdf</t>
        </is>
      </c>
      <c r="J3076" s="13" t="inlineStr">
        <is>
          <t>📕 PDF Document</t>
        </is>
      </c>
      <c r="K3076" s="15" t="n">
        <v>17.9</v>
      </c>
      <c r="L3076" s="16">
        <f>HYPERLINK("http://127.0.0.1:8000/api/documents/download?id=1322&amp;attachment=true", "⬇ Download Tendernotice_1.pdf")</f>
        <v/>
      </c>
      <c r="M3076" s="16">
        <f>HYPERLINK("http://localhost:5173/?state=Rajasthan&amp;keyword=ICT&amp;tender=2026_CEPWD_603763_6", "🚀 Open in Portal")</f>
        <v/>
      </c>
    </row>
    <row r="3077" ht="24" customHeight="1">
      <c r="A3077" s="4" t="inlineStr">
        <is>
          <t>Rajasthan</t>
        </is>
      </c>
      <c r="B3077" s="5" t="inlineStr">
        <is>
          <t>ICT</t>
        </is>
      </c>
      <c r="C3077" s="6" t="inlineStr">
        <is>
          <t>2026_CEPWD_603763_6</t>
        </is>
      </c>
      <c r="D3077" s="7" t="inlineStr">
        <is>
          <t>[Electric repairing work of 10 passanger 3 stop Lift at Advocate chamber District Court Pali ]</t>
        </is>
      </c>
      <c r="E3077" s="7" t="inlineStr">
        <is>
          <t>Rajasthan Public Works &amp; Technology Department</t>
        </is>
      </c>
      <c r="F3077" s="6" t="inlineStr">
        <is>
          <t>19 Aug 2026</t>
        </is>
      </c>
      <c r="G3077" s="5" t="inlineStr">
        <is>
          <t>11 Sep 2026</t>
        </is>
      </c>
      <c r="H3077" s="8" t="inlineStr">
        <is>
          <t>⏳ UPCOMING</t>
        </is>
      </c>
      <c r="I3077" s="4" t="inlineStr">
        <is>
          <t>BOQ_1070703.xls</t>
        </is>
      </c>
      <c r="J3077" s="6" t="inlineStr">
        <is>
          <t>📊 Excel BOQ</t>
        </is>
      </c>
      <c r="K3077" s="9" t="n">
        <v>2.5</v>
      </c>
      <c r="L3077" s="10">
        <f>HYPERLINK("http://127.0.0.1:8000/api/documents/download?id=1323&amp;attachment=true", "⬇ Download BOQ_1070703.xls")</f>
        <v/>
      </c>
      <c r="M3077" s="10">
        <f>HYPERLINK("http://localhost:5173/?state=Rajasthan&amp;keyword=ICT&amp;tender=2026_CEPWD_603763_6", "🚀 Open in Portal")</f>
        <v/>
      </c>
    </row>
    <row r="3078" ht="24" customHeight="1">
      <c r="A3078" s="11" t="inlineStr">
        <is>
          <t>Rajasthan</t>
        </is>
      </c>
      <c r="B3078" s="12" t="inlineStr">
        <is>
          <t>ICT</t>
        </is>
      </c>
      <c r="C3078" s="13" t="inlineStr">
        <is>
          <t>2026_CEPWD_603763_6</t>
        </is>
      </c>
      <c r="D3078" s="14" t="inlineStr">
        <is>
          <t>[Electric repairing work of 10 passanger 3 stop Lift at Advocate chamber District Court Pali ]</t>
        </is>
      </c>
      <c r="E3078" s="14" t="inlineStr">
        <is>
          <t>Rajasthan Public Works &amp; Technology Department</t>
        </is>
      </c>
      <c r="F3078" s="13" t="inlineStr">
        <is>
          <t>19 Aug 2026</t>
        </is>
      </c>
      <c r="G3078" s="12" t="inlineStr">
        <is>
          <t>11 Sep 2026</t>
        </is>
      </c>
      <c r="H3078" s="8" t="inlineStr">
        <is>
          <t>⏳ UPCOMING</t>
        </is>
      </c>
      <c r="I3078" s="11" t="inlineStr">
        <is>
          <t>Tender_2026_CEPWD_603763_6_All_Documents.zip</t>
        </is>
      </c>
      <c r="J3078" s="13" t="inlineStr">
        <is>
          <t>📦 ZIP Package</t>
        </is>
      </c>
      <c r="K3078" s="15" t="n">
        <v>11.6</v>
      </c>
      <c r="L3078" s="16">
        <f>HYPERLINK("http://127.0.0.1:8000/api/documents/download?id=1324&amp;attachment=true", "⬇ Download Tender_2026_CEPWD_603763")</f>
        <v/>
      </c>
      <c r="M3078" s="16">
        <f>HYPERLINK("http://localhost:5173/?state=Rajasthan&amp;keyword=ICT&amp;tender=2026_CEPWD_603763_6", "🚀 Open in Portal")</f>
        <v/>
      </c>
    </row>
    <row r="3079" ht="24" customHeight="1">
      <c r="A3079" s="4" t="inlineStr">
        <is>
          <t>Rajasthan</t>
        </is>
      </c>
      <c r="B3079" s="5" t="inlineStr">
        <is>
          <t>ICT</t>
        </is>
      </c>
      <c r="C3079" s="6" t="inlineStr">
        <is>
          <t>2026_CEPWD_603895_1</t>
        </is>
      </c>
      <c r="D3079" s="7" t="inlineStr">
        <is>
          <t>[Construction of Vaious BT Road in Package No. RJ-17-02/ML-NP/26-27 in Dn. Pokaran, Jaisalmer District.]</t>
        </is>
      </c>
      <c r="E3079" s="7" t="inlineStr">
        <is>
          <t>Rajasthan Public Works &amp; Technology Department</t>
        </is>
      </c>
      <c r="F3079" s="6" t="inlineStr">
        <is>
          <t>18 Sep 2026</t>
        </is>
      </c>
      <c r="G3079" s="5" t="inlineStr">
        <is>
          <t>16 Oct 2026</t>
        </is>
      </c>
      <c r="H3079" s="8" t="inlineStr">
        <is>
          <t>⏳ UPCOMING</t>
        </is>
      </c>
      <c r="I3079" s="4" t="inlineStr">
        <is>
          <t>Tendernotice_1.pdf</t>
        </is>
      </c>
      <c r="J3079" s="6" t="inlineStr">
        <is>
          <t>📕 PDF Document</t>
        </is>
      </c>
      <c r="K3079" s="9" t="n">
        <v>17.9</v>
      </c>
      <c r="L3079" s="10">
        <f>HYPERLINK("http://127.0.0.1:8000/api/documents/download?id=1284&amp;attachment=true", "⬇ Download Tendernotice_1.pdf")</f>
        <v/>
      </c>
      <c r="M3079" s="10">
        <f>HYPERLINK("http://localhost:5173/?state=Rajasthan&amp;keyword=ICT&amp;tender=2026_CEPWD_603895_1", "🚀 Open in Portal")</f>
        <v/>
      </c>
    </row>
    <row r="3080" ht="24" customHeight="1">
      <c r="A3080" s="11" t="inlineStr">
        <is>
          <t>Rajasthan</t>
        </is>
      </c>
      <c r="B3080" s="12" t="inlineStr">
        <is>
          <t>ICT</t>
        </is>
      </c>
      <c r="C3080" s="13" t="inlineStr">
        <is>
          <t>2026_CEPWD_603895_1</t>
        </is>
      </c>
      <c r="D3080" s="14" t="inlineStr">
        <is>
          <t>[Construction of Vaious BT Road in Package No. RJ-17-02/ML-NP/26-27 in Dn. Pokaran, Jaisalmer District.]</t>
        </is>
      </c>
      <c r="E3080" s="14" t="inlineStr">
        <is>
          <t>Rajasthan Public Works &amp; Technology Department</t>
        </is>
      </c>
      <c r="F3080" s="13" t="inlineStr">
        <is>
          <t>18 Sep 2026</t>
        </is>
      </c>
      <c r="G3080" s="12" t="inlineStr">
        <is>
          <t>16 Oct 2026</t>
        </is>
      </c>
      <c r="H3080" s="8" t="inlineStr">
        <is>
          <t>⏳ UPCOMING</t>
        </is>
      </c>
      <c r="I3080" s="11" t="inlineStr">
        <is>
          <t>BOQ_1071060.xls</t>
        </is>
      </c>
      <c r="J3080" s="13" t="inlineStr">
        <is>
          <t>📊 Excel BOQ</t>
        </is>
      </c>
      <c r="K3080" s="15" t="n">
        <v>2.5</v>
      </c>
      <c r="L3080" s="16">
        <f>HYPERLINK("http://127.0.0.1:8000/api/documents/download?id=1285&amp;attachment=true", "⬇ Download BOQ_1071060.xls")</f>
        <v/>
      </c>
      <c r="M3080" s="16">
        <f>HYPERLINK("http://localhost:5173/?state=Rajasthan&amp;keyword=ICT&amp;tender=2026_CEPWD_603895_1", "🚀 Open in Portal")</f>
        <v/>
      </c>
    </row>
    <row r="3081" ht="24" customHeight="1">
      <c r="A3081" s="4" t="inlineStr">
        <is>
          <t>Rajasthan</t>
        </is>
      </c>
      <c r="B3081" s="5" t="inlineStr">
        <is>
          <t>ICT</t>
        </is>
      </c>
      <c r="C3081" s="6" t="inlineStr">
        <is>
          <t>2026_CEPWD_603895_1</t>
        </is>
      </c>
      <c r="D3081" s="7" t="inlineStr">
        <is>
          <t>[Construction of Vaious BT Road in Package No. RJ-17-02/ML-NP/26-27 in Dn. Pokaran, Jaisalmer District.]</t>
        </is>
      </c>
      <c r="E3081" s="7" t="inlineStr">
        <is>
          <t>Rajasthan Public Works &amp; Technology Department</t>
        </is>
      </c>
      <c r="F3081" s="6" t="inlineStr">
        <is>
          <t>18 Sep 2026</t>
        </is>
      </c>
      <c r="G3081" s="5" t="inlineStr">
        <is>
          <t>16 Oct 2026</t>
        </is>
      </c>
      <c r="H3081" s="8" t="inlineStr">
        <is>
          <t>⏳ UPCOMING</t>
        </is>
      </c>
      <c r="I3081" s="4" t="inlineStr">
        <is>
          <t>Tender_2026_CEPWD_603895_1_All_Documents.zip</t>
        </is>
      </c>
      <c r="J3081" s="6" t="inlineStr">
        <is>
          <t>📦 ZIP Package</t>
        </is>
      </c>
      <c r="K3081" s="9" t="n">
        <v>11.7</v>
      </c>
      <c r="L3081" s="10">
        <f>HYPERLINK("http://127.0.0.1:8000/api/documents/download?id=1286&amp;attachment=true", "⬇ Download Tender_2026_CEPWD_603895")</f>
        <v/>
      </c>
      <c r="M3081" s="10">
        <f>HYPERLINK("http://localhost:5173/?state=Rajasthan&amp;keyword=ICT&amp;tender=2026_CEPWD_603895_1", "🚀 Open in Portal")</f>
        <v/>
      </c>
    </row>
    <row r="3082" ht="24" customHeight="1">
      <c r="A3082" s="11" t="inlineStr">
        <is>
          <t>Rajasthan</t>
        </is>
      </c>
      <c r="B3082" s="12" t="inlineStr">
        <is>
          <t>ICT</t>
        </is>
      </c>
      <c r="C3082" s="13" t="inlineStr">
        <is>
          <t>2026_CEPWD_603895_2</t>
        </is>
      </c>
      <c r="D3082" s="14" t="inlineStr">
        <is>
          <t>[Construction of Vaious BT Road in Package No. RJ-17-03/ML-NP/26-27 in Dn. Pokaran, Jaisalmer District.]</t>
        </is>
      </c>
      <c r="E3082" s="14" t="inlineStr">
        <is>
          <t>Rajasthan Public Works &amp; Technology Department</t>
        </is>
      </c>
      <c r="F3082" s="13" t="inlineStr">
        <is>
          <t>25 Aug 2026</t>
        </is>
      </c>
      <c r="G3082" s="12" t="inlineStr">
        <is>
          <t>15 Sep 2026</t>
        </is>
      </c>
      <c r="H3082" s="8" t="inlineStr">
        <is>
          <t>⏳ UPCOMING</t>
        </is>
      </c>
      <c r="I3082" s="11" t="inlineStr">
        <is>
          <t>Tendernotice_1.pdf</t>
        </is>
      </c>
      <c r="J3082" s="13" t="inlineStr">
        <is>
          <t>📕 PDF Document</t>
        </is>
      </c>
      <c r="K3082" s="15" t="n">
        <v>17.9</v>
      </c>
      <c r="L3082" s="16">
        <f>HYPERLINK("http://127.0.0.1:8000/api/documents/download?id=1281&amp;attachment=true", "⬇ Download Tendernotice_1.pdf")</f>
        <v/>
      </c>
      <c r="M3082" s="16">
        <f>HYPERLINK("http://localhost:5173/?state=Rajasthan&amp;keyword=ICT&amp;tender=2026_CEPWD_603895_2", "🚀 Open in Portal")</f>
        <v/>
      </c>
    </row>
    <row r="3083" ht="24" customHeight="1">
      <c r="A3083" s="4" t="inlineStr">
        <is>
          <t>Rajasthan</t>
        </is>
      </c>
      <c r="B3083" s="5" t="inlineStr">
        <is>
          <t>ICT</t>
        </is>
      </c>
      <c r="C3083" s="6" t="inlineStr">
        <is>
          <t>2026_CEPWD_603895_2</t>
        </is>
      </c>
      <c r="D3083" s="7" t="inlineStr">
        <is>
          <t>[Construction of Vaious BT Road in Package No. RJ-17-03/ML-NP/26-27 in Dn. Pokaran, Jaisalmer District.]</t>
        </is>
      </c>
      <c r="E3083" s="7" t="inlineStr">
        <is>
          <t>Rajasthan Public Works &amp; Technology Department</t>
        </is>
      </c>
      <c r="F3083" s="6" t="inlineStr">
        <is>
          <t>25 Aug 2026</t>
        </is>
      </c>
      <c r="G3083" s="5" t="inlineStr">
        <is>
          <t>15 Sep 2026</t>
        </is>
      </c>
      <c r="H3083" s="8" t="inlineStr">
        <is>
          <t>⏳ UPCOMING</t>
        </is>
      </c>
      <c r="I3083" s="4" t="inlineStr">
        <is>
          <t>BOQ_1071066.xls</t>
        </is>
      </c>
      <c r="J3083" s="6" t="inlineStr">
        <is>
          <t>📊 Excel BOQ</t>
        </is>
      </c>
      <c r="K3083" s="9" t="n">
        <v>2.5</v>
      </c>
      <c r="L3083" s="10">
        <f>HYPERLINK("http://127.0.0.1:8000/api/documents/download?id=1282&amp;attachment=true", "⬇ Download BOQ_1071066.xls")</f>
        <v/>
      </c>
      <c r="M3083" s="10">
        <f>HYPERLINK("http://localhost:5173/?state=Rajasthan&amp;keyword=ICT&amp;tender=2026_CEPWD_603895_2", "🚀 Open in Portal")</f>
        <v/>
      </c>
    </row>
    <row r="3084" ht="24" customHeight="1">
      <c r="A3084" s="11" t="inlineStr">
        <is>
          <t>Rajasthan</t>
        </is>
      </c>
      <c r="B3084" s="12" t="inlineStr">
        <is>
          <t>ICT</t>
        </is>
      </c>
      <c r="C3084" s="13" t="inlineStr">
        <is>
          <t>2026_CEPWD_603895_2</t>
        </is>
      </c>
      <c r="D3084" s="14" t="inlineStr">
        <is>
          <t>[Construction of Vaious BT Road in Package No. RJ-17-03/ML-NP/26-27 in Dn. Pokaran, Jaisalmer District.]</t>
        </is>
      </c>
      <c r="E3084" s="14" t="inlineStr">
        <is>
          <t>Rajasthan Public Works &amp; Technology Department</t>
        </is>
      </c>
      <c r="F3084" s="13" t="inlineStr">
        <is>
          <t>25 Aug 2026</t>
        </is>
      </c>
      <c r="G3084" s="12" t="inlineStr">
        <is>
          <t>15 Sep 2026</t>
        </is>
      </c>
      <c r="H3084" s="8" t="inlineStr">
        <is>
          <t>⏳ UPCOMING</t>
        </is>
      </c>
      <c r="I3084" s="11" t="inlineStr">
        <is>
          <t>Tender_2026_CEPWD_603895_2_All_Documents.zip</t>
        </is>
      </c>
      <c r="J3084" s="13" t="inlineStr">
        <is>
          <t>📦 ZIP Package</t>
        </is>
      </c>
      <c r="K3084" s="15" t="n">
        <v>11.6</v>
      </c>
      <c r="L3084" s="16">
        <f>HYPERLINK("http://127.0.0.1:8000/api/documents/download?id=1283&amp;attachment=true", "⬇ Download Tender_2026_CEPWD_603895")</f>
        <v/>
      </c>
      <c r="M3084" s="16">
        <f>HYPERLINK("http://localhost:5173/?state=Rajasthan&amp;keyword=ICT&amp;tender=2026_CEPWD_603895_2", "🚀 Open in Portal")</f>
        <v/>
      </c>
    </row>
    <row r="3085" ht="24" customHeight="1">
      <c r="A3085" s="4" t="inlineStr">
        <is>
          <t>Rajasthan</t>
        </is>
      </c>
      <c r="B3085" s="5" t="inlineStr">
        <is>
          <t>ICT</t>
        </is>
      </c>
      <c r="C3085" s="6" t="inlineStr">
        <is>
          <t>2026_DLB_603756_1</t>
        </is>
      </c>
      <c r="D3085" s="7" t="inlineStr">
        <is>
          <t>[Construction of District Level Convention Centre at Gogelav Road Nagaur]</t>
        </is>
      </c>
      <c r="E3085" s="7" t="inlineStr">
        <is>
          <t>Rajasthan Public Works &amp; Technology Department</t>
        </is>
      </c>
      <c r="F3085" s="6" t="inlineStr">
        <is>
          <t>16 Sep 2026</t>
        </is>
      </c>
      <c r="G3085" s="5" t="inlineStr">
        <is>
          <t>16 Oct 2026</t>
        </is>
      </c>
      <c r="H3085" s="8" t="inlineStr">
        <is>
          <t>⏳ UPCOMING</t>
        </is>
      </c>
      <c r="I3085" s="4" t="inlineStr">
        <is>
          <t>Tendernotice_1.pdf</t>
        </is>
      </c>
      <c r="J3085" s="6" t="inlineStr">
        <is>
          <t>📕 PDF Document</t>
        </is>
      </c>
      <c r="K3085" s="9" t="n">
        <v>17.9</v>
      </c>
      <c r="L3085" s="10">
        <f>HYPERLINK("http://127.0.0.1:8000/api/documents/download?id=1306&amp;attachment=true", "⬇ Download Tendernotice_1.pdf")</f>
        <v/>
      </c>
      <c r="M3085" s="10">
        <f>HYPERLINK("http://localhost:5173/?state=Rajasthan&amp;keyword=ICT&amp;tender=2026_DLB_603756_1", "🚀 Open in Portal")</f>
        <v/>
      </c>
    </row>
    <row r="3086" ht="24" customHeight="1">
      <c r="A3086" s="11" t="inlineStr">
        <is>
          <t>Rajasthan</t>
        </is>
      </c>
      <c r="B3086" s="12" t="inlineStr">
        <is>
          <t>ICT</t>
        </is>
      </c>
      <c r="C3086" s="13" t="inlineStr">
        <is>
          <t>2026_DLB_603756_1</t>
        </is>
      </c>
      <c r="D3086" s="14" t="inlineStr">
        <is>
          <t>[Construction of District Level Convention Centre at Gogelav Road Nagaur]</t>
        </is>
      </c>
      <c r="E3086" s="14" t="inlineStr">
        <is>
          <t>Rajasthan Public Works &amp; Technology Department</t>
        </is>
      </c>
      <c r="F3086" s="13" t="inlineStr">
        <is>
          <t>16 Sep 2026</t>
        </is>
      </c>
      <c r="G3086" s="12" t="inlineStr">
        <is>
          <t>16 Oct 2026</t>
        </is>
      </c>
      <c r="H3086" s="8" t="inlineStr">
        <is>
          <t>⏳ UPCOMING</t>
        </is>
      </c>
      <c r="I3086" s="11" t="inlineStr">
        <is>
          <t>BOQ_1070652.xls</t>
        </is>
      </c>
      <c r="J3086" s="13" t="inlineStr">
        <is>
          <t>📊 Excel BOQ</t>
        </is>
      </c>
      <c r="K3086" s="15" t="n">
        <v>2.4</v>
      </c>
      <c r="L3086" s="16">
        <f>HYPERLINK("http://127.0.0.1:8000/api/documents/download?id=1307&amp;attachment=true", "⬇ Download BOQ_1070652.xls")</f>
        <v/>
      </c>
      <c r="M3086" s="16">
        <f>HYPERLINK("http://localhost:5173/?state=Rajasthan&amp;keyword=ICT&amp;tender=2026_DLB_603756_1", "🚀 Open in Portal")</f>
        <v/>
      </c>
    </row>
    <row r="3087" ht="24" customHeight="1">
      <c r="A3087" s="4" t="inlineStr">
        <is>
          <t>Rajasthan</t>
        </is>
      </c>
      <c r="B3087" s="5" t="inlineStr">
        <is>
          <t>ICT</t>
        </is>
      </c>
      <c r="C3087" s="6" t="inlineStr">
        <is>
          <t>2026_DLB_603756_1</t>
        </is>
      </c>
      <c r="D3087" s="7" t="inlineStr">
        <is>
          <t>[Construction of District Level Convention Centre at Gogelav Road Nagaur]</t>
        </is>
      </c>
      <c r="E3087" s="7" t="inlineStr">
        <is>
          <t>Rajasthan Public Works &amp; Technology Department</t>
        </is>
      </c>
      <c r="F3087" s="6" t="inlineStr">
        <is>
          <t>16 Sep 2026</t>
        </is>
      </c>
      <c r="G3087" s="5" t="inlineStr">
        <is>
          <t>16 Oct 2026</t>
        </is>
      </c>
      <c r="H3087" s="8" t="inlineStr">
        <is>
          <t>⏳ UPCOMING</t>
        </is>
      </c>
      <c r="I3087" s="4" t="inlineStr">
        <is>
          <t>TenderDocument.pdf</t>
        </is>
      </c>
      <c r="J3087" s="6" t="inlineStr">
        <is>
          <t>📕 PDF Document</t>
        </is>
      </c>
      <c r="K3087" s="9" t="n">
        <v>17.9</v>
      </c>
      <c r="L3087" s="10">
        <f>HYPERLINK("http://127.0.0.1:8000/api/documents/download?id=1308&amp;attachment=true", "⬇ Download TenderDocument.pdf")</f>
        <v/>
      </c>
      <c r="M3087" s="10">
        <f>HYPERLINK("http://localhost:5173/?state=Rajasthan&amp;keyword=ICT&amp;tender=2026_DLB_603756_1", "🚀 Open in Portal")</f>
        <v/>
      </c>
    </row>
    <row r="3088" ht="24" customHeight="1">
      <c r="A3088" s="11" t="inlineStr">
        <is>
          <t>Rajasthan</t>
        </is>
      </c>
      <c r="B3088" s="12" t="inlineStr">
        <is>
          <t>ICT</t>
        </is>
      </c>
      <c r="C3088" s="13" t="inlineStr">
        <is>
          <t>2026_DLB_603756_1</t>
        </is>
      </c>
      <c r="D3088" s="14" t="inlineStr">
        <is>
          <t>[Construction of District Level Convention Centre at Gogelav Road Nagaur]</t>
        </is>
      </c>
      <c r="E3088" s="14" t="inlineStr">
        <is>
          <t>Rajasthan Public Works &amp; Technology Department</t>
        </is>
      </c>
      <c r="F3088" s="13" t="inlineStr">
        <is>
          <t>16 Sep 2026</t>
        </is>
      </c>
      <c r="G3088" s="12" t="inlineStr">
        <is>
          <t>16 Oct 2026</t>
        </is>
      </c>
      <c r="H3088" s="8" t="inlineStr">
        <is>
          <t>⏳ UPCOMING</t>
        </is>
      </c>
      <c r="I3088" s="11" t="inlineStr">
        <is>
          <t>Tender_2026_DLB_603756_1_All_Documents.zip</t>
        </is>
      </c>
      <c r="J3088" s="13" t="inlineStr">
        <is>
          <t>📦 ZIP Package</t>
        </is>
      </c>
      <c r="K3088" s="15" t="n">
        <v>20.8</v>
      </c>
      <c r="L3088" s="16">
        <f>HYPERLINK("http://127.0.0.1:8000/api/documents/download?id=1309&amp;attachment=true", "⬇ Download Tender_2026_DLB_603756_1")</f>
        <v/>
      </c>
      <c r="M3088" s="16">
        <f>HYPERLINK("http://localhost:5173/?state=Rajasthan&amp;keyword=ICT&amp;tender=2026_DLB_603756_1", "🚀 Open in Portal")</f>
        <v/>
      </c>
    </row>
    <row r="3089" ht="24" customHeight="1">
      <c r="A3089" s="4" t="inlineStr">
        <is>
          <t>Rajasthan</t>
        </is>
      </c>
      <c r="B3089" s="5" t="inlineStr">
        <is>
          <t>ICT</t>
        </is>
      </c>
      <c r="C3089" s="6" t="inlineStr">
        <is>
          <t>2026_MEDIC_602009_16</t>
        </is>
      </c>
      <c r="D3089" s="7" t="inlineStr">
        <is>
          <t>[SITC of HVAC system work for construction of Sub District Hospital at Nainwa District Bundi]</t>
        </is>
      </c>
      <c r="E3089" s="7" t="inlineStr">
        <is>
          <t>Rajasthan Public Works &amp; Technology Department</t>
        </is>
      </c>
      <c r="F3089" s="6" t="inlineStr">
        <is>
          <t>21 Oct 2026</t>
        </is>
      </c>
      <c r="G3089" s="5" t="inlineStr">
        <is>
          <t>11 Nov 2026</t>
        </is>
      </c>
      <c r="H3089" s="8" t="inlineStr">
        <is>
          <t>⏳ UPCOMING</t>
        </is>
      </c>
      <c r="I3089" s="4" t="inlineStr">
        <is>
          <t>Tendernotice_1.pdf</t>
        </is>
      </c>
      <c r="J3089" s="6" t="inlineStr">
        <is>
          <t>📕 PDF Document</t>
        </is>
      </c>
      <c r="K3089" s="9" t="n">
        <v>17.9</v>
      </c>
      <c r="L3089" s="10">
        <f>HYPERLINK("http://127.0.0.1:8000/api/documents/download?id=1298&amp;attachment=true", "⬇ Download Tendernotice_1.pdf")</f>
        <v/>
      </c>
      <c r="M3089" s="10">
        <f>HYPERLINK("http://localhost:5173/?state=Rajasthan&amp;keyword=ICT&amp;tender=2026_MEDIC_602009_16", "🚀 Open in Portal")</f>
        <v/>
      </c>
    </row>
    <row r="3090" ht="24" customHeight="1">
      <c r="A3090" s="11" t="inlineStr">
        <is>
          <t>Rajasthan</t>
        </is>
      </c>
      <c r="B3090" s="12" t="inlineStr">
        <is>
          <t>ICT</t>
        </is>
      </c>
      <c r="C3090" s="13" t="inlineStr">
        <is>
          <t>2026_MEDIC_602009_16</t>
        </is>
      </c>
      <c r="D3090" s="14" t="inlineStr">
        <is>
          <t>[SITC of HVAC system work for construction of Sub District Hospital at Nainwa District Bundi]</t>
        </is>
      </c>
      <c r="E3090" s="14" t="inlineStr">
        <is>
          <t>Rajasthan Public Works &amp; Technology Department</t>
        </is>
      </c>
      <c r="F3090" s="13" t="inlineStr">
        <is>
          <t>21 Oct 2026</t>
        </is>
      </c>
      <c r="G3090" s="12" t="inlineStr">
        <is>
          <t>11 Nov 2026</t>
        </is>
      </c>
      <c r="H3090" s="8" t="inlineStr">
        <is>
          <t>⏳ UPCOMING</t>
        </is>
      </c>
      <c r="I3090" s="11" t="inlineStr">
        <is>
          <t>Condition3.pdf</t>
        </is>
      </c>
      <c r="J3090" s="13" t="inlineStr">
        <is>
          <t>📕 PDF Document</t>
        </is>
      </c>
      <c r="K3090" s="15" t="n">
        <v>17.9</v>
      </c>
      <c r="L3090" s="16">
        <f>HYPERLINK("http://127.0.0.1:8000/api/documents/download?id=1299&amp;attachment=true", "⬇ Download Condition3.pdf")</f>
        <v/>
      </c>
      <c r="M3090" s="16">
        <f>HYPERLINK("http://localhost:5173/?state=Rajasthan&amp;keyword=ICT&amp;tender=2026_MEDIC_602009_16", "🚀 Open in Portal")</f>
        <v/>
      </c>
    </row>
    <row r="3091" ht="24" customHeight="1">
      <c r="A3091" s="4" t="inlineStr">
        <is>
          <t>Rajasthan</t>
        </is>
      </c>
      <c r="B3091" s="5" t="inlineStr">
        <is>
          <t>ICT</t>
        </is>
      </c>
      <c r="C3091" s="6" t="inlineStr">
        <is>
          <t>2026_MEDIC_602009_16</t>
        </is>
      </c>
      <c r="D3091" s="7" t="inlineStr">
        <is>
          <t>[SITC of HVAC system work for construction of Sub District Hospital at Nainwa District Bundi]</t>
        </is>
      </c>
      <c r="E3091" s="7" t="inlineStr">
        <is>
          <t>Rajasthan Public Works &amp; Technology Department</t>
        </is>
      </c>
      <c r="F3091" s="6" t="inlineStr">
        <is>
          <t>21 Oct 2026</t>
        </is>
      </c>
      <c r="G3091" s="5" t="inlineStr">
        <is>
          <t>11 Nov 2026</t>
        </is>
      </c>
      <c r="H3091" s="8" t="inlineStr">
        <is>
          <t>⏳ UPCOMING</t>
        </is>
      </c>
      <c r="I3091" s="4" t="inlineStr">
        <is>
          <t>BOQ_1070857.xls</t>
        </is>
      </c>
      <c r="J3091" s="6" t="inlineStr">
        <is>
          <t>📊 Excel BOQ</t>
        </is>
      </c>
      <c r="K3091" s="9" t="n">
        <v>2.5</v>
      </c>
      <c r="L3091" s="10">
        <f>HYPERLINK("http://127.0.0.1:8000/api/documents/download?id=1300&amp;attachment=true", "⬇ Download BOQ_1070857.xls")</f>
        <v/>
      </c>
      <c r="M3091" s="10">
        <f>HYPERLINK("http://localhost:5173/?state=Rajasthan&amp;keyword=ICT&amp;tender=2026_MEDIC_602009_16", "🚀 Open in Portal")</f>
        <v/>
      </c>
    </row>
    <row r="3092" ht="24" customHeight="1">
      <c r="A3092" s="11" t="inlineStr">
        <is>
          <t>Rajasthan</t>
        </is>
      </c>
      <c r="B3092" s="12" t="inlineStr">
        <is>
          <t>ICT</t>
        </is>
      </c>
      <c r="C3092" s="13" t="inlineStr">
        <is>
          <t>2026_MEDIC_602009_16</t>
        </is>
      </c>
      <c r="D3092" s="14" t="inlineStr">
        <is>
          <t>[SITC of HVAC system work for construction of Sub District Hospital at Nainwa District Bundi]</t>
        </is>
      </c>
      <c r="E3092" s="14" t="inlineStr">
        <is>
          <t>Rajasthan Public Works &amp; Technology Department</t>
        </is>
      </c>
      <c r="F3092" s="13" t="inlineStr">
        <is>
          <t>21 Oct 2026</t>
        </is>
      </c>
      <c r="G3092" s="12" t="inlineStr">
        <is>
          <t>11 Nov 2026</t>
        </is>
      </c>
      <c r="H3092" s="8" t="inlineStr">
        <is>
          <t>⏳ UPCOMING</t>
        </is>
      </c>
      <c r="I3092" s="11" t="inlineStr">
        <is>
          <t>Tender_2026_MEDIC_602009_16_All_Documents.zip</t>
        </is>
      </c>
      <c r="J3092" s="13" t="inlineStr">
        <is>
          <t>📦 ZIP Package</t>
        </is>
      </c>
      <c r="K3092" s="15" t="n">
        <v>20.9</v>
      </c>
      <c r="L3092" s="16">
        <f>HYPERLINK("http://127.0.0.1:8000/api/documents/download?id=1301&amp;attachment=true", "⬇ Download Tender_2026_MEDIC_602009")</f>
        <v/>
      </c>
      <c r="M3092" s="16">
        <f>HYPERLINK("http://localhost:5173/?state=Rajasthan&amp;keyword=ICT&amp;tender=2026_MEDIC_602009_16", "🚀 Open in Portal")</f>
        <v/>
      </c>
    </row>
    <row r="3093" ht="24" customHeight="1">
      <c r="A3093" s="4" t="inlineStr">
        <is>
          <t>Rajasthan</t>
        </is>
      </c>
      <c r="B3093" s="5" t="inlineStr">
        <is>
          <t>ICT</t>
        </is>
      </c>
      <c r="C3093" s="6" t="inlineStr">
        <is>
          <t>2026_MEDIC_602009_17</t>
        </is>
      </c>
      <c r="D3093" s="7" t="inlineStr">
        <is>
          <t>[SITC of MGPS work in the Construction Work of Sub District Hospital Nainwa District Bundi]</t>
        </is>
      </c>
      <c r="E3093" s="7" t="inlineStr">
        <is>
          <t>Rajasthan Public Works &amp; Technology Department</t>
        </is>
      </c>
      <c r="F3093" s="6" t="inlineStr">
        <is>
          <t>31 Aug 2026</t>
        </is>
      </c>
      <c r="G3093" s="5" t="inlineStr">
        <is>
          <t>29 Sep 2026</t>
        </is>
      </c>
      <c r="H3093" s="8" t="inlineStr">
        <is>
          <t>⏳ UPCOMING</t>
        </is>
      </c>
      <c r="I3093" s="4" t="inlineStr">
        <is>
          <t>Tendernotice_1.pdf</t>
        </is>
      </c>
      <c r="J3093" s="6" t="inlineStr">
        <is>
          <t>📕 PDF Document</t>
        </is>
      </c>
      <c r="K3093" s="9" t="n">
        <v>17.9</v>
      </c>
      <c r="L3093" s="10">
        <f>HYPERLINK("http://127.0.0.1:8000/api/documents/download?id=1302&amp;attachment=true", "⬇ Download Tendernotice_1.pdf")</f>
        <v/>
      </c>
      <c r="M3093" s="10">
        <f>HYPERLINK("http://localhost:5173/?state=Rajasthan&amp;keyword=ICT&amp;tender=2026_MEDIC_602009_17", "🚀 Open in Portal")</f>
        <v/>
      </c>
    </row>
    <row r="3094" ht="24" customHeight="1">
      <c r="A3094" s="11" t="inlineStr">
        <is>
          <t>Rajasthan</t>
        </is>
      </c>
      <c r="B3094" s="12" t="inlineStr">
        <is>
          <t>ICT</t>
        </is>
      </c>
      <c r="C3094" s="13" t="inlineStr">
        <is>
          <t>2026_MEDIC_602009_17</t>
        </is>
      </c>
      <c r="D3094" s="14" t="inlineStr">
        <is>
          <t>[SITC of MGPS work in the Construction Work of Sub District Hospital Nainwa District Bundi]</t>
        </is>
      </c>
      <c r="E3094" s="14" t="inlineStr">
        <is>
          <t>Rajasthan Public Works &amp; Technology Department</t>
        </is>
      </c>
      <c r="F3094" s="13" t="inlineStr">
        <is>
          <t>31 Aug 2026</t>
        </is>
      </c>
      <c r="G3094" s="12" t="inlineStr">
        <is>
          <t>29 Sep 2026</t>
        </is>
      </c>
      <c r="H3094" s="8" t="inlineStr">
        <is>
          <t>⏳ UPCOMING</t>
        </is>
      </c>
      <c r="I3094" s="11" t="inlineStr">
        <is>
          <t>condition4.pdf</t>
        </is>
      </c>
      <c r="J3094" s="13" t="inlineStr">
        <is>
          <t>📕 PDF Document</t>
        </is>
      </c>
      <c r="K3094" s="15" t="n">
        <v>17.9</v>
      </c>
      <c r="L3094" s="16">
        <f>HYPERLINK("http://127.0.0.1:8000/api/documents/download?id=1303&amp;attachment=true", "⬇ Download condition4.pdf")</f>
        <v/>
      </c>
      <c r="M3094" s="16">
        <f>HYPERLINK("http://localhost:5173/?state=Rajasthan&amp;keyword=ICT&amp;tender=2026_MEDIC_602009_17", "🚀 Open in Portal")</f>
        <v/>
      </c>
    </row>
    <row r="3095" ht="24" customHeight="1">
      <c r="A3095" s="4" t="inlineStr">
        <is>
          <t>Rajasthan</t>
        </is>
      </c>
      <c r="B3095" s="5" t="inlineStr">
        <is>
          <t>ICT</t>
        </is>
      </c>
      <c r="C3095" s="6" t="inlineStr">
        <is>
          <t>2026_MEDIC_602009_17</t>
        </is>
      </c>
      <c r="D3095" s="7" t="inlineStr">
        <is>
          <t>[SITC of MGPS work in the Construction Work of Sub District Hospital Nainwa District Bundi]</t>
        </is>
      </c>
      <c r="E3095" s="7" t="inlineStr">
        <is>
          <t>Rajasthan Public Works &amp; Technology Department</t>
        </is>
      </c>
      <c r="F3095" s="6" t="inlineStr">
        <is>
          <t>31 Aug 2026</t>
        </is>
      </c>
      <c r="G3095" s="5" t="inlineStr">
        <is>
          <t>29 Sep 2026</t>
        </is>
      </c>
      <c r="H3095" s="8" t="inlineStr">
        <is>
          <t>⏳ UPCOMING</t>
        </is>
      </c>
      <c r="I3095" s="4" t="inlineStr">
        <is>
          <t>BOQ_1070861.xls</t>
        </is>
      </c>
      <c r="J3095" s="6" t="inlineStr">
        <is>
          <t>📊 Excel BOQ</t>
        </is>
      </c>
      <c r="K3095" s="9" t="n">
        <v>2.5</v>
      </c>
      <c r="L3095" s="10">
        <f>HYPERLINK("http://127.0.0.1:8000/api/documents/download?id=1304&amp;attachment=true", "⬇ Download BOQ_1070861.xls")</f>
        <v/>
      </c>
      <c r="M3095" s="10">
        <f>HYPERLINK("http://localhost:5173/?state=Rajasthan&amp;keyword=ICT&amp;tender=2026_MEDIC_602009_17", "🚀 Open in Portal")</f>
        <v/>
      </c>
    </row>
    <row r="3096" ht="24" customHeight="1">
      <c r="A3096" s="11" t="inlineStr">
        <is>
          <t>Rajasthan</t>
        </is>
      </c>
      <c r="B3096" s="12" t="inlineStr">
        <is>
          <t>ICT</t>
        </is>
      </c>
      <c r="C3096" s="13" t="inlineStr">
        <is>
          <t>2026_MEDIC_602009_17</t>
        </is>
      </c>
      <c r="D3096" s="14" t="inlineStr">
        <is>
          <t>[SITC of MGPS work in the Construction Work of Sub District Hospital Nainwa District Bundi]</t>
        </is>
      </c>
      <c r="E3096" s="14" t="inlineStr">
        <is>
          <t>Rajasthan Public Works &amp; Technology Department</t>
        </is>
      </c>
      <c r="F3096" s="13" t="inlineStr">
        <is>
          <t>31 Aug 2026</t>
        </is>
      </c>
      <c r="G3096" s="12" t="inlineStr">
        <is>
          <t>29 Sep 2026</t>
        </is>
      </c>
      <c r="H3096" s="8" t="inlineStr">
        <is>
          <t>⏳ UPCOMING</t>
        </is>
      </c>
      <c r="I3096" s="11" t="inlineStr">
        <is>
          <t>Tender_2026_MEDIC_602009_17_All_Documents.zip</t>
        </is>
      </c>
      <c r="J3096" s="13" t="inlineStr">
        <is>
          <t>📦 ZIP Package</t>
        </is>
      </c>
      <c r="K3096" s="15" t="n">
        <v>20.8</v>
      </c>
      <c r="L3096" s="16">
        <f>HYPERLINK("http://127.0.0.1:8000/api/documents/download?id=1305&amp;attachment=true", "⬇ Download Tender_2026_MEDIC_602009")</f>
        <v/>
      </c>
      <c r="M3096" s="16">
        <f>HYPERLINK("http://localhost:5173/?state=Rajasthan&amp;keyword=ICT&amp;tender=2026_MEDIC_602009_17", "🚀 Open in Portal")</f>
        <v/>
      </c>
    </row>
    <row r="3097" ht="24" customHeight="1">
      <c r="A3097" s="4" t="inlineStr">
        <is>
          <t>Rajasthan</t>
        </is>
      </c>
      <c r="B3097" s="5" t="inlineStr">
        <is>
          <t>ICT</t>
        </is>
      </c>
      <c r="C3097" s="6" t="inlineStr">
        <is>
          <t>2026_MEDIC_603654_23</t>
        </is>
      </c>
      <c r="D3097" s="7" t="inlineStr">
        <is>
          <t>[Electrical work for Construction of Sub Health Center Dhalewala District Sriganganagar]</t>
        </is>
      </c>
      <c r="E3097" s="7" t="inlineStr">
        <is>
          <t>Rajasthan Public Works &amp; Technology Department</t>
        </is>
      </c>
      <c r="F3097" s="6" t="inlineStr">
        <is>
          <t>08 Aug 2026</t>
        </is>
      </c>
      <c r="G3097" s="5" t="inlineStr">
        <is>
          <t>02 Sep 2026</t>
        </is>
      </c>
      <c r="H3097" s="8" t="inlineStr">
        <is>
          <t>⏳ UPCOMING</t>
        </is>
      </c>
      <c r="I3097" s="4" t="inlineStr">
        <is>
          <t>Tendernotice_1.pdf</t>
        </is>
      </c>
      <c r="J3097" s="6" t="inlineStr">
        <is>
          <t>📕 PDF Document</t>
        </is>
      </c>
      <c r="K3097" s="9" t="n">
        <v>17.9</v>
      </c>
      <c r="L3097" s="10">
        <f>HYPERLINK("http://127.0.0.1:8000/api/documents/download?id=1344&amp;attachment=true", "⬇ Download Tendernotice_1.pdf")</f>
        <v/>
      </c>
      <c r="M3097" s="10">
        <f>HYPERLINK("http://localhost:5173/?state=Rajasthan&amp;keyword=ICT&amp;tender=2026_MEDIC_603654_23", "🚀 Open in Portal")</f>
        <v/>
      </c>
    </row>
    <row r="3098" ht="24" customHeight="1">
      <c r="A3098" s="11" t="inlineStr">
        <is>
          <t>Rajasthan</t>
        </is>
      </c>
      <c r="B3098" s="12" t="inlineStr">
        <is>
          <t>ICT</t>
        </is>
      </c>
      <c r="C3098" s="13" t="inlineStr">
        <is>
          <t>2026_MEDIC_603654_23</t>
        </is>
      </c>
      <c r="D3098" s="14" t="inlineStr">
        <is>
          <t>[Electrical work for Construction of Sub Health Center Dhalewala District Sriganganagar]</t>
        </is>
      </c>
      <c r="E3098" s="14" t="inlineStr">
        <is>
          <t>Rajasthan Public Works &amp; Technology Department</t>
        </is>
      </c>
      <c r="F3098" s="13" t="inlineStr">
        <is>
          <t>08 Aug 2026</t>
        </is>
      </c>
      <c r="G3098" s="12" t="inlineStr">
        <is>
          <t>02 Sep 2026</t>
        </is>
      </c>
      <c r="H3098" s="8" t="inlineStr">
        <is>
          <t>⏳ UPCOMING</t>
        </is>
      </c>
      <c r="I3098" s="11" t="inlineStr">
        <is>
          <t>BOQ_1070556.xls</t>
        </is>
      </c>
      <c r="J3098" s="13" t="inlineStr">
        <is>
          <t>📊 Excel BOQ</t>
        </is>
      </c>
      <c r="K3098" s="15" t="n">
        <v>2.5</v>
      </c>
      <c r="L3098" s="16">
        <f>HYPERLINK("http://127.0.0.1:8000/api/documents/download?id=1345&amp;attachment=true", "⬇ Download BOQ_1070556.xls")</f>
        <v/>
      </c>
      <c r="M3098" s="16">
        <f>HYPERLINK("http://localhost:5173/?state=Rajasthan&amp;keyword=ICT&amp;tender=2026_MEDIC_603654_23", "🚀 Open in Portal")</f>
        <v/>
      </c>
    </row>
    <row r="3099" ht="24" customHeight="1">
      <c r="A3099" s="4" t="inlineStr">
        <is>
          <t>Rajasthan</t>
        </is>
      </c>
      <c r="B3099" s="5" t="inlineStr">
        <is>
          <t>ICT</t>
        </is>
      </c>
      <c r="C3099" s="6" t="inlineStr">
        <is>
          <t>2026_MEDIC_603654_23</t>
        </is>
      </c>
      <c r="D3099" s="7" t="inlineStr">
        <is>
          <t>[Electrical work for Construction of Sub Health Center Dhalewala District Sriganganagar]</t>
        </is>
      </c>
      <c r="E3099" s="7" t="inlineStr">
        <is>
          <t>Rajasthan Public Works &amp; Technology Department</t>
        </is>
      </c>
      <c r="F3099" s="6" t="inlineStr">
        <is>
          <t>08 Aug 2026</t>
        </is>
      </c>
      <c r="G3099" s="5" t="inlineStr">
        <is>
          <t>02 Sep 2026</t>
        </is>
      </c>
      <c r="H3099" s="8" t="inlineStr">
        <is>
          <t>⏳ UPCOMING</t>
        </is>
      </c>
      <c r="I3099" s="4" t="inlineStr">
        <is>
          <t>Tender_2026_MEDIC_603654_23_All_Documents.zip</t>
        </is>
      </c>
      <c r="J3099" s="6" t="inlineStr">
        <is>
          <t>📦 ZIP Package</t>
        </is>
      </c>
      <c r="K3099" s="9" t="n">
        <v>11.6</v>
      </c>
      <c r="L3099" s="10">
        <f>HYPERLINK("http://127.0.0.1:8000/api/documents/download?id=1346&amp;attachment=true", "⬇ Download Tender_2026_MEDIC_603654")</f>
        <v/>
      </c>
      <c r="M3099" s="10">
        <f>HYPERLINK("http://localhost:5173/?state=Rajasthan&amp;keyword=ICT&amp;tender=2026_MEDIC_603654_23", "🚀 Open in Portal")</f>
        <v/>
      </c>
    </row>
    <row r="3100" ht="24" customHeight="1">
      <c r="A3100" s="11" t="inlineStr">
        <is>
          <t>Rajasthan</t>
        </is>
      </c>
      <c r="B3100" s="12" t="inlineStr">
        <is>
          <t>ICT</t>
        </is>
      </c>
      <c r="C3100" s="13" t="inlineStr">
        <is>
          <t>2026_MEDIC_603654_27</t>
        </is>
      </c>
      <c r="D3100" s="14" t="inlineStr">
        <is>
          <t>[Electrical work for Construction of Sub Health Center1 GD District Sriganganagar]</t>
        </is>
      </c>
      <c r="E3100" s="14" t="inlineStr">
        <is>
          <t>Rajasthan Public Works &amp; Technology Department</t>
        </is>
      </c>
      <c r="F3100" s="13" t="inlineStr">
        <is>
          <t>14 Oct 2026</t>
        </is>
      </c>
      <c r="G3100" s="12" t="inlineStr">
        <is>
          <t>03 Nov 2026</t>
        </is>
      </c>
      <c r="H3100" s="17" t="inlineStr">
        <is>
          <t>🟢 LIVE ACTIVE</t>
        </is>
      </c>
      <c r="I3100" s="11" t="inlineStr">
        <is>
          <t>Tendernotice_1.pdf</t>
        </is>
      </c>
      <c r="J3100" s="13" t="inlineStr">
        <is>
          <t>📕 PDF Document</t>
        </is>
      </c>
      <c r="K3100" s="15" t="n">
        <v>17.9</v>
      </c>
      <c r="L3100" s="16">
        <f>HYPERLINK("http://127.0.0.1:8000/api/documents/download?id=1335&amp;attachment=true", "⬇ Download Tendernotice_1.pdf")</f>
        <v/>
      </c>
      <c r="M3100" s="16">
        <f>HYPERLINK("http://localhost:5173/?state=Rajasthan&amp;keyword=ICT&amp;tender=2026_MEDIC_603654_27", "🚀 Open in Portal")</f>
        <v/>
      </c>
    </row>
    <row r="3101" ht="24" customHeight="1">
      <c r="A3101" s="4" t="inlineStr">
        <is>
          <t>Rajasthan</t>
        </is>
      </c>
      <c r="B3101" s="5" t="inlineStr">
        <is>
          <t>ICT</t>
        </is>
      </c>
      <c r="C3101" s="6" t="inlineStr">
        <is>
          <t>2026_MEDIC_603654_27</t>
        </is>
      </c>
      <c r="D3101" s="7" t="inlineStr">
        <is>
          <t>[Electrical work for Construction of Sub Health Center1 GD District Sriganganagar]</t>
        </is>
      </c>
      <c r="E3101" s="7" t="inlineStr">
        <is>
          <t>Rajasthan Public Works &amp; Technology Department</t>
        </is>
      </c>
      <c r="F3101" s="6" t="inlineStr">
        <is>
          <t>14 Oct 2026</t>
        </is>
      </c>
      <c r="G3101" s="5" t="inlineStr">
        <is>
          <t>03 Nov 2026</t>
        </is>
      </c>
      <c r="H3101" s="17" t="inlineStr">
        <is>
          <t>🟢 LIVE ACTIVE</t>
        </is>
      </c>
      <c r="I3101" s="4" t="inlineStr">
        <is>
          <t>BOQ_1070567.xls</t>
        </is>
      </c>
      <c r="J3101" s="6" t="inlineStr">
        <is>
          <t>📊 Excel BOQ</t>
        </is>
      </c>
      <c r="K3101" s="9" t="n">
        <v>2.5</v>
      </c>
      <c r="L3101" s="10">
        <f>HYPERLINK("http://127.0.0.1:8000/api/documents/download?id=1336&amp;attachment=true", "⬇ Download BOQ_1070567.xls")</f>
        <v/>
      </c>
      <c r="M3101" s="10">
        <f>HYPERLINK("http://localhost:5173/?state=Rajasthan&amp;keyword=ICT&amp;tender=2026_MEDIC_603654_27", "🚀 Open in Portal")</f>
        <v/>
      </c>
    </row>
    <row r="3102" ht="24" customHeight="1">
      <c r="A3102" s="11" t="inlineStr">
        <is>
          <t>Rajasthan</t>
        </is>
      </c>
      <c r="B3102" s="12" t="inlineStr">
        <is>
          <t>ICT</t>
        </is>
      </c>
      <c r="C3102" s="13" t="inlineStr">
        <is>
          <t>2026_MEDIC_603654_27</t>
        </is>
      </c>
      <c r="D3102" s="14" t="inlineStr">
        <is>
          <t>[Electrical work for Construction of Sub Health Center1 GD District Sriganganagar]</t>
        </is>
      </c>
      <c r="E3102" s="14" t="inlineStr">
        <is>
          <t>Rajasthan Public Works &amp; Technology Department</t>
        </is>
      </c>
      <c r="F3102" s="13" t="inlineStr">
        <is>
          <t>14 Oct 2026</t>
        </is>
      </c>
      <c r="G3102" s="12" t="inlineStr">
        <is>
          <t>03 Nov 2026</t>
        </is>
      </c>
      <c r="H3102" s="17" t="inlineStr">
        <is>
          <t>🟢 LIVE ACTIVE</t>
        </is>
      </c>
      <c r="I3102" s="11" t="inlineStr">
        <is>
          <t>Tender_2026_MEDIC_603654_27_All_Documents.zip</t>
        </is>
      </c>
      <c r="J3102" s="13" t="inlineStr">
        <is>
          <t>📦 ZIP Package</t>
        </is>
      </c>
      <c r="K3102" s="15" t="n">
        <v>11.6</v>
      </c>
      <c r="L3102" s="16">
        <f>HYPERLINK("http://127.0.0.1:8000/api/documents/download?id=1337&amp;attachment=true", "⬇ Download Tender_2026_MEDIC_603654")</f>
        <v/>
      </c>
      <c r="M3102" s="16">
        <f>HYPERLINK("http://localhost:5173/?state=Rajasthan&amp;keyword=ICT&amp;tender=2026_MEDIC_603654_27", "🚀 Open in Portal")</f>
        <v/>
      </c>
    </row>
    <row r="3103" ht="24" customHeight="1">
      <c r="A3103" s="4" t="inlineStr">
        <is>
          <t>Rajasthan</t>
        </is>
      </c>
      <c r="B3103" s="5" t="inlineStr">
        <is>
          <t>ICT</t>
        </is>
      </c>
      <c r="C3103" s="6" t="inlineStr">
        <is>
          <t>2026_MEDIC_603654_30</t>
        </is>
      </c>
      <c r="D3103" s="7" t="inlineStr">
        <is>
          <t>[Electrical work for Construction of Sub Health Center Satrana District Sriganganagar]</t>
        </is>
      </c>
      <c r="E3103" s="7" t="inlineStr">
        <is>
          <t>Rajasthan Public Works &amp; Technology Department</t>
        </is>
      </c>
      <c r="F3103" s="6" t="inlineStr">
        <is>
          <t>21 Oct 2026</t>
        </is>
      </c>
      <c r="G3103" s="5" t="inlineStr">
        <is>
          <t>11 Nov 2026</t>
        </is>
      </c>
      <c r="H3103" s="8" t="inlineStr">
        <is>
          <t>⏳ UPCOMING</t>
        </is>
      </c>
      <c r="I3103" s="4" t="inlineStr">
        <is>
          <t>Tendernotice_1.pdf</t>
        </is>
      </c>
      <c r="J3103" s="6" t="inlineStr">
        <is>
          <t>📕 PDF Document</t>
        </is>
      </c>
      <c r="K3103" s="9" t="n">
        <v>17.9</v>
      </c>
      <c r="L3103" s="10">
        <f>HYPERLINK("http://127.0.0.1:8000/api/documents/download?id=1338&amp;attachment=true", "⬇ Download Tendernotice_1.pdf")</f>
        <v/>
      </c>
      <c r="M3103" s="10">
        <f>HYPERLINK("http://localhost:5173/?state=Rajasthan&amp;keyword=ICT&amp;tender=2026_MEDIC_603654_30", "🚀 Open in Portal")</f>
        <v/>
      </c>
    </row>
    <row r="3104" ht="24" customHeight="1">
      <c r="A3104" s="11" t="inlineStr">
        <is>
          <t>Rajasthan</t>
        </is>
      </c>
      <c r="B3104" s="12" t="inlineStr">
        <is>
          <t>ICT</t>
        </is>
      </c>
      <c r="C3104" s="13" t="inlineStr">
        <is>
          <t>2026_MEDIC_603654_30</t>
        </is>
      </c>
      <c r="D3104" s="14" t="inlineStr">
        <is>
          <t>[Electrical work for Construction of Sub Health Center Satrana District Sriganganagar]</t>
        </is>
      </c>
      <c r="E3104" s="14" t="inlineStr">
        <is>
          <t>Rajasthan Public Works &amp; Technology Department</t>
        </is>
      </c>
      <c r="F3104" s="13" t="inlineStr">
        <is>
          <t>21 Oct 2026</t>
        </is>
      </c>
      <c r="G3104" s="12" t="inlineStr">
        <is>
          <t>11 Nov 2026</t>
        </is>
      </c>
      <c r="H3104" s="8" t="inlineStr">
        <is>
          <t>⏳ UPCOMING</t>
        </is>
      </c>
      <c r="I3104" s="11" t="inlineStr">
        <is>
          <t>BOQ_1070573.xls</t>
        </is>
      </c>
      <c r="J3104" s="13" t="inlineStr">
        <is>
          <t>📊 Excel BOQ</t>
        </is>
      </c>
      <c r="K3104" s="15" t="n">
        <v>2.5</v>
      </c>
      <c r="L3104" s="16">
        <f>HYPERLINK("http://127.0.0.1:8000/api/documents/download?id=1339&amp;attachment=true", "⬇ Download BOQ_1070573.xls")</f>
        <v/>
      </c>
      <c r="M3104" s="16">
        <f>HYPERLINK("http://localhost:5173/?state=Rajasthan&amp;keyword=ICT&amp;tender=2026_MEDIC_603654_30", "🚀 Open in Portal")</f>
        <v/>
      </c>
    </row>
    <row r="3105" ht="24" customHeight="1">
      <c r="A3105" s="4" t="inlineStr">
        <is>
          <t>Rajasthan</t>
        </is>
      </c>
      <c r="B3105" s="5" t="inlineStr">
        <is>
          <t>ICT</t>
        </is>
      </c>
      <c r="C3105" s="6" t="inlineStr">
        <is>
          <t>2026_MEDIC_603654_30</t>
        </is>
      </c>
      <c r="D3105" s="7" t="inlineStr">
        <is>
          <t>[Electrical work for Construction of Sub Health Center Satrana District Sriganganagar]</t>
        </is>
      </c>
      <c r="E3105" s="7" t="inlineStr">
        <is>
          <t>Rajasthan Public Works &amp; Technology Department</t>
        </is>
      </c>
      <c r="F3105" s="6" t="inlineStr">
        <is>
          <t>21 Oct 2026</t>
        </is>
      </c>
      <c r="G3105" s="5" t="inlineStr">
        <is>
          <t>11 Nov 2026</t>
        </is>
      </c>
      <c r="H3105" s="8" t="inlineStr">
        <is>
          <t>⏳ UPCOMING</t>
        </is>
      </c>
      <c r="I3105" s="4" t="inlineStr">
        <is>
          <t>Tender_2026_MEDIC_603654_30_All_Documents.zip</t>
        </is>
      </c>
      <c r="J3105" s="6" t="inlineStr">
        <is>
          <t>📦 ZIP Package</t>
        </is>
      </c>
      <c r="K3105" s="9" t="n">
        <v>11.7</v>
      </c>
      <c r="L3105" s="10">
        <f>HYPERLINK("http://127.0.0.1:8000/api/documents/download?id=1340&amp;attachment=true", "⬇ Download Tender_2026_MEDIC_603654")</f>
        <v/>
      </c>
      <c r="M3105" s="10">
        <f>HYPERLINK("http://localhost:5173/?state=Rajasthan&amp;keyword=ICT&amp;tender=2026_MEDIC_603654_30", "🚀 Open in Portal")</f>
        <v/>
      </c>
    </row>
    <row r="3106" ht="24" customHeight="1">
      <c r="A3106" s="11" t="inlineStr">
        <is>
          <t>Rajasthan</t>
        </is>
      </c>
      <c r="B3106" s="12" t="inlineStr">
        <is>
          <t>ICT</t>
        </is>
      </c>
      <c r="C3106" s="13" t="inlineStr">
        <is>
          <t>2026_MEDIC_603654_31</t>
        </is>
      </c>
      <c r="D3106" s="14" t="inlineStr">
        <is>
          <t>[Electrical work for Construction of Sub Health Center 13 MD District Sriganganagar]</t>
        </is>
      </c>
      <c r="E3106" s="14" t="inlineStr">
        <is>
          <t>Rajasthan Public Works &amp; Technology Department</t>
        </is>
      </c>
      <c r="F3106" s="13" t="inlineStr">
        <is>
          <t>28 Jul 2026</t>
        </is>
      </c>
      <c r="G3106" s="12" t="inlineStr">
        <is>
          <t>21 Aug 2026</t>
        </is>
      </c>
      <c r="H3106" s="8" t="inlineStr">
        <is>
          <t>⏳ UPCOMING</t>
        </is>
      </c>
      <c r="I3106" s="11" t="inlineStr">
        <is>
          <t>Tendernotice_1.pdf</t>
        </is>
      </c>
      <c r="J3106" s="13" t="inlineStr">
        <is>
          <t>📕 PDF Document</t>
        </is>
      </c>
      <c r="K3106" s="15" t="n">
        <v>17.9</v>
      </c>
      <c r="L3106" s="16">
        <f>HYPERLINK("http://127.0.0.1:8000/api/documents/download?id=1341&amp;attachment=true", "⬇ Download Tendernotice_1.pdf")</f>
        <v/>
      </c>
      <c r="M3106" s="16">
        <f>HYPERLINK("http://localhost:5173/?state=Rajasthan&amp;keyword=ICT&amp;tender=2026_MEDIC_603654_31", "🚀 Open in Portal")</f>
        <v/>
      </c>
    </row>
    <row r="3107" ht="24" customHeight="1">
      <c r="A3107" s="4" t="inlineStr">
        <is>
          <t>Rajasthan</t>
        </is>
      </c>
      <c r="B3107" s="5" t="inlineStr">
        <is>
          <t>ICT</t>
        </is>
      </c>
      <c r="C3107" s="6" t="inlineStr">
        <is>
          <t>2026_MEDIC_603654_31</t>
        </is>
      </c>
      <c r="D3107" s="7" t="inlineStr">
        <is>
          <t>[Electrical work for Construction of Sub Health Center 13 MD District Sriganganagar]</t>
        </is>
      </c>
      <c r="E3107" s="7" t="inlineStr">
        <is>
          <t>Rajasthan Public Works &amp; Technology Department</t>
        </is>
      </c>
      <c r="F3107" s="6" t="inlineStr">
        <is>
          <t>28 Jul 2026</t>
        </is>
      </c>
      <c r="G3107" s="5" t="inlineStr">
        <is>
          <t>21 Aug 2026</t>
        </is>
      </c>
      <c r="H3107" s="8" t="inlineStr">
        <is>
          <t>⏳ UPCOMING</t>
        </is>
      </c>
      <c r="I3107" s="4" t="inlineStr">
        <is>
          <t>BOQ_1070574.xls</t>
        </is>
      </c>
      <c r="J3107" s="6" t="inlineStr">
        <is>
          <t>📊 Excel BOQ</t>
        </is>
      </c>
      <c r="K3107" s="9" t="n">
        <v>2.5</v>
      </c>
      <c r="L3107" s="10">
        <f>HYPERLINK("http://127.0.0.1:8000/api/documents/download?id=1342&amp;attachment=true", "⬇ Download BOQ_1070574.xls")</f>
        <v/>
      </c>
      <c r="M3107" s="10">
        <f>HYPERLINK("http://localhost:5173/?state=Rajasthan&amp;keyword=ICT&amp;tender=2026_MEDIC_603654_31", "🚀 Open in Portal")</f>
        <v/>
      </c>
    </row>
    <row r="3108" ht="24" customHeight="1">
      <c r="A3108" s="11" t="inlineStr">
        <is>
          <t>Rajasthan</t>
        </is>
      </c>
      <c r="B3108" s="12" t="inlineStr">
        <is>
          <t>ICT</t>
        </is>
      </c>
      <c r="C3108" s="13" t="inlineStr">
        <is>
          <t>2026_MEDIC_603654_31</t>
        </is>
      </c>
      <c r="D3108" s="14" t="inlineStr">
        <is>
          <t>[Electrical work for Construction of Sub Health Center 13 MD District Sriganganagar]</t>
        </is>
      </c>
      <c r="E3108" s="14" t="inlineStr">
        <is>
          <t>Rajasthan Public Works &amp; Technology Department</t>
        </is>
      </c>
      <c r="F3108" s="13" t="inlineStr">
        <is>
          <t>28 Jul 2026</t>
        </is>
      </c>
      <c r="G3108" s="12" t="inlineStr">
        <is>
          <t>21 Aug 2026</t>
        </is>
      </c>
      <c r="H3108" s="8" t="inlineStr">
        <is>
          <t>⏳ UPCOMING</t>
        </is>
      </c>
      <c r="I3108" s="11" t="inlineStr">
        <is>
          <t>Tender_2026_MEDIC_603654_31_All_Documents.zip</t>
        </is>
      </c>
      <c r="J3108" s="13" t="inlineStr">
        <is>
          <t>📦 ZIP Package</t>
        </is>
      </c>
      <c r="K3108" s="15" t="n">
        <v>11.6</v>
      </c>
      <c r="L3108" s="16">
        <f>HYPERLINK("http://127.0.0.1:8000/api/documents/download?id=1343&amp;attachment=true", "⬇ Download Tender_2026_MEDIC_603654")</f>
        <v/>
      </c>
      <c r="M3108" s="16">
        <f>HYPERLINK("http://localhost:5173/?state=Rajasthan&amp;keyword=ICT&amp;tender=2026_MEDIC_603654_31", "🚀 Open in Portal")</f>
        <v/>
      </c>
    </row>
    <row r="3109" ht="24" customHeight="1">
      <c r="A3109" s="4" t="inlineStr">
        <is>
          <t>Rajasthan</t>
        </is>
      </c>
      <c r="B3109" s="5" t="inlineStr">
        <is>
          <t>ICT</t>
        </is>
      </c>
      <c r="C3109" s="6" t="inlineStr">
        <is>
          <t>2026_MEDIC_603824_1</t>
        </is>
      </c>
      <c r="D3109" s="7" t="inlineStr">
        <is>
          <t>[Electrification Work for Construction of District Vaccine Store at CMHO Campus, Pali, District Pali]</t>
        </is>
      </c>
      <c r="E3109" s="7" t="inlineStr">
        <is>
          <t>Rajasthan Public Works &amp; Technology Department</t>
        </is>
      </c>
      <c r="F3109" s="6" t="inlineStr">
        <is>
          <t>30 Jul 2026</t>
        </is>
      </c>
      <c r="G3109" s="5" t="inlineStr">
        <is>
          <t>24 Aug 2026</t>
        </is>
      </c>
      <c r="H3109" s="8" t="inlineStr">
        <is>
          <t>⏳ UPCOMING</t>
        </is>
      </c>
      <c r="I3109" s="4" t="inlineStr">
        <is>
          <t>Tendernotice_1.pdf</t>
        </is>
      </c>
      <c r="J3109" s="6" t="inlineStr">
        <is>
          <t>📕 PDF Document</t>
        </is>
      </c>
      <c r="K3109" s="9" t="n">
        <v>17.9</v>
      </c>
      <c r="L3109" s="10">
        <f>HYPERLINK("http://127.0.0.1:8000/api/documents/download?id=1291&amp;attachment=true", "⬇ Download Tendernotice_1.pdf")</f>
        <v/>
      </c>
      <c r="M3109" s="10">
        <f>HYPERLINK("http://localhost:5173/?state=Rajasthan&amp;keyword=ICT&amp;tender=2026_MEDIC_603824_1", "🚀 Open in Portal")</f>
        <v/>
      </c>
    </row>
    <row r="3110" ht="24" customHeight="1">
      <c r="A3110" s="11" t="inlineStr">
        <is>
          <t>Rajasthan</t>
        </is>
      </c>
      <c r="B3110" s="12" t="inlineStr">
        <is>
          <t>ICT</t>
        </is>
      </c>
      <c r="C3110" s="13" t="inlineStr">
        <is>
          <t>2026_MEDIC_603824_1</t>
        </is>
      </c>
      <c r="D3110" s="14" t="inlineStr">
        <is>
          <t>[Electrification Work for Construction of District Vaccine Store at CMHO Campus, Pali, District Pali]</t>
        </is>
      </c>
      <c r="E3110" s="14" t="inlineStr">
        <is>
          <t>Rajasthan Public Works &amp; Technology Department</t>
        </is>
      </c>
      <c r="F3110" s="13" t="inlineStr">
        <is>
          <t>30 Jul 2026</t>
        </is>
      </c>
      <c r="G3110" s="12" t="inlineStr">
        <is>
          <t>24 Aug 2026</t>
        </is>
      </c>
      <c r="H3110" s="8" t="inlineStr">
        <is>
          <t>⏳ UPCOMING</t>
        </is>
      </c>
      <c r="I3110" s="11" t="inlineStr">
        <is>
          <t>BOQ_1070859.xls</t>
        </is>
      </c>
      <c r="J3110" s="13" t="inlineStr">
        <is>
          <t>📊 Excel BOQ</t>
        </is>
      </c>
      <c r="K3110" s="15" t="n">
        <v>2.5</v>
      </c>
      <c r="L3110" s="16">
        <f>HYPERLINK("http://127.0.0.1:8000/api/documents/download?id=1292&amp;attachment=true", "⬇ Download BOQ_1070859.xls")</f>
        <v/>
      </c>
      <c r="M3110" s="16">
        <f>HYPERLINK("http://localhost:5173/?state=Rajasthan&amp;keyword=ICT&amp;tender=2026_MEDIC_603824_1", "🚀 Open in Portal")</f>
        <v/>
      </c>
    </row>
    <row r="3111" ht="24" customHeight="1">
      <c r="A3111" s="4" t="inlineStr">
        <is>
          <t>Rajasthan</t>
        </is>
      </c>
      <c r="B3111" s="5" t="inlineStr">
        <is>
          <t>ICT</t>
        </is>
      </c>
      <c r="C3111" s="6" t="inlineStr">
        <is>
          <t>2026_MEDIC_603824_1</t>
        </is>
      </c>
      <c r="D3111" s="7" t="inlineStr">
        <is>
          <t>[Electrification Work for Construction of District Vaccine Store at CMHO Campus, Pali, District Pali]</t>
        </is>
      </c>
      <c r="E3111" s="7" t="inlineStr">
        <is>
          <t>Rajasthan Public Works &amp; Technology Department</t>
        </is>
      </c>
      <c r="F3111" s="6" t="inlineStr">
        <is>
          <t>30 Jul 2026</t>
        </is>
      </c>
      <c r="G3111" s="5" t="inlineStr">
        <is>
          <t>24 Aug 2026</t>
        </is>
      </c>
      <c r="H3111" s="8" t="inlineStr">
        <is>
          <t>⏳ UPCOMING</t>
        </is>
      </c>
      <c r="I3111" s="4" t="inlineStr">
        <is>
          <t>Tender_2026_MEDIC_603824_1_All_Documents.zip</t>
        </is>
      </c>
      <c r="J3111" s="6" t="inlineStr">
        <is>
          <t>📦 ZIP Package</t>
        </is>
      </c>
      <c r="K3111" s="9" t="n">
        <v>11.6</v>
      </c>
      <c r="L3111" s="10">
        <f>HYPERLINK("http://127.0.0.1:8000/api/documents/download?id=1293&amp;attachment=true", "⬇ Download Tender_2026_MEDIC_603824")</f>
        <v/>
      </c>
      <c r="M3111" s="10">
        <f>HYPERLINK("http://localhost:5173/?state=Rajasthan&amp;keyword=ICT&amp;tender=2026_MEDIC_603824_1", "🚀 Open in Portal")</f>
        <v/>
      </c>
    </row>
    <row r="3112" ht="24" customHeight="1">
      <c r="A3112" s="11" t="inlineStr">
        <is>
          <t>Rajasthan</t>
        </is>
      </c>
      <c r="B3112" s="12" t="inlineStr">
        <is>
          <t>ICT</t>
        </is>
      </c>
      <c r="C3112" s="13" t="inlineStr">
        <is>
          <t>2026_PHCJA_603854_1</t>
        </is>
      </c>
      <c r="D3112" s="14" t="inlineStr">
        <is>
          <t>[Reorganisation Of Urban Water Supply Scheme Partapur Garhi District Banswara including 05 years O and M after 01 year Defect Liability Period under Budget Announcement 2025-26]</t>
        </is>
      </c>
      <c r="E3112" s="14" t="inlineStr">
        <is>
          <t>Rajasthan Public Works &amp; Technology Department</t>
        </is>
      </c>
      <c r="F3112" s="13" t="inlineStr">
        <is>
          <t>15 Aug 2026</t>
        </is>
      </c>
      <c r="G3112" s="12" t="inlineStr">
        <is>
          <t>11 Sep 2026</t>
        </is>
      </c>
      <c r="H3112" s="8" t="inlineStr">
        <is>
          <t>⏳ UPCOMING</t>
        </is>
      </c>
      <c r="I3112" s="11" t="inlineStr">
        <is>
          <t>Tendernotice_1.pdf</t>
        </is>
      </c>
      <c r="J3112" s="13" t="inlineStr">
        <is>
          <t>📕 PDF Document</t>
        </is>
      </c>
      <c r="K3112" s="15" t="n">
        <v>17.9</v>
      </c>
      <c r="L3112" s="16">
        <f>HYPERLINK("http://127.0.0.1:8000/api/documents/download?id=1294&amp;attachment=true", "⬇ Download Tendernotice_1.pdf")</f>
        <v/>
      </c>
      <c r="M3112" s="16">
        <f>HYPERLINK("http://localhost:5173/?state=Rajasthan&amp;keyword=ICT&amp;tender=2026_PHCJA_603854_1", "🚀 Open in Portal")</f>
        <v/>
      </c>
    </row>
    <row r="3113" ht="24" customHeight="1">
      <c r="A3113" s="4" t="inlineStr">
        <is>
          <t>Rajasthan</t>
        </is>
      </c>
      <c r="B3113" s="5" t="inlineStr">
        <is>
          <t>ICT</t>
        </is>
      </c>
      <c r="C3113" s="6" t="inlineStr">
        <is>
          <t>2026_PHCJA_603854_1</t>
        </is>
      </c>
      <c r="D3113" s="7" t="inlineStr">
        <is>
          <t>[Reorganisation Of Urban Water Supply Scheme Partapur Garhi District Banswara including 05 years O and M after 01 year Defect Liability Period under Budget Announcement 2025-26]</t>
        </is>
      </c>
      <c r="E3113" s="7" t="inlineStr">
        <is>
          <t>Rajasthan Public Works &amp; Technology Department</t>
        </is>
      </c>
      <c r="F3113" s="6" t="inlineStr">
        <is>
          <t>15 Aug 2026</t>
        </is>
      </c>
      <c r="G3113" s="5" t="inlineStr">
        <is>
          <t>11 Sep 2026</t>
        </is>
      </c>
      <c r="H3113" s="8" t="inlineStr">
        <is>
          <t>⏳ UPCOMING</t>
        </is>
      </c>
      <c r="I3113" s="4" t="inlineStr">
        <is>
          <t>TD_09_Final.pdf</t>
        </is>
      </c>
      <c r="J3113" s="6" t="inlineStr">
        <is>
          <t>📕 PDF Document</t>
        </is>
      </c>
      <c r="K3113" s="9" t="n">
        <v>17.9</v>
      </c>
      <c r="L3113" s="10">
        <f>HYPERLINK("http://127.0.0.1:8000/api/documents/download?id=1295&amp;attachment=true", "⬇ Download TD_09_Final.pdf")</f>
        <v/>
      </c>
      <c r="M3113" s="10">
        <f>HYPERLINK("http://localhost:5173/?state=Rajasthan&amp;keyword=ICT&amp;tender=2026_PHCJA_603854_1", "🚀 Open in Portal")</f>
        <v/>
      </c>
    </row>
    <row r="3114" ht="24" customHeight="1">
      <c r="A3114" s="11" t="inlineStr">
        <is>
          <t>Rajasthan</t>
        </is>
      </c>
      <c r="B3114" s="12" t="inlineStr">
        <is>
          <t>ICT</t>
        </is>
      </c>
      <c r="C3114" s="13" t="inlineStr">
        <is>
          <t>2026_PHCJA_603854_1</t>
        </is>
      </c>
      <c r="D3114" s="14" t="inlineStr">
        <is>
          <t>[Reorganisation Of Urban Water Supply Scheme Partapur Garhi District Banswara including 05 years O and M after 01 year Defect Liability Period under Budget Announcement 2025-26]</t>
        </is>
      </c>
      <c r="E3114" s="14" t="inlineStr">
        <is>
          <t>Rajasthan Public Works &amp; Technology Department</t>
        </is>
      </c>
      <c r="F3114" s="13" t="inlineStr">
        <is>
          <t>15 Aug 2026</t>
        </is>
      </c>
      <c r="G3114" s="12" t="inlineStr">
        <is>
          <t>11 Sep 2026</t>
        </is>
      </c>
      <c r="H3114" s="8" t="inlineStr">
        <is>
          <t>⏳ UPCOMING</t>
        </is>
      </c>
      <c r="I3114" s="11" t="inlineStr">
        <is>
          <t>BOQ_1070921.xls</t>
        </is>
      </c>
      <c r="J3114" s="13" t="inlineStr">
        <is>
          <t>📊 Excel BOQ</t>
        </is>
      </c>
      <c r="K3114" s="15" t="n">
        <v>2.5</v>
      </c>
      <c r="L3114" s="16">
        <f>HYPERLINK("http://127.0.0.1:8000/api/documents/download?id=1296&amp;attachment=true", "⬇ Download BOQ_1070921.xls")</f>
        <v/>
      </c>
      <c r="M3114" s="16">
        <f>HYPERLINK("http://localhost:5173/?state=Rajasthan&amp;keyword=ICT&amp;tender=2026_PHCJA_603854_1", "🚀 Open in Portal")</f>
        <v/>
      </c>
    </row>
    <row r="3115" ht="24" customHeight="1">
      <c r="A3115" s="4" t="inlineStr">
        <is>
          <t>Rajasthan</t>
        </is>
      </c>
      <c r="B3115" s="5" t="inlineStr">
        <is>
          <t>ICT</t>
        </is>
      </c>
      <c r="C3115" s="6" t="inlineStr">
        <is>
          <t>2026_PHCJA_603854_1</t>
        </is>
      </c>
      <c r="D3115" s="7" t="inlineStr">
        <is>
          <t>[Reorganisation Of Urban Water Supply Scheme Partapur Garhi District Banswara including 05 years O and M after 01 year Defect Liability Period under Budget Announcement 2025-26]</t>
        </is>
      </c>
      <c r="E3115" s="7" t="inlineStr">
        <is>
          <t>Rajasthan Public Works &amp; Technology Department</t>
        </is>
      </c>
      <c r="F3115" s="6" t="inlineStr">
        <is>
          <t>15 Aug 2026</t>
        </is>
      </c>
      <c r="G3115" s="5" t="inlineStr">
        <is>
          <t>11 Sep 2026</t>
        </is>
      </c>
      <c r="H3115" s="8" t="inlineStr">
        <is>
          <t>⏳ UPCOMING</t>
        </is>
      </c>
      <c r="I3115" s="4" t="inlineStr">
        <is>
          <t>Tender_2026_PHCJA_603854_1_All_Documents.zip</t>
        </is>
      </c>
      <c r="J3115" s="6" t="inlineStr">
        <is>
          <t>📦 ZIP Package</t>
        </is>
      </c>
      <c r="K3115" s="9" t="n">
        <v>20.9</v>
      </c>
      <c r="L3115" s="10">
        <f>HYPERLINK("http://127.0.0.1:8000/api/documents/download?id=1297&amp;attachment=true", "⬇ Download Tender_2026_PHCJA_603854")</f>
        <v/>
      </c>
      <c r="M3115" s="10">
        <f>HYPERLINK("http://localhost:5173/?state=Rajasthan&amp;keyword=ICT&amp;tender=2026_PHCJA_603854_1", "🚀 Open in Portal")</f>
        <v/>
      </c>
    </row>
    <row r="3116" ht="24" customHeight="1">
      <c r="A3116" s="11" t="inlineStr">
        <is>
          <t>Rajasthan</t>
        </is>
      </c>
      <c r="B3116" s="12" t="inlineStr">
        <is>
          <t>ICT</t>
        </is>
      </c>
      <c r="C3116" s="13" t="inlineStr">
        <is>
          <t>2026_PHCJA_603876_2</t>
        </is>
      </c>
      <c r="D3116" s="14" t="inlineStr">
        <is>
          <t>[RATE CONTRACT FOR PROVIDING AND INSTALLATION OF SOLAR BASED PANGHAT AT VARRIOUS LOCATION IN DIVISION AMET, DISTRICT-RAJSAMAND WITH ONE YEAR DEFECT LIABILITY PERIOD AND 2 YEAR O and M]</t>
        </is>
      </c>
      <c r="E3116" s="14" t="inlineStr">
        <is>
          <t>Rajasthan Public Works &amp; Technology Department</t>
        </is>
      </c>
      <c r="F3116" s="13" t="inlineStr">
        <is>
          <t>10 Oct 2026</t>
        </is>
      </c>
      <c r="G3116" s="12" t="inlineStr">
        <is>
          <t>24 Oct 2026</t>
        </is>
      </c>
      <c r="H3116" s="17" t="inlineStr">
        <is>
          <t>🟢 LIVE ACTIVE</t>
        </is>
      </c>
      <c r="I3116" s="11" t="inlineStr">
        <is>
          <t>Tendernotice_1.pdf</t>
        </is>
      </c>
      <c r="J3116" s="13" t="inlineStr">
        <is>
          <t>📕 PDF Document</t>
        </is>
      </c>
      <c r="K3116" s="15" t="n">
        <v>17.9</v>
      </c>
      <c r="L3116" s="16">
        <f>HYPERLINK("http://127.0.0.1:8000/api/documents/download?id=1287&amp;attachment=true", "⬇ Download Tendernotice_1.pdf")</f>
        <v/>
      </c>
      <c r="M3116" s="16">
        <f>HYPERLINK("http://localhost:5173/?state=Rajasthan&amp;keyword=ICT&amp;tender=2026_PHCJA_603876_2", "🚀 Open in Portal")</f>
        <v/>
      </c>
    </row>
    <row r="3117" ht="24" customHeight="1">
      <c r="A3117" s="4" t="inlineStr">
        <is>
          <t>Rajasthan</t>
        </is>
      </c>
      <c r="B3117" s="5" t="inlineStr">
        <is>
          <t>ICT</t>
        </is>
      </c>
      <c r="C3117" s="6" t="inlineStr">
        <is>
          <t>2026_PHCJA_603876_2</t>
        </is>
      </c>
      <c r="D3117" s="7" t="inlineStr">
        <is>
          <t>[RATE CONTRACT FOR PROVIDING AND INSTALLATION OF SOLAR BASED PANGHAT AT VARRIOUS LOCATION IN DIVISION AMET, DISTRICT-RAJSAMAND WITH ONE YEAR DEFECT LIABILITY PERIOD AND 2 YEAR O and M]</t>
        </is>
      </c>
      <c r="E3117" s="7" t="inlineStr">
        <is>
          <t>Rajasthan Public Works &amp; Technology Department</t>
        </is>
      </c>
      <c r="F3117" s="6" t="inlineStr">
        <is>
          <t>10 Oct 2026</t>
        </is>
      </c>
      <c r="G3117" s="5" t="inlineStr">
        <is>
          <t>24 Oct 2026</t>
        </is>
      </c>
      <c r="H3117" s="17" t="inlineStr">
        <is>
          <t>🟢 LIVE ACTIVE</t>
        </is>
      </c>
      <c r="I3117" s="4" t="inlineStr">
        <is>
          <t>TD71.pdf</t>
        </is>
      </c>
      <c r="J3117" s="6" t="inlineStr">
        <is>
          <t>📕 PDF Document</t>
        </is>
      </c>
      <c r="K3117" s="9" t="n">
        <v>17.8</v>
      </c>
      <c r="L3117" s="10">
        <f>HYPERLINK("http://127.0.0.1:8000/api/documents/download?id=1288&amp;attachment=true", "⬇ Download TD71.pdf")</f>
        <v/>
      </c>
      <c r="M3117" s="10">
        <f>HYPERLINK("http://localhost:5173/?state=Rajasthan&amp;keyword=ICT&amp;tender=2026_PHCJA_603876_2", "🚀 Open in Portal")</f>
        <v/>
      </c>
    </row>
    <row r="3118" ht="24" customHeight="1">
      <c r="A3118" s="11" t="inlineStr">
        <is>
          <t>Rajasthan</t>
        </is>
      </c>
      <c r="B3118" s="12" t="inlineStr">
        <is>
          <t>ICT</t>
        </is>
      </c>
      <c r="C3118" s="13" t="inlineStr">
        <is>
          <t>2026_PHCJA_603876_2</t>
        </is>
      </c>
      <c r="D3118" s="14" t="inlineStr">
        <is>
          <t>[RATE CONTRACT FOR PROVIDING AND INSTALLATION OF SOLAR BASED PANGHAT AT VARRIOUS LOCATION IN DIVISION AMET, DISTRICT-RAJSAMAND WITH ONE YEAR DEFECT LIABILITY PERIOD AND 2 YEAR O and M]</t>
        </is>
      </c>
      <c r="E3118" s="14" t="inlineStr">
        <is>
          <t>Rajasthan Public Works &amp; Technology Department</t>
        </is>
      </c>
      <c r="F3118" s="13" t="inlineStr">
        <is>
          <t>10 Oct 2026</t>
        </is>
      </c>
      <c r="G3118" s="12" t="inlineStr">
        <is>
          <t>24 Oct 2026</t>
        </is>
      </c>
      <c r="H3118" s="17" t="inlineStr">
        <is>
          <t>🟢 LIVE ACTIVE</t>
        </is>
      </c>
      <c r="I3118" s="11" t="inlineStr">
        <is>
          <t>BOQ_1071038.xls</t>
        </is>
      </c>
      <c r="J3118" s="13" t="inlineStr">
        <is>
          <t>📊 Excel BOQ</t>
        </is>
      </c>
      <c r="K3118" s="15" t="n">
        <v>2.5</v>
      </c>
      <c r="L3118" s="16">
        <f>HYPERLINK("http://127.0.0.1:8000/api/documents/download?id=1289&amp;attachment=true", "⬇ Download BOQ_1071038.xls")</f>
        <v/>
      </c>
      <c r="M3118" s="16">
        <f>HYPERLINK("http://localhost:5173/?state=Rajasthan&amp;keyword=ICT&amp;tender=2026_PHCJA_603876_2", "🚀 Open in Portal")</f>
        <v/>
      </c>
    </row>
    <row r="3119" ht="24" customHeight="1">
      <c r="A3119" s="4" t="inlineStr">
        <is>
          <t>Rajasthan</t>
        </is>
      </c>
      <c r="B3119" s="5" t="inlineStr">
        <is>
          <t>ICT</t>
        </is>
      </c>
      <c r="C3119" s="6" t="inlineStr">
        <is>
          <t>2026_PHCJA_603876_2</t>
        </is>
      </c>
      <c r="D3119" s="7" t="inlineStr">
        <is>
          <t>[RATE CONTRACT FOR PROVIDING AND INSTALLATION OF SOLAR BASED PANGHAT AT VARRIOUS LOCATION IN DIVISION AMET, DISTRICT-RAJSAMAND WITH ONE YEAR DEFECT LIABILITY PERIOD AND 2 YEAR O and M]</t>
        </is>
      </c>
      <c r="E3119" s="7" t="inlineStr">
        <is>
          <t>Rajasthan Public Works &amp; Technology Department</t>
        </is>
      </c>
      <c r="F3119" s="6" t="inlineStr">
        <is>
          <t>10 Oct 2026</t>
        </is>
      </c>
      <c r="G3119" s="5" t="inlineStr">
        <is>
          <t>24 Oct 2026</t>
        </is>
      </c>
      <c r="H3119" s="17" t="inlineStr">
        <is>
          <t>🟢 LIVE ACTIVE</t>
        </is>
      </c>
      <c r="I3119" s="4" t="inlineStr">
        <is>
          <t>Tender_2026_PHCJA_603876_2_All_Documents.zip</t>
        </is>
      </c>
      <c r="J3119" s="6" t="inlineStr">
        <is>
          <t>📦 ZIP Package</t>
        </is>
      </c>
      <c r="K3119" s="9" t="n">
        <v>20.9</v>
      </c>
      <c r="L3119" s="10">
        <f>HYPERLINK("http://127.0.0.1:8000/api/documents/download?id=1290&amp;attachment=true", "⬇ Download Tender_2026_PHCJA_603876")</f>
        <v/>
      </c>
      <c r="M3119" s="10">
        <f>HYPERLINK("http://localhost:5173/?state=Rajasthan&amp;keyword=ICT&amp;tender=2026_PHCJA_603876_2", "🚀 Open in Portal")</f>
        <v/>
      </c>
    </row>
    <row r="3120" ht="24" customHeight="1">
      <c r="A3120" s="11" t="inlineStr">
        <is>
          <t>Rajasthan</t>
        </is>
      </c>
      <c r="B3120" s="12" t="inlineStr">
        <is>
          <t>ICT</t>
        </is>
      </c>
      <c r="C3120" s="13" t="inlineStr">
        <is>
          <t>2026_RAJ_4714841_36</t>
        </is>
      </c>
      <c r="D3120" s="14" t="inlineStr">
        <is>
          <t>ICT-Based Cloud Data Center Modernization &amp; Statewide Integrated Video Command Analytics</t>
        </is>
      </c>
      <c r="E3120" s="14" t="inlineStr">
        <is>
          <t>DEPARTMENT OF INFORMATION TECHNOLOGY &amp; e-GOVERNANCE</t>
        </is>
      </c>
      <c r="F3120" s="13" t="inlineStr">
        <is>
          <t>25 Aug 2026</t>
        </is>
      </c>
      <c r="G3120" s="12" t="inlineStr">
        <is>
          <t>24 Sep 2026</t>
        </is>
      </c>
      <c r="H3120" s="8" t="inlineStr">
        <is>
          <t>⏳ UPCOMING</t>
        </is>
      </c>
      <c r="I3120" s="11" t="inlineStr">
        <is>
          <t>Tendernotice_2026_RAJ_4714841_36.pdf</t>
        </is>
      </c>
      <c r="J3120" s="13" t="inlineStr">
        <is>
          <t>📕 PDF Document</t>
        </is>
      </c>
      <c r="K3120" s="15" t="n">
        <v>17.9</v>
      </c>
      <c r="L3120" s="16">
        <f>HYPERLINK("http://127.0.0.1:8000/api/documents/download?id=3205&amp;attachment=true", "⬇ Download Tendernotice_2026_RAJ_47")</f>
        <v/>
      </c>
      <c r="M3120" s="16">
        <f>HYPERLINK("http://localhost:5173/?state=Rajasthan&amp;keyword=ICT&amp;tender=2026_RAJ_4714841_36", "🚀 Open in Portal")</f>
        <v/>
      </c>
    </row>
    <row r="3121" ht="24" customHeight="1">
      <c r="A3121" s="4" t="inlineStr">
        <is>
          <t>Rajasthan</t>
        </is>
      </c>
      <c r="B3121" s="5" t="inlineStr">
        <is>
          <t>ICT</t>
        </is>
      </c>
      <c r="C3121" s="6" t="inlineStr">
        <is>
          <t>2026_RAJ_4714841_36</t>
        </is>
      </c>
      <c r="D3121" s="7" t="inlineStr">
        <is>
          <t>ICT-Based Cloud Data Center Modernization &amp; Statewide Integrated Video Command Analytics</t>
        </is>
      </c>
      <c r="E3121" s="7" t="inlineStr">
        <is>
          <t>DEPARTMENT OF INFORMATION TECHNOLOGY &amp; e-GOVERNANCE</t>
        </is>
      </c>
      <c r="F3121" s="6" t="inlineStr">
        <is>
          <t>25 Aug 2026</t>
        </is>
      </c>
      <c r="G3121" s="5" t="inlineStr">
        <is>
          <t>24 Sep 2026</t>
        </is>
      </c>
      <c r="H3121" s="8" t="inlineStr">
        <is>
          <t>⏳ UPCOMING</t>
        </is>
      </c>
      <c r="I3121" s="4" t="inlineStr">
        <is>
          <t>Technical_RFP_Specification_ICT.pdf</t>
        </is>
      </c>
      <c r="J3121" s="6" t="inlineStr">
        <is>
          <t>📕 PDF Document</t>
        </is>
      </c>
      <c r="K3121" s="9" t="n">
        <v>17.9</v>
      </c>
      <c r="L3121" s="10">
        <f>HYPERLINK("http://127.0.0.1:8000/api/documents/download?id=3206&amp;attachment=true", "⬇ Download Technical_RFP_Specificat")</f>
        <v/>
      </c>
      <c r="M3121" s="10">
        <f>HYPERLINK("http://localhost:5173/?state=Rajasthan&amp;keyword=ICT&amp;tender=2026_RAJ_4714841_36", "🚀 Open in Portal")</f>
        <v/>
      </c>
    </row>
    <row r="3122" ht="24" customHeight="1">
      <c r="A3122" s="11" t="inlineStr">
        <is>
          <t>Rajasthan</t>
        </is>
      </c>
      <c r="B3122" s="12" t="inlineStr">
        <is>
          <t>ICT</t>
        </is>
      </c>
      <c r="C3122" s="13" t="inlineStr">
        <is>
          <t>2026_RAJ_4714841_36</t>
        </is>
      </c>
      <c r="D3122" s="14" t="inlineStr">
        <is>
          <t>ICT-Based Cloud Data Center Modernization &amp; Statewide Integrated Video Command Analytics</t>
        </is>
      </c>
      <c r="E3122" s="14" t="inlineStr">
        <is>
          <t>DEPARTMENT OF INFORMATION TECHNOLOGY &amp; e-GOVERNANCE</t>
        </is>
      </c>
      <c r="F3122" s="13" t="inlineStr">
        <is>
          <t>25 Aug 2026</t>
        </is>
      </c>
      <c r="G3122" s="12" t="inlineStr">
        <is>
          <t>24 Sep 2026</t>
        </is>
      </c>
      <c r="H3122" s="8" t="inlineStr">
        <is>
          <t>⏳ UPCOMING</t>
        </is>
      </c>
      <c r="I3122" s="11" t="inlineStr">
        <is>
          <t>BOQ_Financial_Schedule_2026_RAJ_4714841_36.xlsx</t>
        </is>
      </c>
      <c r="J3122" s="13" t="inlineStr">
        <is>
          <t>📊 Excel BOQ</t>
        </is>
      </c>
      <c r="K3122" s="15" t="n">
        <v>2.5</v>
      </c>
      <c r="L3122" s="16">
        <f>HYPERLINK("http://127.0.0.1:8000/api/documents/download?id=3207&amp;attachment=true", "⬇ Download BOQ_Financial_Schedule_2")</f>
        <v/>
      </c>
      <c r="M3122" s="16">
        <f>HYPERLINK("http://localhost:5173/?state=Rajasthan&amp;keyword=ICT&amp;tender=2026_RAJ_4714841_36", "🚀 Open in Portal")</f>
        <v/>
      </c>
    </row>
    <row r="3123" ht="24" customHeight="1">
      <c r="A3123" s="4" t="inlineStr">
        <is>
          <t>Rajasthan</t>
        </is>
      </c>
      <c r="B3123" s="5" t="inlineStr">
        <is>
          <t>ICT</t>
        </is>
      </c>
      <c r="C3123" s="6" t="inlineStr">
        <is>
          <t>2026_RAJ_4714841_36</t>
        </is>
      </c>
      <c r="D3123" s="7" t="inlineStr">
        <is>
          <t>ICT-Based Cloud Data Center Modernization &amp; Statewide Integrated Video Command Analytics</t>
        </is>
      </c>
      <c r="E3123" s="7" t="inlineStr">
        <is>
          <t>DEPARTMENT OF INFORMATION TECHNOLOGY &amp; e-GOVERNANCE</t>
        </is>
      </c>
      <c r="F3123" s="6" t="inlineStr">
        <is>
          <t>25 Aug 2026</t>
        </is>
      </c>
      <c r="G3123" s="5" t="inlineStr">
        <is>
          <t>24 Sep 2026</t>
        </is>
      </c>
      <c r="H3123" s="8" t="inlineStr">
        <is>
          <t>⏳ UPCOMING</t>
        </is>
      </c>
      <c r="I3123" s="4" t="inlineStr">
        <is>
          <t>Tender_2026_RAJ_4714841_36_All_Documents.zip</t>
        </is>
      </c>
      <c r="J3123" s="6" t="inlineStr">
        <is>
          <t>📦 ZIP Package</t>
        </is>
      </c>
      <c r="K3123" s="9" t="n">
        <v>45</v>
      </c>
      <c r="L3123" s="10">
        <f>HYPERLINK("https://eproc.rajasthan.gov.in/tender/2026_RAJ_4714841_36", "⬇ Download Tender_2026_RAJ_4714841_")</f>
        <v/>
      </c>
      <c r="M3123" s="10">
        <f>HYPERLINK("http://localhost:5173/?state=Rajasthan&amp;keyword=ICT&amp;tender=2026_RAJ_4714841_36", "🚀 Open in Portal")</f>
        <v/>
      </c>
    </row>
    <row r="3124" ht="24" customHeight="1">
      <c r="A3124" s="11" t="inlineStr">
        <is>
          <t>Rajasthan</t>
        </is>
      </c>
      <c r="B3124" s="12" t="inlineStr">
        <is>
          <t>ICT</t>
        </is>
      </c>
      <c r="C3124" s="13" t="inlineStr">
        <is>
          <t>2026_RSAMB_603742_3</t>
        </is>
      </c>
      <c r="D3124" s="14" t="inlineStr">
        <is>
          <t>[Construction of Veterinary Hospital at Pyaavadi Under RIDF-29 in district Tonk]</t>
        </is>
      </c>
      <c r="E3124" s="14" t="inlineStr">
        <is>
          <t>Rajasthan Public Works &amp; Technology Department</t>
        </is>
      </c>
      <c r="F3124" s="13" t="inlineStr">
        <is>
          <t>01 Oct 2026</t>
        </is>
      </c>
      <c r="G3124" s="12" t="inlineStr">
        <is>
          <t>05 Nov 2026</t>
        </is>
      </c>
      <c r="H3124" s="17" t="inlineStr">
        <is>
          <t>🟢 LIVE ACTIVE</t>
        </is>
      </c>
      <c r="I3124" s="11" t="inlineStr">
        <is>
          <t>Tendernotice_1.pdf</t>
        </is>
      </c>
      <c r="J3124" s="13" t="inlineStr">
        <is>
          <t>📕 PDF Document</t>
        </is>
      </c>
      <c r="K3124" s="15" t="n">
        <v>17.9</v>
      </c>
      <c r="L3124" s="16">
        <f>HYPERLINK("http://127.0.0.1:8000/api/documents/download?id=1331&amp;attachment=true", "⬇ Download Tendernotice_1.pdf")</f>
        <v/>
      </c>
      <c r="M3124" s="16">
        <f>HYPERLINK("http://localhost:5173/?state=Rajasthan&amp;keyword=ICT&amp;tender=2026_RSAMB_603742_3", "🚀 Open in Portal")</f>
        <v/>
      </c>
    </row>
    <row r="3125" ht="24" customHeight="1">
      <c r="A3125" s="4" t="inlineStr">
        <is>
          <t>Rajasthan</t>
        </is>
      </c>
      <c r="B3125" s="5" t="inlineStr">
        <is>
          <t>ICT</t>
        </is>
      </c>
      <c r="C3125" s="6" t="inlineStr">
        <is>
          <t>2026_RSAMB_603742_3</t>
        </is>
      </c>
      <c r="D3125" s="7" t="inlineStr">
        <is>
          <t>[Construction of Veterinary Hospital at Pyaavadi Under RIDF-29 in district Tonk]</t>
        </is>
      </c>
      <c r="E3125" s="7" t="inlineStr">
        <is>
          <t>Rajasthan Public Works &amp; Technology Department</t>
        </is>
      </c>
      <c r="F3125" s="6" t="inlineStr">
        <is>
          <t>01 Oct 2026</t>
        </is>
      </c>
      <c r="G3125" s="5" t="inlineStr">
        <is>
          <t>05 Nov 2026</t>
        </is>
      </c>
      <c r="H3125" s="17" t="inlineStr">
        <is>
          <t>🟢 LIVE ACTIVE</t>
        </is>
      </c>
      <c r="I3125" s="4" t="inlineStr">
        <is>
          <t>3_Agreement.pdf</t>
        </is>
      </c>
      <c r="J3125" s="6" t="inlineStr">
        <is>
          <t>📕 PDF Document</t>
        </is>
      </c>
      <c r="K3125" s="9" t="n">
        <v>17.9</v>
      </c>
      <c r="L3125" s="10">
        <f>HYPERLINK("http://127.0.0.1:8000/api/documents/download?id=1332&amp;attachment=true", "⬇ Download 3_Agreement.pdf")</f>
        <v/>
      </c>
      <c r="M3125" s="10">
        <f>HYPERLINK("http://localhost:5173/?state=Rajasthan&amp;keyword=ICT&amp;tender=2026_RSAMB_603742_3", "🚀 Open in Portal")</f>
        <v/>
      </c>
    </row>
    <row r="3126" ht="24" customHeight="1">
      <c r="A3126" s="11" t="inlineStr">
        <is>
          <t>Rajasthan</t>
        </is>
      </c>
      <c r="B3126" s="12" t="inlineStr">
        <is>
          <t>ICT</t>
        </is>
      </c>
      <c r="C3126" s="13" t="inlineStr">
        <is>
          <t>2026_RSAMB_603742_3</t>
        </is>
      </c>
      <c r="D3126" s="14" t="inlineStr">
        <is>
          <t>[Construction of Veterinary Hospital at Pyaavadi Under RIDF-29 in district Tonk]</t>
        </is>
      </c>
      <c r="E3126" s="14" t="inlineStr">
        <is>
          <t>Rajasthan Public Works &amp; Technology Department</t>
        </is>
      </c>
      <c r="F3126" s="13" t="inlineStr">
        <is>
          <t>01 Oct 2026</t>
        </is>
      </c>
      <c r="G3126" s="12" t="inlineStr">
        <is>
          <t>05 Nov 2026</t>
        </is>
      </c>
      <c r="H3126" s="17" t="inlineStr">
        <is>
          <t>🟢 LIVE ACTIVE</t>
        </is>
      </c>
      <c r="I3126" s="11" t="inlineStr">
        <is>
          <t>BOQ_1070613.xls</t>
        </is>
      </c>
      <c r="J3126" s="13" t="inlineStr">
        <is>
          <t>📊 Excel BOQ</t>
        </is>
      </c>
      <c r="K3126" s="15" t="n">
        <v>2.5</v>
      </c>
      <c r="L3126" s="16">
        <f>HYPERLINK("http://127.0.0.1:8000/api/documents/download?id=1333&amp;attachment=true", "⬇ Download BOQ_1070613.xls")</f>
        <v/>
      </c>
      <c r="M3126" s="16">
        <f>HYPERLINK("http://localhost:5173/?state=Rajasthan&amp;keyword=ICT&amp;tender=2026_RSAMB_603742_3", "🚀 Open in Portal")</f>
        <v/>
      </c>
    </row>
    <row r="3127" ht="24" customHeight="1">
      <c r="A3127" s="4" t="inlineStr">
        <is>
          <t>Rajasthan</t>
        </is>
      </c>
      <c r="B3127" s="5" t="inlineStr">
        <is>
          <t>ICT</t>
        </is>
      </c>
      <c r="C3127" s="6" t="inlineStr">
        <is>
          <t>2026_RSAMB_603742_3</t>
        </is>
      </c>
      <c r="D3127" s="7" t="inlineStr">
        <is>
          <t>[Construction of Veterinary Hospital at Pyaavadi Under RIDF-29 in district Tonk]</t>
        </is>
      </c>
      <c r="E3127" s="7" t="inlineStr">
        <is>
          <t>Rajasthan Public Works &amp; Technology Department</t>
        </is>
      </c>
      <c r="F3127" s="6" t="inlineStr">
        <is>
          <t>01 Oct 2026</t>
        </is>
      </c>
      <c r="G3127" s="5" t="inlineStr">
        <is>
          <t>05 Nov 2026</t>
        </is>
      </c>
      <c r="H3127" s="17" t="inlineStr">
        <is>
          <t>🟢 LIVE ACTIVE</t>
        </is>
      </c>
      <c r="I3127" s="4" t="inlineStr">
        <is>
          <t>Tender_2026_RSAMB_603742_3_All_Documents.zip</t>
        </is>
      </c>
      <c r="J3127" s="6" t="inlineStr">
        <is>
          <t>📦 ZIP Package</t>
        </is>
      </c>
      <c r="K3127" s="9" t="n">
        <v>20.9</v>
      </c>
      <c r="L3127" s="10">
        <f>HYPERLINK("http://127.0.0.1:8000/api/documents/download?id=1334&amp;attachment=true", "⬇ Download Tender_2026_RSAMB_603742")</f>
        <v/>
      </c>
      <c r="M3127" s="10">
        <f>HYPERLINK("http://localhost:5173/?state=Rajasthan&amp;keyword=ICT&amp;tender=2026_RSAMB_603742_3", "🚀 Open in Portal")</f>
        <v/>
      </c>
    </row>
    <row r="3128" ht="24" customHeight="1">
      <c r="A3128" s="11" t="inlineStr">
        <is>
          <t>Rajasthan</t>
        </is>
      </c>
      <c r="B3128" s="12" t="inlineStr">
        <is>
          <t>Empanelment</t>
        </is>
      </c>
      <c r="C3128" s="13" t="inlineStr">
        <is>
          <t>2026_RCDF_582570_1</t>
        </is>
      </c>
      <c r="D3128" s="14" t="inlineStr">
        <is>
          <t>[The Bid form/registration form is an applicable for empanelment of an applicant as a registered supplier for supply of cattle feed raw materials]</t>
        </is>
      </c>
      <c r="E3128" s="14" t="inlineStr">
        <is>
          <t>Rajasthan Public Works &amp; Technology Department</t>
        </is>
      </c>
      <c r="F3128" s="13" t="inlineStr">
        <is>
          <t>27 Oct 2026</t>
        </is>
      </c>
      <c r="G3128" s="12" t="inlineStr">
        <is>
          <t>17 Nov 2026</t>
        </is>
      </c>
      <c r="H3128" s="8" t="inlineStr">
        <is>
          <t>⏳ UPCOMING</t>
        </is>
      </c>
      <c r="I3128" s="11" t="inlineStr">
        <is>
          <t>Tendernotice_1.pdf</t>
        </is>
      </c>
      <c r="J3128" s="13" t="inlineStr">
        <is>
          <t>📕 PDF Document</t>
        </is>
      </c>
      <c r="K3128" s="15" t="n">
        <v>17.9</v>
      </c>
      <c r="L3128" s="16">
        <f>HYPERLINK("http://127.0.0.1:8000/api/documents/download?id=1278&amp;attachment=true", "⬇ Download Tendernotice_1.pdf")</f>
        <v/>
      </c>
      <c r="M3128" s="16">
        <f>HYPERLINK("http://localhost:5173/?state=Rajasthan&amp;keyword=Empanelment&amp;tender=2026_RCDF_582570_1", "🚀 Open in Portal")</f>
        <v/>
      </c>
    </row>
    <row r="3129" ht="24" customHeight="1">
      <c r="A3129" s="4" t="inlineStr">
        <is>
          <t>Rajasthan</t>
        </is>
      </c>
      <c r="B3129" s="5" t="inlineStr">
        <is>
          <t>Empanelment</t>
        </is>
      </c>
      <c r="C3129" s="6" t="inlineStr">
        <is>
          <t>2026_RCDF_582570_1</t>
        </is>
      </c>
      <c r="D3129" s="7" t="inlineStr">
        <is>
          <t>[The Bid form/registration form is an applicable for empanelment of an applicant as a registered supplier for supply of cattle feed raw materials]</t>
        </is>
      </c>
      <c r="E3129" s="7" t="inlineStr">
        <is>
          <t>Rajasthan Public Works &amp; Technology Department</t>
        </is>
      </c>
      <c r="F3129" s="6" t="inlineStr">
        <is>
          <t>27 Oct 2026</t>
        </is>
      </c>
      <c r="G3129" s="5" t="inlineStr">
        <is>
          <t>17 Nov 2026</t>
        </is>
      </c>
      <c r="H3129" s="8" t="inlineStr">
        <is>
          <t>⏳ UPCOMING</t>
        </is>
      </c>
      <c r="I3129" s="4" t="inlineStr">
        <is>
          <t>registrationdocument.pdf</t>
        </is>
      </c>
      <c r="J3129" s="6" t="inlineStr">
        <is>
          <t>📕 PDF Document</t>
        </is>
      </c>
      <c r="K3129" s="9" t="n">
        <v>17.9</v>
      </c>
      <c r="L3129" s="10">
        <f>HYPERLINK("http://127.0.0.1:8000/api/documents/download?id=1279&amp;attachment=true", "⬇ Download registrationdocument.pdf")</f>
        <v/>
      </c>
      <c r="M3129" s="10">
        <f>HYPERLINK("http://localhost:5173/?state=Rajasthan&amp;keyword=Empanelment&amp;tender=2026_RCDF_582570_1", "🚀 Open in Portal")</f>
        <v/>
      </c>
    </row>
    <row r="3130" ht="24" customHeight="1">
      <c r="A3130" s="11" t="inlineStr">
        <is>
          <t>Rajasthan</t>
        </is>
      </c>
      <c r="B3130" s="12" t="inlineStr">
        <is>
          <t>Empanelment</t>
        </is>
      </c>
      <c r="C3130" s="13" t="inlineStr">
        <is>
          <t>2026_RCDF_582570_1</t>
        </is>
      </c>
      <c r="D3130" s="14" t="inlineStr">
        <is>
          <t>[The Bid form/registration form is an applicable for empanelment of an applicant as a registered supplier for supply of cattle feed raw materials]</t>
        </is>
      </c>
      <c r="E3130" s="14" t="inlineStr">
        <is>
          <t>Rajasthan Public Works &amp; Technology Department</t>
        </is>
      </c>
      <c r="F3130" s="13" t="inlineStr">
        <is>
          <t>27 Oct 2026</t>
        </is>
      </c>
      <c r="G3130" s="12" t="inlineStr">
        <is>
          <t>17 Nov 2026</t>
        </is>
      </c>
      <c r="H3130" s="8" t="inlineStr">
        <is>
          <t>⏳ UPCOMING</t>
        </is>
      </c>
      <c r="I3130" s="11" t="inlineStr">
        <is>
          <t>Tender_2026_RCDF_582570_1_All_Documents.zip</t>
        </is>
      </c>
      <c r="J3130" s="13" t="inlineStr">
        <is>
          <t>📦 ZIP Package</t>
        </is>
      </c>
      <c r="K3130" s="15" t="n">
        <v>18.7</v>
      </c>
      <c r="L3130" s="16">
        <f>HYPERLINK("http://127.0.0.1:8000/api/documents/download?id=1280&amp;attachment=true", "⬇ Download Tender_2026_RCDF_582570_")</f>
        <v/>
      </c>
      <c r="M3130" s="16">
        <f>HYPERLINK("http://localhost:5173/?state=Rajasthan&amp;keyword=Empanelment&amp;tender=2026_RCDF_582570_1", "🚀 Open in Portal")</f>
        <v/>
      </c>
    </row>
    <row r="3131" ht="24" customHeight="1">
      <c r="A3131" s="4" t="inlineStr">
        <is>
          <t>Sikkim</t>
        </is>
      </c>
      <c r="B3131" s="5" t="inlineStr">
        <is>
          <t>GIS</t>
        </is>
      </c>
      <c r="C3131" s="6" t="inlineStr">
        <is>
          <t>2026_SIK_6610804_37</t>
        </is>
      </c>
      <c r="D3131" s="7" t="inlineStr">
        <is>
          <t>GIS-Based Drone LiDAR Survey &amp; Web GIS Geodatabase Integration for Smart Infrastructure</t>
        </is>
      </c>
      <c r="E3131" s="7" t="inlineStr">
        <is>
          <t>DIRECTORATE OF MUNICIPAL URBAN INFRASTRUCTURE</t>
        </is>
      </c>
      <c r="F3131" s="6" t="inlineStr">
        <is>
          <t>04 Oct 2026</t>
        </is>
      </c>
      <c r="G3131" s="5" t="inlineStr">
        <is>
          <t>14 Nov 2026</t>
        </is>
      </c>
      <c r="H3131" s="17" t="inlineStr">
        <is>
          <t>🟢 LIVE ACTIVE</t>
        </is>
      </c>
      <c r="I3131" s="4" t="inlineStr">
        <is>
          <t>Tendernotice_2026_SIK_6610804_37.pdf</t>
        </is>
      </c>
      <c r="J3131" s="6" t="inlineStr">
        <is>
          <t>📕 PDF Document</t>
        </is>
      </c>
      <c r="K3131" s="9" t="n">
        <v>17.9</v>
      </c>
      <c r="L3131" s="10">
        <f>HYPERLINK("http://127.0.0.1:8000/api/documents/download?id=3229&amp;attachment=true", "⬇ Download Tendernotice_2026_SIK_66")</f>
        <v/>
      </c>
      <c r="M3131" s="10">
        <f>HYPERLINK("http://localhost:5173/?state=Sikkim&amp;keyword=GIS&amp;tender=2026_SIK_6610804_37", "🚀 Open in Portal")</f>
        <v/>
      </c>
    </row>
    <row r="3132" ht="24" customHeight="1">
      <c r="A3132" s="11" t="inlineStr">
        <is>
          <t>Sikkim</t>
        </is>
      </c>
      <c r="B3132" s="12" t="inlineStr">
        <is>
          <t>GIS</t>
        </is>
      </c>
      <c r="C3132" s="13" t="inlineStr">
        <is>
          <t>2026_SIK_6610804_37</t>
        </is>
      </c>
      <c r="D3132" s="14" t="inlineStr">
        <is>
          <t>GIS-Based Drone LiDAR Survey &amp; Web GIS Geodatabase Integration for Smart Infrastructure</t>
        </is>
      </c>
      <c r="E3132" s="14" t="inlineStr">
        <is>
          <t>DIRECTORATE OF MUNICIPAL URBAN INFRASTRUCTURE</t>
        </is>
      </c>
      <c r="F3132" s="13" t="inlineStr">
        <is>
          <t>04 Oct 2026</t>
        </is>
      </c>
      <c r="G3132" s="12" t="inlineStr">
        <is>
          <t>14 Nov 2026</t>
        </is>
      </c>
      <c r="H3132" s="17" t="inlineStr">
        <is>
          <t>🟢 LIVE ACTIVE</t>
        </is>
      </c>
      <c r="I3132" s="11" t="inlineStr">
        <is>
          <t>Technical_RFP_Specification_GIS.pdf</t>
        </is>
      </c>
      <c r="J3132" s="13" t="inlineStr">
        <is>
          <t>📕 PDF Document</t>
        </is>
      </c>
      <c r="K3132" s="15" t="n">
        <v>17.9</v>
      </c>
      <c r="L3132" s="16">
        <f>HYPERLINK("http://127.0.0.1:8000/api/documents/download?id=3230&amp;attachment=true", "⬇ Download Technical_RFP_Specificat")</f>
        <v/>
      </c>
      <c r="M3132" s="16">
        <f>HYPERLINK("http://localhost:5173/?state=Sikkim&amp;keyword=GIS&amp;tender=2026_SIK_6610804_37", "🚀 Open in Portal")</f>
        <v/>
      </c>
    </row>
    <row r="3133" ht="24" customHeight="1">
      <c r="A3133" s="4" t="inlineStr">
        <is>
          <t>Sikkim</t>
        </is>
      </c>
      <c r="B3133" s="5" t="inlineStr">
        <is>
          <t>GIS</t>
        </is>
      </c>
      <c r="C3133" s="6" t="inlineStr">
        <is>
          <t>2026_SIK_6610804_37</t>
        </is>
      </c>
      <c r="D3133" s="7" t="inlineStr">
        <is>
          <t>GIS-Based Drone LiDAR Survey &amp; Web GIS Geodatabase Integration for Smart Infrastructure</t>
        </is>
      </c>
      <c r="E3133" s="7" t="inlineStr">
        <is>
          <t>DIRECTORATE OF MUNICIPAL URBAN INFRASTRUCTURE</t>
        </is>
      </c>
      <c r="F3133" s="6" t="inlineStr">
        <is>
          <t>04 Oct 2026</t>
        </is>
      </c>
      <c r="G3133" s="5" t="inlineStr">
        <is>
          <t>14 Nov 2026</t>
        </is>
      </c>
      <c r="H3133" s="17" t="inlineStr">
        <is>
          <t>🟢 LIVE ACTIVE</t>
        </is>
      </c>
      <c r="I3133" s="4" t="inlineStr">
        <is>
          <t>BOQ_Financial_Schedule_2026_SIK_6610804_37.xlsx</t>
        </is>
      </c>
      <c r="J3133" s="6" t="inlineStr">
        <is>
          <t>📊 Excel BOQ</t>
        </is>
      </c>
      <c r="K3133" s="9" t="n">
        <v>2.5</v>
      </c>
      <c r="L3133" s="10">
        <f>HYPERLINK("http://127.0.0.1:8000/api/documents/download?id=3231&amp;attachment=true", "⬇ Download BOQ_Financial_Schedule_2")</f>
        <v/>
      </c>
      <c r="M3133" s="10">
        <f>HYPERLINK("http://localhost:5173/?state=Sikkim&amp;keyword=GIS&amp;tender=2026_SIK_6610804_37", "🚀 Open in Portal")</f>
        <v/>
      </c>
    </row>
    <row r="3134" ht="24" customHeight="1">
      <c r="A3134" s="11" t="inlineStr">
        <is>
          <t>Sikkim</t>
        </is>
      </c>
      <c r="B3134" s="12" t="inlineStr">
        <is>
          <t>GIS</t>
        </is>
      </c>
      <c r="C3134" s="13" t="inlineStr">
        <is>
          <t>2026_SIK_6610804_37</t>
        </is>
      </c>
      <c r="D3134" s="14" t="inlineStr">
        <is>
          <t>GIS-Based Drone LiDAR Survey &amp; Web GIS Geodatabase Integration for Smart Infrastructure</t>
        </is>
      </c>
      <c r="E3134" s="14" t="inlineStr">
        <is>
          <t>DIRECTORATE OF MUNICIPAL URBAN INFRASTRUCTURE</t>
        </is>
      </c>
      <c r="F3134" s="13" t="inlineStr">
        <is>
          <t>04 Oct 2026</t>
        </is>
      </c>
      <c r="G3134" s="12" t="inlineStr">
        <is>
          <t>14 Nov 2026</t>
        </is>
      </c>
      <c r="H3134" s="17" t="inlineStr">
        <is>
          <t>🟢 LIVE ACTIVE</t>
        </is>
      </c>
      <c r="I3134" s="11" t="inlineStr">
        <is>
          <t>Tender_2026_SIK_6610804_37_All_Documents.zip</t>
        </is>
      </c>
      <c r="J3134" s="13" t="inlineStr">
        <is>
          <t>📦 ZIP Package</t>
        </is>
      </c>
      <c r="K3134" s="15" t="n">
        <v>45</v>
      </c>
      <c r="L3134" s="16">
        <f>HYPERLINK("https://sikkimtenders.gov.in/tender/2026_SIK_6610804_37", "⬇ Download Tender_2026_SIK_6610804_")</f>
        <v/>
      </c>
      <c r="M3134" s="16">
        <f>HYPERLINK("http://localhost:5173/?state=Sikkim&amp;keyword=GIS&amp;tender=2026_SIK_6610804_37", "🚀 Open in Portal")</f>
        <v/>
      </c>
    </row>
    <row r="3135" ht="24" customHeight="1">
      <c r="A3135" s="4" t="inlineStr">
        <is>
          <t>Sikkim</t>
        </is>
      </c>
      <c r="B3135" s="5" t="inlineStr">
        <is>
          <t>GIS</t>
        </is>
      </c>
      <c r="C3135" s="6" t="inlineStr">
        <is>
          <t>SIK-GIS-2026-4410</t>
        </is>
      </c>
      <c r="D3135" s="7" t="inlineStr">
        <is>
          <t>Glacial Lake Outburst Flood (GLOF) Early Warning System &amp; High Altitude GIS Hazard Mapping</t>
        </is>
      </c>
      <c r="E3135" s="7" t="inlineStr">
        <is>
          <t>SCIENCE &amp; TECHNOLOGY DEPARTMENT-Vigyan Bhawan, Deorali, Gangtok</t>
        </is>
      </c>
      <c r="F3135" s="6" t="inlineStr">
        <is>
          <t>13 Aug 2026</t>
        </is>
      </c>
      <c r="G3135" s="5" t="inlineStr">
        <is>
          <t>11 Sep 2026</t>
        </is>
      </c>
      <c r="H3135" s="8" t="inlineStr">
        <is>
          <t>⏳ UPCOMING</t>
        </is>
      </c>
      <c r="I3135" s="4" t="inlineStr">
        <is>
          <t>Sikkim_GLOF_Early_Warning_GIS_RFP.pdf</t>
        </is>
      </c>
      <c r="J3135" s="6" t="inlineStr">
        <is>
          <t>📕 PDF Document</t>
        </is>
      </c>
      <c r="K3135" s="9" t="n">
        <v>17.9</v>
      </c>
      <c r="L3135" s="10">
        <f>HYPERLINK("http://127.0.0.1:8000/api/documents/download?id=2854&amp;attachment=true", "⬇ Download Sikkim_GLOF_Early_Warnin")</f>
        <v/>
      </c>
      <c r="M3135" s="10">
        <f>HYPERLINK("http://localhost:5173/?state=Sikkim&amp;keyword=GIS&amp;tender=SIK-GIS-2026-4410", "🚀 Open in Portal")</f>
        <v/>
      </c>
    </row>
    <row r="3136" ht="24" customHeight="1">
      <c r="A3136" s="11" t="inlineStr">
        <is>
          <t>Sikkim</t>
        </is>
      </c>
      <c r="B3136" s="12" t="inlineStr">
        <is>
          <t>GIS</t>
        </is>
      </c>
      <c r="C3136" s="13" t="inlineStr">
        <is>
          <t>SIK-GIS-2026-4410</t>
        </is>
      </c>
      <c r="D3136" s="14" t="inlineStr">
        <is>
          <t>Glacial Lake Outburst Flood (GLOF) Early Warning System &amp; High Altitude GIS Hazard Mapping</t>
        </is>
      </c>
      <c r="E3136" s="14" t="inlineStr">
        <is>
          <t>SCIENCE &amp; TECHNOLOGY DEPARTMENT-Vigyan Bhawan, Deorali, Gangtok</t>
        </is>
      </c>
      <c r="F3136" s="13" t="inlineStr">
        <is>
          <t>13 Aug 2026</t>
        </is>
      </c>
      <c r="G3136" s="12" t="inlineStr">
        <is>
          <t>11 Sep 2026</t>
        </is>
      </c>
      <c r="H3136" s="8" t="inlineStr">
        <is>
          <t>⏳ UPCOMING</t>
        </is>
      </c>
      <c r="I3136" s="11" t="inlineStr">
        <is>
          <t>Satellite_InSAR_Processing_Specs.pdf</t>
        </is>
      </c>
      <c r="J3136" s="13" t="inlineStr">
        <is>
          <t>📕 PDF Document</t>
        </is>
      </c>
      <c r="K3136" s="15" t="n">
        <v>17.9</v>
      </c>
      <c r="L3136" s="16">
        <f>HYPERLINK("http://127.0.0.1:8000/api/documents/download?id=2855&amp;attachment=true", "⬇ Download Satellite_InSAR_Processi")</f>
        <v/>
      </c>
      <c r="M3136" s="16">
        <f>HYPERLINK("http://localhost:5173/?state=Sikkim&amp;keyword=GIS&amp;tender=SIK-GIS-2026-4410", "🚀 Open in Portal")</f>
        <v/>
      </c>
    </row>
    <row r="3137" ht="24" customHeight="1">
      <c r="A3137" s="4" t="inlineStr">
        <is>
          <t>Sikkim</t>
        </is>
      </c>
      <c r="B3137" s="5" t="inlineStr">
        <is>
          <t>GIS</t>
        </is>
      </c>
      <c r="C3137" s="6" t="inlineStr">
        <is>
          <t>SIK-GIS-2026-4410</t>
        </is>
      </c>
      <c r="D3137" s="7" t="inlineStr">
        <is>
          <t>Glacial Lake Outburst Flood (GLOF) Early Warning System &amp; High Altitude GIS Hazard Mapping</t>
        </is>
      </c>
      <c r="E3137" s="7" t="inlineStr">
        <is>
          <t>SCIENCE &amp; TECHNOLOGY DEPARTMENT-Vigyan Bhawan, Deorali, Gangtok</t>
        </is>
      </c>
      <c r="F3137" s="6" t="inlineStr">
        <is>
          <t>13 Aug 2026</t>
        </is>
      </c>
      <c r="G3137" s="5" t="inlineStr">
        <is>
          <t>11 Sep 2026</t>
        </is>
      </c>
      <c r="H3137" s="8" t="inlineStr">
        <is>
          <t>⏳ UPCOMING</t>
        </is>
      </c>
      <c r="I3137" s="4" t="inlineStr">
        <is>
          <t>Tender_SIK-GIS-2026-4410_All_Documents.zip</t>
        </is>
      </c>
      <c r="J3137" s="6" t="inlineStr">
        <is>
          <t>📦 ZIP Package</t>
        </is>
      </c>
      <c r="K3137" s="9" t="n">
        <v>18.6</v>
      </c>
      <c r="L3137" s="10">
        <f>HYPERLINK("http://127.0.0.1:8000/api/documents/download?id=2856&amp;attachment=true", "⬇ Download Tender_SIK-GIS-2026-4410")</f>
        <v/>
      </c>
      <c r="M3137" s="10">
        <f>HYPERLINK("http://localhost:5173/?state=Sikkim&amp;keyword=GIS&amp;tender=SIK-GIS-2026-4410", "🚀 Open in Portal")</f>
        <v/>
      </c>
    </row>
    <row r="3138" ht="24" customHeight="1">
      <c r="A3138" s="11" t="inlineStr">
        <is>
          <t>Sikkim</t>
        </is>
      </c>
      <c r="B3138" s="12" t="inlineStr">
        <is>
          <t>Agriculture</t>
        </is>
      </c>
      <c r="C3138" s="13" t="inlineStr">
        <is>
          <t>SIK-AGRI-2026-2219</t>
        </is>
      </c>
      <c r="D3138" s="14" t="inlineStr">
        <is>
          <t>100% Organic Farming Compliance Blockchain Traceability Platform &amp; Farmer App</t>
        </is>
      </c>
      <c r="E3138" s="14" t="inlineStr">
        <is>
          <t>AGRICULTURE &amp; HORTICULTURE DEPARTMENT-Krishi Bhawan, Tadong</t>
        </is>
      </c>
      <c r="F3138" s="13" t="inlineStr">
        <is>
          <t>11 Sep 2026</t>
        </is>
      </c>
      <c r="G3138" s="12" t="inlineStr">
        <is>
          <t>06 Oct 2026</t>
        </is>
      </c>
      <c r="H3138" s="8" t="inlineStr">
        <is>
          <t>⏳ UPCOMING</t>
        </is>
      </c>
      <c r="I3138" s="11" t="inlineStr">
        <is>
          <t>Organic_Farming_Blockchain_RFP.pdf</t>
        </is>
      </c>
      <c r="J3138" s="13" t="inlineStr">
        <is>
          <t>📕 PDF Document</t>
        </is>
      </c>
      <c r="K3138" s="15" t="n">
        <v>17.9</v>
      </c>
      <c r="L3138" s="16">
        <f>HYPERLINK("http://127.0.0.1:8000/api/documents/download?id=2857&amp;attachment=true", "⬇ Download Organic_Farming_Blockcha")</f>
        <v/>
      </c>
      <c r="M3138" s="16">
        <f>HYPERLINK("http://localhost:5173/?state=Sikkim&amp;keyword=Agriculture&amp;tender=SIK-AGRI-2026-2219", "🚀 Open in Portal")</f>
        <v/>
      </c>
    </row>
    <row r="3139" ht="24" customHeight="1">
      <c r="A3139" s="4" t="inlineStr">
        <is>
          <t>Sikkim</t>
        </is>
      </c>
      <c r="B3139" s="5" t="inlineStr">
        <is>
          <t>Agriculture</t>
        </is>
      </c>
      <c r="C3139" s="6" t="inlineStr">
        <is>
          <t>SIK-AGRI-2026-2219</t>
        </is>
      </c>
      <c r="D3139" s="7" t="inlineStr">
        <is>
          <t>100% Organic Farming Compliance Blockchain Traceability Platform &amp; Farmer App</t>
        </is>
      </c>
      <c r="E3139" s="7" t="inlineStr">
        <is>
          <t>AGRICULTURE &amp; HORTICULTURE DEPARTMENT-Krishi Bhawan, Tadong</t>
        </is>
      </c>
      <c r="F3139" s="6" t="inlineStr">
        <is>
          <t>11 Sep 2026</t>
        </is>
      </c>
      <c r="G3139" s="5" t="inlineStr">
        <is>
          <t>06 Oct 2026</t>
        </is>
      </c>
      <c r="H3139" s="8" t="inlineStr">
        <is>
          <t>⏳ UPCOMING</t>
        </is>
      </c>
      <c r="I3139" s="4" t="inlineStr">
        <is>
          <t>Smart_Contract_Security_Audit_Requirements.pdf</t>
        </is>
      </c>
      <c r="J3139" s="6" t="inlineStr">
        <is>
          <t>📕 PDF Document</t>
        </is>
      </c>
      <c r="K3139" s="9" t="n">
        <v>17.9</v>
      </c>
      <c r="L3139" s="10">
        <f>HYPERLINK("http://127.0.0.1:8000/api/documents/download?id=2858&amp;attachment=true", "⬇ Download Smart_Contract_Security_")</f>
        <v/>
      </c>
      <c r="M3139" s="10">
        <f>HYPERLINK("http://localhost:5173/?state=Sikkim&amp;keyword=Agriculture&amp;tender=SIK-AGRI-2026-2219", "🚀 Open in Portal")</f>
        <v/>
      </c>
    </row>
    <row r="3140" ht="24" customHeight="1">
      <c r="A3140" s="11" t="inlineStr">
        <is>
          <t>Sikkim</t>
        </is>
      </c>
      <c r="B3140" s="12" t="inlineStr">
        <is>
          <t>Agriculture</t>
        </is>
      </c>
      <c r="C3140" s="13" t="inlineStr">
        <is>
          <t>SIK-AGRI-2026-2219</t>
        </is>
      </c>
      <c r="D3140" s="14" t="inlineStr">
        <is>
          <t>100% Organic Farming Compliance Blockchain Traceability Platform &amp; Farmer App</t>
        </is>
      </c>
      <c r="E3140" s="14" t="inlineStr">
        <is>
          <t>AGRICULTURE &amp; HORTICULTURE DEPARTMENT-Krishi Bhawan, Tadong</t>
        </is>
      </c>
      <c r="F3140" s="13" t="inlineStr">
        <is>
          <t>11 Sep 2026</t>
        </is>
      </c>
      <c r="G3140" s="12" t="inlineStr">
        <is>
          <t>06 Oct 2026</t>
        </is>
      </c>
      <c r="H3140" s="8" t="inlineStr">
        <is>
          <t>⏳ UPCOMING</t>
        </is>
      </c>
      <c r="I3140" s="11" t="inlineStr">
        <is>
          <t>Farmer_Mobile_App_UI_UX.pdf</t>
        </is>
      </c>
      <c r="J3140" s="13" t="inlineStr">
        <is>
          <t>📕 PDF Document</t>
        </is>
      </c>
      <c r="K3140" s="15" t="n">
        <v>17.9</v>
      </c>
      <c r="L3140" s="16">
        <f>HYPERLINK("http://127.0.0.1:8000/api/documents/download?id=2859&amp;attachment=true", "⬇ Download Farmer_Mobile_App_UI_UX.")</f>
        <v/>
      </c>
      <c r="M3140" s="16">
        <f>HYPERLINK("http://localhost:5173/?state=Sikkim&amp;keyword=Agriculture&amp;tender=SIK-AGRI-2026-2219", "🚀 Open in Portal")</f>
        <v/>
      </c>
    </row>
    <row r="3141" ht="24" customHeight="1">
      <c r="A3141" s="4" t="inlineStr">
        <is>
          <t>Sikkim</t>
        </is>
      </c>
      <c r="B3141" s="5" t="inlineStr">
        <is>
          <t>Agriculture</t>
        </is>
      </c>
      <c r="C3141" s="6" t="inlineStr">
        <is>
          <t>SIK-AGRI-2026-2219</t>
        </is>
      </c>
      <c r="D3141" s="7" t="inlineStr">
        <is>
          <t>100% Organic Farming Compliance Blockchain Traceability Platform &amp; Farmer App</t>
        </is>
      </c>
      <c r="E3141" s="7" t="inlineStr">
        <is>
          <t>AGRICULTURE &amp; HORTICULTURE DEPARTMENT-Krishi Bhawan, Tadong</t>
        </is>
      </c>
      <c r="F3141" s="6" t="inlineStr">
        <is>
          <t>11 Sep 2026</t>
        </is>
      </c>
      <c r="G3141" s="5" t="inlineStr">
        <is>
          <t>06 Oct 2026</t>
        </is>
      </c>
      <c r="H3141" s="8" t="inlineStr">
        <is>
          <t>⏳ UPCOMING</t>
        </is>
      </c>
      <c r="I3141" s="4" t="inlineStr">
        <is>
          <t>Tender_SIK-AGRI-2026-2219_All_Documents.zip</t>
        </is>
      </c>
      <c r="J3141" s="6" t="inlineStr">
        <is>
          <t>📦 ZIP Package</t>
        </is>
      </c>
      <c r="K3141" s="9" t="n">
        <v>28</v>
      </c>
      <c r="L3141" s="10">
        <f>HYPERLINK("http://127.0.0.1:8000/api/documents/download?id=3028&amp;attachment=true", "⬇ Download Tender_SIK-AGRI-2026-221")</f>
        <v/>
      </c>
      <c r="M3141" s="10">
        <f>HYPERLINK("http://localhost:5173/?state=Sikkim&amp;keyword=Agriculture&amp;tender=SIK-AGRI-2026-2219", "🚀 Open in Portal")</f>
        <v/>
      </c>
    </row>
    <row r="3142" ht="24" customHeight="1">
      <c r="A3142" s="11" t="inlineStr">
        <is>
          <t>Sikkim</t>
        </is>
      </c>
      <c r="B3142" s="12" t="inlineStr">
        <is>
          <t>Forest</t>
        </is>
      </c>
      <c r="C3142" s="13" t="inlineStr">
        <is>
          <t>2026_SIK_5172243_92</t>
        </is>
      </c>
      <c r="D3142" s="14" t="inlineStr">
        <is>
          <t>Forest-Based Satellite-Based Forest Canopy Density &amp; Wildlife Corridor Spatial Monitoring</t>
        </is>
      </c>
      <c r="E3142" s="14" t="inlineStr">
        <is>
          <t>STATE FOREST &amp; ENVIRONMENT DEPARTMENT</t>
        </is>
      </c>
      <c r="F3142" s="13" t="inlineStr">
        <is>
          <t>31 Jul 2026</t>
        </is>
      </c>
      <c r="G3142" s="12" t="inlineStr">
        <is>
          <t>25 Aug 2026</t>
        </is>
      </c>
      <c r="H3142" s="8" t="inlineStr">
        <is>
          <t>⏳ UPCOMING</t>
        </is>
      </c>
      <c r="I3142" s="11" t="inlineStr">
        <is>
          <t>Tendernotice_2026_SIK_5172243_92.pdf</t>
        </is>
      </c>
      <c r="J3142" s="13" t="inlineStr">
        <is>
          <t>📕 PDF Document</t>
        </is>
      </c>
      <c r="K3142" s="15" t="n">
        <v>7.7</v>
      </c>
      <c r="L3142" s="16">
        <f>HYPERLINK("http://127.0.0.1:8000/api/documents/download?id=3421&amp;attachment=true", "⬇ Download Tendernotice_2026_SIK_51")</f>
        <v/>
      </c>
      <c r="M3142" s="16">
        <f>HYPERLINK("http://localhost:5173/?state=Sikkim&amp;keyword=Forest&amp;tender=2026_SIK_5172243_92", "🚀 Open in Portal")</f>
        <v/>
      </c>
    </row>
    <row r="3143" ht="24" customHeight="1">
      <c r="A3143" s="4" t="inlineStr">
        <is>
          <t>Sikkim</t>
        </is>
      </c>
      <c r="B3143" s="5" t="inlineStr">
        <is>
          <t>Forest</t>
        </is>
      </c>
      <c r="C3143" s="6" t="inlineStr">
        <is>
          <t>2026_SIK_5172243_92</t>
        </is>
      </c>
      <c r="D3143" s="7" t="inlineStr">
        <is>
          <t>Forest-Based Satellite-Based Forest Canopy Density &amp; Wildlife Corridor Spatial Monitoring</t>
        </is>
      </c>
      <c r="E3143" s="7" t="inlineStr">
        <is>
          <t>STATE FOREST &amp; ENVIRONMENT DEPARTMENT</t>
        </is>
      </c>
      <c r="F3143" s="6" t="inlineStr">
        <is>
          <t>31 Jul 2026</t>
        </is>
      </c>
      <c r="G3143" s="5" t="inlineStr">
        <is>
          <t>25 Aug 2026</t>
        </is>
      </c>
      <c r="H3143" s="8" t="inlineStr">
        <is>
          <t>⏳ UPCOMING</t>
        </is>
      </c>
      <c r="I3143" s="4" t="inlineStr">
        <is>
          <t>Technical_RFP_Specification_Forest.pdf</t>
        </is>
      </c>
      <c r="J3143" s="6" t="inlineStr">
        <is>
          <t>📕 PDF Document</t>
        </is>
      </c>
      <c r="K3143" s="9" t="n">
        <v>7.7</v>
      </c>
      <c r="L3143" s="10">
        <f>HYPERLINK("http://127.0.0.1:8000/api/documents/download?id=3422&amp;attachment=true", "⬇ Download Technical_RFP_Specificat")</f>
        <v/>
      </c>
      <c r="M3143" s="10">
        <f>HYPERLINK("http://localhost:5173/?state=Sikkim&amp;keyword=Forest&amp;tender=2026_SIK_5172243_92", "🚀 Open in Portal")</f>
        <v/>
      </c>
    </row>
    <row r="3144" ht="24" customHeight="1">
      <c r="A3144" s="11" t="inlineStr">
        <is>
          <t>Sikkim</t>
        </is>
      </c>
      <c r="B3144" s="12" t="inlineStr">
        <is>
          <t>Forest</t>
        </is>
      </c>
      <c r="C3144" s="13" t="inlineStr">
        <is>
          <t>2026_SIK_5172243_92</t>
        </is>
      </c>
      <c r="D3144" s="14" t="inlineStr">
        <is>
          <t>Forest-Based Satellite-Based Forest Canopy Density &amp; Wildlife Corridor Spatial Monitoring</t>
        </is>
      </c>
      <c r="E3144" s="14" t="inlineStr">
        <is>
          <t>STATE FOREST &amp; ENVIRONMENT DEPARTMENT</t>
        </is>
      </c>
      <c r="F3144" s="13" t="inlineStr">
        <is>
          <t>31 Jul 2026</t>
        </is>
      </c>
      <c r="G3144" s="12" t="inlineStr">
        <is>
          <t>25 Aug 2026</t>
        </is>
      </c>
      <c r="H3144" s="8" t="inlineStr">
        <is>
          <t>⏳ UPCOMING</t>
        </is>
      </c>
      <c r="I3144" s="11" t="inlineStr">
        <is>
          <t>BOQ_Financial_Schedule_2026_SIK_5172243_92.xlsx</t>
        </is>
      </c>
      <c r="J3144" s="13" t="inlineStr">
        <is>
          <t>📊 Excel BOQ</t>
        </is>
      </c>
      <c r="K3144" s="15" t="n">
        <v>5.9</v>
      </c>
      <c r="L3144" s="16">
        <f>HYPERLINK("http://127.0.0.1:8000/api/documents/download?id=3423&amp;attachment=true", "⬇ Download BOQ_Financial_Schedule_2")</f>
        <v/>
      </c>
      <c r="M3144" s="16">
        <f>HYPERLINK("http://localhost:5173/?state=Sikkim&amp;keyword=Forest&amp;tender=2026_SIK_5172243_92", "🚀 Open in Portal")</f>
        <v/>
      </c>
    </row>
    <row r="3145" ht="24" customHeight="1">
      <c r="A3145" s="4" t="inlineStr">
        <is>
          <t>Sikkim</t>
        </is>
      </c>
      <c r="B3145" s="5" t="inlineStr">
        <is>
          <t>Forest</t>
        </is>
      </c>
      <c r="C3145" s="6" t="inlineStr">
        <is>
          <t>2026_SIK_5172243_92</t>
        </is>
      </c>
      <c r="D3145" s="7" t="inlineStr">
        <is>
          <t>Forest-Based Satellite-Based Forest Canopy Density &amp; Wildlife Corridor Spatial Monitoring</t>
        </is>
      </c>
      <c r="E3145" s="7" t="inlineStr">
        <is>
          <t>STATE FOREST &amp; ENVIRONMENT DEPARTMENT</t>
        </is>
      </c>
      <c r="F3145" s="6" t="inlineStr">
        <is>
          <t>31 Jul 2026</t>
        </is>
      </c>
      <c r="G3145" s="5" t="inlineStr">
        <is>
          <t>25 Aug 2026</t>
        </is>
      </c>
      <c r="H3145" s="8" t="inlineStr">
        <is>
          <t>⏳ UPCOMING</t>
        </is>
      </c>
      <c r="I3145" s="4" t="inlineStr">
        <is>
          <t>Tender_2026_SIK_5172243_92_All_Documents.zip</t>
        </is>
      </c>
      <c r="J3145" s="6" t="inlineStr">
        <is>
          <t>📦 ZIP Package</t>
        </is>
      </c>
      <c r="K3145" s="9" t="n">
        <v>45</v>
      </c>
      <c r="L3145" s="10">
        <f>HYPERLINK("https://sikkimtenders.gov.in/tender/2026_SIK_5172243_92", "⬇ Download Tender_2026_SIK_5172243_")</f>
        <v/>
      </c>
      <c r="M3145" s="10">
        <f>HYPERLINK("http://localhost:5173/?state=Sikkim&amp;keyword=Forest&amp;tender=2026_SIK_5172243_92", "🚀 Open in Portal")</f>
        <v/>
      </c>
    </row>
    <row r="3146" ht="24" customHeight="1">
      <c r="A3146" s="11" t="inlineStr">
        <is>
          <t>Sikkim</t>
        </is>
      </c>
      <c r="B3146" s="12" t="inlineStr">
        <is>
          <t>Forest</t>
        </is>
      </c>
      <c r="C3146" s="13" t="inlineStr">
        <is>
          <t>2026_SIK_7913625_53</t>
        </is>
      </c>
      <c r="D3146" s="14" t="inlineStr">
        <is>
          <t>Forest-Based Satellite-Based Forest Canopy Density &amp; Wildlife Corridor Spatial Monitoring</t>
        </is>
      </c>
      <c r="E3146" s="14" t="inlineStr">
        <is>
          <t>STATE FOREST &amp; ENVIRONMENT DEPARTMENT</t>
        </is>
      </c>
      <c r="F3146" s="13" t="inlineStr">
        <is>
          <t>09 Aug 2026</t>
        </is>
      </c>
      <c r="G3146" s="12" t="inlineStr">
        <is>
          <t>01 Sep 2026</t>
        </is>
      </c>
      <c r="H3146" s="8" t="inlineStr">
        <is>
          <t>⏳ UPCOMING</t>
        </is>
      </c>
      <c r="I3146" s="11" t="inlineStr">
        <is>
          <t>Tendernotice_2026_SIK_7913625_53.pdf</t>
        </is>
      </c>
      <c r="J3146" s="13" t="inlineStr">
        <is>
          <t>📕 PDF Document</t>
        </is>
      </c>
      <c r="K3146" s="15" t="n">
        <v>17.9</v>
      </c>
      <c r="L3146" s="16">
        <f>HYPERLINK("http://127.0.0.1:8000/api/documents/download?id=3129&amp;attachment=true", "⬇ Download Tendernotice_2026_SIK_79")</f>
        <v/>
      </c>
      <c r="M3146" s="16">
        <f>HYPERLINK("http://localhost:5173/?state=Sikkim&amp;keyword=Forest&amp;tender=2026_SIK_7913625_53", "🚀 Open in Portal")</f>
        <v/>
      </c>
    </row>
    <row r="3147" ht="24" customHeight="1">
      <c r="A3147" s="4" t="inlineStr">
        <is>
          <t>Sikkim</t>
        </is>
      </c>
      <c r="B3147" s="5" t="inlineStr">
        <is>
          <t>Forest</t>
        </is>
      </c>
      <c r="C3147" s="6" t="inlineStr">
        <is>
          <t>2026_SIK_7913625_53</t>
        </is>
      </c>
      <c r="D3147" s="7" t="inlineStr">
        <is>
          <t>Forest-Based Satellite-Based Forest Canopy Density &amp; Wildlife Corridor Spatial Monitoring</t>
        </is>
      </c>
      <c r="E3147" s="7" t="inlineStr">
        <is>
          <t>STATE FOREST &amp; ENVIRONMENT DEPARTMENT</t>
        </is>
      </c>
      <c r="F3147" s="6" t="inlineStr">
        <is>
          <t>09 Aug 2026</t>
        </is>
      </c>
      <c r="G3147" s="5" t="inlineStr">
        <is>
          <t>01 Sep 2026</t>
        </is>
      </c>
      <c r="H3147" s="8" t="inlineStr">
        <is>
          <t>⏳ UPCOMING</t>
        </is>
      </c>
      <c r="I3147" s="4" t="inlineStr">
        <is>
          <t>Technical_RFP_Specification_Forest.pdf</t>
        </is>
      </c>
      <c r="J3147" s="6" t="inlineStr">
        <is>
          <t>📕 PDF Document</t>
        </is>
      </c>
      <c r="K3147" s="9" t="n">
        <v>17.9</v>
      </c>
      <c r="L3147" s="10">
        <f>HYPERLINK("http://127.0.0.1:8000/api/documents/download?id=3130&amp;attachment=true", "⬇ Download Technical_RFP_Specificat")</f>
        <v/>
      </c>
      <c r="M3147" s="10">
        <f>HYPERLINK("http://localhost:5173/?state=Sikkim&amp;keyword=Forest&amp;tender=2026_SIK_7913625_53", "🚀 Open in Portal")</f>
        <v/>
      </c>
    </row>
    <row r="3148" ht="24" customHeight="1">
      <c r="A3148" s="11" t="inlineStr">
        <is>
          <t>Sikkim</t>
        </is>
      </c>
      <c r="B3148" s="12" t="inlineStr">
        <is>
          <t>Forest</t>
        </is>
      </c>
      <c r="C3148" s="13" t="inlineStr">
        <is>
          <t>2026_SIK_7913625_53</t>
        </is>
      </c>
      <c r="D3148" s="14" t="inlineStr">
        <is>
          <t>Forest-Based Satellite-Based Forest Canopy Density &amp; Wildlife Corridor Spatial Monitoring</t>
        </is>
      </c>
      <c r="E3148" s="14" t="inlineStr">
        <is>
          <t>STATE FOREST &amp; ENVIRONMENT DEPARTMENT</t>
        </is>
      </c>
      <c r="F3148" s="13" t="inlineStr">
        <is>
          <t>09 Aug 2026</t>
        </is>
      </c>
      <c r="G3148" s="12" t="inlineStr">
        <is>
          <t>01 Sep 2026</t>
        </is>
      </c>
      <c r="H3148" s="8" t="inlineStr">
        <is>
          <t>⏳ UPCOMING</t>
        </is>
      </c>
      <c r="I3148" s="11" t="inlineStr">
        <is>
          <t>BOQ_Financial_Schedule_2026_SIK_7913625_53.xlsx</t>
        </is>
      </c>
      <c r="J3148" s="13" t="inlineStr">
        <is>
          <t>📊 Excel BOQ</t>
        </is>
      </c>
      <c r="K3148" s="15" t="n">
        <v>2.5</v>
      </c>
      <c r="L3148" s="16">
        <f>HYPERLINK("http://127.0.0.1:8000/api/documents/download?id=3131&amp;attachment=true", "⬇ Download BOQ_Financial_Schedule_2")</f>
        <v/>
      </c>
      <c r="M3148" s="16">
        <f>HYPERLINK("http://localhost:5173/?state=Sikkim&amp;keyword=Forest&amp;tender=2026_SIK_7913625_53", "🚀 Open in Portal")</f>
        <v/>
      </c>
    </row>
    <row r="3149" ht="24" customHeight="1">
      <c r="A3149" s="4" t="inlineStr">
        <is>
          <t>Sikkim</t>
        </is>
      </c>
      <c r="B3149" s="5" t="inlineStr">
        <is>
          <t>Forest</t>
        </is>
      </c>
      <c r="C3149" s="6" t="inlineStr">
        <is>
          <t>2026_SIK_7913625_53</t>
        </is>
      </c>
      <c r="D3149" s="7" t="inlineStr">
        <is>
          <t>Forest-Based Satellite-Based Forest Canopy Density &amp; Wildlife Corridor Spatial Monitoring</t>
        </is>
      </c>
      <c r="E3149" s="7" t="inlineStr">
        <is>
          <t>STATE FOREST &amp; ENVIRONMENT DEPARTMENT</t>
        </is>
      </c>
      <c r="F3149" s="6" t="inlineStr">
        <is>
          <t>09 Aug 2026</t>
        </is>
      </c>
      <c r="G3149" s="5" t="inlineStr">
        <is>
          <t>01 Sep 2026</t>
        </is>
      </c>
      <c r="H3149" s="8" t="inlineStr">
        <is>
          <t>⏳ UPCOMING</t>
        </is>
      </c>
      <c r="I3149" s="4" t="inlineStr">
        <is>
          <t>Tender_2026_SIK_7913625_53_All_Documents.zip</t>
        </is>
      </c>
      <c r="J3149" s="6" t="inlineStr">
        <is>
          <t>📦 ZIP Package</t>
        </is>
      </c>
      <c r="K3149" s="9" t="n">
        <v>45</v>
      </c>
      <c r="L3149" s="10">
        <f>HYPERLINK("https://sikkimtenders.gov.in/tender/2026_SIK_7913625_53", "⬇ Download Tender_2026_SIK_7913625_")</f>
        <v/>
      </c>
      <c r="M3149" s="10">
        <f>HYPERLINK("http://localhost:5173/?state=Sikkim&amp;keyword=Forest&amp;tender=2026_SIK_7913625_53", "🚀 Open in Portal")</f>
        <v/>
      </c>
    </row>
    <row r="3150" ht="24" customHeight="1">
      <c r="A3150" s="11" t="inlineStr">
        <is>
          <t>Sikkim</t>
        </is>
      </c>
      <c r="B3150" s="12" t="inlineStr">
        <is>
          <t>Forest</t>
        </is>
      </c>
      <c r="C3150" s="13" t="inlineStr">
        <is>
          <t>SIK-FOREST-2026-9912</t>
        </is>
      </c>
      <c r="D3150" s="14" t="inlineStr">
        <is>
          <t>Alpine Forest Eco-Tourism Geo-Portal and Wildlife Habitat Conservation System</t>
        </is>
      </c>
      <c r="E3150" s="14" t="inlineStr">
        <is>
          <t>FORESTS &amp; ENVIRONMENT DEPARTMENT-Forest Secretariat, Deorali</t>
        </is>
      </c>
      <c r="F3150" s="13" t="inlineStr">
        <is>
          <t>10 Oct 2026</t>
        </is>
      </c>
      <c r="G3150" s="12" t="inlineStr">
        <is>
          <t>25 Oct 2026</t>
        </is>
      </c>
      <c r="H3150" s="17" t="inlineStr">
        <is>
          <t>🟢 LIVE ACTIVE</t>
        </is>
      </c>
      <c r="I3150" s="11" t="inlineStr">
        <is>
          <t>Alpine_Forest_GeoPortal_Tender.pdf</t>
        </is>
      </c>
      <c r="J3150" s="13" t="inlineStr">
        <is>
          <t>📕 PDF Document</t>
        </is>
      </c>
      <c r="K3150" s="15" t="n">
        <v>17.9</v>
      </c>
      <c r="L3150" s="16">
        <f>HYPERLINK("http://127.0.0.1:8000/api/documents/download?id=2860&amp;attachment=true", "⬇ Download Alpine_Forest_GeoPortal_")</f>
        <v/>
      </c>
      <c r="M3150" s="16">
        <f>HYPERLINK("http://localhost:5173/?state=Sikkim&amp;keyword=Forest&amp;tender=SIK-FOREST-2026-9912", "🚀 Open in Portal")</f>
        <v/>
      </c>
    </row>
    <row r="3151" ht="24" customHeight="1">
      <c r="A3151" s="4" t="inlineStr">
        <is>
          <t>Sikkim</t>
        </is>
      </c>
      <c r="B3151" s="5" t="inlineStr">
        <is>
          <t>Forest</t>
        </is>
      </c>
      <c r="C3151" s="6" t="inlineStr">
        <is>
          <t>SIK-FOREST-2026-9912</t>
        </is>
      </c>
      <c r="D3151" s="7" t="inlineStr">
        <is>
          <t>Alpine Forest Eco-Tourism Geo-Portal and Wildlife Habitat Conservation System</t>
        </is>
      </c>
      <c r="E3151" s="7" t="inlineStr">
        <is>
          <t>FORESTS &amp; ENVIRONMENT DEPARTMENT-Forest Secretariat, Deorali</t>
        </is>
      </c>
      <c r="F3151" s="6" t="inlineStr">
        <is>
          <t>10 Oct 2026</t>
        </is>
      </c>
      <c r="G3151" s="5" t="inlineStr">
        <is>
          <t>25 Oct 2026</t>
        </is>
      </c>
      <c r="H3151" s="17" t="inlineStr">
        <is>
          <t>🟢 LIVE ACTIVE</t>
        </is>
      </c>
      <c r="I3151" s="4" t="inlineStr">
        <is>
          <t>Trail_Mapping_GPS_Format.pdf</t>
        </is>
      </c>
      <c r="J3151" s="6" t="inlineStr">
        <is>
          <t>📕 PDF Document</t>
        </is>
      </c>
      <c r="K3151" s="9" t="n">
        <v>17.9</v>
      </c>
      <c r="L3151" s="10">
        <f>HYPERLINK("http://127.0.0.1:8000/api/documents/download?id=2861&amp;attachment=true", "⬇ Download Trail_Mapping_GPS_Format")</f>
        <v/>
      </c>
      <c r="M3151" s="10">
        <f>HYPERLINK("http://localhost:5173/?state=Sikkim&amp;keyword=Forest&amp;tender=SIK-FOREST-2026-9912", "🚀 Open in Portal")</f>
        <v/>
      </c>
    </row>
    <row r="3152" ht="24" customHeight="1">
      <c r="A3152" s="11" t="inlineStr">
        <is>
          <t>Sikkim</t>
        </is>
      </c>
      <c r="B3152" s="12" t="inlineStr">
        <is>
          <t>Forest</t>
        </is>
      </c>
      <c r="C3152" s="13" t="inlineStr">
        <is>
          <t>SIK-FOREST-2026-9912</t>
        </is>
      </c>
      <c r="D3152" s="14" t="inlineStr">
        <is>
          <t>Alpine Forest Eco-Tourism Geo-Portal and Wildlife Habitat Conservation System</t>
        </is>
      </c>
      <c r="E3152" s="14" t="inlineStr">
        <is>
          <t>FORESTS &amp; ENVIRONMENT DEPARTMENT-Forest Secretariat, Deorali</t>
        </is>
      </c>
      <c r="F3152" s="13" t="inlineStr">
        <is>
          <t>10 Oct 2026</t>
        </is>
      </c>
      <c r="G3152" s="12" t="inlineStr">
        <is>
          <t>25 Oct 2026</t>
        </is>
      </c>
      <c r="H3152" s="17" t="inlineStr">
        <is>
          <t>🟢 LIVE ACTIVE</t>
        </is>
      </c>
      <c r="I3152" s="11" t="inlineStr">
        <is>
          <t>Tender_SIK-FOREST-2026-9912_All_Documents.zip</t>
        </is>
      </c>
      <c r="J3152" s="13" t="inlineStr">
        <is>
          <t>📦 ZIP Package</t>
        </is>
      </c>
      <c r="K3152" s="15" t="n">
        <v>18.5</v>
      </c>
      <c r="L3152" s="16">
        <f>HYPERLINK("http://127.0.0.1:8000/api/documents/download?id=3029&amp;attachment=true", "⬇ Download Tender_SIK-FOREST-2026-9")</f>
        <v/>
      </c>
      <c r="M3152" s="16">
        <f>HYPERLINK("http://localhost:5173/?state=Sikkim&amp;keyword=Forest&amp;tender=SIK-FOREST-2026-9912", "🚀 Open in Portal")</f>
        <v/>
      </c>
    </row>
    <row r="3153" ht="24" customHeight="1">
      <c r="A3153" s="4" t="inlineStr">
        <is>
          <t>Sikkim</t>
        </is>
      </c>
      <c r="B3153" s="5" t="inlineStr">
        <is>
          <t>Climate Change</t>
        </is>
      </c>
      <c r="C3153" s="6" t="inlineStr">
        <is>
          <t>SIK-GIS-2026-4410</t>
        </is>
      </c>
      <c r="D3153" s="7" t="inlineStr">
        <is>
          <t>Glacial Lake Outburst Flood (GLOF) Early Warning System &amp; High Altitude GIS Hazard Mapping</t>
        </is>
      </c>
      <c r="E3153" s="7" t="inlineStr">
        <is>
          <t>SCIENCE &amp; TECHNOLOGY DEPARTMENT-Vigyan Bhawan, Deorali, Gangtok</t>
        </is>
      </c>
      <c r="F3153" s="6" t="inlineStr">
        <is>
          <t>13 Aug 2026</t>
        </is>
      </c>
      <c r="G3153" s="5" t="inlineStr">
        <is>
          <t>11 Sep 2026</t>
        </is>
      </c>
      <c r="H3153" s="8" t="inlineStr">
        <is>
          <t>⏳ UPCOMING</t>
        </is>
      </c>
      <c r="I3153" s="4" t="inlineStr">
        <is>
          <t>Sikkim_GLOF_Early_Warning_GIS_RFP.pdf</t>
        </is>
      </c>
      <c r="J3153" s="6" t="inlineStr">
        <is>
          <t>📕 PDF Document</t>
        </is>
      </c>
      <c r="K3153" s="9" t="n">
        <v>17.9</v>
      </c>
      <c r="L3153" s="10">
        <f>HYPERLINK("http://127.0.0.1:8000/api/documents/download?id=2854&amp;attachment=true", "⬇ Download Sikkim_GLOF_Early_Warnin")</f>
        <v/>
      </c>
      <c r="M3153" s="10">
        <f>HYPERLINK("http://localhost:5173/?state=Sikkim&amp;keyword=Climate%20Change&amp;tender=SIK-GIS-2026-4410", "🚀 Open in Portal")</f>
        <v/>
      </c>
    </row>
    <row r="3154" ht="24" customHeight="1">
      <c r="A3154" s="11" t="inlineStr">
        <is>
          <t>Sikkim</t>
        </is>
      </c>
      <c r="B3154" s="12" t="inlineStr">
        <is>
          <t>Climate Change</t>
        </is>
      </c>
      <c r="C3154" s="13" t="inlineStr">
        <is>
          <t>SIK-GIS-2026-4410</t>
        </is>
      </c>
      <c r="D3154" s="14" t="inlineStr">
        <is>
          <t>Glacial Lake Outburst Flood (GLOF) Early Warning System &amp; High Altitude GIS Hazard Mapping</t>
        </is>
      </c>
      <c r="E3154" s="14" t="inlineStr">
        <is>
          <t>SCIENCE &amp; TECHNOLOGY DEPARTMENT-Vigyan Bhawan, Deorali, Gangtok</t>
        </is>
      </c>
      <c r="F3154" s="13" t="inlineStr">
        <is>
          <t>13 Aug 2026</t>
        </is>
      </c>
      <c r="G3154" s="12" t="inlineStr">
        <is>
          <t>11 Sep 2026</t>
        </is>
      </c>
      <c r="H3154" s="8" t="inlineStr">
        <is>
          <t>⏳ UPCOMING</t>
        </is>
      </c>
      <c r="I3154" s="11" t="inlineStr">
        <is>
          <t>Satellite_InSAR_Processing_Specs.pdf</t>
        </is>
      </c>
      <c r="J3154" s="13" t="inlineStr">
        <is>
          <t>📕 PDF Document</t>
        </is>
      </c>
      <c r="K3154" s="15" t="n">
        <v>17.9</v>
      </c>
      <c r="L3154" s="16">
        <f>HYPERLINK("http://127.0.0.1:8000/api/documents/download?id=2855&amp;attachment=true", "⬇ Download Satellite_InSAR_Processi")</f>
        <v/>
      </c>
      <c r="M3154" s="16">
        <f>HYPERLINK("http://localhost:5173/?state=Sikkim&amp;keyword=Climate%20Change&amp;tender=SIK-GIS-2026-4410", "🚀 Open in Portal")</f>
        <v/>
      </c>
    </row>
    <row r="3155" ht="24" customHeight="1">
      <c r="A3155" s="4" t="inlineStr">
        <is>
          <t>Sikkim</t>
        </is>
      </c>
      <c r="B3155" s="5" t="inlineStr">
        <is>
          <t>Climate Change</t>
        </is>
      </c>
      <c r="C3155" s="6" t="inlineStr">
        <is>
          <t>SIK-GIS-2026-4410</t>
        </is>
      </c>
      <c r="D3155" s="7" t="inlineStr">
        <is>
          <t>Glacial Lake Outburst Flood (GLOF) Early Warning System &amp; High Altitude GIS Hazard Mapping</t>
        </is>
      </c>
      <c r="E3155" s="7" t="inlineStr">
        <is>
          <t>SCIENCE &amp; TECHNOLOGY DEPARTMENT-Vigyan Bhawan, Deorali, Gangtok</t>
        </is>
      </c>
      <c r="F3155" s="6" t="inlineStr">
        <is>
          <t>13 Aug 2026</t>
        </is>
      </c>
      <c r="G3155" s="5" t="inlineStr">
        <is>
          <t>11 Sep 2026</t>
        </is>
      </c>
      <c r="H3155" s="8" t="inlineStr">
        <is>
          <t>⏳ UPCOMING</t>
        </is>
      </c>
      <c r="I3155" s="4" t="inlineStr">
        <is>
          <t>Tender_SIK-GIS-2026-4410_All_Documents.zip</t>
        </is>
      </c>
      <c r="J3155" s="6" t="inlineStr">
        <is>
          <t>📦 ZIP Package</t>
        </is>
      </c>
      <c r="K3155" s="9" t="n">
        <v>18.6</v>
      </c>
      <c r="L3155" s="10">
        <f>HYPERLINK("http://127.0.0.1:8000/api/documents/download?id=2856&amp;attachment=true", "⬇ Download Tender_SIK-GIS-2026-4410")</f>
        <v/>
      </c>
      <c r="M3155" s="10">
        <f>HYPERLINK("http://localhost:5173/?state=Sikkim&amp;keyword=Climate%20Change&amp;tender=SIK-GIS-2026-4410", "🚀 Open in Portal")</f>
        <v/>
      </c>
    </row>
    <row r="3156" ht="24" customHeight="1">
      <c r="A3156" s="11" t="inlineStr">
        <is>
          <t>Sikkim</t>
        </is>
      </c>
      <c r="B3156" s="12" t="inlineStr">
        <is>
          <t>Environment</t>
        </is>
      </c>
      <c r="C3156" s="13" t="inlineStr">
        <is>
          <t>SIK-FOREST-2026-9912</t>
        </is>
      </c>
      <c r="D3156" s="14" t="inlineStr">
        <is>
          <t>Alpine Forest Eco-Tourism Geo-Portal and Wildlife Habitat Conservation System</t>
        </is>
      </c>
      <c r="E3156" s="14" t="inlineStr">
        <is>
          <t>FORESTS &amp; ENVIRONMENT DEPARTMENT-Forest Secretariat, Deorali</t>
        </is>
      </c>
      <c r="F3156" s="13" t="inlineStr">
        <is>
          <t>10 Oct 2026</t>
        </is>
      </c>
      <c r="G3156" s="12" t="inlineStr">
        <is>
          <t>25 Oct 2026</t>
        </is>
      </c>
      <c r="H3156" s="17" t="inlineStr">
        <is>
          <t>🟢 LIVE ACTIVE</t>
        </is>
      </c>
      <c r="I3156" s="11" t="inlineStr">
        <is>
          <t>Alpine_Forest_GeoPortal_Tender.pdf</t>
        </is>
      </c>
      <c r="J3156" s="13" t="inlineStr">
        <is>
          <t>📕 PDF Document</t>
        </is>
      </c>
      <c r="K3156" s="15" t="n">
        <v>17.9</v>
      </c>
      <c r="L3156" s="16">
        <f>HYPERLINK("http://127.0.0.1:8000/api/documents/download?id=2860&amp;attachment=true", "⬇ Download Alpine_Forest_GeoPortal_")</f>
        <v/>
      </c>
      <c r="M3156" s="16">
        <f>HYPERLINK("http://localhost:5173/?state=Sikkim&amp;keyword=Environment&amp;tender=SIK-FOREST-2026-9912", "🚀 Open in Portal")</f>
        <v/>
      </c>
    </row>
    <row r="3157" ht="24" customHeight="1">
      <c r="A3157" s="4" t="inlineStr">
        <is>
          <t>Sikkim</t>
        </is>
      </c>
      <c r="B3157" s="5" t="inlineStr">
        <is>
          <t>Environment</t>
        </is>
      </c>
      <c r="C3157" s="6" t="inlineStr">
        <is>
          <t>SIK-FOREST-2026-9912</t>
        </is>
      </c>
      <c r="D3157" s="7" t="inlineStr">
        <is>
          <t>Alpine Forest Eco-Tourism Geo-Portal and Wildlife Habitat Conservation System</t>
        </is>
      </c>
      <c r="E3157" s="7" t="inlineStr">
        <is>
          <t>FORESTS &amp; ENVIRONMENT DEPARTMENT-Forest Secretariat, Deorali</t>
        </is>
      </c>
      <c r="F3157" s="6" t="inlineStr">
        <is>
          <t>10 Oct 2026</t>
        </is>
      </c>
      <c r="G3157" s="5" t="inlineStr">
        <is>
          <t>25 Oct 2026</t>
        </is>
      </c>
      <c r="H3157" s="17" t="inlineStr">
        <is>
          <t>🟢 LIVE ACTIVE</t>
        </is>
      </c>
      <c r="I3157" s="4" t="inlineStr">
        <is>
          <t>Trail_Mapping_GPS_Format.pdf</t>
        </is>
      </c>
      <c r="J3157" s="6" t="inlineStr">
        <is>
          <t>📕 PDF Document</t>
        </is>
      </c>
      <c r="K3157" s="9" t="n">
        <v>17.9</v>
      </c>
      <c r="L3157" s="10">
        <f>HYPERLINK("http://127.0.0.1:8000/api/documents/download?id=2861&amp;attachment=true", "⬇ Download Trail_Mapping_GPS_Format")</f>
        <v/>
      </c>
      <c r="M3157" s="10">
        <f>HYPERLINK("http://localhost:5173/?state=Sikkim&amp;keyword=Environment&amp;tender=SIK-FOREST-2026-9912", "🚀 Open in Portal")</f>
        <v/>
      </c>
    </row>
    <row r="3158" ht="24" customHeight="1">
      <c r="A3158" s="11" t="inlineStr">
        <is>
          <t>Sikkim</t>
        </is>
      </c>
      <c r="B3158" s="12" t="inlineStr">
        <is>
          <t>Environment</t>
        </is>
      </c>
      <c r="C3158" s="13" t="inlineStr">
        <is>
          <t>SIK-FOREST-2026-9912</t>
        </is>
      </c>
      <c r="D3158" s="14" t="inlineStr">
        <is>
          <t>Alpine Forest Eco-Tourism Geo-Portal and Wildlife Habitat Conservation System</t>
        </is>
      </c>
      <c r="E3158" s="14" t="inlineStr">
        <is>
          <t>FORESTS &amp; ENVIRONMENT DEPARTMENT-Forest Secretariat, Deorali</t>
        </is>
      </c>
      <c r="F3158" s="13" t="inlineStr">
        <is>
          <t>10 Oct 2026</t>
        </is>
      </c>
      <c r="G3158" s="12" t="inlineStr">
        <is>
          <t>25 Oct 2026</t>
        </is>
      </c>
      <c r="H3158" s="17" t="inlineStr">
        <is>
          <t>🟢 LIVE ACTIVE</t>
        </is>
      </c>
      <c r="I3158" s="11" t="inlineStr">
        <is>
          <t>Tender_SIK-FOREST-2026-9912_All_Documents.zip</t>
        </is>
      </c>
      <c r="J3158" s="13" t="inlineStr">
        <is>
          <t>📦 ZIP Package</t>
        </is>
      </c>
      <c r="K3158" s="15" t="n">
        <v>18.5</v>
      </c>
      <c r="L3158" s="16">
        <f>HYPERLINK("http://127.0.0.1:8000/api/documents/download?id=3029&amp;attachment=true", "⬇ Download Tender_SIK-FOREST-2026-9")</f>
        <v/>
      </c>
      <c r="M3158" s="16">
        <f>HYPERLINK("http://localhost:5173/?state=Sikkim&amp;keyword=Environment&amp;tender=SIK-FOREST-2026-9912", "🚀 Open in Portal")</f>
        <v/>
      </c>
    </row>
    <row r="3159" ht="24" customHeight="1">
      <c r="A3159" s="4" t="inlineStr">
        <is>
          <t>Sikkim</t>
        </is>
      </c>
      <c r="B3159" s="5" t="inlineStr">
        <is>
          <t>Environment</t>
        </is>
      </c>
      <c r="C3159" s="6" t="inlineStr">
        <is>
          <t>SIK-GIS-2026-4410</t>
        </is>
      </c>
      <c r="D3159" s="7" t="inlineStr">
        <is>
          <t>Glacial Lake Outburst Flood (GLOF) Early Warning System &amp; High Altitude GIS Hazard Mapping</t>
        </is>
      </c>
      <c r="E3159" s="7" t="inlineStr">
        <is>
          <t>SCIENCE &amp; TECHNOLOGY DEPARTMENT-Vigyan Bhawan, Deorali, Gangtok</t>
        </is>
      </c>
      <c r="F3159" s="6" t="inlineStr">
        <is>
          <t>13 Aug 2026</t>
        </is>
      </c>
      <c r="G3159" s="5" t="inlineStr">
        <is>
          <t>11 Sep 2026</t>
        </is>
      </c>
      <c r="H3159" s="8" t="inlineStr">
        <is>
          <t>⏳ UPCOMING</t>
        </is>
      </c>
      <c r="I3159" s="4" t="inlineStr">
        <is>
          <t>Sikkim_GLOF_Early_Warning_GIS_RFP.pdf</t>
        </is>
      </c>
      <c r="J3159" s="6" t="inlineStr">
        <is>
          <t>📕 PDF Document</t>
        </is>
      </c>
      <c r="K3159" s="9" t="n">
        <v>17.9</v>
      </c>
      <c r="L3159" s="10">
        <f>HYPERLINK("http://127.0.0.1:8000/api/documents/download?id=2854&amp;attachment=true", "⬇ Download Sikkim_GLOF_Early_Warnin")</f>
        <v/>
      </c>
      <c r="M3159" s="10">
        <f>HYPERLINK("http://localhost:5173/?state=Sikkim&amp;keyword=Environment&amp;tender=SIK-GIS-2026-4410", "🚀 Open in Portal")</f>
        <v/>
      </c>
    </row>
    <row r="3160" ht="24" customHeight="1">
      <c r="A3160" s="11" t="inlineStr">
        <is>
          <t>Sikkim</t>
        </is>
      </c>
      <c r="B3160" s="12" t="inlineStr">
        <is>
          <t>Environment</t>
        </is>
      </c>
      <c r="C3160" s="13" t="inlineStr">
        <is>
          <t>SIK-GIS-2026-4410</t>
        </is>
      </c>
      <c r="D3160" s="14" t="inlineStr">
        <is>
          <t>Glacial Lake Outburst Flood (GLOF) Early Warning System &amp; High Altitude GIS Hazard Mapping</t>
        </is>
      </c>
      <c r="E3160" s="14" t="inlineStr">
        <is>
          <t>SCIENCE &amp; TECHNOLOGY DEPARTMENT-Vigyan Bhawan, Deorali, Gangtok</t>
        </is>
      </c>
      <c r="F3160" s="13" t="inlineStr">
        <is>
          <t>13 Aug 2026</t>
        </is>
      </c>
      <c r="G3160" s="12" t="inlineStr">
        <is>
          <t>11 Sep 2026</t>
        </is>
      </c>
      <c r="H3160" s="8" t="inlineStr">
        <is>
          <t>⏳ UPCOMING</t>
        </is>
      </c>
      <c r="I3160" s="11" t="inlineStr">
        <is>
          <t>Satellite_InSAR_Processing_Specs.pdf</t>
        </is>
      </c>
      <c r="J3160" s="13" t="inlineStr">
        <is>
          <t>📕 PDF Document</t>
        </is>
      </c>
      <c r="K3160" s="15" t="n">
        <v>17.9</v>
      </c>
      <c r="L3160" s="16">
        <f>HYPERLINK("http://127.0.0.1:8000/api/documents/download?id=2855&amp;attachment=true", "⬇ Download Satellite_InSAR_Processi")</f>
        <v/>
      </c>
      <c r="M3160" s="16">
        <f>HYPERLINK("http://localhost:5173/?state=Sikkim&amp;keyword=Environment&amp;tender=SIK-GIS-2026-4410", "🚀 Open in Portal")</f>
        <v/>
      </c>
    </row>
    <row r="3161" ht="24" customHeight="1">
      <c r="A3161" s="4" t="inlineStr">
        <is>
          <t>Sikkim</t>
        </is>
      </c>
      <c r="B3161" s="5" t="inlineStr">
        <is>
          <t>Environment</t>
        </is>
      </c>
      <c r="C3161" s="6" t="inlineStr">
        <is>
          <t>SIK-GIS-2026-4410</t>
        </is>
      </c>
      <c r="D3161" s="7" t="inlineStr">
        <is>
          <t>Glacial Lake Outburst Flood (GLOF) Early Warning System &amp; High Altitude GIS Hazard Mapping</t>
        </is>
      </c>
      <c r="E3161" s="7" t="inlineStr">
        <is>
          <t>SCIENCE &amp; TECHNOLOGY DEPARTMENT-Vigyan Bhawan, Deorali, Gangtok</t>
        </is>
      </c>
      <c r="F3161" s="6" t="inlineStr">
        <is>
          <t>13 Aug 2026</t>
        </is>
      </c>
      <c r="G3161" s="5" t="inlineStr">
        <is>
          <t>11 Sep 2026</t>
        </is>
      </c>
      <c r="H3161" s="8" t="inlineStr">
        <is>
          <t>⏳ UPCOMING</t>
        </is>
      </c>
      <c r="I3161" s="4" t="inlineStr">
        <is>
          <t>Tender_SIK-GIS-2026-4410_All_Documents.zip</t>
        </is>
      </c>
      <c r="J3161" s="6" t="inlineStr">
        <is>
          <t>📦 ZIP Package</t>
        </is>
      </c>
      <c r="K3161" s="9" t="n">
        <v>18.6</v>
      </c>
      <c r="L3161" s="10">
        <f>HYPERLINK("http://127.0.0.1:8000/api/documents/download?id=2856&amp;attachment=true", "⬇ Download Tender_SIK-GIS-2026-4410")</f>
        <v/>
      </c>
      <c r="M3161" s="10">
        <f>HYPERLINK("http://localhost:5173/?state=Sikkim&amp;keyword=Environment&amp;tender=SIK-GIS-2026-4410", "🚀 Open in Portal")</f>
        <v/>
      </c>
    </row>
    <row r="3162" ht="24" customHeight="1">
      <c r="A3162" s="11" t="inlineStr">
        <is>
          <t>Sikkim</t>
        </is>
      </c>
      <c r="B3162" s="12" t="inlineStr">
        <is>
          <t>Water Resources</t>
        </is>
      </c>
      <c r="C3162" s="13" t="inlineStr">
        <is>
          <t>SIK-GIS-2026-4410</t>
        </is>
      </c>
      <c r="D3162" s="14" t="inlineStr">
        <is>
          <t>Glacial Lake Outburst Flood (GLOF) Early Warning System &amp; High Altitude GIS Hazard Mapping</t>
        </is>
      </c>
      <c r="E3162" s="14" t="inlineStr">
        <is>
          <t>SCIENCE &amp; TECHNOLOGY DEPARTMENT-Vigyan Bhawan, Deorali, Gangtok</t>
        </is>
      </c>
      <c r="F3162" s="13" t="inlineStr">
        <is>
          <t>13 Aug 2026</t>
        </is>
      </c>
      <c r="G3162" s="12" t="inlineStr">
        <is>
          <t>11 Sep 2026</t>
        </is>
      </c>
      <c r="H3162" s="8" t="inlineStr">
        <is>
          <t>⏳ UPCOMING</t>
        </is>
      </c>
      <c r="I3162" s="11" t="inlineStr">
        <is>
          <t>Sikkim_GLOF_Early_Warning_GIS_RFP.pdf</t>
        </is>
      </c>
      <c r="J3162" s="13" t="inlineStr">
        <is>
          <t>📕 PDF Document</t>
        </is>
      </c>
      <c r="K3162" s="15" t="n">
        <v>17.9</v>
      </c>
      <c r="L3162" s="16">
        <f>HYPERLINK("http://127.0.0.1:8000/api/documents/download?id=2854&amp;attachment=true", "⬇ Download Sikkim_GLOF_Early_Warnin")</f>
        <v/>
      </c>
      <c r="M3162" s="16">
        <f>HYPERLINK("http://localhost:5173/?state=Sikkim&amp;keyword=Water%20Resources&amp;tender=SIK-GIS-2026-4410", "🚀 Open in Portal")</f>
        <v/>
      </c>
    </row>
    <row r="3163" ht="24" customHeight="1">
      <c r="A3163" s="4" t="inlineStr">
        <is>
          <t>Sikkim</t>
        </is>
      </c>
      <c r="B3163" s="5" t="inlineStr">
        <is>
          <t>Water Resources</t>
        </is>
      </c>
      <c r="C3163" s="6" t="inlineStr">
        <is>
          <t>SIK-GIS-2026-4410</t>
        </is>
      </c>
      <c r="D3163" s="7" t="inlineStr">
        <is>
          <t>Glacial Lake Outburst Flood (GLOF) Early Warning System &amp; High Altitude GIS Hazard Mapping</t>
        </is>
      </c>
      <c r="E3163" s="7" t="inlineStr">
        <is>
          <t>SCIENCE &amp; TECHNOLOGY DEPARTMENT-Vigyan Bhawan, Deorali, Gangtok</t>
        </is>
      </c>
      <c r="F3163" s="6" t="inlineStr">
        <is>
          <t>13 Aug 2026</t>
        </is>
      </c>
      <c r="G3163" s="5" t="inlineStr">
        <is>
          <t>11 Sep 2026</t>
        </is>
      </c>
      <c r="H3163" s="8" t="inlineStr">
        <is>
          <t>⏳ UPCOMING</t>
        </is>
      </c>
      <c r="I3163" s="4" t="inlineStr">
        <is>
          <t>Satellite_InSAR_Processing_Specs.pdf</t>
        </is>
      </c>
      <c r="J3163" s="6" t="inlineStr">
        <is>
          <t>📕 PDF Document</t>
        </is>
      </c>
      <c r="K3163" s="9" t="n">
        <v>17.9</v>
      </c>
      <c r="L3163" s="10">
        <f>HYPERLINK("http://127.0.0.1:8000/api/documents/download?id=2855&amp;attachment=true", "⬇ Download Satellite_InSAR_Processi")</f>
        <v/>
      </c>
      <c r="M3163" s="10">
        <f>HYPERLINK("http://localhost:5173/?state=Sikkim&amp;keyword=Water%20Resources&amp;tender=SIK-GIS-2026-4410", "🚀 Open in Portal")</f>
        <v/>
      </c>
    </row>
    <row r="3164" ht="24" customHeight="1">
      <c r="A3164" s="11" t="inlineStr">
        <is>
          <t>Sikkim</t>
        </is>
      </c>
      <c r="B3164" s="12" t="inlineStr">
        <is>
          <t>Water Resources</t>
        </is>
      </c>
      <c r="C3164" s="13" t="inlineStr">
        <is>
          <t>SIK-GIS-2026-4410</t>
        </is>
      </c>
      <c r="D3164" s="14" t="inlineStr">
        <is>
          <t>Glacial Lake Outburst Flood (GLOF) Early Warning System &amp; High Altitude GIS Hazard Mapping</t>
        </is>
      </c>
      <c r="E3164" s="14" t="inlineStr">
        <is>
          <t>SCIENCE &amp; TECHNOLOGY DEPARTMENT-Vigyan Bhawan, Deorali, Gangtok</t>
        </is>
      </c>
      <c r="F3164" s="13" t="inlineStr">
        <is>
          <t>13 Aug 2026</t>
        </is>
      </c>
      <c r="G3164" s="12" t="inlineStr">
        <is>
          <t>11 Sep 2026</t>
        </is>
      </c>
      <c r="H3164" s="8" t="inlineStr">
        <is>
          <t>⏳ UPCOMING</t>
        </is>
      </c>
      <c r="I3164" s="11" t="inlineStr">
        <is>
          <t>Tender_SIK-GIS-2026-4410_All_Documents.zip</t>
        </is>
      </c>
      <c r="J3164" s="13" t="inlineStr">
        <is>
          <t>📦 ZIP Package</t>
        </is>
      </c>
      <c r="K3164" s="15" t="n">
        <v>18.6</v>
      </c>
      <c r="L3164" s="16">
        <f>HYPERLINK("http://127.0.0.1:8000/api/documents/download?id=2856&amp;attachment=true", "⬇ Download Tender_SIK-GIS-2026-4410")</f>
        <v/>
      </c>
      <c r="M3164" s="16">
        <f>HYPERLINK("http://localhost:5173/?state=Sikkim&amp;keyword=Water%20Resources&amp;tender=SIK-GIS-2026-4410", "🚀 Open in Portal")</f>
        <v/>
      </c>
    </row>
    <row r="3165" ht="24" customHeight="1">
      <c r="A3165" s="4" t="inlineStr">
        <is>
          <t>Sikkim</t>
        </is>
      </c>
      <c r="B3165" s="5" t="inlineStr">
        <is>
          <t>Spatial</t>
        </is>
      </c>
      <c r="C3165" s="6" t="inlineStr">
        <is>
          <t>2026_SIK_4897439_22</t>
        </is>
      </c>
      <c r="D3165" s="7" t="inlineStr">
        <is>
          <t>Spatial-Based Geospatial Road Asset Inventory &amp; Pavement Condition Digital Survey</t>
        </is>
      </c>
      <c r="E3165" s="7" t="inlineStr">
        <is>
          <t>PUBLIC WORKS &amp; HIGHWAYS DEPARTMENT</t>
        </is>
      </c>
      <c r="F3165" s="6" t="inlineStr">
        <is>
          <t>06 Sep 2026</t>
        </is>
      </c>
      <c r="G3165" s="5" t="inlineStr">
        <is>
          <t>02 Oct 2026</t>
        </is>
      </c>
      <c r="H3165" s="8" t="inlineStr">
        <is>
          <t>⏳ UPCOMING</t>
        </is>
      </c>
      <c r="I3165" s="4" t="inlineStr">
        <is>
          <t>Tendernotice_2026_SIK_4897439_22.pdf</t>
        </is>
      </c>
      <c r="J3165" s="6" t="inlineStr">
        <is>
          <t>📕 PDF Document</t>
        </is>
      </c>
      <c r="K3165" s="9" t="n">
        <v>17.9</v>
      </c>
      <c r="L3165" s="10">
        <f>HYPERLINK("http://127.0.0.1:8000/api/documents/download?id=3221&amp;attachment=true", "⬇ Download Tendernotice_2026_SIK_48")</f>
        <v/>
      </c>
      <c r="M3165" s="10">
        <f>HYPERLINK("http://localhost:5173/?state=Sikkim&amp;keyword=Spatial&amp;tender=2026_SIK_4897439_22", "🚀 Open in Portal")</f>
        <v/>
      </c>
    </row>
    <row r="3166" ht="24" customHeight="1">
      <c r="A3166" s="11" t="inlineStr">
        <is>
          <t>Sikkim</t>
        </is>
      </c>
      <c r="B3166" s="12" t="inlineStr">
        <is>
          <t>Spatial</t>
        </is>
      </c>
      <c r="C3166" s="13" t="inlineStr">
        <is>
          <t>2026_SIK_4897439_22</t>
        </is>
      </c>
      <c r="D3166" s="14" t="inlineStr">
        <is>
          <t>Spatial-Based Geospatial Road Asset Inventory &amp; Pavement Condition Digital Survey</t>
        </is>
      </c>
      <c r="E3166" s="14" t="inlineStr">
        <is>
          <t>PUBLIC WORKS &amp; HIGHWAYS DEPARTMENT</t>
        </is>
      </c>
      <c r="F3166" s="13" t="inlineStr">
        <is>
          <t>06 Sep 2026</t>
        </is>
      </c>
      <c r="G3166" s="12" t="inlineStr">
        <is>
          <t>02 Oct 2026</t>
        </is>
      </c>
      <c r="H3166" s="8" t="inlineStr">
        <is>
          <t>⏳ UPCOMING</t>
        </is>
      </c>
      <c r="I3166" s="11" t="inlineStr">
        <is>
          <t>Technical_RFP_Specification_Spatial.pdf</t>
        </is>
      </c>
      <c r="J3166" s="13" t="inlineStr">
        <is>
          <t>📕 PDF Document</t>
        </is>
      </c>
      <c r="K3166" s="15" t="n">
        <v>17.9</v>
      </c>
      <c r="L3166" s="16">
        <f>HYPERLINK("http://127.0.0.1:8000/api/documents/download?id=3222&amp;attachment=true", "⬇ Download Technical_RFP_Specificat")</f>
        <v/>
      </c>
      <c r="M3166" s="16">
        <f>HYPERLINK("http://localhost:5173/?state=Sikkim&amp;keyword=Spatial&amp;tender=2026_SIK_4897439_22", "🚀 Open in Portal")</f>
        <v/>
      </c>
    </row>
    <row r="3167" ht="24" customHeight="1">
      <c r="A3167" s="4" t="inlineStr">
        <is>
          <t>Sikkim</t>
        </is>
      </c>
      <c r="B3167" s="5" t="inlineStr">
        <is>
          <t>Spatial</t>
        </is>
      </c>
      <c r="C3167" s="6" t="inlineStr">
        <is>
          <t>2026_SIK_4897439_22</t>
        </is>
      </c>
      <c r="D3167" s="7" t="inlineStr">
        <is>
          <t>Spatial-Based Geospatial Road Asset Inventory &amp; Pavement Condition Digital Survey</t>
        </is>
      </c>
      <c r="E3167" s="7" t="inlineStr">
        <is>
          <t>PUBLIC WORKS &amp; HIGHWAYS DEPARTMENT</t>
        </is>
      </c>
      <c r="F3167" s="6" t="inlineStr">
        <is>
          <t>06 Sep 2026</t>
        </is>
      </c>
      <c r="G3167" s="5" t="inlineStr">
        <is>
          <t>02 Oct 2026</t>
        </is>
      </c>
      <c r="H3167" s="8" t="inlineStr">
        <is>
          <t>⏳ UPCOMING</t>
        </is>
      </c>
      <c r="I3167" s="4" t="inlineStr">
        <is>
          <t>BOQ_Financial_Schedule_2026_SIK_4897439_22.xlsx</t>
        </is>
      </c>
      <c r="J3167" s="6" t="inlineStr">
        <is>
          <t>📊 Excel BOQ</t>
        </is>
      </c>
      <c r="K3167" s="9" t="n">
        <v>2.4</v>
      </c>
      <c r="L3167" s="10">
        <f>HYPERLINK("http://127.0.0.1:8000/api/documents/download?id=3223&amp;attachment=true", "⬇ Download BOQ_Financial_Schedule_2")</f>
        <v/>
      </c>
      <c r="M3167" s="10">
        <f>HYPERLINK("http://localhost:5173/?state=Sikkim&amp;keyword=Spatial&amp;tender=2026_SIK_4897439_22", "🚀 Open in Portal")</f>
        <v/>
      </c>
    </row>
    <row r="3168" ht="24" customHeight="1">
      <c r="A3168" s="11" t="inlineStr">
        <is>
          <t>Sikkim</t>
        </is>
      </c>
      <c r="B3168" s="12" t="inlineStr">
        <is>
          <t>Spatial</t>
        </is>
      </c>
      <c r="C3168" s="13" t="inlineStr">
        <is>
          <t>2026_SIK_4897439_22</t>
        </is>
      </c>
      <c r="D3168" s="14" t="inlineStr">
        <is>
          <t>Spatial-Based Geospatial Road Asset Inventory &amp; Pavement Condition Digital Survey</t>
        </is>
      </c>
      <c r="E3168" s="14" t="inlineStr">
        <is>
          <t>PUBLIC WORKS &amp; HIGHWAYS DEPARTMENT</t>
        </is>
      </c>
      <c r="F3168" s="13" t="inlineStr">
        <is>
          <t>06 Sep 2026</t>
        </is>
      </c>
      <c r="G3168" s="12" t="inlineStr">
        <is>
          <t>02 Oct 2026</t>
        </is>
      </c>
      <c r="H3168" s="8" t="inlineStr">
        <is>
          <t>⏳ UPCOMING</t>
        </is>
      </c>
      <c r="I3168" s="11" t="inlineStr">
        <is>
          <t>Tender_2026_SIK_4897439_22_All_Documents.zip</t>
        </is>
      </c>
      <c r="J3168" s="13" t="inlineStr">
        <is>
          <t>📦 ZIP Package</t>
        </is>
      </c>
      <c r="K3168" s="15" t="n">
        <v>45</v>
      </c>
      <c r="L3168" s="16">
        <f>HYPERLINK("https://sikkimtenders.gov.in/tender/2026_SIK_4897439_22", "⬇ Download Tender_2026_SIK_4897439_")</f>
        <v/>
      </c>
      <c r="M3168" s="16">
        <f>HYPERLINK("http://localhost:5173/?state=Sikkim&amp;keyword=Spatial&amp;tender=2026_SIK_4897439_22", "🚀 Open in Portal")</f>
        <v/>
      </c>
    </row>
    <row r="3169" ht="24" customHeight="1">
      <c r="A3169" s="4" t="inlineStr">
        <is>
          <t>Sikkim</t>
        </is>
      </c>
      <c r="B3169" s="5" t="inlineStr">
        <is>
          <t>Spatial</t>
        </is>
      </c>
      <c r="C3169" s="6" t="inlineStr">
        <is>
          <t>SIK-GIS-2026-4410</t>
        </is>
      </c>
      <c r="D3169" s="7" t="inlineStr">
        <is>
          <t>Glacial Lake Outburst Flood (GLOF) Early Warning System &amp; High Altitude GIS Hazard Mapping</t>
        </is>
      </c>
      <c r="E3169" s="7" t="inlineStr">
        <is>
          <t>SCIENCE &amp; TECHNOLOGY DEPARTMENT-Vigyan Bhawan, Deorali, Gangtok</t>
        </is>
      </c>
      <c r="F3169" s="6" t="inlineStr">
        <is>
          <t>13 Aug 2026</t>
        </is>
      </c>
      <c r="G3169" s="5" t="inlineStr">
        <is>
          <t>11 Sep 2026</t>
        </is>
      </c>
      <c r="H3169" s="8" t="inlineStr">
        <is>
          <t>⏳ UPCOMING</t>
        </is>
      </c>
      <c r="I3169" s="4" t="inlineStr">
        <is>
          <t>Sikkim_GLOF_Early_Warning_GIS_RFP.pdf</t>
        </is>
      </c>
      <c r="J3169" s="6" t="inlineStr">
        <is>
          <t>📕 PDF Document</t>
        </is>
      </c>
      <c r="K3169" s="9" t="n">
        <v>17.9</v>
      </c>
      <c r="L3169" s="10">
        <f>HYPERLINK("http://127.0.0.1:8000/api/documents/download?id=2854&amp;attachment=true", "⬇ Download Sikkim_GLOF_Early_Warnin")</f>
        <v/>
      </c>
      <c r="M3169" s="10">
        <f>HYPERLINK("http://localhost:5173/?state=Sikkim&amp;keyword=Spatial&amp;tender=SIK-GIS-2026-4410", "🚀 Open in Portal")</f>
        <v/>
      </c>
    </row>
    <row r="3170" ht="24" customHeight="1">
      <c r="A3170" s="11" t="inlineStr">
        <is>
          <t>Sikkim</t>
        </is>
      </c>
      <c r="B3170" s="12" t="inlineStr">
        <is>
          <t>Spatial</t>
        </is>
      </c>
      <c r="C3170" s="13" t="inlineStr">
        <is>
          <t>SIK-GIS-2026-4410</t>
        </is>
      </c>
      <c r="D3170" s="14" t="inlineStr">
        <is>
          <t>Glacial Lake Outburst Flood (GLOF) Early Warning System &amp; High Altitude GIS Hazard Mapping</t>
        </is>
      </c>
      <c r="E3170" s="14" t="inlineStr">
        <is>
          <t>SCIENCE &amp; TECHNOLOGY DEPARTMENT-Vigyan Bhawan, Deorali, Gangtok</t>
        </is>
      </c>
      <c r="F3170" s="13" t="inlineStr">
        <is>
          <t>13 Aug 2026</t>
        </is>
      </c>
      <c r="G3170" s="12" t="inlineStr">
        <is>
          <t>11 Sep 2026</t>
        </is>
      </c>
      <c r="H3170" s="8" t="inlineStr">
        <is>
          <t>⏳ UPCOMING</t>
        </is>
      </c>
      <c r="I3170" s="11" t="inlineStr">
        <is>
          <t>Satellite_InSAR_Processing_Specs.pdf</t>
        </is>
      </c>
      <c r="J3170" s="13" t="inlineStr">
        <is>
          <t>📕 PDF Document</t>
        </is>
      </c>
      <c r="K3170" s="15" t="n">
        <v>17.9</v>
      </c>
      <c r="L3170" s="16">
        <f>HYPERLINK("http://127.0.0.1:8000/api/documents/download?id=2855&amp;attachment=true", "⬇ Download Satellite_InSAR_Processi")</f>
        <v/>
      </c>
      <c r="M3170" s="16">
        <f>HYPERLINK("http://localhost:5173/?state=Sikkim&amp;keyword=Spatial&amp;tender=SIK-GIS-2026-4410", "🚀 Open in Portal")</f>
        <v/>
      </c>
    </row>
    <row r="3171" ht="24" customHeight="1">
      <c r="A3171" s="4" t="inlineStr">
        <is>
          <t>Sikkim</t>
        </is>
      </c>
      <c r="B3171" s="5" t="inlineStr">
        <is>
          <t>Spatial</t>
        </is>
      </c>
      <c r="C3171" s="6" t="inlineStr">
        <is>
          <t>SIK-GIS-2026-4410</t>
        </is>
      </c>
      <c r="D3171" s="7" t="inlineStr">
        <is>
          <t>Glacial Lake Outburst Flood (GLOF) Early Warning System &amp; High Altitude GIS Hazard Mapping</t>
        </is>
      </c>
      <c r="E3171" s="7" t="inlineStr">
        <is>
          <t>SCIENCE &amp; TECHNOLOGY DEPARTMENT-Vigyan Bhawan, Deorali, Gangtok</t>
        </is>
      </c>
      <c r="F3171" s="6" t="inlineStr">
        <is>
          <t>13 Aug 2026</t>
        </is>
      </c>
      <c r="G3171" s="5" t="inlineStr">
        <is>
          <t>11 Sep 2026</t>
        </is>
      </c>
      <c r="H3171" s="8" t="inlineStr">
        <is>
          <t>⏳ UPCOMING</t>
        </is>
      </c>
      <c r="I3171" s="4" t="inlineStr">
        <is>
          <t>Tender_SIK-GIS-2026-4410_All_Documents.zip</t>
        </is>
      </c>
      <c r="J3171" s="6" t="inlineStr">
        <is>
          <t>📦 ZIP Package</t>
        </is>
      </c>
      <c r="K3171" s="9" t="n">
        <v>18.6</v>
      </c>
      <c r="L3171" s="10">
        <f>HYPERLINK("http://127.0.0.1:8000/api/documents/download?id=2856&amp;attachment=true", "⬇ Download Tender_SIK-GIS-2026-4410")</f>
        <v/>
      </c>
      <c r="M3171" s="10">
        <f>HYPERLINK("http://localhost:5173/?state=Sikkim&amp;keyword=Spatial&amp;tender=SIK-GIS-2026-4410", "🚀 Open in Portal")</f>
        <v/>
      </c>
    </row>
    <row r="3172" ht="24" customHeight="1">
      <c r="A3172" s="11" t="inlineStr">
        <is>
          <t>Sikkim</t>
        </is>
      </c>
      <c r="B3172" s="12" t="inlineStr">
        <is>
          <t>Blockchain</t>
        </is>
      </c>
      <c r="C3172" s="13" t="inlineStr">
        <is>
          <t>SIK-AGRI-2026-2219</t>
        </is>
      </c>
      <c r="D3172" s="14" t="inlineStr">
        <is>
          <t>100% Organic Farming Compliance Blockchain Traceability Platform &amp; Farmer App</t>
        </is>
      </c>
      <c r="E3172" s="14" t="inlineStr">
        <is>
          <t>AGRICULTURE &amp; HORTICULTURE DEPARTMENT-Krishi Bhawan, Tadong</t>
        </is>
      </c>
      <c r="F3172" s="13" t="inlineStr">
        <is>
          <t>11 Sep 2026</t>
        </is>
      </c>
      <c r="G3172" s="12" t="inlineStr">
        <is>
          <t>06 Oct 2026</t>
        </is>
      </c>
      <c r="H3172" s="8" t="inlineStr">
        <is>
          <t>⏳ UPCOMING</t>
        </is>
      </c>
      <c r="I3172" s="11" t="inlineStr">
        <is>
          <t>Organic_Farming_Blockchain_RFP.pdf</t>
        </is>
      </c>
      <c r="J3172" s="13" t="inlineStr">
        <is>
          <t>📕 PDF Document</t>
        </is>
      </c>
      <c r="K3172" s="15" t="n">
        <v>17.9</v>
      </c>
      <c r="L3172" s="16">
        <f>HYPERLINK("http://127.0.0.1:8000/api/documents/download?id=2857&amp;attachment=true", "⬇ Download Organic_Farming_Blockcha")</f>
        <v/>
      </c>
      <c r="M3172" s="16">
        <f>HYPERLINK("http://localhost:5173/?state=Sikkim&amp;keyword=Blockchain&amp;tender=SIK-AGRI-2026-2219", "🚀 Open in Portal")</f>
        <v/>
      </c>
    </row>
    <row r="3173" ht="24" customHeight="1">
      <c r="A3173" s="4" t="inlineStr">
        <is>
          <t>Sikkim</t>
        </is>
      </c>
      <c r="B3173" s="5" t="inlineStr">
        <is>
          <t>Blockchain</t>
        </is>
      </c>
      <c r="C3173" s="6" t="inlineStr">
        <is>
          <t>SIK-AGRI-2026-2219</t>
        </is>
      </c>
      <c r="D3173" s="7" t="inlineStr">
        <is>
          <t>100% Organic Farming Compliance Blockchain Traceability Platform &amp; Farmer App</t>
        </is>
      </c>
      <c r="E3173" s="7" t="inlineStr">
        <is>
          <t>AGRICULTURE &amp; HORTICULTURE DEPARTMENT-Krishi Bhawan, Tadong</t>
        </is>
      </c>
      <c r="F3173" s="6" t="inlineStr">
        <is>
          <t>11 Sep 2026</t>
        </is>
      </c>
      <c r="G3173" s="5" t="inlineStr">
        <is>
          <t>06 Oct 2026</t>
        </is>
      </c>
      <c r="H3173" s="8" t="inlineStr">
        <is>
          <t>⏳ UPCOMING</t>
        </is>
      </c>
      <c r="I3173" s="4" t="inlineStr">
        <is>
          <t>Smart_Contract_Security_Audit_Requirements.pdf</t>
        </is>
      </c>
      <c r="J3173" s="6" t="inlineStr">
        <is>
          <t>📕 PDF Document</t>
        </is>
      </c>
      <c r="K3173" s="9" t="n">
        <v>17.9</v>
      </c>
      <c r="L3173" s="10">
        <f>HYPERLINK("http://127.0.0.1:8000/api/documents/download?id=2858&amp;attachment=true", "⬇ Download Smart_Contract_Security_")</f>
        <v/>
      </c>
      <c r="M3173" s="10">
        <f>HYPERLINK("http://localhost:5173/?state=Sikkim&amp;keyword=Blockchain&amp;tender=SIK-AGRI-2026-2219", "🚀 Open in Portal")</f>
        <v/>
      </c>
    </row>
    <row r="3174" ht="24" customHeight="1">
      <c r="A3174" s="11" t="inlineStr">
        <is>
          <t>Sikkim</t>
        </is>
      </c>
      <c r="B3174" s="12" t="inlineStr">
        <is>
          <t>Blockchain</t>
        </is>
      </c>
      <c r="C3174" s="13" t="inlineStr">
        <is>
          <t>SIK-AGRI-2026-2219</t>
        </is>
      </c>
      <c r="D3174" s="14" t="inlineStr">
        <is>
          <t>100% Organic Farming Compliance Blockchain Traceability Platform &amp; Farmer App</t>
        </is>
      </c>
      <c r="E3174" s="14" t="inlineStr">
        <is>
          <t>AGRICULTURE &amp; HORTICULTURE DEPARTMENT-Krishi Bhawan, Tadong</t>
        </is>
      </c>
      <c r="F3174" s="13" t="inlineStr">
        <is>
          <t>11 Sep 2026</t>
        </is>
      </c>
      <c r="G3174" s="12" t="inlineStr">
        <is>
          <t>06 Oct 2026</t>
        </is>
      </c>
      <c r="H3174" s="8" t="inlineStr">
        <is>
          <t>⏳ UPCOMING</t>
        </is>
      </c>
      <c r="I3174" s="11" t="inlineStr">
        <is>
          <t>Farmer_Mobile_App_UI_UX.pdf</t>
        </is>
      </c>
      <c r="J3174" s="13" t="inlineStr">
        <is>
          <t>📕 PDF Document</t>
        </is>
      </c>
      <c r="K3174" s="15" t="n">
        <v>17.9</v>
      </c>
      <c r="L3174" s="16">
        <f>HYPERLINK("http://127.0.0.1:8000/api/documents/download?id=2859&amp;attachment=true", "⬇ Download Farmer_Mobile_App_UI_UX.")</f>
        <v/>
      </c>
      <c r="M3174" s="16">
        <f>HYPERLINK("http://localhost:5173/?state=Sikkim&amp;keyword=Blockchain&amp;tender=SIK-AGRI-2026-2219", "🚀 Open in Portal")</f>
        <v/>
      </c>
    </row>
    <row r="3175" ht="24" customHeight="1">
      <c r="A3175" s="4" t="inlineStr">
        <is>
          <t>Sikkim</t>
        </is>
      </c>
      <c r="B3175" s="5" t="inlineStr">
        <is>
          <t>Blockchain</t>
        </is>
      </c>
      <c r="C3175" s="6" t="inlineStr">
        <is>
          <t>SIK-AGRI-2026-2219</t>
        </is>
      </c>
      <c r="D3175" s="7" t="inlineStr">
        <is>
          <t>100% Organic Farming Compliance Blockchain Traceability Platform &amp; Farmer App</t>
        </is>
      </c>
      <c r="E3175" s="7" t="inlineStr">
        <is>
          <t>AGRICULTURE &amp; HORTICULTURE DEPARTMENT-Krishi Bhawan, Tadong</t>
        </is>
      </c>
      <c r="F3175" s="6" t="inlineStr">
        <is>
          <t>11 Sep 2026</t>
        </is>
      </c>
      <c r="G3175" s="5" t="inlineStr">
        <is>
          <t>06 Oct 2026</t>
        </is>
      </c>
      <c r="H3175" s="8" t="inlineStr">
        <is>
          <t>⏳ UPCOMING</t>
        </is>
      </c>
      <c r="I3175" s="4" t="inlineStr">
        <is>
          <t>Tender_SIK-AGRI-2026-2219_All_Documents.zip</t>
        </is>
      </c>
      <c r="J3175" s="6" t="inlineStr">
        <is>
          <t>📦 ZIP Package</t>
        </is>
      </c>
      <c r="K3175" s="9" t="n">
        <v>28</v>
      </c>
      <c r="L3175" s="10">
        <f>HYPERLINK("http://127.0.0.1:8000/api/documents/download?id=3028&amp;attachment=true", "⬇ Download Tender_SIK-AGRI-2026-221")</f>
        <v/>
      </c>
      <c r="M3175" s="10">
        <f>HYPERLINK("http://localhost:5173/?state=Sikkim&amp;keyword=Blockchain&amp;tender=SIK-AGRI-2026-2219", "🚀 Open in Portal")</f>
        <v/>
      </c>
    </row>
    <row r="3176" ht="24" customHeight="1">
      <c r="A3176" s="11" t="inlineStr">
        <is>
          <t>Sikkim</t>
        </is>
      </c>
      <c r="B3176" s="12" t="inlineStr">
        <is>
          <t>Software Development</t>
        </is>
      </c>
      <c r="C3176" s="13" t="inlineStr">
        <is>
          <t>SIK-AGRI-2026-2219</t>
        </is>
      </c>
      <c r="D3176" s="14" t="inlineStr">
        <is>
          <t>100% Organic Farming Compliance Blockchain Traceability Platform &amp; Farmer App</t>
        </is>
      </c>
      <c r="E3176" s="14" t="inlineStr">
        <is>
          <t>AGRICULTURE &amp; HORTICULTURE DEPARTMENT-Krishi Bhawan, Tadong</t>
        </is>
      </c>
      <c r="F3176" s="13" t="inlineStr">
        <is>
          <t>11 Sep 2026</t>
        </is>
      </c>
      <c r="G3176" s="12" t="inlineStr">
        <is>
          <t>06 Oct 2026</t>
        </is>
      </c>
      <c r="H3176" s="8" t="inlineStr">
        <is>
          <t>⏳ UPCOMING</t>
        </is>
      </c>
      <c r="I3176" s="11" t="inlineStr">
        <is>
          <t>Organic_Farming_Blockchain_RFP.pdf</t>
        </is>
      </c>
      <c r="J3176" s="13" t="inlineStr">
        <is>
          <t>📕 PDF Document</t>
        </is>
      </c>
      <c r="K3176" s="15" t="n">
        <v>17.9</v>
      </c>
      <c r="L3176" s="16">
        <f>HYPERLINK("http://127.0.0.1:8000/api/documents/download?id=2857&amp;attachment=true", "⬇ Download Organic_Farming_Blockcha")</f>
        <v/>
      </c>
      <c r="M3176" s="16">
        <f>HYPERLINK("http://localhost:5173/?state=Sikkim&amp;keyword=Software%20Development&amp;tender=SIK-AGRI-2026-2219", "🚀 Open in Portal")</f>
        <v/>
      </c>
    </row>
    <row r="3177" ht="24" customHeight="1">
      <c r="A3177" s="4" t="inlineStr">
        <is>
          <t>Sikkim</t>
        </is>
      </c>
      <c r="B3177" s="5" t="inlineStr">
        <is>
          <t>Software Development</t>
        </is>
      </c>
      <c r="C3177" s="6" t="inlineStr">
        <is>
          <t>SIK-AGRI-2026-2219</t>
        </is>
      </c>
      <c r="D3177" s="7" t="inlineStr">
        <is>
          <t>100% Organic Farming Compliance Blockchain Traceability Platform &amp; Farmer App</t>
        </is>
      </c>
      <c r="E3177" s="7" t="inlineStr">
        <is>
          <t>AGRICULTURE &amp; HORTICULTURE DEPARTMENT-Krishi Bhawan, Tadong</t>
        </is>
      </c>
      <c r="F3177" s="6" t="inlineStr">
        <is>
          <t>11 Sep 2026</t>
        </is>
      </c>
      <c r="G3177" s="5" t="inlineStr">
        <is>
          <t>06 Oct 2026</t>
        </is>
      </c>
      <c r="H3177" s="8" t="inlineStr">
        <is>
          <t>⏳ UPCOMING</t>
        </is>
      </c>
      <c r="I3177" s="4" t="inlineStr">
        <is>
          <t>Smart_Contract_Security_Audit_Requirements.pdf</t>
        </is>
      </c>
      <c r="J3177" s="6" t="inlineStr">
        <is>
          <t>📕 PDF Document</t>
        </is>
      </c>
      <c r="K3177" s="9" t="n">
        <v>17.9</v>
      </c>
      <c r="L3177" s="10">
        <f>HYPERLINK("http://127.0.0.1:8000/api/documents/download?id=2858&amp;attachment=true", "⬇ Download Smart_Contract_Security_")</f>
        <v/>
      </c>
      <c r="M3177" s="10">
        <f>HYPERLINK("http://localhost:5173/?state=Sikkim&amp;keyword=Software%20Development&amp;tender=SIK-AGRI-2026-2219", "🚀 Open in Portal")</f>
        <v/>
      </c>
    </row>
    <row r="3178" ht="24" customHeight="1">
      <c r="A3178" s="11" t="inlineStr">
        <is>
          <t>Sikkim</t>
        </is>
      </c>
      <c r="B3178" s="12" t="inlineStr">
        <is>
          <t>Software Development</t>
        </is>
      </c>
      <c r="C3178" s="13" t="inlineStr">
        <is>
          <t>SIK-AGRI-2026-2219</t>
        </is>
      </c>
      <c r="D3178" s="14" t="inlineStr">
        <is>
          <t>100% Organic Farming Compliance Blockchain Traceability Platform &amp; Farmer App</t>
        </is>
      </c>
      <c r="E3178" s="14" t="inlineStr">
        <is>
          <t>AGRICULTURE &amp; HORTICULTURE DEPARTMENT-Krishi Bhawan, Tadong</t>
        </is>
      </c>
      <c r="F3178" s="13" t="inlineStr">
        <is>
          <t>11 Sep 2026</t>
        </is>
      </c>
      <c r="G3178" s="12" t="inlineStr">
        <is>
          <t>06 Oct 2026</t>
        </is>
      </c>
      <c r="H3178" s="8" t="inlineStr">
        <is>
          <t>⏳ UPCOMING</t>
        </is>
      </c>
      <c r="I3178" s="11" t="inlineStr">
        <is>
          <t>Farmer_Mobile_App_UI_UX.pdf</t>
        </is>
      </c>
      <c r="J3178" s="13" t="inlineStr">
        <is>
          <t>📕 PDF Document</t>
        </is>
      </c>
      <c r="K3178" s="15" t="n">
        <v>17.9</v>
      </c>
      <c r="L3178" s="16">
        <f>HYPERLINK("http://127.0.0.1:8000/api/documents/download?id=2859&amp;attachment=true", "⬇ Download Farmer_Mobile_App_UI_UX.")</f>
        <v/>
      </c>
      <c r="M3178" s="16">
        <f>HYPERLINK("http://localhost:5173/?state=Sikkim&amp;keyword=Software%20Development&amp;tender=SIK-AGRI-2026-2219", "🚀 Open in Portal")</f>
        <v/>
      </c>
    </row>
    <row r="3179" ht="24" customHeight="1">
      <c r="A3179" s="4" t="inlineStr">
        <is>
          <t>Sikkim</t>
        </is>
      </c>
      <c r="B3179" s="5" t="inlineStr">
        <is>
          <t>Software Development</t>
        </is>
      </c>
      <c r="C3179" s="6" t="inlineStr">
        <is>
          <t>SIK-AGRI-2026-2219</t>
        </is>
      </c>
      <c r="D3179" s="7" t="inlineStr">
        <is>
          <t>100% Organic Farming Compliance Blockchain Traceability Platform &amp; Farmer App</t>
        </is>
      </c>
      <c r="E3179" s="7" t="inlineStr">
        <is>
          <t>AGRICULTURE &amp; HORTICULTURE DEPARTMENT-Krishi Bhawan, Tadong</t>
        </is>
      </c>
      <c r="F3179" s="6" t="inlineStr">
        <is>
          <t>11 Sep 2026</t>
        </is>
      </c>
      <c r="G3179" s="5" t="inlineStr">
        <is>
          <t>06 Oct 2026</t>
        </is>
      </c>
      <c r="H3179" s="8" t="inlineStr">
        <is>
          <t>⏳ UPCOMING</t>
        </is>
      </c>
      <c r="I3179" s="4" t="inlineStr">
        <is>
          <t>Tender_SIK-AGRI-2026-2219_All_Documents.zip</t>
        </is>
      </c>
      <c r="J3179" s="6" t="inlineStr">
        <is>
          <t>📦 ZIP Package</t>
        </is>
      </c>
      <c r="K3179" s="9" t="n">
        <v>28</v>
      </c>
      <c r="L3179" s="10">
        <f>HYPERLINK("http://127.0.0.1:8000/api/documents/download?id=3028&amp;attachment=true", "⬇ Download Tender_SIK-AGRI-2026-221")</f>
        <v/>
      </c>
      <c r="M3179" s="10">
        <f>HYPERLINK("http://localhost:5173/?state=Sikkim&amp;keyword=Software%20Development&amp;tender=SIK-AGRI-2026-2219", "🚀 Open in Portal")</f>
        <v/>
      </c>
    </row>
    <row r="3180" ht="24" customHeight="1">
      <c r="A3180" s="11" t="inlineStr">
        <is>
          <t>Sikkim</t>
        </is>
      </c>
      <c r="B3180" s="12" t="inlineStr">
        <is>
          <t>Mobile Application</t>
        </is>
      </c>
      <c r="C3180" s="13" t="inlineStr">
        <is>
          <t>SIK-AGRI-2026-2219</t>
        </is>
      </c>
      <c r="D3180" s="14" t="inlineStr">
        <is>
          <t>100% Organic Farming Compliance Blockchain Traceability Platform &amp; Farmer App</t>
        </is>
      </c>
      <c r="E3180" s="14" t="inlineStr">
        <is>
          <t>AGRICULTURE &amp; HORTICULTURE DEPARTMENT-Krishi Bhawan, Tadong</t>
        </is>
      </c>
      <c r="F3180" s="13" t="inlineStr">
        <is>
          <t>11 Sep 2026</t>
        </is>
      </c>
      <c r="G3180" s="12" t="inlineStr">
        <is>
          <t>06 Oct 2026</t>
        </is>
      </c>
      <c r="H3180" s="8" t="inlineStr">
        <is>
          <t>⏳ UPCOMING</t>
        </is>
      </c>
      <c r="I3180" s="11" t="inlineStr">
        <is>
          <t>Organic_Farming_Blockchain_RFP.pdf</t>
        </is>
      </c>
      <c r="J3180" s="13" t="inlineStr">
        <is>
          <t>📕 PDF Document</t>
        </is>
      </c>
      <c r="K3180" s="15" t="n">
        <v>17.9</v>
      </c>
      <c r="L3180" s="16">
        <f>HYPERLINK("http://127.0.0.1:8000/api/documents/download?id=2857&amp;attachment=true", "⬇ Download Organic_Farming_Blockcha")</f>
        <v/>
      </c>
      <c r="M3180" s="16">
        <f>HYPERLINK("http://localhost:5173/?state=Sikkim&amp;keyword=Mobile%20Application&amp;tender=SIK-AGRI-2026-2219", "🚀 Open in Portal")</f>
        <v/>
      </c>
    </row>
    <row r="3181" ht="24" customHeight="1">
      <c r="A3181" s="4" t="inlineStr">
        <is>
          <t>Sikkim</t>
        </is>
      </c>
      <c r="B3181" s="5" t="inlineStr">
        <is>
          <t>Mobile Application</t>
        </is>
      </c>
      <c r="C3181" s="6" t="inlineStr">
        <is>
          <t>SIK-AGRI-2026-2219</t>
        </is>
      </c>
      <c r="D3181" s="7" t="inlineStr">
        <is>
          <t>100% Organic Farming Compliance Blockchain Traceability Platform &amp; Farmer App</t>
        </is>
      </c>
      <c r="E3181" s="7" t="inlineStr">
        <is>
          <t>AGRICULTURE &amp; HORTICULTURE DEPARTMENT-Krishi Bhawan, Tadong</t>
        </is>
      </c>
      <c r="F3181" s="6" t="inlineStr">
        <is>
          <t>11 Sep 2026</t>
        </is>
      </c>
      <c r="G3181" s="5" t="inlineStr">
        <is>
          <t>06 Oct 2026</t>
        </is>
      </c>
      <c r="H3181" s="8" t="inlineStr">
        <is>
          <t>⏳ UPCOMING</t>
        </is>
      </c>
      <c r="I3181" s="4" t="inlineStr">
        <is>
          <t>Smart_Contract_Security_Audit_Requirements.pdf</t>
        </is>
      </c>
      <c r="J3181" s="6" t="inlineStr">
        <is>
          <t>📕 PDF Document</t>
        </is>
      </c>
      <c r="K3181" s="9" t="n">
        <v>17.9</v>
      </c>
      <c r="L3181" s="10">
        <f>HYPERLINK("http://127.0.0.1:8000/api/documents/download?id=2858&amp;attachment=true", "⬇ Download Smart_Contract_Security_")</f>
        <v/>
      </c>
      <c r="M3181" s="10">
        <f>HYPERLINK("http://localhost:5173/?state=Sikkim&amp;keyword=Mobile%20Application&amp;tender=SIK-AGRI-2026-2219", "🚀 Open in Portal")</f>
        <v/>
      </c>
    </row>
    <row r="3182" ht="24" customHeight="1">
      <c r="A3182" s="11" t="inlineStr">
        <is>
          <t>Sikkim</t>
        </is>
      </c>
      <c r="B3182" s="12" t="inlineStr">
        <is>
          <t>Mobile Application</t>
        </is>
      </c>
      <c r="C3182" s="13" t="inlineStr">
        <is>
          <t>SIK-AGRI-2026-2219</t>
        </is>
      </c>
      <c r="D3182" s="14" t="inlineStr">
        <is>
          <t>100% Organic Farming Compliance Blockchain Traceability Platform &amp; Farmer App</t>
        </is>
      </c>
      <c r="E3182" s="14" t="inlineStr">
        <is>
          <t>AGRICULTURE &amp; HORTICULTURE DEPARTMENT-Krishi Bhawan, Tadong</t>
        </is>
      </c>
      <c r="F3182" s="13" t="inlineStr">
        <is>
          <t>11 Sep 2026</t>
        </is>
      </c>
      <c r="G3182" s="12" t="inlineStr">
        <is>
          <t>06 Oct 2026</t>
        </is>
      </c>
      <c r="H3182" s="8" t="inlineStr">
        <is>
          <t>⏳ UPCOMING</t>
        </is>
      </c>
      <c r="I3182" s="11" t="inlineStr">
        <is>
          <t>Farmer_Mobile_App_UI_UX.pdf</t>
        </is>
      </c>
      <c r="J3182" s="13" t="inlineStr">
        <is>
          <t>📕 PDF Document</t>
        </is>
      </c>
      <c r="K3182" s="15" t="n">
        <v>17.9</v>
      </c>
      <c r="L3182" s="16">
        <f>HYPERLINK("http://127.0.0.1:8000/api/documents/download?id=2859&amp;attachment=true", "⬇ Download Farmer_Mobile_App_UI_UX.")</f>
        <v/>
      </c>
      <c r="M3182" s="16">
        <f>HYPERLINK("http://localhost:5173/?state=Sikkim&amp;keyword=Mobile%20Application&amp;tender=SIK-AGRI-2026-2219", "🚀 Open in Portal")</f>
        <v/>
      </c>
    </row>
    <row r="3183" ht="24" customHeight="1">
      <c r="A3183" s="4" t="inlineStr">
        <is>
          <t>Sikkim</t>
        </is>
      </c>
      <c r="B3183" s="5" t="inlineStr">
        <is>
          <t>Mobile Application</t>
        </is>
      </c>
      <c r="C3183" s="6" t="inlineStr">
        <is>
          <t>SIK-AGRI-2026-2219</t>
        </is>
      </c>
      <c r="D3183" s="7" t="inlineStr">
        <is>
          <t>100% Organic Farming Compliance Blockchain Traceability Platform &amp; Farmer App</t>
        </is>
      </c>
      <c r="E3183" s="7" t="inlineStr">
        <is>
          <t>AGRICULTURE &amp; HORTICULTURE DEPARTMENT-Krishi Bhawan, Tadong</t>
        </is>
      </c>
      <c r="F3183" s="6" t="inlineStr">
        <is>
          <t>11 Sep 2026</t>
        </is>
      </c>
      <c r="G3183" s="5" t="inlineStr">
        <is>
          <t>06 Oct 2026</t>
        </is>
      </c>
      <c r="H3183" s="8" t="inlineStr">
        <is>
          <t>⏳ UPCOMING</t>
        </is>
      </c>
      <c r="I3183" s="4" t="inlineStr">
        <is>
          <t>Tender_SIK-AGRI-2026-2219_All_Documents.zip</t>
        </is>
      </c>
      <c r="J3183" s="6" t="inlineStr">
        <is>
          <t>📦 ZIP Package</t>
        </is>
      </c>
      <c r="K3183" s="9" t="n">
        <v>28</v>
      </c>
      <c r="L3183" s="10">
        <f>HYPERLINK("http://127.0.0.1:8000/api/documents/download?id=3028&amp;attachment=true", "⬇ Download Tender_SIK-AGRI-2026-221")</f>
        <v/>
      </c>
      <c r="M3183" s="10">
        <f>HYPERLINK("http://localhost:5173/?state=Sikkim&amp;keyword=Mobile%20Application&amp;tender=SIK-AGRI-2026-2219", "🚀 Open in Portal")</f>
        <v/>
      </c>
    </row>
    <row r="3184" ht="24" customHeight="1">
      <c r="A3184" s="11" t="inlineStr">
        <is>
          <t>Sikkim</t>
        </is>
      </c>
      <c r="B3184" s="12" t="inlineStr">
        <is>
          <t>Mapping</t>
        </is>
      </c>
      <c r="C3184" s="13" t="inlineStr">
        <is>
          <t>SIK-FOREST-2026-9912</t>
        </is>
      </c>
      <c r="D3184" s="14" t="inlineStr">
        <is>
          <t>Alpine Forest Eco-Tourism Geo-Portal and Wildlife Habitat Conservation System</t>
        </is>
      </c>
      <c r="E3184" s="14" t="inlineStr">
        <is>
          <t>FORESTS &amp; ENVIRONMENT DEPARTMENT-Forest Secretariat, Deorali</t>
        </is>
      </c>
      <c r="F3184" s="13" t="inlineStr">
        <is>
          <t>10 Oct 2026</t>
        </is>
      </c>
      <c r="G3184" s="12" t="inlineStr">
        <is>
          <t>25 Oct 2026</t>
        </is>
      </c>
      <c r="H3184" s="17" t="inlineStr">
        <is>
          <t>🟢 LIVE ACTIVE</t>
        </is>
      </c>
      <c r="I3184" s="11" t="inlineStr">
        <is>
          <t>Alpine_Forest_GeoPortal_Tender.pdf</t>
        </is>
      </c>
      <c r="J3184" s="13" t="inlineStr">
        <is>
          <t>📕 PDF Document</t>
        </is>
      </c>
      <c r="K3184" s="15" t="n">
        <v>17.9</v>
      </c>
      <c r="L3184" s="16">
        <f>HYPERLINK("http://127.0.0.1:8000/api/documents/download?id=2860&amp;attachment=true", "⬇ Download Alpine_Forest_GeoPortal_")</f>
        <v/>
      </c>
      <c r="M3184" s="16">
        <f>HYPERLINK("http://localhost:5173/?state=Sikkim&amp;keyword=Mapping&amp;tender=SIK-FOREST-2026-9912", "🚀 Open in Portal")</f>
        <v/>
      </c>
    </row>
    <row r="3185" ht="24" customHeight="1">
      <c r="A3185" s="4" t="inlineStr">
        <is>
          <t>Sikkim</t>
        </is>
      </c>
      <c r="B3185" s="5" t="inlineStr">
        <is>
          <t>Mapping</t>
        </is>
      </c>
      <c r="C3185" s="6" t="inlineStr">
        <is>
          <t>SIK-FOREST-2026-9912</t>
        </is>
      </c>
      <c r="D3185" s="7" t="inlineStr">
        <is>
          <t>Alpine Forest Eco-Tourism Geo-Portal and Wildlife Habitat Conservation System</t>
        </is>
      </c>
      <c r="E3185" s="7" t="inlineStr">
        <is>
          <t>FORESTS &amp; ENVIRONMENT DEPARTMENT-Forest Secretariat, Deorali</t>
        </is>
      </c>
      <c r="F3185" s="6" t="inlineStr">
        <is>
          <t>10 Oct 2026</t>
        </is>
      </c>
      <c r="G3185" s="5" t="inlineStr">
        <is>
          <t>25 Oct 2026</t>
        </is>
      </c>
      <c r="H3185" s="17" t="inlineStr">
        <is>
          <t>🟢 LIVE ACTIVE</t>
        </is>
      </c>
      <c r="I3185" s="4" t="inlineStr">
        <is>
          <t>Trail_Mapping_GPS_Format.pdf</t>
        </is>
      </c>
      <c r="J3185" s="6" t="inlineStr">
        <is>
          <t>📕 PDF Document</t>
        </is>
      </c>
      <c r="K3185" s="9" t="n">
        <v>17.9</v>
      </c>
      <c r="L3185" s="10">
        <f>HYPERLINK("http://127.0.0.1:8000/api/documents/download?id=2861&amp;attachment=true", "⬇ Download Trail_Mapping_GPS_Format")</f>
        <v/>
      </c>
      <c r="M3185" s="10">
        <f>HYPERLINK("http://localhost:5173/?state=Sikkim&amp;keyword=Mapping&amp;tender=SIK-FOREST-2026-9912", "🚀 Open in Portal")</f>
        <v/>
      </c>
    </row>
    <row r="3186" ht="24" customHeight="1">
      <c r="A3186" s="11" t="inlineStr">
        <is>
          <t>Sikkim</t>
        </is>
      </c>
      <c r="B3186" s="12" t="inlineStr">
        <is>
          <t>Mapping</t>
        </is>
      </c>
      <c r="C3186" s="13" t="inlineStr">
        <is>
          <t>SIK-FOREST-2026-9912</t>
        </is>
      </c>
      <c r="D3186" s="14" t="inlineStr">
        <is>
          <t>Alpine Forest Eco-Tourism Geo-Portal and Wildlife Habitat Conservation System</t>
        </is>
      </c>
      <c r="E3186" s="14" t="inlineStr">
        <is>
          <t>FORESTS &amp; ENVIRONMENT DEPARTMENT-Forest Secretariat, Deorali</t>
        </is>
      </c>
      <c r="F3186" s="13" t="inlineStr">
        <is>
          <t>10 Oct 2026</t>
        </is>
      </c>
      <c r="G3186" s="12" t="inlineStr">
        <is>
          <t>25 Oct 2026</t>
        </is>
      </c>
      <c r="H3186" s="17" t="inlineStr">
        <is>
          <t>🟢 LIVE ACTIVE</t>
        </is>
      </c>
      <c r="I3186" s="11" t="inlineStr">
        <is>
          <t>Tender_SIK-FOREST-2026-9912_All_Documents.zip</t>
        </is>
      </c>
      <c r="J3186" s="13" t="inlineStr">
        <is>
          <t>📦 ZIP Package</t>
        </is>
      </c>
      <c r="K3186" s="15" t="n">
        <v>18.5</v>
      </c>
      <c r="L3186" s="16">
        <f>HYPERLINK("http://127.0.0.1:8000/api/documents/download?id=3029&amp;attachment=true", "⬇ Download Tender_SIK-FOREST-2026-9")</f>
        <v/>
      </c>
      <c r="M3186" s="16">
        <f>HYPERLINK("http://localhost:5173/?state=Sikkim&amp;keyword=Mapping&amp;tender=SIK-FOREST-2026-9912", "🚀 Open in Portal")</f>
        <v/>
      </c>
    </row>
    <row r="3187" ht="24" customHeight="1">
      <c r="A3187" s="4" t="inlineStr">
        <is>
          <t>Sikkim</t>
        </is>
      </c>
      <c r="B3187" s="5" t="inlineStr">
        <is>
          <t>Website Development/Application</t>
        </is>
      </c>
      <c r="C3187" s="6" t="inlineStr">
        <is>
          <t>SIK-FOREST-2026-9912</t>
        </is>
      </c>
      <c r="D3187" s="7" t="inlineStr">
        <is>
          <t>Alpine Forest Eco-Tourism Geo-Portal and Wildlife Habitat Conservation System</t>
        </is>
      </c>
      <c r="E3187" s="7" t="inlineStr">
        <is>
          <t>FORESTS &amp; ENVIRONMENT DEPARTMENT-Forest Secretariat, Deorali</t>
        </is>
      </c>
      <c r="F3187" s="6" t="inlineStr">
        <is>
          <t>10 Oct 2026</t>
        </is>
      </c>
      <c r="G3187" s="5" t="inlineStr">
        <is>
          <t>25 Oct 2026</t>
        </is>
      </c>
      <c r="H3187" s="17" t="inlineStr">
        <is>
          <t>🟢 LIVE ACTIVE</t>
        </is>
      </c>
      <c r="I3187" s="4" t="inlineStr">
        <is>
          <t>Alpine_Forest_GeoPortal_Tender.pdf</t>
        </is>
      </c>
      <c r="J3187" s="6" t="inlineStr">
        <is>
          <t>📕 PDF Document</t>
        </is>
      </c>
      <c r="K3187" s="9" t="n">
        <v>17.9</v>
      </c>
      <c r="L3187" s="10">
        <f>HYPERLINK("http://127.0.0.1:8000/api/documents/download?id=2860&amp;attachment=true", "⬇ Download Alpine_Forest_GeoPortal_")</f>
        <v/>
      </c>
      <c r="M3187" s="10">
        <f>HYPERLINK("http://localhost:5173/?state=Sikkim&amp;keyword=Website%20Development/Application&amp;tender=SIK-FOREST-2026-9912", "🚀 Open in Portal")</f>
        <v/>
      </c>
    </row>
    <row r="3188" ht="24" customHeight="1">
      <c r="A3188" s="11" t="inlineStr">
        <is>
          <t>Sikkim</t>
        </is>
      </c>
      <c r="B3188" s="12" t="inlineStr">
        <is>
          <t>Website Development/Application</t>
        </is>
      </c>
      <c r="C3188" s="13" t="inlineStr">
        <is>
          <t>SIK-FOREST-2026-9912</t>
        </is>
      </c>
      <c r="D3188" s="14" t="inlineStr">
        <is>
          <t>Alpine Forest Eco-Tourism Geo-Portal and Wildlife Habitat Conservation System</t>
        </is>
      </c>
      <c r="E3188" s="14" t="inlineStr">
        <is>
          <t>FORESTS &amp; ENVIRONMENT DEPARTMENT-Forest Secretariat, Deorali</t>
        </is>
      </c>
      <c r="F3188" s="13" t="inlineStr">
        <is>
          <t>10 Oct 2026</t>
        </is>
      </c>
      <c r="G3188" s="12" t="inlineStr">
        <is>
          <t>25 Oct 2026</t>
        </is>
      </c>
      <c r="H3188" s="17" t="inlineStr">
        <is>
          <t>🟢 LIVE ACTIVE</t>
        </is>
      </c>
      <c r="I3188" s="11" t="inlineStr">
        <is>
          <t>Trail_Mapping_GPS_Format.pdf</t>
        </is>
      </c>
      <c r="J3188" s="13" t="inlineStr">
        <is>
          <t>📕 PDF Document</t>
        </is>
      </c>
      <c r="K3188" s="15" t="n">
        <v>17.9</v>
      </c>
      <c r="L3188" s="16">
        <f>HYPERLINK("http://127.0.0.1:8000/api/documents/download?id=2861&amp;attachment=true", "⬇ Download Trail_Mapping_GPS_Format")</f>
        <v/>
      </c>
      <c r="M3188" s="16">
        <f>HYPERLINK("http://localhost:5173/?state=Sikkim&amp;keyword=Website%20Development/Application&amp;tender=SIK-FOREST-2026-9912", "🚀 Open in Portal")</f>
        <v/>
      </c>
    </row>
    <row r="3189" ht="24" customHeight="1">
      <c r="A3189" s="4" t="inlineStr">
        <is>
          <t>Sikkim</t>
        </is>
      </c>
      <c r="B3189" s="5" t="inlineStr">
        <is>
          <t>Website Development/Application</t>
        </is>
      </c>
      <c r="C3189" s="6" t="inlineStr">
        <is>
          <t>SIK-FOREST-2026-9912</t>
        </is>
      </c>
      <c r="D3189" s="7" t="inlineStr">
        <is>
          <t>Alpine Forest Eco-Tourism Geo-Portal and Wildlife Habitat Conservation System</t>
        </is>
      </c>
      <c r="E3189" s="7" t="inlineStr">
        <is>
          <t>FORESTS &amp; ENVIRONMENT DEPARTMENT-Forest Secretariat, Deorali</t>
        </is>
      </c>
      <c r="F3189" s="6" t="inlineStr">
        <is>
          <t>10 Oct 2026</t>
        </is>
      </c>
      <c r="G3189" s="5" t="inlineStr">
        <is>
          <t>25 Oct 2026</t>
        </is>
      </c>
      <c r="H3189" s="17" t="inlineStr">
        <is>
          <t>🟢 LIVE ACTIVE</t>
        </is>
      </c>
      <c r="I3189" s="4" t="inlineStr">
        <is>
          <t>Tender_SIK-FOREST-2026-9912_All_Documents.zip</t>
        </is>
      </c>
      <c r="J3189" s="6" t="inlineStr">
        <is>
          <t>📦 ZIP Package</t>
        </is>
      </c>
      <c r="K3189" s="9" t="n">
        <v>18.5</v>
      </c>
      <c r="L3189" s="10">
        <f>HYPERLINK("http://127.0.0.1:8000/api/documents/download?id=3029&amp;attachment=true", "⬇ Download Tender_SIK-FOREST-2026-9")</f>
        <v/>
      </c>
      <c r="M3189" s="10">
        <f>HYPERLINK("http://localhost:5173/?state=Sikkim&amp;keyword=Website%20Development/Application&amp;tender=SIK-FOREST-2026-9912", "🚀 Open in Portal")</f>
        <v/>
      </c>
    </row>
    <row r="3190" ht="24" customHeight="1">
      <c r="A3190" s="11" t="inlineStr">
        <is>
          <t>Sikkim</t>
        </is>
      </c>
      <c r="B3190" s="12" t="inlineStr">
        <is>
          <t>Empanelment</t>
        </is>
      </c>
      <c r="C3190" s="13" t="inlineStr">
        <is>
          <t>2026_SIK_6958270_88</t>
        </is>
      </c>
      <c r="D3190" s="14" t="inlineStr">
        <is>
          <t>Empanelment-Based Empanelment of Specialized Geospatial &amp; AI Solutions Consulting Agencies</t>
        </is>
      </c>
      <c r="E3190" s="14" t="inlineStr">
        <is>
          <t>STATE ELECTRONICS DEVELOPMENT CORPORATION</t>
        </is>
      </c>
      <c r="F3190" s="13" t="inlineStr">
        <is>
          <t>26 Aug 2026</t>
        </is>
      </c>
      <c r="G3190" s="12" t="inlineStr">
        <is>
          <t>18 Sep 2026</t>
        </is>
      </c>
      <c r="H3190" s="8" t="inlineStr">
        <is>
          <t>⏳ UPCOMING</t>
        </is>
      </c>
      <c r="I3190" s="11" t="inlineStr">
        <is>
          <t>Tendernotice_2026_SIK_6958270_88.pdf</t>
        </is>
      </c>
      <c r="J3190" s="13" t="inlineStr">
        <is>
          <t>📕 PDF Document</t>
        </is>
      </c>
      <c r="K3190" s="15" t="n">
        <v>7.7</v>
      </c>
      <c r="L3190" s="16">
        <f>HYPERLINK("http://127.0.0.1:8000/api/documents/download?id=3493&amp;attachment=true", "⬇ Download Tendernotice_2026_SIK_69")</f>
        <v/>
      </c>
      <c r="M3190" s="16">
        <f>HYPERLINK("http://localhost:5173/?state=Sikkim&amp;keyword=Empanelment&amp;tender=2026_SIK_6958270_88", "🚀 Open in Portal")</f>
        <v/>
      </c>
    </row>
    <row r="3191" ht="24" customHeight="1">
      <c r="A3191" s="4" t="inlineStr">
        <is>
          <t>Sikkim</t>
        </is>
      </c>
      <c r="B3191" s="5" t="inlineStr">
        <is>
          <t>Empanelment</t>
        </is>
      </c>
      <c r="C3191" s="6" t="inlineStr">
        <is>
          <t>2026_SIK_6958270_88</t>
        </is>
      </c>
      <c r="D3191" s="7" t="inlineStr">
        <is>
          <t>Empanelment-Based Empanelment of Specialized Geospatial &amp; AI Solutions Consulting Agencies</t>
        </is>
      </c>
      <c r="E3191" s="7" t="inlineStr">
        <is>
          <t>STATE ELECTRONICS DEVELOPMENT CORPORATION</t>
        </is>
      </c>
      <c r="F3191" s="6" t="inlineStr">
        <is>
          <t>26 Aug 2026</t>
        </is>
      </c>
      <c r="G3191" s="5" t="inlineStr">
        <is>
          <t>18 Sep 2026</t>
        </is>
      </c>
      <c r="H3191" s="8" t="inlineStr">
        <is>
          <t>⏳ UPCOMING</t>
        </is>
      </c>
      <c r="I3191" s="4" t="inlineStr">
        <is>
          <t>Technical_RFP_Specification_Empanelment.pdf</t>
        </is>
      </c>
      <c r="J3191" s="6" t="inlineStr">
        <is>
          <t>📕 PDF Document</t>
        </is>
      </c>
      <c r="K3191" s="9" t="n">
        <v>7.7</v>
      </c>
      <c r="L3191" s="10">
        <f>HYPERLINK("http://127.0.0.1:8000/api/documents/download?id=3494&amp;attachment=true", "⬇ Download Technical_RFP_Specificat")</f>
        <v/>
      </c>
      <c r="M3191" s="10">
        <f>HYPERLINK("http://localhost:5173/?state=Sikkim&amp;keyword=Empanelment&amp;tender=2026_SIK_6958270_88", "🚀 Open in Portal")</f>
        <v/>
      </c>
    </row>
    <row r="3192" ht="24" customHeight="1">
      <c r="A3192" s="11" t="inlineStr">
        <is>
          <t>Sikkim</t>
        </is>
      </c>
      <c r="B3192" s="12" t="inlineStr">
        <is>
          <t>Empanelment</t>
        </is>
      </c>
      <c r="C3192" s="13" t="inlineStr">
        <is>
          <t>2026_SIK_6958270_88</t>
        </is>
      </c>
      <c r="D3192" s="14" t="inlineStr">
        <is>
          <t>Empanelment-Based Empanelment of Specialized Geospatial &amp; AI Solutions Consulting Agencies</t>
        </is>
      </c>
      <c r="E3192" s="14" t="inlineStr">
        <is>
          <t>STATE ELECTRONICS DEVELOPMENT CORPORATION</t>
        </is>
      </c>
      <c r="F3192" s="13" t="inlineStr">
        <is>
          <t>26 Aug 2026</t>
        </is>
      </c>
      <c r="G3192" s="12" t="inlineStr">
        <is>
          <t>18 Sep 2026</t>
        </is>
      </c>
      <c r="H3192" s="8" t="inlineStr">
        <is>
          <t>⏳ UPCOMING</t>
        </is>
      </c>
      <c r="I3192" s="11" t="inlineStr">
        <is>
          <t>BOQ_Financial_Schedule_2026_SIK_6958270_88.xlsx</t>
        </is>
      </c>
      <c r="J3192" s="13" t="inlineStr">
        <is>
          <t>📊 Excel BOQ</t>
        </is>
      </c>
      <c r="K3192" s="15" t="n">
        <v>5.9</v>
      </c>
      <c r="L3192" s="16">
        <f>HYPERLINK("http://127.0.0.1:8000/api/documents/download?id=3495&amp;attachment=true", "⬇ Download BOQ_Financial_Schedule_2")</f>
        <v/>
      </c>
      <c r="M3192" s="16">
        <f>HYPERLINK("http://localhost:5173/?state=Sikkim&amp;keyword=Empanelment&amp;tender=2026_SIK_6958270_88", "🚀 Open in Portal")</f>
        <v/>
      </c>
    </row>
    <row r="3193" ht="24" customHeight="1">
      <c r="A3193" s="4" t="inlineStr">
        <is>
          <t>Sikkim</t>
        </is>
      </c>
      <c r="B3193" s="5" t="inlineStr">
        <is>
          <t>Empanelment</t>
        </is>
      </c>
      <c r="C3193" s="6" t="inlineStr">
        <is>
          <t>2026_SIK_6958270_88</t>
        </is>
      </c>
      <c r="D3193" s="7" t="inlineStr">
        <is>
          <t>Empanelment-Based Empanelment of Specialized Geospatial &amp; AI Solutions Consulting Agencies</t>
        </is>
      </c>
      <c r="E3193" s="7" t="inlineStr">
        <is>
          <t>STATE ELECTRONICS DEVELOPMENT CORPORATION</t>
        </is>
      </c>
      <c r="F3193" s="6" t="inlineStr">
        <is>
          <t>26 Aug 2026</t>
        </is>
      </c>
      <c r="G3193" s="5" t="inlineStr">
        <is>
          <t>18 Sep 2026</t>
        </is>
      </c>
      <c r="H3193" s="8" t="inlineStr">
        <is>
          <t>⏳ UPCOMING</t>
        </is>
      </c>
      <c r="I3193" s="4" t="inlineStr">
        <is>
          <t>Tender_2026_SIK_6958270_88_All_Documents.zip</t>
        </is>
      </c>
      <c r="J3193" s="6" t="inlineStr">
        <is>
          <t>📦 ZIP Package</t>
        </is>
      </c>
      <c r="K3193" s="9" t="n">
        <v>45</v>
      </c>
      <c r="L3193" s="10">
        <f>HYPERLINK("https://sikkimtenders.gov.in/tender/2026_SIK_6958270_88", "⬇ Download Tender_2026_SIK_6958270_")</f>
        <v/>
      </c>
      <c r="M3193" s="10">
        <f>HYPERLINK("http://localhost:5173/?state=Sikkim&amp;keyword=Empanelment&amp;tender=2026_SIK_6958270_88", "🚀 Open in Portal")</f>
        <v/>
      </c>
    </row>
    <row r="3194" ht="24" customHeight="1">
      <c r="A3194" s="11" t="inlineStr">
        <is>
          <t>Tamil Nadu</t>
        </is>
      </c>
      <c r="B3194" s="12" t="inlineStr">
        <is>
          <t>GIS</t>
        </is>
      </c>
      <c r="C3194" s="13" t="inlineStr">
        <is>
          <t>2026_EB_711252_1</t>
        </is>
      </c>
      <c r="D3194" s="14" t="inlineStr">
        <is>
          <t>[T.S.No.009/2026-27 of SE/GCC/Salem(MM) - Hiring of Diesel Driven Van/ Jeep Registered within 7 years for the use of the Asst.Executive Engineer/ TLC/Krishnagiri for a period of one year ]</t>
        </is>
      </c>
      <c r="E3194" s="14" t="inlineStr">
        <is>
          <t>Tamil Nadu Public Works &amp; Technology Department</t>
        </is>
      </c>
      <c r="F3194" s="13" t="inlineStr">
        <is>
          <t>19 Sep 2026</t>
        </is>
      </c>
      <c r="G3194" s="12" t="inlineStr">
        <is>
          <t>19 Oct 2026</t>
        </is>
      </c>
      <c r="H3194" s="8" t="inlineStr">
        <is>
          <t>⏳ UPCOMING</t>
        </is>
      </c>
      <c r="I3194" s="11" t="inlineStr">
        <is>
          <t>Tendernotice_1.pdf</t>
        </is>
      </c>
      <c r="J3194" s="13" t="inlineStr">
        <is>
          <t>📕 PDF Document</t>
        </is>
      </c>
      <c r="K3194" s="15" t="n">
        <v>17.9</v>
      </c>
      <c r="L3194" s="16">
        <f>HYPERLINK("http://127.0.0.1:8000/api/documents/download?id=1534&amp;attachment=true", "⬇ Download Tendernotice_1.pdf")</f>
        <v/>
      </c>
      <c r="M3194" s="16">
        <f>HYPERLINK("http://localhost:5173/?state=Tamil%20Nadu&amp;keyword=GIS&amp;tender=2026_EB_711252_1", "🚀 Open in Portal")</f>
        <v/>
      </c>
    </row>
    <row r="3195" ht="24" customHeight="1">
      <c r="A3195" s="4" t="inlineStr">
        <is>
          <t>Tamil Nadu</t>
        </is>
      </c>
      <c r="B3195" s="5" t="inlineStr">
        <is>
          <t>GIS</t>
        </is>
      </c>
      <c r="C3195" s="6" t="inlineStr">
        <is>
          <t>2026_EB_711252_1</t>
        </is>
      </c>
      <c r="D3195" s="7" t="inlineStr">
        <is>
          <t>[T.S.No.009/2026-27 of SE/GCC/Salem(MM) - Hiring of Diesel Driven Van/ Jeep Registered within 7 years for the use of the Asst.Executive Engineer/ TLC/Krishnagiri for a period of one year ]</t>
        </is>
      </c>
      <c r="E3195" s="7" t="inlineStr">
        <is>
          <t>Tamil Nadu Public Works &amp; Technology Department</t>
        </is>
      </c>
      <c r="F3195" s="6" t="inlineStr">
        <is>
          <t>19 Sep 2026</t>
        </is>
      </c>
      <c r="G3195" s="5" t="inlineStr">
        <is>
          <t>19 Oct 2026</t>
        </is>
      </c>
      <c r="H3195" s="8" t="inlineStr">
        <is>
          <t>⏳ UPCOMING</t>
        </is>
      </c>
      <c r="I3195" s="4" t="inlineStr">
        <is>
          <t>BOQ_854528.xls</t>
        </is>
      </c>
      <c r="J3195" s="6" t="inlineStr">
        <is>
          <t>📊 Excel BOQ</t>
        </is>
      </c>
      <c r="K3195" s="9" t="n">
        <v>2.5</v>
      </c>
      <c r="L3195" s="10">
        <f>HYPERLINK("http://127.0.0.1:8000/api/documents/download?id=1535&amp;attachment=true", "⬇ Download BOQ_854528.xls")</f>
        <v/>
      </c>
      <c r="M3195" s="10">
        <f>HYPERLINK("http://localhost:5173/?state=Tamil%20Nadu&amp;keyword=GIS&amp;tender=2026_EB_711252_1", "🚀 Open in Portal")</f>
        <v/>
      </c>
    </row>
    <row r="3196" ht="24" customHeight="1">
      <c r="A3196" s="11" t="inlineStr">
        <is>
          <t>Tamil Nadu</t>
        </is>
      </c>
      <c r="B3196" s="12" t="inlineStr">
        <is>
          <t>GIS</t>
        </is>
      </c>
      <c r="C3196" s="13" t="inlineStr">
        <is>
          <t>2026_EB_711252_1</t>
        </is>
      </c>
      <c r="D3196" s="14" t="inlineStr">
        <is>
          <t>[T.S.No.009/2026-27 of SE/GCC/Salem(MM) - Hiring of Diesel Driven Van/ Jeep Registered within 7 years for the use of the Asst.Executive Engineer/ TLC/Krishnagiri for a period of one year ]</t>
        </is>
      </c>
      <c r="E3196" s="14" t="inlineStr">
        <is>
          <t>Tamil Nadu Public Works &amp; Technology Department</t>
        </is>
      </c>
      <c r="F3196" s="13" t="inlineStr">
        <is>
          <t>19 Sep 2026</t>
        </is>
      </c>
      <c r="G3196" s="12" t="inlineStr">
        <is>
          <t>19 Oct 2026</t>
        </is>
      </c>
      <c r="H3196" s="8" t="inlineStr">
        <is>
          <t>⏳ UPCOMING</t>
        </is>
      </c>
      <c r="I3196" s="11" t="inlineStr">
        <is>
          <t>Tender_2026_EB_711252_1_All_Documents.zip</t>
        </is>
      </c>
      <c r="J3196" s="13" t="inlineStr">
        <is>
          <t>📦 ZIP Package</t>
        </is>
      </c>
      <c r="K3196" s="15" t="n">
        <v>11.6</v>
      </c>
      <c r="L3196" s="16">
        <f>HYPERLINK("http://127.0.0.1:8000/api/documents/download?id=1536&amp;attachment=true", "⬇ Download Tender_2026_EB_711252_1_")</f>
        <v/>
      </c>
      <c r="M3196" s="16">
        <f>HYPERLINK("http://localhost:5173/?state=Tamil%20Nadu&amp;keyword=GIS&amp;tender=2026_EB_711252_1", "🚀 Open in Portal")</f>
        <v/>
      </c>
    </row>
    <row r="3197" ht="24" customHeight="1">
      <c r="A3197" s="4" t="inlineStr">
        <is>
          <t>Tamil Nadu</t>
        </is>
      </c>
      <c r="B3197" s="5" t="inlineStr">
        <is>
          <t>GIS</t>
        </is>
      </c>
      <c r="C3197" s="6" t="inlineStr">
        <is>
          <t>2026_EB_711527_1</t>
        </is>
      </c>
      <c r="D3197" s="7" t="inlineStr">
        <is>
          <t>[Providing 1 No Van/Jeep with Diesel/Petrol Driven on hire basis (Registered within 5/7 Years) for the use of Assistant Executive Engineer/ Lines/ Trichy for a period of one year]</t>
        </is>
      </c>
      <c r="E3197" s="7" t="inlineStr">
        <is>
          <t>Tamil Nadu Public Works &amp; Technology Department</t>
        </is>
      </c>
      <c r="F3197" s="6" t="inlineStr">
        <is>
          <t>27 Aug 2026</t>
        </is>
      </c>
      <c r="G3197" s="5" t="inlineStr">
        <is>
          <t>22 Sep 2026</t>
        </is>
      </c>
      <c r="H3197" s="8" t="inlineStr">
        <is>
          <t>⏳ UPCOMING</t>
        </is>
      </c>
      <c r="I3197" s="4" t="inlineStr">
        <is>
          <t>Tendernotice_1.pdf</t>
        </is>
      </c>
      <c r="J3197" s="6" t="inlineStr">
        <is>
          <t>📕 PDF Document</t>
        </is>
      </c>
      <c r="K3197" s="9" t="n">
        <v>17.8</v>
      </c>
      <c r="L3197" s="10">
        <f>HYPERLINK("http://127.0.0.1:8000/api/documents/download?id=1531&amp;attachment=true", "⬇ Download Tendernotice_1.pdf")</f>
        <v/>
      </c>
      <c r="M3197" s="10">
        <f>HYPERLINK("http://localhost:5173/?state=Tamil%20Nadu&amp;keyword=GIS&amp;tender=2026_EB_711527_1", "🚀 Open in Portal")</f>
        <v/>
      </c>
    </row>
    <row r="3198" ht="24" customHeight="1">
      <c r="A3198" s="11" t="inlineStr">
        <is>
          <t>Tamil Nadu</t>
        </is>
      </c>
      <c r="B3198" s="12" t="inlineStr">
        <is>
          <t>GIS</t>
        </is>
      </c>
      <c r="C3198" s="13" t="inlineStr">
        <is>
          <t>2026_EB_711527_1</t>
        </is>
      </c>
      <c r="D3198" s="14" t="inlineStr">
        <is>
          <t>[Providing 1 No Van/Jeep with Diesel/Petrol Driven on hire basis (Registered within 5/7 Years) for the use of Assistant Executive Engineer/ Lines/ Trichy for a period of one year]</t>
        </is>
      </c>
      <c r="E3198" s="14" t="inlineStr">
        <is>
          <t>Tamil Nadu Public Works &amp; Technology Department</t>
        </is>
      </c>
      <c r="F3198" s="13" t="inlineStr">
        <is>
          <t>27 Aug 2026</t>
        </is>
      </c>
      <c r="G3198" s="12" t="inlineStr">
        <is>
          <t>22 Sep 2026</t>
        </is>
      </c>
      <c r="H3198" s="8" t="inlineStr">
        <is>
          <t>⏳ UPCOMING</t>
        </is>
      </c>
      <c r="I3198" s="11" t="inlineStr">
        <is>
          <t>BOQ_854830.xls</t>
        </is>
      </c>
      <c r="J3198" s="13" t="inlineStr">
        <is>
          <t>📊 Excel BOQ</t>
        </is>
      </c>
      <c r="K3198" s="15" t="n">
        <v>2.5</v>
      </c>
      <c r="L3198" s="16">
        <f>HYPERLINK("http://127.0.0.1:8000/api/documents/download?id=1532&amp;attachment=true", "⬇ Download BOQ_854830.xls")</f>
        <v/>
      </c>
      <c r="M3198" s="16">
        <f>HYPERLINK("http://localhost:5173/?state=Tamil%20Nadu&amp;keyword=GIS&amp;tender=2026_EB_711527_1", "🚀 Open in Portal")</f>
        <v/>
      </c>
    </row>
    <row r="3199" ht="24" customHeight="1">
      <c r="A3199" s="4" t="inlineStr">
        <is>
          <t>Tamil Nadu</t>
        </is>
      </c>
      <c r="B3199" s="5" t="inlineStr">
        <is>
          <t>GIS</t>
        </is>
      </c>
      <c r="C3199" s="6" t="inlineStr">
        <is>
          <t>2026_EB_711527_1</t>
        </is>
      </c>
      <c r="D3199" s="7" t="inlineStr">
        <is>
          <t>[Providing 1 No Van/Jeep with Diesel/Petrol Driven on hire basis (Registered within 5/7 Years) for the use of Assistant Executive Engineer/ Lines/ Trichy for a period of one year]</t>
        </is>
      </c>
      <c r="E3199" s="7" t="inlineStr">
        <is>
          <t>Tamil Nadu Public Works &amp; Technology Department</t>
        </is>
      </c>
      <c r="F3199" s="6" t="inlineStr">
        <is>
          <t>27 Aug 2026</t>
        </is>
      </c>
      <c r="G3199" s="5" t="inlineStr">
        <is>
          <t>22 Sep 2026</t>
        </is>
      </c>
      <c r="H3199" s="8" t="inlineStr">
        <is>
          <t>⏳ UPCOMING</t>
        </is>
      </c>
      <c r="I3199" s="4" t="inlineStr">
        <is>
          <t>Tender_2026_EB_711527_1_All_Documents.zip</t>
        </is>
      </c>
      <c r="J3199" s="6" t="inlineStr">
        <is>
          <t>📦 ZIP Package</t>
        </is>
      </c>
      <c r="K3199" s="9" t="n">
        <v>11.6</v>
      </c>
      <c r="L3199" s="10">
        <f>HYPERLINK("http://127.0.0.1:8000/api/documents/download?id=1533&amp;attachment=true", "⬇ Download Tender_2026_EB_711527_1_")</f>
        <v/>
      </c>
      <c r="M3199" s="10">
        <f>HYPERLINK("http://localhost:5173/?state=Tamil%20Nadu&amp;keyword=GIS&amp;tender=2026_EB_711527_1", "🚀 Open in Portal")</f>
        <v/>
      </c>
    </row>
    <row r="3200" ht="24" customHeight="1">
      <c r="A3200" s="11" t="inlineStr">
        <is>
          <t>Tamil Nadu</t>
        </is>
      </c>
      <c r="B3200" s="12" t="inlineStr">
        <is>
          <t>GIS</t>
        </is>
      </c>
      <c r="C3200" s="13" t="inlineStr">
        <is>
          <t>2026_EB_713304_1</t>
        </is>
      </c>
      <c r="D3200" s="14" t="inlineStr">
        <is>
          <t>[Providing One Number Petrol Diesel Driven Jeep Van TATA SUMO QUALIS or other superior models on daily Hire basis for the official use of Assistant Executive Engineer Special Maintenance Sivaganga Date of registration of vehicle as 7 Years]</t>
        </is>
      </c>
      <c r="E3200" s="14" t="inlineStr">
        <is>
          <t>Tamil Nadu Public Works &amp; Technology Department</t>
        </is>
      </c>
      <c r="F3200" s="13" t="inlineStr">
        <is>
          <t>12 Sep 2026</t>
        </is>
      </c>
      <c r="G3200" s="12" t="inlineStr">
        <is>
          <t>10 Oct 2026</t>
        </is>
      </c>
      <c r="H3200" s="8" t="inlineStr">
        <is>
          <t>⏳ UPCOMING</t>
        </is>
      </c>
      <c r="I3200" s="11" t="inlineStr">
        <is>
          <t>Tendernotice_1.pdf</t>
        </is>
      </c>
      <c r="J3200" s="13" t="inlineStr">
        <is>
          <t>📕 PDF Document</t>
        </is>
      </c>
      <c r="K3200" s="15" t="n">
        <v>17.8</v>
      </c>
      <c r="L3200" s="16">
        <f>HYPERLINK("http://127.0.0.1:8000/api/documents/download?id=1504&amp;attachment=true", "⬇ Download Tendernotice_1.pdf")</f>
        <v/>
      </c>
      <c r="M3200" s="16">
        <f>HYPERLINK("http://localhost:5173/?state=Tamil%20Nadu&amp;keyword=GIS&amp;tender=2026_EB_713304_1", "🚀 Open in Portal")</f>
        <v/>
      </c>
    </row>
    <row r="3201" ht="24" customHeight="1">
      <c r="A3201" s="4" t="inlineStr">
        <is>
          <t>Tamil Nadu</t>
        </is>
      </c>
      <c r="B3201" s="5" t="inlineStr">
        <is>
          <t>GIS</t>
        </is>
      </c>
      <c r="C3201" s="6" t="inlineStr">
        <is>
          <t>2026_EB_713304_1</t>
        </is>
      </c>
      <c r="D3201" s="7" t="inlineStr">
        <is>
          <t>[Providing One Number Petrol Diesel Driven Jeep Van TATA SUMO QUALIS or other superior models on daily Hire basis for the official use of Assistant Executive Engineer Special Maintenance Sivaganga Date of registration of vehicle as 7 Years]</t>
        </is>
      </c>
      <c r="E3201" s="7" t="inlineStr">
        <is>
          <t>Tamil Nadu Public Works &amp; Technology Department</t>
        </is>
      </c>
      <c r="F3201" s="6" t="inlineStr">
        <is>
          <t>12 Sep 2026</t>
        </is>
      </c>
      <c r="G3201" s="5" t="inlineStr">
        <is>
          <t>10 Oct 2026</t>
        </is>
      </c>
      <c r="H3201" s="8" t="inlineStr">
        <is>
          <t>⏳ UPCOMING</t>
        </is>
      </c>
      <c r="I3201" s="4" t="inlineStr">
        <is>
          <t>BOQ_856892.xls</t>
        </is>
      </c>
      <c r="J3201" s="6" t="inlineStr">
        <is>
          <t>📊 Excel BOQ</t>
        </is>
      </c>
      <c r="K3201" s="9" t="n">
        <v>2.6</v>
      </c>
      <c r="L3201" s="10">
        <f>HYPERLINK("http://127.0.0.1:8000/api/documents/download?id=1505&amp;attachment=true", "⬇ Download BOQ_856892.xls")</f>
        <v/>
      </c>
      <c r="M3201" s="10">
        <f>HYPERLINK("http://localhost:5173/?state=Tamil%20Nadu&amp;keyword=GIS&amp;tender=2026_EB_713304_1", "🚀 Open in Portal")</f>
        <v/>
      </c>
    </row>
    <row r="3202" ht="24" customHeight="1">
      <c r="A3202" s="11" t="inlineStr">
        <is>
          <t>Tamil Nadu</t>
        </is>
      </c>
      <c r="B3202" s="12" t="inlineStr">
        <is>
          <t>GIS</t>
        </is>
      </c>
      <c r="C3202" s="13" t="inlineStr">
        <is>
          <t>2026_EB_713304_1</t>
        </is>
      </c>
      <c r="D3202" s="14" t="inlineStr">
        <is>
          <t>[Providing One Number Petrol Diesel Driven Jeep Van TATA SUMO QUALIS or other superior models on daily Hire basis for the official use of Assistant Executive Engineer Special Maintenance Sivaganga Date of registration of vehicle as 7 Years]</t>
        </is>
      </c>
      <c r="E3202" s="14" t="inlineStr">
        <is>
          <t>Tamil Nadu Public Works &amp; Technology Department</t>
        </is>
      </c>
      <c r="F3202" s="13" t="inlineStr">
        <is>
          <t>12 Sep 2026</t>
        </is>
      </c>
      <c r="G3202" s="12" t="inlineStr">
        <is>
          <t>10 Oct 2026</t>
        </is>
      </c>
      <c r="H3202" s="8" t="inlineStr">
        <is>
          <t>⏳ UPCOMING</t>
        </is>
      </c>
      <c r="I3202" s="11" t="inlineStr">
        <is>
          <t>Tender_2026_EB_713304_1_All_Documents.zip</t>
        </is>
      </c>
      <c r="J3202" s="13" t="inlineStr">
        <is>
          <t>📦 ZIP Package</t>
        </is>
      </c>
      <c r="K3202" s="15" t="n">
        <v>11.6</v>
      </c>
      <c r="L3202" s="16">
        <f>HYPERLINK("http://127.0.0.1:8000/api/documents/download?id=1506&amp;attachment=true", "⬇ Download Tender_2026_EB_713304_1_")</f>
        <v/>
      </c>
      <c r="M3202" s="16">
        <f>HYPERLINK("http://localhost:5173/?state=Tamil%20Nadu&amp;keyword=GIS&amp;tender=2026_EB_713304_1", "🚀 Open in Portal")</f>
        <v/>
      </c>
    </row>
    <row r="3203" ht="24" customHeight="1">
      <c r="A3203" s="4" t="inlineStr">
        <is>
          <t>Tamil Nadu</t>
        </is>
      </c>
      <c r="B3203" s="5" t="inlineStr">
        <is>
          <t>GIS</t>
        </is>
      </c>
      <c r="C3203" s="6" t="inlineStr">
        <is>
          <t>2026_EB_713404_1</t>
        </is>
      </c>
      <c r="D3203" s="7" t="inlineStr">
        <is>
          <t>[Providing 1 No. Van/ Jeep/ Car (DIESEL/PETROL DRIVEN) on hire basis (Registered within 5/7 Years) for the use of Executive Engineer/ Operation/ Kadalangudy for a period of one year]</t>
        </is>
      </c>
      <c r="E3203" s="7" t="inlineStr">
        <is>
          <t>Tamil Nadu Public Works &amp; Technology Department</t>
        </is>
      </c>
      <c r="F3203" s="6" t="inlineStr">
        <is>
          <t>14 Aug 2026</t>
        </is>
      </c>
      <c r="G3203" s="5" t="inlineStr">
        <is>
          <t>04 Sep 2026</t>
        </is>
      </c>
      <c r="H3203" s="8" t="inlineStr">
        <is>
          <t>⏳ UPCOMING</t>
        </is>
      </c>
      <c r="I3203" s="4" t="inlineStr">
        <is>
          <t>Tendernotice_1.pdf</t>
        </is>
      </c>
      <c r="J3203" s="6" t="inlineStr">
        <is>
          <t>📕 PDF Document</t>
        </is>
      </c>
      <c r="K3203" s="9" t="n">
        <v>17.8</v>
      </c>
      <c r="L3203" s="10">
        <f>HYPERLINK("http://127.0.0.1:8000/api/documents/download?id=1498&amp;attachment=true", "⬇ Download Tendernotice_1.pdf")</f>
        <v/>
      </c>
      <c r="M3203" s="10">
        <f>HYPERLINK("http://localhost:5173/?state=Tamil%20Nadu&amp;keyword=GIS&amp;tender=2026_EB_713404_1", "🚀 Open in Portal")</f>
        <v/>
      </c>
    </row>
    <row r="3204" ht="24" customHeight="1">
      <c r="A3204" s="11" t="inlineStr">
        <is>
          <t>Tamil Nadu</t>
        </is>
      </c>
      <c r="B3204" s="12" t="inlineStr">
        <is>
          <t>GIS</t>
        </is>
      </c>
      <c r="C3204" s="13" t="inlineStr">
        <is>
          <t>2026_EB_713404_1</t>
        </is>
      </c>
      <c r="D3204" s="14" t="inlineStr">
        <is>
          <t>[Providing 1 No. Van/ Jeep/ Car (DIESEL/PETROL DRIVEN) on hire basis (Registered within 5/7 Years) for the use of Executive Engineer/ Operation/ Kadalangudy for a period of one year]</t>
        </is>
      </c>
      <c r="E3204" s="14" t="inlineStr">
        <is>
          <t>Tamil Nadu Public Works &amp; Technology Department</t>
        </is>
      </c>
      <c r="F3204" s="13" t="inlineStr">
        <is>
          <t>14 Aug 2026</t>
        </is>
      </c>
      <c r="G3204" s="12" t="inlineStr">
        <is>
          <t>04 Sep 2026</t>
        </is>
      </c>
      <c r="H3204" s="8" t="inlineStr">
        <is>
          <t>⏳ UPCOMING</t>
        </is>
      </c>
      <c r="I3204" s="11" t="inlineStr">
        <is>
          <t>BOQ_857035.xls</t>
        </is>
      </c>
      <c r="J3204" s="13" t="inlineStr">
        <is>
          <t>📊 Excel BOQ</t>
        </is>
      </c>
      <c r="K3204" s="15" t="n">
        <v>2.5</v>
      </c>
      <c r="L3204" s="16">
        <f>HYPERLINK("http://127.0.0.1:8000/api/documents/download?id=1499&amp;attachment=true", "⬇ Download BOQ_857035.xls")</f>
        <v/>
      </c>
      <c r="M3204" s="16">
        <f>HYPERLINK("http://localhost:5173/?state=Tamil%20Nadu&amp;keyword=GIS&amp;tender=2026_EB_713404_1", "🚀 Open in Portal")</f>
        <v/>
      </c>
    </row>
    <row r="3205" ht="24" customHeight="1">
      <c r="A3205" s="4" t="inlineStr">
        <is>
          <t>Tamil Nadu</t>
        </is>
      </c>
      <c r="B3205" s="5" t="inlineStr">
        <is>
          <t>GIS</t>
        </is>
      </c>
      <c r="C3205" s="6" t="inlineStr">
        <is>
          <t>2026_EB_713404_1</t>
        </is>
      </c>
      <c r="D3205" s="7" t="inlineStr">
        <is>
          <t>[Providing 1 No. Van/ Jeep/ Car (DIESEL/PETROL DRIVEN) on hire basis (Registered within 5/7 Years) for the use of Executive Engineer/ Operation/ Kadalangudy for a period of one year]</t>
        </is>
      </c>
      <c r="E3205" s="7" t="inlineStr">
        <is>
          <t>Tamil Nadu Public Works &amp; Technology Department</t>
        </is>
      </c>
      <c r="F3205" s="6" t="inlineStr">
        <is>
          <t>14 Aug 2026</t>
        </is>
      </c>
      <c r="G3205" s="5" t="inlineStr">
        <is>
          <t>04 Sep 2026</t>
        </is>
      </c>
      <c r="H3205" s="8" t="inlineStr">
        <is>
          <t>⏳ UPCOMING</t>
        </is>
      </c>
      <c r="I3205" s="4" t="inlineStr">
        <is>
          <t>Tender_2026_EB_713404_1_All_Documents.zip</t>
        </is>
      </c>
      <c r="J3205" s="6" t="inlineStr">
        <is>
          <t>📦 ZIP Package</t>
        </is>
      </c>
      <c r="K3205" s="9" t="n">
        <v>11.6</v>
      </c>
      <c r="L3205" s="10">
        <f>HYPERLINK("http://127.0.0.1:8000/api/documents/download?id=1500&amp;attachment=true", "⬇ Download Tender_2026_EB_713404_1_")</f>
        <v/>
      </c>
      <c r="M3205" s="10">
        <f>HYPERLINK("http://localhost:5173/?state=Tamil%20Nadu&amp;keyword=GIS&amp;tender=2026_EB_713404_1", "🚀 Open in Portal")</f>
        <v/>
      </c>
    </row>
    <row r="3206" ht="24" customHeight="1">
      <c r="A3206" s="11" t="inlineStr">
        <is>
          <t>Tamil Nadu</t>
        </is>
      </c>
      <c r="B3206" s="12" t="inlineStr">
        <is>
          <t>GIS</t>
        </is>
      </c>
      <c r="C3206" s="13" t="inlineStr">
        <is>
          <t>2026_EB_713412_1</t>
        </is>
      </c>
      <c r="D3206" s="14" t="inlineStr">
        <is>
          <t>[Providing 1 No. Van/ Jeep/ Car (Diesel/Petrol Driven) on hire basis (Registered within 5/7 Years) for the use of Executive Engineer/ Operation/ Kumbakonam for a period of one year]</t>
        </is>
      </c>
      <c r="E3206" s="14" t="inlineStr">
        <is>
          <t>Tamil Nadu Public Works &amp; Technology Department</t>
        </is>
      </c>
      <c r="F3206" s="13" t="inlineStr">
        <is>
          <t>20 Oct 2026</t>
        </is>
      </c>
      <c r="G3206" s="12" t="inlineStr">
        <is>
          <t>10 Nov 2026</t>
        </is>
      </c>
      <c r="H3206" s="8" t="inlineStr">
        <is>
          <t>⏳ UPCOMING</t>
        </is>
      </c>
      <c r="I3206" s="11" t="inlineStr">
        <is>
          <t>Tendernotice_1.pdf</t>
        </is>
      </c>
      <c r="J3206" s="13" t="inlineStr">
        <is>
          <t>📕 PDF Document</t>
        </is>
      </c>
      <c r="K3206" s="15" t="n">
        <v>17.8</v>
      </c>
      <c r="L3206" s="16">
        <f>HYPERLINK("http://127.0.0.1:8000/api/documents/download?id=1501&amp;attachment=true", "⬇ Download Tendernotice_1.pdf")</f>
        <v/>
      </c>
      <c r="M3206" s="16">
        <f>HYPERLINK("http://localhost:5173/?state=Tamil%20Nadu&amp;keyword=GIS&amp;tender=2026_EB_713412_1", "🚀 Open in Portal")</f>
        <v/>
      </c>
    </row>
    <row r="3207" ht="24" customHeight="1">
      <c r="A3207" s="4" t="inlineStr">
        <is>
          <t>Tamil Nadu</t>
        </is>
      </c>
      <c r="B3207" s="5" t="inlineStr">
        <is>
          <t>GIS</t>
        </is>
      </c>
      <c r="C3207" s="6" t="inlineStr">
        <is>
          <t>2026_EB_713412_1</t>
        </is>
      </c>
      <c r="D3207" s="7" t="inlineStr">
        <is>
          <t>[Providing 1 No. Van/ Jeep/ Car (Diesel/Petrol Driven) on hire basis (Registered within 5/7 Years) for the use of Executive Engineer/ Operation/ Kumbakonam for a period of one year]</t>
        </is>
      </c>
      <c r="E3207" s="7" t="inlineStr">
        <is>
          <t>Tamil Nadu Public Works &amp; Technology Department</t>
        </is>
      </c>
      <c r="F3207" s="6" t="inlineStr">
        <is>
          <t>20 Oct 2026</t>
        </is>
      </c>
      <c r="G3207" s="5" t="inlineStr">
        <is>
          <t>10 Nov 2026</t>
        </is>
      </c>
      <c r="H3207" s="8" t="inlineStr">
        <is>
          <t>⏳ UPCOMING</t>
        </is>
      </c>
      <c r="I3207" s="4" t="inlineStr">
        <is>
          <t>BOQ_857043.xls</t>
        </is>
      </c>
      <c r="J3207" s="6" t="inlineStr">
        <is>
          <t>📊 Excel BOQ</t>
        </is>
      </c>
      <c r="K3207" s="9" t="n">
        <v>2.5</v>
      </c>
      <c r="L3207" s="10">
        <f>HYPERLINK("http://127.0.0.1:8000/api/documents/download?id=1502&amp;attachment=true", "⬇ Download BOQ_857043.xls")</f>
        <v/>
      </c>
      <c r="M3207" s="10">
        <f>HYPERLINK("http://localhost:5173/?state=Tamil%20Nadu&amp;keyword=GIS&amp;tender=2026_EB_713412_1", "🚀 Open in Portal")</f>
        <v/>
      </c>
    </row>
    <row r="3208" ht="24" customHeight="1">
      <c r="A3208" s="11" t="inlineStr">
        <is>
          <t>Tamil Nadu</t>
        </is>
      </c>
      <c r="B3208" s="12" t="inlineStr">
        <is>
          <t>GIS</t>
        </is>
      </c>
      <c r="C3208" s="13" t="inlineStr">
        <is>
          <t>2026_EB_713412_1</t>
        </is>
      </c>
      <c r="D3208" s="14" t="inlineStr">
        <is>
          <t>[Providing 1 No. Van/ Jeep/ Car (Diesel/Petrol Driven) on hire basis (Registered within 5/7 Years) for the use of Executive Engineer/ Operation/ Kumbakonam for a period of one year]</t>
        </is>
      </c>
      <c r="E3208" s="14" t="inlineStr">
        <is>
          <t>Tamil Nadu Public Works &amp; Technology Department</t>
        </is>
      </c>
      <c r="F3208" s="13" t="inlineStr">
        <is>
          <t>20 Oct 2026</t>
        </is>
      </c>
      <c r="G3208" s="12" t="inlineStr">
        <is>
          <t>10 Nov 2026</t>
        </is>
      </c>
      <c r="H3208" s="8" t="inlineStr">
        <is>
          <t>⏳ UPCOMING</t>
        </is>
      </c>
      <c r="I3208" s="11" t="inlineStr">
        <is>
          <t>Tender_2026_EB_713412_1_All_Documents.zip</t>
        </is>
      </c>
      <c r="J3208" s="13" t="inlineStr">
        <is>
          <t>📦 ZIP Package</t>
        </is>
      </c>
      <c r="K3208" s="15" t="n">
        <v>11.6</v>
      </c>
      <c r="L3208" s="16">
        <f>HYPERLINK("http://127.0.0.1:8000/api/documents/download?id=1503&amp;attachment=true", "⬇ Download Tender_2026_EB_713412_1_")</f>
        <v/>
      </c>
      <c r="M3208" s="16">
        <f>HYPERLINK("http://localhost:5173/?state=Tamil%20Nadu&amp;keyword=GIS&amp;tender=2026_EB_713412_1", "🚀 Open in Portal")</f>
        <v/>
      </c>
    </row>
    <row r="3209" ht="24" customHeight="1">
      <c r="A3209" s="4" t="inlineStr">
        <is>
          <t>Tamil Nadu</t>
        </is>
      </c>
      <c r="B3209" s="5" t="inlineStr">
        <is>
          <t>GIS</t>
        </is>
      </c>
      <c r="C3209" s="6" t="inlineStr">
        <is>
          <t>2026_ELCOT_541902_1</t>
        </is>
      </c>
      <c r="D3209" s="7" t="inlineStr">
        <is>
          <t>Implementation, Expansion and Multi-Year Facility Management of Tamil Nadu State Spatial Data Infrastructure (TN-SSDI)</t>
        </is>
      </c>
      <c r="E3209" s="7" t="inlineStr">
        <is>
          <t>ELECTRONICS CORPORATION OF TAMIL NADU LIMITED (ELCOT)</t>
        </is>
      </c>
      <c r="F3209" s="6" t="inlineStr">
        <is>
          <t>15 Oct 2026</t>
        </is>
      </c>
      <c r="G3209" s="5" t="inlineStr">
        <is>
          <t>15 Nov 2026</t>
        </is>
      </c>
      <c r="H3209" s="17" t="inlineStr">
        <is>
          <t>🟢 LIVE ACTIVE</t>
        </is>
      </c>
      <c r="I3209" s="4" t="inlineStr">
        <is>
          <t>ELCOT_SSDI_Notice.pdf</t>
        </is>
      </c>
      <c r="J3209" s="6" t="inlineStr">
        <is>
          <t>📕 PDF Document</t>
        </is>
      </c>
      <c r="K3209" s="9" t="n">
        <v>17.9</v>
      </c>
      <c r="L3209" s="10">
        <f>HYPERLINK("http://127.0.0.1:8000/api/documents/download?id=2981&amp;attachment=true", "⬇ Download ELCOT_SSDI_Notice.pdf")</f>
        <v/>
      </c>
      <c r="M3209" s="10">
        <f>HYPERLINK("http://localhost:5173/?state=Tamil%20Nadu&amp;keyword=GIS&amp;tender=2026_ELCOT_541902_1", "🚀 Open in Portal")</f>
        <v/>
      </c>
    </row>
    <row r="3210" ht="24" customHeight="1">
      <c r="A3210" s="11" t="inlineStr">
        <is>
          <t>Tamil Nadu</t>
        </is>
      </c>
      <c r="B3210" s="12" t="inlineStr">
        <is>
          <t>GIS</t>
        </is>
      </c>
      <c r="C3210" s="13" t="inlineStr">
        <is>
          <t>2026_ELCOT_541902_1</t>
        </is>
      </c>
      <c r="D3210" s="14" t="inlineStr">
        <is>
          <t>Implementation, Expansion and Multi-Year Facility Management of Tamil Nadu State Spatial Data Infrastructure (TN-SSDI)</t>
        </is>
      </c>
      <c r="E3210" s="14" t="inlineStr">
        <is>
          <t>ELECTRONICS CORPORATION OF TAMIL NADU LIMITED (ELCOT)</t>
        </is>
      </c>
      <c r="F3210" s="13" t="inlineStr">
        <is>
          <t>15 Oct 2026</t>
        </is>
      </c>
      <c r="G3210" s="12" t="inlineStr">
        <is>
          <t>15 Nov 2026</t>
        </is>
      </c>
      <c r="H3210" s="17" t="inlineStr">
        <is>
          <t>🟢 LIVE ACTIVE</t>
        </is>
      </c>
      <c r="I3210" s="11" t="inlineStr">
        <is>
          <t>Technical_Specifications_Spatial.pdf</t>
        </is>
      </c>
      <c r="J3210" s="13" t="inlineStr">
        <is>
          <t>📕 PDF Document</t>
        </is>
      </c>
      <c r="K3210" s="15" t="n">
        <v>17.9</v>
      </c>
      <c r="L3210" s="16">
        <f>HYPERLINK("http://127.0.0.1:8000/api/documents/download?id=2982&amp;attachment=true", "⬇ Download Technical_Specifications")</f>
        <v/>
      </c>
      <c r="M3210" s="16">
        <f>HYPERLINK("http://localhost:5173/?state=Tamil%20Nadu&amp;keyword=GIS&amp;tender=2026_ELCOT_541902_1", "🚀 Open in Portal")</f>
        <v/>
      </c>
    </row>
    <row r="3211" ht="24" customHeight="1">
      <c r="A3211" s="4" t="inlineStr">
        <is>
          <t>Tamil Nadu</t>
        </is>
      </c>
      <c r="B3211" s="5" t="inlineStr">
        <is>
          <t>GIS</t>
        </is>
      </c>
      <c r="C3211" s="6" t="inlineStr">
        <is>
          <t>2026_ELCOT_541902_1</t>
        </is>
      </c>
      <c r="D3211" s="7" t="inlineStr">
        <is>
          <t>Implementation, Expansion and Multi-Year Facility Management of Tamil Nadu State Spatial Data Infrastructure (TN-SSDI)</t>
        </is>
      </c>
      <c r="E3211" s="7" t="inlineStr">
        <is>
          <t>ELECTRONICS CORPORATION OF TAMIL NADU LIMITED (ELCOT)</t>
        </is>
      </c>
      <c r="F3211" s="6" t="inlineStr">
        <is>
          <t>15 Oct 2026</t>
        </is>
      </c>
      <c r="G3211" s="5" t="inlineStr">
        <is>
          <t>15 Nov 2026</t>
        </is>
      </c>
      <c r="H3211" s="17" t="inlineStr">
        <is>
          <t>🟢 LIVE ACTIVE</t>
        </is>
      </c>
      <c r="I3211" s="4" t="inlineStr">
        <is>
          <t>Price_Bid_BOQ.xlsx</t>
        </is>
      </c>
      <c r="J3211" s="6" t="inlineStr">
        <is>
          <t>📊 Excel BOQ</t>
        </is>
      </c>
      <c r="K3211" s="9" t="n">
        <v>2.5</v>
      </c>
      <c r="L3211" s="10">
        <f>HYPERLINK("http://127.0.0.1:8000/api/documents/download?id=2983&amp;attachment=true", "⬇ Download Price_Bid_BOQ.xlsx")</f>
        <v/>
      </c>
      <c r="M3211" s="10">
        <f>HYPERLINK("http://localhost:5173/?state=Tamil%20Nadu&amp;keyword=GIS&amp;tender=2026_ELCOT_541902_1", "🚀 Open in Portal")</f>
        <v/>
      </c>
    </row>
    <row r="3212" ht="24" customHeight="1">
      <c r="A3212" s="11" t="inlineStr">
        <is>
          <t>Tamil Nadu</t>
        </is>
      </c>
      <c r="B3212" s="12" t="inlineStr">
        <is>
          <t>GIS</t>
        </is>
      </c>
      <c r="C3212" s="13" t="inlineStr">
        <is>
          <t>2026_ELCOT_541902_1</t>
        </is>
      </c>
      <c r="D3212" s="14" t="inlineStr">
        <is>
          <t>Implementation, Expansion and Multi-Year Facility Management of Tamil Nadu State Spatial Data Infrastructure (TN-SSDI)</t>
        </is>
      </c>
      <c r="E3212" s="14" t="inlineStr">
        <is>
          <t>ELECTRONICS CORPORATION OF TAMIL NADU LIMITED (ELCOT)</t>
        </is>
      </c>
      <c r="F3212" s="13" t="inlineStr">
        <is>
          <t>15 Oct 2026</t>
        </is>
      </c>
      <c r="G3212" s="12" t="inlineStr">
        <is>
          <t>15 Nov 2026</t>
        </is>
      </c>
      <c r="H3212" s="17" t="inlineStr">
        <is>
          <t>🟢 LIVE ACTIVE</t>
        </is>
      </c>
      <c r="I3212" s="11" t="inlineStr">
        <is>
          <t>Tender_2026_ELCOT_541902_1_All_Documents.zip</t>
        </is>
      </c>
      <c r="J3212" s="13" t="inlineStr">
        <is>
          <t>📦 ZIP Package</t>
        </is>
      </c>
      <c r="K3212" s="15" t="n">
        <v>20.9</v>
      </c>
      <c r="L3212" s="16">
        <f>HYPERLINK("http://127.0.0.1:8000/api/documents/download?id=2984&amp;attachment=true", "⬇ Download Tender_2026_ELCOT_541902")</f>
        <v/>
      </c>
      <c r="M3212" s="16">
        <f>HYPERLINK("http://localhost:5173/?state=Tamil%20Nadu&amp;keyword=GIS&amp;tender=2026_ELCOT_541902_1", "🚀 Open in Portal")</f>
        <v/>
      </c>
    </row>
    <row r="3213" ht="24" customHeight="1">
      <c r="A3213" s="4" t="inlineStr">
        <is>
          <t>Tamil Nadu</t>
        </is>
      </c>
      <c r="B3213" s="5" t="inlineStr">
        <is>
          <t>GIS</t>
        </is>
      </c>
      <c r="C3213" s="6" t="inlineStr">
        <is>
          <t>2026_MAWS_711127_1</t>
        </is>
      </c>
      <c r="D3213" s="7" t="inlineStr">
        <is>
          <t>[Repair and Maintenance of Jetting Machine and Equipment Service, Jetting Unit wide Vehicle Registration No.TN20 CR 2346 with Vehicle Fitness Certificate in Tiruvallur Municipality]</t>
        </is>
      </c>
      <c r="E3213" s="7" t="inlineStr">
        <is>
          <t>Tamil Nadu Public Works &amp; Technology Department</t>
        </is>
      </c>
      <c r="F3213" s="6" t="inlineStr">
        <is>
          <t>11 Oct 2026</t>
        </is>
      </c>
      <c r="G3213" s="5" t="inlineStr">
        <is>
          <t>10 Nov 2026</t>
        </is>
      </c>
      <c r="H3213" s="17" t="inlineStr">
        <is>
          <t>🟢 LIVE ACTIVE</t>
        </is>
      </c>
      <c r="I3213" s="4" t="inlineStr">
        <is>
          <t>Tendernotice_1.pdf</t>
        </is>
      </c>
      <c r="J3213" s="6" t="inlineStr">
        <is>
          <t>📕 PDF Document</t>
        </is>
      </c>
      <c r="K3213" s="9" t="n">
        <v>17.9</v>
      </c>
      <c r="L3213" s="10">
        <f>HYPERLINK("http://127.0.0.1:8000/api/documents/download?id=1537&amp;attachment=true", "⬇ Download Tendernotice_1.pdf")</f>
        <v/>
      </c>
      <c r="M3213" s="10">
        <f>HYPERLINK("http://localhost:5173/?state=Tamil%20Nadu&amp;keyword=GIS&amp;tender=2026_MAWS_711127_1", "🚀 Open in Portal")</f>
        <v/>
      </c>
    </row>
    <row r="3214" ht="24" customHeight="1">
      <c r="A3214" s="11" t="inlineStr">
        <is>
          <t>Tamil Nadu</t>
        </is>
      </c>
      <c r="B3214" s="12" t="inlineStr">
        <is>
          <t>GIS</t>
        </is>
      </c>
      <c r="C3214" s="13" t="inlineStr">
        <is>
          <t>2026_MAWS_711127_1</t>
        </is>
      </c>
      <c r="D3214" s="14" t="inlineStr">
        <is>
          <t>[Repair and Maintenance of Jetting Machine and Equipment Service, Jetting Unit wide Vehicle Registration No.TN20 CR 2346 with Vehicle Fitness Certificate in Tiruvallur Municipality]</t>
        </is>
      </c>
      <c r="E3214" s="14" t="inlineStr">
        <is>
          <t>Tamil Nadu Public Works &amp; Technology Department</t>
        </is>
      </c>
      <c r="F3214" s="13" t="inlineStr">
        <is>
          <t>11 Oct 2026</t>
        </is>
      </c>
      <c r="G3214" s="12" t="inlineStr">
        <is>
          <t>10 Nov 2026</t>
        </is>
      </c>
      <c r="H3214" s="17" t="inlineStr">
        <is>
          <t>🟢 LIVE ACTIVE</t>
        </is>
      </c>
      <c r="I3214" s="11" t="inlineStr">
        <is>
          <t>BOQ_854355.xls</t>
        </is>
      </c>
      <c r="J3214" s="13" t="inlineStr">
        <is>
          <t>📊 Excel BOQ</t>
        </is>
      </c>
      <c r="K3214" s="15" t="n">
        <v>2.5</v>
      </c>
      <c r="L3214" s="16">
        <f>HYPERLINK("http://127.0.0.1:8000/api/documents/download?id=1538&amp;attachment=true", "⬇ Download BOQ_854355.xls")</f>
        <v/>
      </c>
      <c r="M3214" s="16">
        <f>HYPERLINK("http://localhost:5173/?state=Tamil%20Nadu&amp;keyword=GIS&amp;tender=2026_MAWS_711127_1", "🚀 Open in Portal")</f>
        <v/>
      </c>
    </row>
    <row r="3215" ht="24" customHeight="1">
      <c r="A3215" s="4" t="inlineStr">
        <is>
          <t>Tamil Nadu</t>
        </is>
      </c>
      <c r="B3215" s="5" t="inlineStr">
        <is>
          <t>GIS</t>
        </is>
      </c>
      <c r="C3215" s="6" t="inlineStr">
        <is>
          <t>2026_MAWS_711127_1</t>
        </is>
      </c>
      <c r="D3215" s="7" t="inlineStr">
        <is>
          <t>[Repair and Maintenance of Jetting Machine and Equipment Service, Jetting Unit wide Vehicle Registration No.TN20 CR 2346 with Vehicle Fitness Certificate in Tiruvallur Municipality]</t>
        </is>
      </c>
      <c r="E3215" s="7" t="inlineStr">
        <is>
          <t>Tamil Nadu Public Works &amp; Technology Department</t>
        </is>
      </c>
      <c r="F3215" s="6" t="inlineStr">
        <is>
          <t>11 Oct 2026</t>
        </is>
      </c>
      <c r="G3215" s="5" t="inlineStr">
        <is>
          <t>10 Nov 2026</t>
        </is>
      </c>
      <c r="H3215" s="17" t="inlineStr">
        <is>
          <t>🟢 LIVE ACTIVE</t>
        </is>
      </c>
      <c r="I3215" s="4" t="inlineStr">
        <is>
          <t>Tender_2026_MAWS_711127_1_All_Documents.zip</t>
        </is>
      </c>
      <c r="J3215" s="6" t="inlineStr">
        <is>
          <t>📦 ZIP Package</t>
        </is>
      </c>
      <c r="K3215" s="9" t="n">
        <v>11.6</v>
      </c>
      <c r="L3215" s="10">
        <f>HYPERLINK("http://127.0.0.1:8000/api/documents/download?id=1539&amp;attachment=true", "⬇ Download Tender_2026_MAWS_711127_")</f>
        <v/>
      </c>
      <c r="M3215" s="10">
        <f>HYPERLINK("http://localhost:5173/?state=Tamil%20Nadu&amp;keyword=GIS&amp;tender=2026_MAWS_711127_1", "🚀 Open in Portal")</f>
        <v/>
      </c>
    </row>
    <row r="3216" ht="24" customHeight="1">
      <c r="A3216" s="11" t="inlineStr">
        <is>
          <t>Tamil Nadu</t>
        </is>
      </c>
      <c r="B3216" s="12" t="inlineStr">
        <is>
          <t>GIS</t>
        </is>
      </c>
      <c r="C3216" s="13" t="inlineStr">
        <is>
          <t>2026_PWD_709325_1</t>
        </is>
      </c>
      <c r="D3216" s="14" t="inlineStr">
        <is>
          <t>[Construction of New Sub Registrar Office Building at Perungalur in Pudukkottai District]</t>
        </is>
      </c>
      <c r="E3216" s="14" t="inlineStr">
        <is>
          <t>Tamil Nadu Public Works &amp; Technology Department</t>
        </is>
      </c>
      <c r="F3216" s="13" t="inlineStr">
        <is>
          <t>20 Oct 2026</t>
        </is>
      </c>
      <c r="G3216" s="12" t="inlineStr">
        <is>
          <t>10 Nov 2026</t>
        </is>
      </c>
      <c r="H3216" s="8" t="inlineStr">
        <is>
          <t>⏳ UPCOMING</t>
        </is>
      </c>
      <c r="I3216" s="11" t="inlineStr">
        <is>
          <t>Tendernotice_1.pdf</t>
        </is>
      </c>
      <c r="J3216" s="13" t="inlineStr">
        <is>
          <t>📕 PDF Document</t>
        </is>
      </c>
      <c r="K3216" s="15" t="n">
        <v>17.8</v>
      </c>
      <c r="L3216" s="16">
        <f>HYPERLINK("http://127.0.0.1:8000/api/documents/download?id=1545&amp;attachment=true", "⬇ Download Tendernotice_1.pdf")</f>
        <v/>
      </c>
      <c r="M3216" s="16">
        <f>HYPERLINK("http://localhost:5173/?state=Tamil%20Nadu&amp;keyword=GIS&amp;tender=2026_PWD_709325_1", "🚀 Open in Portal")</f>
        <v/>
      </c>
    </row>
    <row r="3217" ht="24" customHeight="1">
      <c r="A3217" s="4" t="inlineStr">
        <is>
          <t>Tamil Nadu</t>
        </is>
      </c>
      <c r="B3217" s="5" t="inlineStr">
        <is>
          <t>GIS</t>
        </is>
      </c>
      <c r="C3217" s="6" t="inlineStr">
        <is>
          <t>2026_PWD_709325_1</t>
        </is>
      </c>
      <c r="D3217" s="7" t="inlineStr">
        <is>
          <t>[Construction of New Sub Registrar Office Building at Perungalur in Pudukkottai District]</t>
        </is>
      </c>
      <c r="E3217" s="7" t="inlineStr">
        <is>
          <t>Tamil Nadu Public Works &amp; Technology Department</t>
        </is>
      </c>
      <c r="F3217" s="6" t="inlineStr">
        <is>
          <t>20 Oct 2026</t>
        </is>
      </c>
      <c r="G3217" s="5" t="inlineStr">
        <is>
          <t>10 Nov 2026</t>
        </is>
      </c>
      <c r="H3217" s="8" t="inlineStr">
        <is>
          <t>⏳ UPCOMING</t>
        </is>
      </c>
      <c r="I3217" s="4" t="inlineStr">
        <is>
          <t>perungalurcon.pdf</t>
        </is>
      </c>
      <c r="J3217" s="6" t="inlineStr">
        <is>
          <t>📕 PDF Document</t>
        </is>
      </c>
      <c r="K3217" s="9" t="n">
        <v>17.8</v>
      </c>
      <c r="L3217" s="10">
        <f>HYPERLINK("http://127.0.0.1:8000/api/documents/download?id=1546&amp;attachment=true", "⬇ Download perungalurcon.pdf")</f>
        <v/>
      </c>
      <c r="M3217" s="10">
        <f>HYPERLINK("http://localhost:5173/?state=Tamil%20Nadu&amp;keyword=GIS&amp;tender=2026_PWD_709325_1", "🚀 Open in Portal")</f>
        <v/>
      </c>
    </row>
    <row r="3218" ht="24" customHeight="1">
      <c r="A3218" s="11" t="inlineStr">
        <is>
          <t>Tamil Nadu</t>
        </is>
      </c>
      <c r="B3218" s="12" t="inlineStr">
        <is>
          <t>GIS</t>
        </is>
      </c>
      <c r="C3218" s="13" t="inlineStr">
        <is>
          <t>2026_PWD_709325_1</t>
        </is>
      </c>
      <c r="D3218" s="14" t="inlineStr">
        <is>
          <t>[Construction of New Sub Registrar Office Building at Perungalur in Pudukkottai District]</t>
        </is>
      </c>
      <c r="E3218" s="14" t="inlineStr">
        <is>
          <t>Tamil Nadu Public Works &amp; Technology Department</t>
        </is>
      </c>
      <c r="F3218" s="13" t="inlineStr">
        <is>
          <t>20 Oct 2026</t>
        </is>
      </c>
      <c r="G3218" s="12" t="inlineStr">
        <is>
          <t>10 Nov 2026</t>
        </is>
      </c>
      <c r="H3218" s="8" t="inlineStr">
        <is>
          <t>⏳ UPCOMING</t>
        </is>
      </c>
      <c r="I3218" s="11" t="inlineStr">
        <is>
          <t>BOQ_852371.xls</t>
        </is>
      </c>
      <c r="J3218" s="13" t="inlineStr">
        <is>
          <t>📊 Excel BOQ</t>
        </is>
      </c>
      <c r="K3218" s="15" t="n">
        <v>2.5</v>
      </c>
      <c r="L3218" s="16">
        <f>HYPERLINK("http://127.0.0.1:8000/api/documents/download?id=1547&amp;attachment=true", "⬇ Download BOQ_852371.xls")</f>
        <v/>
      </c>
      <c r="M3218" s="16">
        <f>HYPERLINK("http://localhost:5173/?state=Tamil%20Nadu&amp;keyword=GIS&amp;tender=2026_PWD_709325_1", "🚀 Open in Portal")</f>
        <v/>
      </c>
    </row>
    <row r="3219" ht="24" customHeight="1">
      <c r="A3219" s="4" t="inlineStr">
        <is>
          <t>Tamil Nadu</t>
        </is>
      </c>
      <c r="B3219" s="5" t="inlineStr">
        <is>
          <t>GIS</t>
        </is>
      </c>
      <c r="C3219" s="6" t="inlineStr">
        <is>
          <t>2026_PWD_709325_1</t>
        </is>
      </c>
      <c r="D3219" s="7" t="inlineStr">
        <is>
          <t>[Construction of New Sub Registrar Office Building at Perungalur in Pudukkottai District]</t>
        </is>
      </c>
      <c r="E3219" s="7" t="inlineStr">
        <is>
          <t>Tamil Nadu Public Works &amp; Technology Department</t>
        </is>
      </c>
      <c r="F3219" s="6" t="inlineStr">
        <is>
          <t>20 Oct 2026</t>
        </is>
      </c>
      <c r="G3219" s="5" t="inlineStr">
        <is>
          <t>10 Nov 2026</t>
        </is>
      </c>
      <c r="H3219" s="8" t="inlineStr">
        <is>
          <t>⏳ UPCOMING</t>
        </is>
      </c>
      <c r="I3219" s="4" t="inlineStr">
        <is>
          <t>Tender_2026_PWD_709325_1_All_Documents.zip</t>
        </is>
      </c>
      <c r="J3219" s="6" t="inlineStr">
        <is>
          <t>📦 ZIP Package</t>
        </is>
      </c>
      <c r="K3219" s="9" t="n">
        <v>20.8</v>
      </c>
      <c r="L3219" s="10">
        <f>HYPERLINK("http://127.0.0.1:8000/api/documents/download?id=1548&amp;attachment=true", "⬇ Download Tender_2026_PWD_709325_1")</f>
        <v/>
      </c>
      <c r="M3219" s="10">
        <f>HYPERLINK("http://localhost:5173/?state=Tamil%20Nadu&amp;keyword=GIS&amp;tender=2026_PWD_709325_1", "🚀 Open in Portal")</f>
        <v/>
      </c>
    </row>
    <row r="3220" ht="24" customHeight="1">
      <c r="A3220" s="11" t="inlineStr">
        <is>
          <t>Tamil Nadu</t>
        </is>
      </c>
      <c r="B3220" s="12" t="inlineStr">
        <is>
          <t>GIS</t>
        </is>
      </c>
      <c r="C3220" s="13" t="inlineStr">
        <is>
          <t>2026_PWD_709331_1</t>
        </is>
      </c>
      <c r="D3220" s="14" t="inlineStr">
        <is>
          <t>[Construction of New Sub Registrar Office Building at Keelanilai in Pudukkottai District.]</t>
        </is>
      </c>
      <c r="E3220" s="14" t="inlineStr">
        <is>
          <t>Tamil Nadu Public Works &amp; Technology Department</t>
        </is>
      </c>
      <c r="F3220" s="13" t="inlineStr">
        <is>
          <t>16 Aug 2026</t>
        </is>
      </c>
      <c r="G3220" s="12" t="inlineStr">
        <is>
          <t>09 Sep 2026</t>
        </is>
      </c>
      <c r="H3220" s="8" t="inlineStr">
        <is>
          <t>⏳ UPCOMING</t>
        </is>
      </c>
      <c r="I3220" s="11" t="inlineStr">
        <is>
          <t>Tendernotice_1.pdf</t>
        </is>
      </c>
      <c r="J3220" s="13" t="inlineStr">
        <is>
          <t>📕 PDF Document</t>
        </is>
      </c>
      <c r="K3220" s="15" t="n">
        <v>17.8</v>
      </c>
      <c r="L3220" s="16">
        <f>HYPERLINK("http://127.0.0.1:8000/api/documents/download?id=1549&amp;attachment=true", "⬇ Download Tendernotice_1.pdf")</f>
        <v/>
      </c>
      <c r="M3220" s="16">
        <f>HYPERLINK("http://localhost:5173/?state=Tamil%20Nadu&amp;keyword=GIS&amp;tender=2026_PWD_709331_1", "🚀 Open in Portal")</f>
        <v/>
      </c>
    </row>
    <row r="3221" ht="24" customHeight="1">
      <c r="A3221" s="4" t="inlineStr">
        <is>
          <t>Tamil Nadu</t>
        </is>
      </c>
      <c r="B3221" s="5" t="inlineStr">
        <is>
          <t>GIS</t>
        </is>
      </c>
      <c r="C3221" s="6" t="inlineStr">
        <is>
          <t>2026_PWD_709331_1</t>
        </is>
      </c>
      <c r="D3221" s="7" t="inlineStr">
        <is>
          <t>[Construction of New Sub Registrar Office Building at Keelanilai in Pudukkottai District.]</t>
        </is>
      </c>
      <c r="E3221" s="7" t="inlineStr">
        <is>
          <t>Tamil Nadu Public Works &amp; Technology Department</t>
        </is>
      </c>
      <c r="F3221" s="6" t="inlineStr">
        <is>
          <t>16 Aug 2026</t>
        </is>
      </c>
      <c r="G3221" s="5" t="inlineStr">
        <is>
          <t>09 Sep 2026</t>
        </is>
      </c>
      <c r="H3221" s="8" t="inlineStr">
        <is>
          <t>⏳ UPCOMING</t>
        </is>
      </c>
      <c r="I3221" s="4" t="inlineStr">
        <is>
          <t>KEELANELAICON.pdf</t>
        </is>
      </c>
      <c r="J3221" s="6" t="inlineStr">
        <is>
          <t>📕 PDF Document</t>
        </is>
      </c>
      <c r="K3221" s="9" t="n">
        <v>17.8</v>
      </c>
      <c r="L3221" s="10">
        <f>HYPERLINK("http://127.0.0.1:8000/api/documents/download?id=1550&amp;attachment=true", "⬇ Download KEELANELAICON.pdf")</f>
        <v/>
      </c>
      <c r="M3221" s="10">
        <f>HYPERLINK("http://localhost:5173/?state=Tamil%20Nadu&amp;keyword=GIS&amp;tender=2026_PWD_709331_1", "🚀 Open in Portal")</f>
        <v/>
      </c>
    </row>
    <row r="3222" ht="24" customHeight="1">
      <c r="A3222" s="11" t="inlineStr">
        <is>
          <t>Tamil Nadu</t>
        </is>
      </c>
      <c r="B3222" s="12" t="inlineStr">
        <is>
          <t>GIS</t>
        </is>
      </c>
      <c r="C3222" s="13" t="inlineStr">
        <is>
          <t>2026_PWD_709331_1</t>
        </is>
      </c>
      <c r="D3222" s="14" t="inlineStr">
        <is>
          <t>[Construction of New Sub Registrar Office Building at Keelanilai in Pudukkottai District.]</t>
        </is>
      </c>
      <c r="E3222" s="14" t="inlineStr">
        <is>
          <t>Tamil Nadu Public Works &amp; Technology Department</t>
        </is>
      </c>
      <c r="F3222" s="13" t="inlineStr">
        <is>
          <t>16 Aug 2026</t>
        </is>
      </c>
      <c r="G3222" s="12" t="inlineStr">
        <is>
          <t>09 Sep 2026</t>
        </is>
      </c>
      <c r="H3222" s="8" t="inlineStr">
        <is>
          <t>⏳ UPCOMING</t>
        </is>
      </c>
      <c r="I3222" s="11" t="inlineStr">
        <is>
          <t>BOQ_852376.xls</t>
        </is>
      </c>
      <c r="J3222" s="13" t="inlineStr">
        <is>
          <t>📊 Excel BOQ</t>
        </is>
      </c>
      <c r="K3222" s="15" t="n">
        <v>2.5</v>
      </c>
      <c r="L3222" s="16">
        <f>HYPERLINK("http://127.0.0.1:8000/api/documents/download?id=1551&amp;attachment=true", "⬇ Download BOQ_852376.xls")</f>
        <v/>
      </c>
      <c r="M3222" s="16">
        <f>HYPERLINK("http://localhost:5173/?state=Tamil%20Nadu&amp;keyword=GIS&amp;tender=2026_PWD_709331_1", "🚀 Open in Portal")</f>
        <v/>
      </c>
    </row>
    <row r="3223" ht="24" customHeight="1">
      <c r="A3223" s="4" t="inlineStr">
        <is>
          <t>Tamil Nadu</t>
        </is>
      </c>
      <c r="B3223" s="5" t="inlineStr">
        <is>
          <t>GIS</t>
        </is>
      </c>
      <c r="C3223" s="6" t="inlineStr">
        <is>
          <t>2026_PWD_709331_1</t>
        </is>
      </c>
      <c r="D3223" s="7" t="inlineStr">
        <is>
          <t>[Construction of New Sub Registrar Office Building at Keelanilai in Pudukkottai District.]</t>
        </is>
      </c>
      <c r="E3223" s="7" t="inlineStr">
        <is>
          <t>Tamil Nadu Public Works &amp; Technology Department</t>
        </is>
      </c>
      <c r="F3223" s="6" t="inlineStr">
        <is>
          <t>16 Aug 2026</t>
        </is>
      </c>
      <c r="G3223" s="5" t="inlineStr">
        <is>
          <t>09 Sep 2026</t>
        </is>
      </c>
      <c r="H3223" s="8" t="inlineStr">
        <is>
          <t>⏳ UPCOMING</t>
        </is>
      </c>
      <c r="I3223" s="4" t="inlineStr">
        <is>
          <t>Tender_2026_PWD_709331_1_All_Documents.zip</t>
        </is>
      </c>
      <c r="J3223" s="6" t="inlineStr">
        <is>
          <t>📦 ZIP Package</t>
        </is>
      </c>
      <c r="K3223" s="9" t="n">
        <v>20.7</v>
      </c>
      <c r="L3223" s="10">
        <f>HYPERLINK("http://127.0.0.1:8000/api/documents/download?id=1552&amp;attachment=true", "⬇ Download Tender_2026_PWD_709331_1")</f>
        <v/>
      </c>
      <c r="M3223" s="10">
        <f>HYPERLINK("http://localhost:5173/?state=Tamil%20Nadu&amp;keyword=GIS&amp;tender=2026_PWD_709331_1", "🚀 Open in Portal")</f>
        <v/>
      </c>
    </row>
    <row r="3224" ht="24" customHeight="1">
      <c r="A3224" s="11" t="inlineStr">
        <is>
          <t>Tamil Nadu</t>
        </is>
      </c>
      <c r="B3224" s="12" t="inlineStr">
        <is>
          <t>GIS</t>
        </is>
      </c>
      <c r="C3224" s="13" t="inlineStr">
        <is>
          <t>2026_PWD_709651_1</t>
        </is>
      </c>
      <c r="D3224" s="14" t="inlineStr">
        <is>
          <t>[Establishment of E-seva Centre in District Munsif cum Judicial Magistrate Court Building at Radhapuram in Tirunelveli District]</t>
        </is>
      </c>
      <c r="E3224" s="14" t="inlineStr">
        <is>
          <t>Tamil Nadu Public Works &amp; Technology Department</t>
        </is>
      </c>
      <c r="F3224" s="13" t="inlineStr">
        <is>
          <t>17 Sep 2026</t>
        </is>
      </c>
      <c r="G3224" s="12" t="inlineStr">
        <is>
          <t>17 Oct 2026</t>
        </is>
      </c>
      <c r="H3224" s="8" t="inlineStr">
        <is>
          <t>⏳ UPCOMING</t>
        </is>
      </c>
      <c r="I3224" s="11" t="inlineStr">
        <is>
          <t>Tendernotice_1.pdf</t>
        </is>
      </c>
      <c r="J3224" s="13" t="inlineStr">
        <is>
          <t>📕 PDF Document</t>
        </is>
      </c>
      <c r="K3224" s="15" t="n">
        <v>17.9</v>
      </c>
      <c r="L3224" s="16">
        <f>HYPERLINK("http://127.0.0.1:8000/api/documents/download?id=1557&amp;attachment=true", "⬇ Download Tendernotice_1.pdf")</f>
        <v/>
      </c>
      <c r="M3224" s="16">
        <f>HYPERLINK("http://localhost:5173/?state=Tamil%20Nadu&amp;keyword=GIS&amp;tender=2026_PWD_709651_1", "🚀 Open in Portal")</f>
        <v/>
      </c>
    </row>
    <row r="3225" ht="24" customHeight="1">
      <c r="A3225" s="4" t="inlineStr">
        <is>
          <t>Tamil Nadu</t>
        </is>
      </c>
      <c r="B3225" s="5" t="inlineStr">
        <is>
          <t>GIS</t>
        </is>
      </c>
      <c r="C3225" s="6" t="inlineStr">
        <is>
          <t>2026_PWD_709651_1</t>
        </is>
      </c>
      <c r="D3225" s="7" t="inlineStr">
        <is>
          <t>[Establishment of E-seva Centre in District Munsif cum Judicial Magistrate Court Building at Radhapuram in Tirunelveli District]</t>
        </is>
      </c>
      <c r="E3225" s="7" t="inlineStr">
        <is>
          <t>Tamil Nadu Public Works &amp; Technology Department</t>
        </is>
      </c>
      <c r="F3225" s="6" t="inlineStr">
        <is>
          <t>17 Sep 2026</t>
        </is>
      </c>
      <c r="G3225" s="5" t="inlineStr">
        <is>
          <t>17 Oct 2026</t>
        </is>
      </c>
      <c r="H3225" s="8" t="inlineStr">
        <is>
          <t>⏳ UPCOMING</t>
        </is>
      </c>
      <c r="I3225" s="4" t="inlineStr">
        <is>
          <t>BOQ_852707.xls</t>
        </is>
      </c>
      <c r="J3225" s="6" t="inlineStr">
        <is>
          <t>📊 Excel BOQ</t>
        </is>
      </c>
      <c r="K3225" s="9" t="n">
        <v>2.5</v>
      </c>
      <c r="L3225" s="10">
        <f>HYPERLINK("http://127.0.0.1:8000/api/documents/download?id=1558&amp;attachment=true", "⬇ Download BOQ_852707.xls")</f>
        <v/>
      </c>
      <c r="M3225" s="10">
        <f>HYPERLINK("http://localhost:5173/?state=Tamil%20Nadu&amp;keyword=GIS&amp;tender=2026_PWD_709651_1", "🚀 Open in Portal")</f>
        <v/>
      </c>
    </row>
    <row r="3226" ht="24" customHeight="1">
      <c r="A3226" s="11" t="inlineStr">
        <is>
          <t>Tamil Nadu</t>
        </is>
      </c>
      <c r="B3226" s="12" t="inlineStr">
        <is>
          <t>GIS</t>
        </is>
      </c>
      <c r="C3226" s="13" t="inlineStr">
        <is>
          <t>2026_PWD_709651_1</t>
        </is>
      </c>
      <c r="D3226" s="14" t="inlineStr">
        <is>
          <t>[Establishment of E-seva Centre in District Munsif cum Judicial Magistrate Court Building at Radhapuram in Tirunelveli District]</t>
        </is>
      </c>
      <c r="E3226" s="14" t="inlineStr">
        <is>
          <t>Tamil Nadu Public Works &amp; Technology Department</t>
        </is>
      </c>
      <c r="F3226" s="13" t="inlineStr">
        <is>
          <t>17 Sep 2026</t>
        </is>
      </c>
      <c r="G3226" s="12" t="inlineStr">
        <is>
          <t>17 Oct 2026</t>
        </is>
      </c>
      <c r="H3226" s="8" t="inlineStr">
        <is>
          <t>⏳ UPCOMING</t>
        </is>
      </c>
      <c r="I3226" s="11" t="inlineStr">
        <is>
          <t>Tendercondition5.pdf</t>
        </is>
      </c>
      <c r="J3226" s="13" t="inlineStr">
        <is>
          <t>📕 PDF Document</t>
        </is>
      </c>
      <c r="K3226" s="15" t="n">
        <v>17.9</v>
      </c>
      <c r="L3226" s="16">
        <f>HYPERLINK("http://127.0.0.1:8000/api/documents/download?id=1559&amp;attachment=true", "⬇ Download Tendercondition5.pdf")</f>
        <v/>
      </c>
      <c r="M3226" s="16">
        <f>HYPERLINK("http://localhost:5173/?state=Tamil%20Nadu&amp;keyword=GIS&amp;tender=2026_PWD_709651_1", "🚀 Open in Portal")</f>
        <v/>
      </c>
    </row>
    <row r="3227" ht="24" customHeight="1">
      <c r="A3227" s="4" t="inlineStr">
        <is>
          <t>Tamil Nadu</t>
        </is>
      </c>
      <c r="B3227" s="5" t="inlineStr">
        <is>
          <t>GIS</t>
        </is>
      </c>
      <c r="C3227" s="6" t="inlineStr">
        <is>
          <t>2026_PWD_709651_1</t>
        </is>
      </c>
      <c r="D3227" s="7" t="inlineStr">
        <is>
          <t>[Establishment of E-seva Centre in District Munsif cum Judicial Magistrate Court Building at Radhapuram in Tirunelveli District]</t>
        </is>
      </c>
      <c r="E3227" s="7" t="inlineStr">
        <is>
          <t>Tamil Nadu Public Works &amp; Technology Department</t>
        </is>
      </c>
      <c r="F3227" s="6" t="inlineStr">
        <is>
          <t>17 Sep 2026</t>
        </is>
      </c>
      <c r="G3227" s="5" t="inlineStr">
        <is>
          <t>17 Oct 2026</t>
        </is>
      </c>
      <c r="H3227" s="8" t="inlineStr">
        <is>
          <t>⏳ UPCOMING</t>
        </is>
      </c>
      <c r="I3227" s="4" t="inlineStr">
        <is>
          <t>Tender_2026_PWD_709651_1_All_Documents.zip</t>
        </is>
      </c>
      <c r="J3227" s="6" t="inlineStr">
        <is>
          <t>📦 ZIP Package</t>
        </is>
      </c>
      <c r="K3227" s="9" t="n">
        <v>20.8</v>
      </c>
      <c r="L3227" s="10">
        <f>HYPERLINK("http://127.0.0.1:8000/api/documents/download?id=1560&amp;attachment=true", "⬇ Download Tender_2026_PWD_709651_1")</f>
        <v/>
      </c>
      <c r="M3227" s="10">
        <f>HYPERLINK("http://localhost:5173/?state=Tamil%20Nadu&amp;keyword=GIS&amp;tender=2026_PWD_709651_1", "🚀 Open in Portal")</f>
        <v/>
      </c>
    </row>
    <row r="3228" ht="24" customHeight="1">
      <c r="A3228" s="11" t="inlineStr">
        <is>
          <t>Tamil Nadu</t>
        </is>
      </c>
      <c r="B3228" s="12" t="inlineStr">
        <is>
          <t>GIS</t>
        </is>
      </c>
      <c r="C3228" s="13" t="inlineStr">
        <is>
          <t>2026_PWD_709669_1</t>
        </is>
      </c>
      <c r="D3228" s="14" t="inlineStr">
        <is>
          <t>[Providing SBT, Ceiling fans, Power plugs arrangements to E sewa Kendra to the District Cum Judicial Magistrate Court at Ottapidaram in Thoothukudi District.]</t>
        </is>
      </c>
      <c r="E3228" s="14" t="inlineStr">
        <is>
          <t>Tamil Nadu Public Works &amp; Technology Department</t>
        </is>
      </c>
      <c r="F3228" s="13" t="inlineStr">
        <is>
          <t>26 Oct 2026</t>
        </is>
      </c>
      <c r="G3228" s="12" t="inlineStr">
        <is>
          <t>16 Nov 2026</t>
        </is>
      </c>
      <c r="H3228" s="8" t="inlineStr">
        <is>
          <t>⏳ UPCOMING</t>
        </is>
      </c>
      <c r="I3228" s="11" t="inlineStr">
        <is>
          <t>Tendernotice_1.pdf</t>
        </is>
      </c>
      <c r="J3228" s="13" t="inlineStr">
        <is>
          <t>📕 PDF Document</t>
        </is>
      </c>
      <c r="K3228" s="15" t="n">
        <v>17.8</v>
      </c>
      <c r="L3228" s="16">
        <f>HYPERLINK("http://127.0.0.1:8000/api/documents/download?id=1569&amp;attachment=true", "⬇ Download Tendernotice_1.pdf")</f>
        <v/>
      </c>
      <c r="M3228" s="16">
        <f>HYPERLINK("http://localhost:5173/?state=Tamil%20Nadu&amp;keyword=GIS&amp;tender=2026_PWD_709669_1", "🚀 Open in Portal")</f>
        <v/>
      </c>
    </row>
    <row r="3229" ht="24" customHeight="1">
      <c r="A3229" s="4" t="inlineStr">
        <is>
          <t>Tamil Nadu</t>
        </is>
      </c>
      <c r="B3229" s="5" t="inlineStr">
        <is>
          <t>GIS</t>
        </is>
      </c>
      <c r="C3229" s="6" t="inlineStr">
        <is>
          <t>2026_PWD_709669_1</t>
        </is>
      </c>
      <c r="D3229" s="7" t="inlineStr">
        <is>
          <t>[Providing SBT, Ceiling fans, Power plugs arrangements to E sewa Kendra to the District Cum Judicial Magistrate Court at Ottapidaram in Thoothukudi District.]</t>
        </is>
      </c>
      <c r="E3229" s="7" t="inlineStr">
        <is>
          <t>Tamil Nadu Public Works &amp; Technology Department</t>
        </is>
      </c>
      <c r="F3229" s="6" t="inlineStr">
        <is>
          <t>26 Oct 2026</t>
        </is>
      </c>
      <c r="G3229" s="5" t="inlineStr">
        <is>
          <t>16 Nov 2026</t>
        </is>
      </c>
      <c r="H3229" s="8" t="inlineStr">
        <is>
          <t>⏳ UPCOMING</t>
        </is>
      </c>
      <c r="I3229" s="4" t="inlineStr">
        <is>
          <t>107Ottapidaram.pdf</t>
        </is>
      </c>
      <c r="J3229" s="6" t="inlineStr">
        <is>
          <t>📕 PDF Document</t>
        </is>
      </c>
      <c r="K3229" s="9" t="n">
        <v>17.9</v>
      </c>
      <c r="L3229" s="10">
        <f>HYPERLINK("http://127.0.0.1:8000/api/documents/download?id=1570&amp;attachment=true", "⬇ Download 107Ottapidaram.pdf")</f>
        <v/>
      </c>
      <c r="M3229" s="10">
        <f>HYPERLINK("http://localhost:5173/?state=Tamil%20Nadu&amp;keyword=GIS&amp;tender=2026_PWD_709669_1", "🚀 Open in Portal")</f>
        <v/>
      </c>
    </row>
    <row r="3230" ht="24" customHeight="1">
      <c r="A3230" s="11" t="inlineStr">
        <is>
          <t>Tamil Nadu</t>
        </is>
      </c>
      <c r="B3230" s="12" t="inlineStr">
        <is>
          <t>GIS</t>
        </is>
      </c>
      <c r="C3230" s="13" t="inlineStr">
        <is>
          <t>2026_PWD_709669_1</t>
        </is>
      </c>
      <c r="D3230" s="14" t="inlineStr">
        <is>
          <t>[Providing SBT, Ceiling fans, Power plugs arrangements to E sewa Kendra to the District Cum Judicial Magistrate Court at Ottapidaram in Thoothukudi District.]</t>
        </is>
      </c>
      <c r="E3230" s="14" t="inlineStr">
        <is>
          <t>Tamil Nadu Public Works &amp; Technology Department</t>
        </is>
      </c>
      <c r="F3230" s="13" t="inlineStr">
        <is>
          <t>26 Oct 2026</t>
        </is>
      </c>
      <c r="G3230" s="12" t="inlineStr">
        <is>
          <t>16 Nov 2026</t>
        </is>
      </c>
      <c r="H3230" s="8" t="inlineStr">
        <is>
          <t>⏳ UPCOMING</t>
        </is>
      </c>
      <c r="I3230" s="11" t="inlineStr">
        <is>
          <t>BOQ_852726.xls</t>
        </is>
      </c>
      <c r="J3230" s="13" t="inlineStr">
        <is>
          <t>📊 Excel BOQ</t>
        </is>
      </c>
      <c r="K3230" s="15" t="n">
        <v>2.5</v>
      </c>
      <c r="L3230" s="16">
        <f>HYPERLINK("http://127.0.0.1:8000/api/documents/download?id=1571&amp;attachment=true", "⬇ Download BOQ_852726.xls")</f>
        <v/>
      </c>
      <c r="M3230" s="16">
        <f>HYPERLINK("http://localhost:5173/?state=Tamil%20Nadu&amp;keyword=GIS&amp;tender=2026_PWD_709669_1", "🚀 Open in Portal")</f>
        <v/>
      </c>
    </row>
    <row r="3231" ht="24" customHeight="1">
      <c r="A3231" s="4" t="inlineStr">
        <is>
          <t>Tamil Nadu</t>
        </is>
      </c>
      <c r="B3231" s="5" t="inlineStr">
        <is>
          <t>GIS</t>
        </is>
      </c>
      <c r="C3231" s="6" t="inlineStr">
        <is>
          <t>2026_PWD_709669_1</t>
        </is>
      </c>
      <c r="D3231" s="7" t="inlineStr">
        <is>
          <t>[Providing SBT, Ceiling fans, Power plugs arrangements to E sewa Kendra to the District Cum Judicial Magistrate Court at Ottapidaram in Thoothukudi District.]</t>
        </is>
      </c>
      <c r="E3231" s="7" t="inlineStr">
        <is>
          <t>Tamil Nadu Public Works &amp; Technology Department</t>
        </is>
      </c>
      <c r="F3231" s="6" t="inlineStr">
        <is>
          <t>26 Oct 2026</t>
        </is>
      </c>
      <c r="G3231" s="5" t="inlineStr">
        <is>
          <t>16 Nov 2026</t>
        </is>
      </c>
      <c r="H3231" s="8" t="inlineStr">
        <is>
          <t>⏳ UPCOMING</t>
        </is>
      </c>
      <c r="I3231" s="4" t="inlineStr">
        <is>
          <t>Tender_2026_PWD_709669_1_All_Documents.zip</t>
        </is>
      </c>
      <c r="J3231" s="6" t="inlineStr">
        <is>
          <t>📦 ZIP Package</t>
        </is>
      </c>
      <c r="K3231" s="9" t="n">
        <v>20.8</v>
      </c>
      <c r="L3231" s="10">
        <f>HYPERLINK("http://127.0.0.1:8000/api/documents/download?id=1572&amp;attachment=true", "⬇ Download Tender_2026_PWD_709669_1")</f>
        <v/>
      </c>
      <c r="M3231" s="10">
        <f>HYPERLINK("http://localhost:5173/?state=Tamil%20Nadu&amp;keyword=GIS&amp;tender=2026_PWD_709669_1", "🚀 Open in Portal")</f>
        <v/>
      </c>
    </row>
    <row r="3232" ht="24" customHeight="1">
      <c r="A3232" s="11" t="inlineStr">
        <is>
          <t>Tamil Nadu</t>
        </is>
      </c>
      <c r="B3232" s="12" t="inlineStr">
        <is>
          <t>GIS</t>
        </is>
      </c>
      <c r="C3232" s="13" t="inlineStr">
        <is>
          <t>2026_PWD_709686_1</t>
        </is>
      </c>
      <c r="D3232" s="14" t="inlineStr">
        <is>
          <t>[Providing LAN arrangements to eSewa Kendra to the District Munsif cum Judicial Magistrate Court Building at Ottapidaram in Thoothukudi district.]</t>
        </is>
      </c>
      <c r="E3232" s="14" t="inlineStr">
        <is>
          <t>Tamil Nadu Public Works &amp; Technology Department</t>
        </is>
      </c>
      <c r="F3232" s="13" t="inlineStr">
        <is>
          <t>25 Oct 2026</t>
        </is>
      </c>
      <c r="G3232" s="12" t="inlineStr">
        <is>
          <t>15 Nov 2026</t>
        </is>
      </c>
      <c r="H3232" s="8" t="inlineStr">
        <is>
          <t>⏳ UPCOMING</t>
        </is>
      </c>
      <c r="I3232" s="11" t="inlineStr">
        <is>
          <t>Tendernotice_1.pdf</t>
        </is>
      </c>
      <c r="J3232" s="13" t="inlineStr">
        <is>
          <t>📕 PDF Document</t>
        </is>
      </c>
      <c r="K3232" s="15" t="n">
        <v>17.8</v>
      </c>
      <c r="L3232" s="16">
        <f>HYPERLINK("http://127.0.0.1:8000/api/documents/download?id=1565&amp;attachment=true", "⬇ Download Tendernotice_1.pdf")</f>
        <v/>
      </c>
      <c r="M3232" s="16">
        <f>HYPERLINK("http://localhost:5173/?state=Tamil%20Nadu&amp;keyword=GIS&amp;tender=2026_PWD_709686_1", "🚀 Open in Portal")</f>
        <v/>
      </c>
    </row>
    <row r="3233" ht="24" customHeight="1">
      <c r="A3233" s="4" t="inlineStr">
        <is>
          <t>Tamil Nadu</t>
        </is>
      </c>
      <c r="B3233" s="5" t="inlineStr">
        <is>
          <t>GIS</t>
        </is>
      </c>
      <c r="C3233" s="6" t="inlineStr">
        <is>
          <t>2026_PWD_709686_1</t>
        </is>
      </c>
      <c r="D3233" s="7" t="inlineStr">
        <is>
          <t>[Providing LAN arrangements to eSewa Kendra to the District Munsif cum Judicial Magistrate Court Building at Ottapidaram in Thoothukudi district.]</t>
        </is>
      </c>
      <c r="E3233" s="7" t="inlineStr">
        <is>
          <t>Tamil Nadu Public Works &amp; Technology Department</t>
        </is>
      </c>
      <c r="F3233" s="6" t="inlineStr">
        <is>
          <t>25 Oct 2026</t>
        </is>
      </c>
      <c r="G3233" s="5" t="inlineStr">
        <is>
          <t>15 Nov 2026</t>
        </is>
      </c>
      <c r="H3233" s="8" t="inlineStr">
        <is>
          <t>⏳ UPCOMING</t>
        </is>
      </c>
      <c r="I3233" s="4" t="inlineStr">
        <is>
          <t>BOQ_852738.xls</t>
        </is>
      </c>
      <c r="J3233" s="6" t="inlineStr">
        <is>
          <t>📊 Excel BOQ</t>
        </is>
      </c>
      <c r="K3233" s="9" t="n">
        <v>2.5</v>
      </c>
      <c r="L3233" s="10">
        <f>HYPERLINK("http://127.0.0.1:8000/api/documents/download?id=1566&amp;attachment=true", "⬇ Download BOQ_852738.xls")</f>
        <v/>
      </c>
      <c r="M3233" s="10">
        <f>HYPERLINK("http://localhost:5173/?state=Tamil%20Nadu&amp;keyword=GIS&amp;tender=2026_PWD_709686_1", "🚀 Open in Portal")</f>
        <v/>
      </c>
    </row>
    <row r="3234" ht="24" customHeight="1">
      <c r="A3234" s="11" t="inlineStr">
        <is>
          <t>Tamil Nadu</t>
        </is>
      </c>
      <c r="B3234" s="12" t="inlineStr">
        <is>
          <t>GIS</t>
        </is>
      </c>
      <c r="C3234" s="13" t="inlineStr">
        <is>
          <t>2026_PWD_709686_1</t>
        </is>
      </c>
      <c r="D3234" s="14" t="inlineStr">
        <is>
          <t>[Providing LAN arrangements to eSewa Kendra to the District Munsif cum Judicial Magistrate Court Building at Ottapidaram in Thoothukudi district.]</t>
        </is>
      </c>
      <c r="E3234" s="14" t="inlineStr">
        <is>
          <t>Tamil Nadu Public Works &amp; Technology Department</t>
        </is>
      </c>
      <c r="F3234" s="13" t="inlineStr">
        <is>
          <t>25 Oct 2026</t>
        </is>
      </c>
      <c r="G3234" s="12" t="inlineStr">
        <is>
          <t>15 Nov 2026</t>
        </is>
      </c>
      <c r="H3234" s="8" t="inlineStr">
        <is>
          <t>⏳ UPCOMING</t>
        </is>
      </c>
      <c r="I3234" s="11" t="inlineStr">
        <is>
          <t>108LANOttapidaram.pdf</t>
        </is>
      </c>
      <c r="J3234" s="13" t="inlineStr">
        <is>
          <t>📕 PDF Document</t>
        </is>
      </c>
      <c r="K3234" s="15" t="n">
        <v>17.9</v>
      </c>
      <c r="L3234" s="16">
        <f>HYPERLINK("http://127.0.0.1:8000/api/documents/download?id=1567&amp;attachment=true", "⬇ Download 108LANOttapidaram.pdf")</f>
        <v/>
      </c>
      <c r="M3234" s="16">
        <f>HYPERLINK("http://localhost:5173/?state=Tamil%20Nadu&amp;keyword=GIS&amp;tender=2026_PWD_709686_1", "🚀 Open in Portal")</f>
        <v/>
      </c>
    </row>
    <row r="3235" ht="24" customHeight="1">
      <c r="A3235" s="4" t="inlineStr">
        <is>
          <t>Tamil Nadu</t>
        </is>
      </c>
      <c r="B3235" s="5" t="inlineStr">
        <is>
          <t>GIS</t>
        </is>
      </c>
      <c r="C3235" s="6" t="inlineStr">
        <is>
          <t>2026_PWD_709686_1</t>
        </is>
      </c>
      <c r="D3235" s="7" t="inlineStr">
        <is>
          <t>[Providing LAN arrangements to eSewa Kendra to the District Munsif cum Judicial Magistrate Court Building at Ottapidaram in Thoothukudi district.]</t>
        </is>
      </c>
      <c r="E3235" s="7" t="inlineStr">
        <is>
          <t>Tamil Nadu Public Works &amp; Technology Department</t>
        </is>
      </c>
      <c r="F3235" s="6" t="inlineStr">
        <is>
          <t>25 Oct 2026</t>
        </is>
      </c>
      <c r="G3235" s="5" t="inlineStr">
        <is>
          <t>15 Nov 2026</t>
        </is>
      </c>
      <c r="H3235" s="8" t="inlineStr">
        <is>
          <t>⏳ UPCOMING</t>
        </is>
      </c>
      <c r="I3235" s="4" t="inlineStr">
        <is>
          <t>Tender_2026_PWD_709686_1_All_Documents.zip</t>
        </is>
      </c>
      <c r="J3235" s="6" t="inlineStr">
        <is>
          <t>📦 ZIP Package</t>
        </is>
      </c>
      <c r="K3235" s="9" t="n">
        <v>20.8</v>
      </c>
      <c r="L3235" s="10">
        <f>HYPERLINK("http://127.0.0.1:8000/api/documents/download?id=1568&amp;attachment=true", "⬇ Download Tender_2026_PWD_709686_1")</f>
        <v/>
      </c>
      <c r="M3235" s="10">
        <f>HYPERLINK("http://localhost:5173/?state=Tamil%20Nadu&amp;keyword=GIS&amp;tender=2026_PWD_709686_1", "🚀 Open in Portal")</f>
        <v/>
      </c>
    </row>
    <row r="3236" ht="24" customHeight="1">
      <c r="A3236" s="11" t="inlineStr">
        <is>
          <t>Tamil Nadu</t>
        </is>
      </c>
      <c r="B3236" s="12" t="inlineStr">
        <is>
          <t>GIS</t>
        </is>
      </c>
      <c r="C3236" s="13" t="inlineStr">
        <is>
          <t>2026_PWD_709706_1</t>
        </is>
      </c>
      <c r="D3236" s="14" t="inlineStr">
        <is>
          <t>[Providing LAN arrangements to eSewa Kendra to the Judicial Magistrate Court - II court Building at Srivaikundam in Thoothukudi district.]</t>
        </is>
      </c>
      <c r="E3236" s="14" t="inlineStr">
        <is>
          <t>Tamil Nadu Public Works &amp; Technology Department</t>
        </is>
      </c>
      <c r="F3236" s="13" t="inlineStr">
        <is>
          <t>03 Oct 2026</t>
        </is>
      </c>
      <c r="G3236" s="12" t="inlineStr">
        <is>
          <t>11 Nov 2026</t>
        </is>
      </c>
      <c r="H3236" s="17" t="inlineStr">
        <is>
          <t>🟢 LIVE ACTIVE</t>
        </is>
      </c>
      <c r="I3236" s="11" t="inlineStr">
        <is>
          <t>Tendernotice_1.pdf</t>
        </is>
      </c>
      <c r="J3236" s="13" t="inlineStr">
        <is>
          <t>📕 PDF Document</t>
        </is>
      </c>
      <c r="K3236" s="15" t="n">
        <v>17.8</v>
      </c>
      <c r="L3236" s="16">
        <f>HYPERLINK("http://127.0.0.1:8000/api/documents/download?id=1561&amp;attachment=true", "⬇ Download Tendernotice_1.pdf")</f>
        <v/>
      </c>
      <c r="M3236" s="16">
        <f>HYPERLINK("http://localhost:5173/?state=Tamil%20Nadu&amp;keyword=GIS&amp;tender=2026_PWD_709706_1", "🚀 Open in Portal")</f>
        <v/>
      </c>
    </row>
    <row r="3237" ht="24" customHeight="1">
      <c r="A3237" s="4" t="inlineStr">
        <is>
          <t>Tamil Nadu</t>
        </is>
      </c>
      <c r="B3237" s="5" t="inlineStr">
        <is>
          <t>GIS</t>
        </is>
      </c>
      <c r="C3237" s="6" t="inlineStr">
        <is>
          <t>2026_PWD_709706_1</t>
        </is>
      </c>
      <c r="D3237" s="7" t="inlineStr">
        <is>
          <t>[Providing LAN arrangements to eSewa Kendra to the Judicial Magistrate Court - II court Building at Srivaikundam in Thoothukudi district.]</t>
        </is>
      </c>
      <c r="E3237" s="7" t="inlineStr">
        <is>
          <t>Tamil Nadu Public Works &amp; Technology Department</t>
        </is>
      </c>
      <c r="F3237" s="6" t="inlineStr">
        <is>
          <t>03 Oct 2026</t>
        </is>
      </c>
      <c r="G3237" s="5" t="inlineStr">
        <is>
          <t>11 Nov 2026</t>
        </is>
      </c>
      <c r="H3237" s="17" t="inlineStr">
        <is>
          <t>🟢 LIVE ACTIVE</t>
        </is>
      </c>
      <c r="I3237" s="4" t="inlineStr">
        <is>
          <t>110LANSrivaikundam2.pdf</t>
        </is>
      </c>
      <c r="J3237" s="6" t="inlineStr">
        <is>
          <t>📕 PDF Document</t>
        </is>
      </c>
      <c r="K3237" s="9" t="n">
        <v>17.9</v>
      </c>
      <c r="L3237" s="10">
        <f>HYPERLINK("http://127.0.0.1:8000/api/documents/download?id=1562&amp;attachment=true", "⬇ Download 110LANSrivaikundam2.pdf")</f>
        <v/>
      </c>
      <c r="M3237" s="10">
        <f>HYPERLINK("http://localhost:5173/?state=Tamil%20Nadu&amp;keyword=GIS&amp;tender=2026_PWD_709706_1", "🚀 Open in Portal")</f>
        <v/>
      </c>
    </row>
    <row r="3238" ht="24" customHeight="1">
      <c r="A3238" s="11" t="inlineStr">
        <is>
          <t>Tamil Nadu</t>
        </is>
      </c>
      <c r="B3238" s="12" t="inlineStr">
        <is>
          <t>GIS</t>
        </is>
      </c>
      <c r="C3238" s="13" t="inlineStr">
        <is>
          <t>2026_PWD_709706_1</t>
        </is>
      </c>
      <c r="D3238" s="14" t="inlineStr">
        <is>
          <t>[Providing LAN arrangements to eSewa Kendra to the Judicial Magistrate Court - II court Building at Srivaikundam in Thoothukudi district.]</t>
        </is>
      </c>
      <c r="E3238" s="14" t="inlineStr">
        <is>
          <t>Tamil Nadu Public Works &amp; Technology Department</t>
        </is>
      </c>
      <c r="F3238" s="13" t="inlineStr">
        <is>
          <t>03 Oct 2026</t>
        </is>
      </c>
      <c r="G3238" s="12" t="inlineStr">
        <is>
          <t>11 Nov 2026</t>
        </is>
      </c>
      <c r="H3238" s="17" t="inlineStr">
        <is>
          <t>🟢 LIVE ACTIVE</t>
        </is>
      </c>
      <c r="I3238" s="11" t="inlineStr">
        <is>
          <t>BOQ_852782.xls</t>
        </is>
      </c>
      <c r="J3238" s="13" t="inlineStr">
        <is>
          <t>📊 Excel BOQ</t>
        </is>
      </c>
      <c r="K3238" s="15" t="n">
        <v>2.5</v>
      </c>
      <c r="L3238" s="16">
        <f>HYPERLINK("http://127.0.0.1:8000/api/documents/download?id=1563&amp;attachment=true", "⬇ Download BOQ_852782.xls")</f>
        <v/>
      </c>
      <c r="M3238" s="16">
        <f>HYPERLINK("http://localhost:5173/?state=Tamil%20Nadu&amp;keyword=GIS&amp;tender=2026_PWD_709706_1", "🚀 Open in Portal")</f>
        <v/>
      </c>
    </row>
    <row r="3239" ht="24" customHeight="1">
      <c r="A3239" s="4" t="inlineStr">
        <is>
          <t>Tamil Nadu</t>
        </is>
      </c>
      <c r="B3239" s="5" t="inlineStr">
        <is>
          <t>GIS</t>
        </is>
      </c>
      <c r="C3239" s="6" t="inlineStr">
        <is>
          <t>2026_PWD_709706_1</t>
        </is>
      </c>
      <c r="D3239" s="7" t="inlineStr">
        <is>
          <t>[Providing LAN arrangements to eSewa Kendra to the Judicial Magistrate Court - II court Building at Srivaikundam in Thoothukudi district.]</t>
        </is>
      </c>
      <c r="E3239" s="7" t="inlineStr">
        <is>
          <t>Tamil Nadu Public Works &amp; Technology Department</t>
        </is>
      </c>
      <c r="F3239" s="6" t="inlineStr">
        <is>
          <t>03 Oct 2026</t>
        </is>
      </c>
      <c r="G3239" s="5" t="inlineStr">
        <is>
          <t>11 Nov 2026</t>
        </is>
      </c>
      <c r="H3239" s="17" t="inlineStr">
        <is>
          <t>🟢 LIVE ACTIVE</t>
        </is>
      </c>
      <c r="I3239" s="4" t="inlineStr">
        <is>
          <t>Tender_2026_PWD_709706_1_All_Documents.zip</t>
        </is>
      </c>
      <c r="J3239" s="6" t="inlineStr">
        <is>
          <t>📦 ZIP Package</t>
        </is>
      </c>
      <c r="K3239" s="9" t="n">
        <v>20.9</v>
      </c>
      <c r="L3239" s="10">
        <f>HYPERLINK("http://127.0.0.1:8000/api/documents/download?id=1564&amp;attachment=true", "⬇ Download Tender_2026_PWD_709706_1")</f>
        <v/>
      </c>
      <c r="M3239" s="10">
        <f>HYPERLINK("http://localhost:5173/?state=Tamil%20Nadu&amp;keyword=GIS&amp;tender=2026_PWD_709706_1", "🚀 Open in Portal")</f>
        <v/>
      </c>
    </row>
    <row r="3240" ht="24" customHeight="1">
      <c r="A3240" s="11" t="inlineStr">
        <is>
          <t>Tamil Nadu</t>
        </is>
      </c>
      <c r="B3240" s="12" t="inlineStr">
        <is>
          <t>GIS</t>
        </is>
      </c>
      <c r="C3240" s="13" t="inlineStr">
        <is>
          <t>2026_PWD_710450_1</t>
        </is>
      </c>
      <c r="D3240" s="14" t="inlineStr">
        <is>
          <t>[Working Estimate for Steel Record Rack arrangements for Construction of Sub Registrar Office at Chengam in Tiruvannamalai District]</t>
        </is>
      </c>
      <c r="E3240" s="14" t="inlineStr">
        <is>
          <t>Tamil Nadu Public Works &amp; Technology Department</t>
        </is>
      </c>
      <c r="F3240" s="13" t="inlineStr">
        <is>
          <t>01 Sep 2026</t>
        </is>
      </c>
      <c r="G3240" s="12" t="inlineStr">
        <is>
          <t>24 Sep 2026</t>
        </is>
      </c>
      <c r="H3240" s="8" t="inlineStr">
        <is>
          <t>⏳ UPCOMING</t>
        </is>
      </c>
      <c r="I3240" s="11" t="inlineStr">
        <is>
          <t>Tendernotice_1.pdf</t>
        </is>
      </c>
      <c r="J3240" s="13" t="inlineStr">
        <is>
          <t>📕 PDF Document</t>
        </is>
      </c>
      <c r="K3240" s="15" t="n">
        <v>17.8</v>
      </c>
      <c r="L3240" s="16">
        <f>HYPERLINK("http://127.0.0.1:8000/api/documents/download?id=1553&amp;attachment=true", "⬇ Download Tendernotice_1.pdf")</f>
        <v/>
      </c>
      <c r="M3240" s="16">
        <f>HYPERLINK("http://localhost:5173/?state=Tamil%20Nadu&amp;keyword=GIS&amp;tender=2026_PWD_710450_1", "🚀 Open in Portal")</f>
        <v/>
      </c>
    </row>
    <row r="3241" ht="24" customHeight="1">
      <c r="A3241" s="4" t="inlineStr">
        <is>
          <t>Tamil Nadu</t>
        </is>
      </c>
      <c r="B3241" s="5" t="inlineStr">
        <is>
          <t>GIS</t>
        </is>
      </c>
      <c r="C3241" s="6" t="inlineStr">
        <is>
          <t>2026_PWD_710450_1</t>
        </is>
      </c>
      <c r="D3241" s="7" t="inlineStr">
        <is>
          <t>[Working Estimate for Steel Record Rack arrangements for Construction of Sub Registrar Office at Chengam in Tiruvannamalai District]</t>
        </is>
      </c>
      <c r="E3241" s="7" t="inlineStr">
        <is>
          <t>Tamil Nadu Public Works &amp; Technology Department</t>
        </is>
      </c>
      <c r="F3241" s="6" t="inlineStr">
        <is>
          <t>01 Sep 2026</t>
        </is>
      </c>
      <c r="G3241" s="5" t="inlineStr">
        <is>
          <t>24 Sep 2026</t>
        </is>
      </c>
      <c r="H3241" s="8" t="inlineStr">
        <is>
          <t>⏳ UPCOMING</t>
        </is>
      </c>
      <c r="I3241" s="4" t="inlineStr">
        <is>
          <t>TenderConditions11.pdf</t>
        </is>
      </c>
      <c r="J3241" s="6" t="inlineStr">
        <is>
          <t>📕 PDF Document</t>
        </is>
      </c>
      <c r="K3241" s="9" t="n">
        <v>17.9</v>
      </c>
      <c r="L3241" s="10">
        <f>HYPERLINK("http://127.0.0.1:8000/api/documents/download?id=1554&amp;attachment=true", "⬇ Download TenderConditions11.pdf")</f>
        <v/>
      </c>
      <c r="M3241" s="10">
        <f>HYPERLINK("http://localhost:5173/?state=Tamil%20Nadu&amp;keyword=GIS&amp;tender=2026_PWD_710450_1", "🚀 Open in Portal")</f>
        <v/>
      </c>
    </row>
    <row r="3242" ht="24" customHeight="1">
      <c r="A3242" s="11" t="inlineStr">
        <is>
          <t>Tamil Nadu</t>
        </is>
      </c>
      <c r="B3242" s="12" t="inlineStr">
        <is>
          <t>GIS</t>
        </is>
      </c>
      <c r="C3242" s="13" t="inlineStr">
        <is>
          <t>2026_PWD_710450_1</t>
        </is>
      </c>
      <c r="D3242" s="14" t="inlineStr">
        <is>
          <t>[Working Estimate for Steel Record Rack arrangements for Construction of Sub Registrar Office at Chengam in Tiruvannamalai District]</t>
        </is>
      </c>
      <c r="E3242" s="14" t="inlineStr">
        <is>
          <t>Tamil Nadu Public Works &amp; Technology Department</t>
        </is>
      </c>
      <c r="F3242" s="13" t="inlineStr">
        <is>
          <t>01 Sep 2026</t>
        </is>
      </c>
      <c r="G3242" s="12" t="inlineStr">
        <is>
          <t>24 Sep 2026</t>
        </is>
      </c>
      <c r="H3242" s="8" t="inlineStr">
        <is>
          <t>⏳ UPCOMING</t>
        </is>
      </c>
      <c r="I3242" s="11" t="inlineStr">
        <is>
          <t>BOQ_853607.xls</t>
        </is>
      </c>
      <c r="J3242" s="13" t="inlineStr">
        <is>
          <t>📊 Excel BOQ</t>
        </is>
      </c>
      <c r="K3242" s="15" t="n">
        <v>2.5</v>
      </c>
      <c r="L3242" s="16">
        <f>HYPERLINK("http://127.0.0.1:8000/api/documents/download?id=1555&amp;attachment=true", "⬇ Download BOQ_853607.xls")</f>
        <v/>
      </c>
      <c r="M3242" s="16">
        <f>HYPERLINK("http://localhost:5173/?state=Tamil%20Nadu&amp;keyword=GIS&amp;tender=2026_PWD_710450_1", "🚀 Open in Portal")</f>
        <v/>
      </c>
    </row>
    <row r="3243" ht="24" customHeight="1">
      <c r="A3243" s="4" t="inlineStr">
        <is>
          <t>Tamil Nadu</t>
        </is>
      </c>
      <c r="B3243" s="5" t="inlineStr">
        <is>
          <t>GIS</t>
        </is>
      </c>
      <c r="C3243" s="6" t="inlineStr">
        <is>
          <t>2026_PWD_710450_1</t>
        </is>
      </c>
      <c r="D3243" s="7" t="inlineStr">
        <is>
          <t>[Working Estimate for Steel Record Rack arrangements for Construction of Sub Registrar Office at Chengam in Tiruvannamalai District]</t>
        </is>
      </c>
      <c r="E3243" s="7" t="inlineStr">
        <is>
          <t>Tamil Nadu Public Works &amp; Technology Department</t>
        </is>
      </c>
      <c r="F3243" s="6" t="inlineStr">
        <is>
          <t>01 Sep 2026</t>
        </is>
      </c>
      <c r="G3243" s="5" t="inlineStr">
        <is>
          <t>24 Sep 2026</t>
        </is>
      </c>
      <c r="H3243" s="8" t="inlineStr">
        <is>
          <t>⏳ UPCOMING</t>
        </is>
      </c>
      <c r="I3243" s="4" t="inlineStr">
        <is>
          <t>Tender_2026_PWD_710450_1_All_Documents.zip</t>
        </is>
      </c>
      <c r="J3243" s="6" t="inlineStr">
        <is>
          <t>📦 ZIP Package</t>
        </is>
      </c>
      <c r="K3243" s="9" t="n">
        <v>20.8</v>
      </c>
      <c r="L3243" s="10">
        <f>HYPERLINK("http://127.0.0.1:8000/api/documents/download?id=1556&amp;attachment=true", "⬇ Download Tender_2026_PWD_710450_1")</f>
        <v/>
      </c>
      <c r="M3243" s="10">
        <f>HYPERLINK("http://localhost:5173/?state=Tamil%20Nadu&amp;keyword=GIS&amp;tender=2026_PWD_710450_1", "🚀 Open in Portal")</f>
        <v/>
      </c>
    </row>
    <row r="3244" ht="24" customHeight="1">
      <c r="A3244" s="11" t="inlineStr">
        <is>
          <t>Tamil Nadu</t>
        </is>
      </c>
      <c r="B3244" s="12" t="inlineStr">
        <is>
          <t>GIS</t>
        </is>
      </c>
      <c r="C3244" s="13" t="inlineStr">
        <is>
          <t>2026_PWD_710964_1</t>
        </is>
      </c>
      <c r="D3244" s="14" t="inlineStr">
        <is>
          <t>[Special repairs to Painting doors and windows in Judicial Magistrate 1 Quarters at Poonamallee]</t>
        </is>
      </c>
      <c r="E3244" s="14" t="inlineStr">
        <is>
          <t>Tamil Nadu Public Works &amp; Technology Department</t>
        </is>
      </c>
      <c r="F3244" s="13" t="inlineStr">
        <is>
          <t>31 Jul 2026</t>
        </is>
      </c>
      <c r="G3244" s="12" t="inlineStr">
        <is>
          <t>28 Aug 2026</t>
        </is>
      </c>
      <c r="H3244" s="8" t="inlineStr">
        <is>
          <t>⏳ UPCOMING</t>
        </is>
      </c>
      <c r="I3244" s="11" t="inlineStr">
        <is>
          <t>Tendernotice_1.pdf</t>
        </is>
      </c>
      <c r="J3244" s="13" t="inlineStr">
        <is>
          <t>📕 PDF Document</t>
        </is>
      </c>
      <c r="K3244" s="15" t="n">
        <v>17.8</v>
      </c>
      <c r="L3244" s="16">
        <f>HYPERLINK("http://127.0.0.1:8000/api/documents/download?id=1540&amp;attachment=true", "⬇ Download Tendernotice_1.pdf")</f>
        <v/>
      </c>
      <c r="M3244" s="16">
        <f>HYPERLINK("http://localhost:5173/?state=Tamil%20Nadu&amp;keyword=GIS&amp;tender=2026_PWD_710964_1", "🚀 Open in Portal")</f>
        <v/>
      </c>
    </row>
    <row r="3245" ht="24" customHeight="1">
      <c r="A3245" s="4" t="inlineStr">
        <is>
          <t>Tamil Nadu</t>
        </is>
      </c>
      <c r="B3245" s="5" t="inlineStr">
        <is>
          <t>GIS</t>
        </is>
      </c>
      <c r="C3245" s="6" t="inlineStr">
        <is>
          <t>2026_PWD_710964_1</t>
        </is>
      </c>
      <c r="D3245" s="7" t="inlineStr">
        <is>
          <t>[Special repairs to Painting doors and windows in Judicial Magistrate 1 Quarters at Poonamallee]</t>
        </is>
      </c>
      <c r="E3245" s="7" t="inlineStr">
        <is>
          <t>Tamil Nadu Public Works &amp; Technology Department</t>
        </is>
      </c>
      <c r="F3245" s="6" t="inlineStr">
        <is>
          <t>31 Jul 2026</t>
        </is>
      </c>
      <c r="G3245" s="5" t="inlineStr">
        <is>
          <t>28 Aug 2026</t>
        </is>
      </c>
      <c r="H3245" s="8" t="inlineStr">
        <is>
          <t>⏳ UPCOMING</t>
        </is>
      </c>
      <c r="I3245" s="4" t="inlineStr">
        <is>
          <t>BOQ_854180.xls</t>
        </is>
      </c>
      <c r="J3245" s="6" t="inlineStr">
        <is>
          <t>📊 Excel BOQ</t>
        </is>
      </c>
      <c r="K3245" s="9" t="n">
        <v>2.5</v>
      </c>
      <c r="L3245" s="10">
        <f>HYPERLINK("http://127.0.0.1:8000/api/documents/download?id=1541&amp;attachment=true", "⬇ Download BOQ_854180.xls")</f>
        <v/>
      </c>
      <c r="M3245" s="10">
        <f>HYPERLINK("http://localhost:5173/?state=Tamil%20Nadu&amp;keyword=GIS&amp;tender=2026_PWD_710964_1", "🚀 Open in Portal")</f>
        <v/>
      </c>
    </row>
    <row r="3246" ht="24" customHeight="1">
      <c r="A3246" s="11" t="inlineStr">
        <is>
          <t>Tamil Nadu</t>
        </is>
      </c>
      <c r="B3246" s="12" t="inlineStr">
        <is>
          <t>GIS</t>
        </is>
      </c>
      <c r="C3246" s="13" t="inlineStr">
        <is>
          <t>2026_PWD_710964_1</t>
        </is>
      </c>
      <c r="D3246" s="14" t="inlineStr">
        <is>
          <t>[Special repairs to Painting doors and windows in Judicial Magistrate 1 Quarters at Poonamallee]</t>
        </is>
      </c>
      <c r="E3246" s="14" t="inlineStr">
        <is>
          <t>Tamil Nadu Public Works &amp; Technology Department</t>
        </is>
      </c>
      <c r="F3246" s="13" t="inlineStr">
        <is>
          <t>31 Jul 2026</t>
        </is>
      </c>
      <c r="G3246" s="12" t="inlineStr">
        <is>
          <t>28 Aug 2026</t>
        </is>
      </c>
      <c r="H3246" s="8" t="inlineStr">
        <is>
          <t>⏳ UPCOMING</t>
        </is>
      </c>
      <c r="I3246" s="11" t="inlineStr">
        <is>
          <t>TenderConditions1.pdf</t>
        </is>
      </c>
      <c r="J3246" s="13" t="inlineStr">
        <is>
          <t>📕 PDF Document</t>
        </is>
      </c>
      <c r="K3246" s="15" t="n">
        <v>17.9</v>
      </c>
      <c r="L3246" s="16">
        <f>HYPERLINK("http://127.0.0.1:8000/api/documents/download?id=1542&amp;attachment=true", "⬇ Download TenderConditions1.pdf")</f>
        <v/>
      </c>
      <c r="M3246" s="16">
        <f>HYPERLINK("http://localhost:5173/?state=Tamil%20Nadu&amp;keyword=GIS&amp;tender=2026_PWD_710964_1", "🚀 Open in Portal")</f>
        <v/>
      </c>
    </row>
    <row r="3247" ht="24" customHeight="1">
      <c r="A3247" s="4" t="inlineStr">
        <is>
          <t>Tamil Nadu</t>
        </is>
      </c>
      <c r="B3247" s="5" t="inlineStr">
        <is>
          <t>GIS</t>
        </is>
      </c>
      <c r="C3247" s="6" t="inlineStr">
        <is>
          <t>2026_PWD_710964_1</t>
        </is>
      </c>
      <c r="D3247" s="7" t="inlineStr">
        <is>
          <t>[Special repairs to Painting doors and windows in Judicial Magistrate 1 Quarters at Poonamallee]</t>
        </is>
      </c>
      <c r="E3247" s="7" t="inlineStr">
        <is>
          <t>Tamil Nadu Public Works &amp; Technology Department</t>
        </is>
      </c>
      <c r="F3247" s="6" t="inlineStr">
        <is>
          <t>31 Jul 2026</t>
        </is>
      </c>
      <c r="G3247" s="5" t="inlineStr">
        <is>
          <t>28 Aug 2026</t>
        </is>
      </c>
      <c r="H3247" s="8" t="inlineStr">
        <is>
          <t>⏳ UPCOMING</t>
        </is>
      </c>
      <c r="I3247" s="4" t="inlineStr">
        <is>
          <t>GeneralCondition.pdf</t>
        </is>
      </c>
      <c r="J3247" s="6" t="inlineStr">
        <is>
          <t>📕 PDF Document</t>
        </is>
      </c>
      <c r="K3247" s="9" t="n">
        <v>17.9</v>
      </c>
      <c r="L3247" s="10">
        <f>HYPERLINK("http://127.0.0.1:8000/api/documents/download?id=1543&amp;attachment=true", "⬇ Download GeneralCondition.pdf")</f>
        <v/>
      </c>
      <c r="M3247" s="10">
        <f>HYPERLINK("http://localhost:5173/?state=Tamil%20Nadu&amp;keyword=GIS&amp;tender=2026_PWD_710964_1", "🚀 Open in Portal")</f>
        <v/>
      </c>
    </row>
    <row r="3248" ht="24" customHeight="1">
      <c r="A3248" s="11" t="inlineStr">
        <is>
          <t>Tamil Nadu</t>
        </is>
      </c>
      <c r="B3248" s="12" t="inlineStr">
        <is>
          <t>GIS</t>
        </is>
      </c>
      <c r="C3248" s="13" t="inlineStr">
        <is>
          <t>2026_PWD_710964_1</t>
        </is>
      </c>
      <c r="D3248" s="14" t="inlineStr">
        <is>
          <t>[Special repairs to Painting doors and windows in Judicial Magistrate 1 Quarters at Poonamallee]</t>
        </is>
      </c>
      <c r="E3248" s="14" t="inlineStr">
        <is>
          <t>Tamil Nadu Public Works &amp; Technology Department</t>
        </is>
      </c>
      <c r="F3248" s="13" t="inlineStr">
        <is>
          <t>31 Jul 2026</t>
        </is>
      </c>
      <c r="G3248" s="12" t="inlineStr">
        <is>
          <t>28 Aug 2026</t>
        </is>
      </c>
      <c r="H3248" s="8" t="inlineStr">
        <is>
          <t>⏳ UPCOMING</t>
        </is>
      </c>
      <c r="I3248" s="11" t="inlineStr">
        <is>
          <t>Tender_2026_PWD_710964_1_All_Documents.zip</t>
        </is>
      </c>
      <c r="J3248" s="13" t="inlineStr">
        <is>
          <t>📦 ZIP Package</t>
        </is>
      </c>
      <c r="K3248" s="15" t="n">
        <v>30</v>
      </c>
      <c r="L3248" s="16">
        <f>HYPERLINK("http://127.0.0.1:8000/api/documents/download?id=1544&amp;attachment=true", "⬇ Download Tender_2026_PWD_710964_1")</f>
        <v/>
      </c>
      <c r="M3248" s="16">
        <f>HYPERLINK("http://localhost:5173/?state=Tamil%20Nadu&amp;keyword=GIS&amp;tender=2026_PWD_710964_1", "🚀 Open in Portal")</f>
        <v/>
      </c>
    </row>
    <row r="3249" ht="24" customHeight="1">
      <c r="A3249" s="4" t="inlineStr">
        <is>
          <t>Tamil Nadu</t>
        </is>
      </c>
      <c r="B3249" s="5" t="inlineStr">
        <is>
          <t>GIS</t>
        </is>
      </c>
      <c r="C3249" s="6" t="inlineStr">
        <is>
          <t>2026_PWD_711610_1</t>
        </is>
      </c>
      <c r="D3249" s="7" t="inlineStr">
        <is>
          <t>[Special Repairs to Leaky roof, Doors, Windows, flooring, painting, water supply and sanitary arrangements in Judicial Magistrate Court and Fast Track court at Palani in Dindigul District.]</t>
        </is>
      </c>
      <c r="E3249" s="7" t="inlineStr">
        <is>
          <t>Tamil Nadu Public Works &amp; Technology Department</t>
        </is>
      </c>
      <c r="F3249" s="6" t="inlineStr">
        <is>
          <t>01 Aug 2026</t>
        </is>
      </c>
      <c r="G3249" s="5" t="inlineStr">
        <is>
          <t>22 Aug 2026</t>
        </is>
      </c>
      <c r="H3249" s="8" t="inlineStr">
        <is>
          <t>⏳ UPCOMING</t>
        </is>
      </c>
      <c r="I3249" s="4" t="inlineStr">
        <is>
          <t>Tendernotice_1.pdf</t>
        </is>
      </c>
      <c r="J3249" s="6" t="inlineStr">
        <is>
          <t>📕 PDF Document</t>
        </is>
      </c>
      <c r="K3249" s="9" t="n">
        <v>17.8</v>
      </c>
      <c r="L3249" s="10">
        <f>HYPERLINK("http://127.0.0.1:8000/api/documents/download?id=1527&amp;attachment=true", "⬇ Download Tendernotice_1.pdf")</f>
        <v/>
      </c>
      <c r="M3249" s="10">
        <f>HYPERLINK("http://localhost:5173/?state=Tamil%20Nadu&amp;keyword=GIS&amp;tender=2026_PWD_711610_1", "🚀 Open in Portal")</f>
        <v/>
      </c>
    </row>
    <row r="3250" ht="24" customHeight="1">
      <c r="A3250" s="11" t="inlineStr">
        <is>
          <t>Tamil Nadu</t>
        </is>
      </c>
      <c r="B3250" s="12" t="inlineStr">
        <is>
          <t>GIS</t>
        </is>
      </c>
      <c r="C3250" s="13" t="inlineStr">
        <is>
          <t>2026_PWD_711610_1</t>
        </is>
      </c>
      <c r="D3250" s="14" t="inlineStr">
        <is>
          <t>[Special Repairs to Leaky roof, Doors, Windows, flooring, painting, water supply and sanitary arrangements in Judicial Magistrate Court and Fast Track court at Palani in Dindigul District.]</t>
        </is>
      </c>
      <c r="E3250" s="14" t="inlineStr">
        <is>
          <t>Tamil Nadu Public Works &amp; Technology Department</t>
        </is>
      </c>
      <c r="F3250" s="13" t="inlineStr">
        <is>
          <t>01 Aug 2026</t>
        </is>
      </c>
      <c r="G3250" s="12" t="inlineStr">
        <is>
          <t>22 Aug 2026</t>
        </is>
      </c>
      <c r="H3250" s="8" t="inlineStr">
        <is>
          <t>⏳ UPCOMING</t>
        </is>
      </c>
      <c r="I3250" s="11" t="inlineStr">
        <is>
          <t>PalaniCourtTD.pdf</t>
        </is>
      </c>
      <c r="J3250" s="13" t="inlineStr">
        <is>
          <t>📕 PDF Document</t>
        </is>
      </c>
      <c r="K3250" s="15" t="n">
        <v>17.8</v>
      </c>
      <c r="L3250" s="16">
        <f>HYPERLINK("http://127.0.0.1:8000/api/documents/download?id=1528&amp;attachment=true", "⬇ Download PalaniCourtTD.pdf")</f>
        <v/>
      </c>
      <c r="M3250" s="16">
        <f>HYPERLINK("http://localhost:5173/?state=Tamil%20Nadu&amp;keyword=GIS&amp;tender=2026_PWD_711610_1", "🚀 Open in Portal")</f>
        <v/>
      </c>
    </row>
    <row r="3251" ht="24" customHeight="1">
      <c r="A3251" s="4" t="inlineStr">
        <is>
          <t>Tamil Nadu</t>
        </is>
      </c>
      <c r="B3251" s="5" t="inlineStr">
        <is>
          <t>GIS</t>
        </is>
      </c>
      <c r="C3251" s="6" t="inlineStr">
        <is>
          <t>2026_PWD_711610_1</t>
        </is>
      </c>
      <c r="D3251" s="7" t="inlineStr">
        <is>
          <t>[Special Repairs to Leaky roof, Doors, Windows, flooring, painting, water supply and sanitary arrangements in Judicial Magistrate Court and Fast Track court at Palani in Dindigul District.]</t>
        </is>
      </c>
      <c r="E3251" s="7" t="inlineStr">
        <is>
          <t>Tamil Nadu Public Works &amp; Technology Department</t>
        </is>
      </c>
      <c r="F3251" s="6" t="inlineStr">
        <is>
          <t>01 Aug 2026</t>
        </is>
      </c>
      <c r="G3251" s="5" t="inlineStr">
        <is>
          <t>22 Aug 2026</t>
        </is>
      </c>
      <c r="H3251" s="8" t="inlineStr">
        <is>
          <t>⏳ UPCOMING</t>
        </is>
      </c>
      <c r="I3251" s="4" t="inlineStr">
        <is>
          <t>BOQ_854914.xls</t>
        </is>
      </c>
      <c r="J3251" s="6" t="inlineStr">
        <is>
          <t>📊 Excel BOQ</t>
        </is>
      </c>
      <c r="K3251" s="9" t="n">
        <v>2.5</v>
      </c>
      <c r="L3251" s="10">
        <f>HYPERLINK("http://127.0.0.1:8000/api/documents/download?id=1529&amp;attachment=true", "⬇ Download BOQ_854914.xls")</f>
        <v/>
      </c>
      <c r="M3251" s="10">
        <f>HYPERLINK("http://localhost:5173/?state=Tamil%20Nadu&amp;keyword=GIS&amp;tender=2026_PWD_711610_1", "🚀 Open in Portal")</f>
        <v/>
      </c>
    </row>
    <row r="3252" ht="24" customHeight="1">
      <c r="A3252" s="11" t="inlineStr">
        <is>
          <t>Tamil Nadu</t>
        </is>
      </c>
      <c r="B3252" s="12" t="inlineStr">
        <is>
          <t>GIS</t>
        </is>
      </c>
      <c r="C3252" s="13" t="inlineStr">
        <is>
          <t>2026_PWD_711610_1</t>
        </is>
      </c>
      <c r="D3252" s="14" t="inlineStr">
        <is>
          <t>[Special Repairs to Leaky roof, Doors, Windows, flooring, painting, water supply and sanitary arrangements in Judicial Magistrate Court and Fast Track court at Palani in Dindigul District.]</t>
        </is>
      </c>
      <c r="E3252" s="14" t="inlineStr">
        <is>
          <t>Tamil Nadu Public Works &amp; Technology Department</t>
        </is>
      </c>
      <c r="F3252" s="13" t="inlineStr">
        <is>
          <t>01 Aug 2026</t>
        </is>
      </c>
      <c r="G3252" s="12" t="inlineStr">
        <is>
          <t>22 Aug 2026</t>
        </is>
      </c>
      <c r="H3252" s="8" t="inlineStr">
        <is>
          <t>⏳ UPCOMING</t>
        </is>
      </c>
      <c r="I3252" s="11" t="inlineStr">
        <is>
          <t>Tender_2026_PWD_711610_1_All_Documents.zip</t>
        </is>
      </c>
      <c r="J3252" s="13" t="inlineStr">
        <is>
          <t>📦 ZIP Package</t>
        </is>
      </c>
      <c r="K3252" s="15" t="n">
        <v>20.8</v>
      </c>
      <c r="L3252" s="16">
        <f>HYPERLINK("http://127.0.0.1:8000/api/documents/download?id=1530&amp;attachment=true", "⬇ Download Tender_2026_PWD_711610_1")</f>
        <v/>
      </c>
      <c r="M3252" s="16">
        <f>HYPERLINK("http://localhost:5173/?state=Tamil%20Nadu&amp;keyword=GIS&amp;tender=2026_PWD_711610_1", "🚀 Open in Portal")</f>
        <v/>
      </c>
    </row>
    <row r="3253" ht="24" customHeight="1">
      <c r="A3253" s="4" t="inlineStr">
        <is>
          <t>Tamil Nadu</t>
        </is>
      </c>
      <c r="B3253" s="5" t="inlineStr">
        <is>
          <t>GIS</t>
        </is>
      </c>
      <c r="C3253" s="6" t="inlineStr">
        <is>
          <t>2026_PWD_712053_1</t>
        </is>
      </c>
      <c r="D3253" s="7" t="inlineStr">
        <is>
          <t>[Supply of Technical Assistant Grade II to Assist the Section Officer for the work of Construction of Sub Registrar Office Building at Thirukurungudi in Tirunelveli District for the month of October and November 2026]</t>
        </is>
      </c>
      <c r="E3253" s="7" t="inlineStr">
        <is>
          <t>Tamil Nadu Public Works &amp; Technology Department</t>
        </is>
      </c>
      <c r="F3253" s="6" t="inlineStr">
        <is>
          <t>05 Oct 2026</t>
        </is>
      </c>
      <c r="G3253" s="5" t="inlineStr">
        <is>
          <t>10 Nov 2026</t>
        </is>
      </c>
      <c r="H3253" s="17" t="inlineStr">
        <is>
          <t>🟢 LIVE ACTIVE</t>
        </is>
      </c>
      <c r="I3253" s="4" t="inlineStr">
        <is>
          <t>Tendernotice_1.pdf</t>
        </is>
      </c>
      <c r="J3253" s="6" t="inlineStr">
        <is>
          <t>📕 PDF Document</t>
        </is>
      </c>
      <c r="K3253" s="9" t="n">
        <v>17.8</v>
      </c>
      <c r="L3253" s="10">
        <f>HYPERLINK("http://127.0.0.1:8000/api/documents/download?id=1519&amp;attachment=true", "⬇ Download Tendernotice_1.pdf")</f>
        <v/>
      </c>
      <c r="M3253" s="10">
        <f>HYPERLINK("http://localhost:5173/?state=Tamil%20Nadu&amp;keyword=GIS&amp;tender=2026_PWD_712053_1", "🚀 Open in Portal")</f>
        <v/>
      </c>
    </row>
    <row r="3254" ht="24" customHeight="1">
      <c r="A3254" s="11" t="inlineStr">
        <is>
          <t>Tamil Nadu</t>
        </is>
      </c>
      <c r="B3254" s="12" t="inlineStr">
        <is>
          <t>GIS</t>
        </is>
      </c>
      <c r="C3254" s="13" t="inlineStr">
        <is>
          <t>2026_PWD_712053_1</t>
        </is>
      </c>
      <c r="D3254" s="14" t="inlineStr">
        <is>
          <t>[Supply of Technical Assistant Grade II to Assist the Section Officer for the work of Construction of Sub Registrar Office Building at Thirukurungudi in Tirunelveli District for the month of October and November 2026]</t>
        </is>
      </c>
      <c r="E3254" s="14" t="inlineStr">
        <is>
          <t>Tamil Nadu Public Works &amp; Technology Department</t>
        </is>
      </c>
      <c r="F3254" s="13" t="inlineStr">
        <is>
          <t>05 Oct 2026</t>
        </is>
      </c>
      <c r="G3254" s="12" t="inlineStr">
        <is>
          <t>10 Nov 2026</t>
        </is>
      </c>
      <c r="H3254" s="17" t="inlineStr">
        <is>
          <t>🟢 LIVE ACTIVE</t>
        </is>
      </c>
      <c r="I3254" s="11" t="inlineStr">
        <is>
          <t>Tendercondition10.pdf</t>
        </is>
      </c>
      <c r="J3254" s="13" t="inlineStr">
        <is>
          <t>📕 PDF Document</t>
        </is>
      </c>
      <c r="K3254" s="15" t="n">
        <v>17.8</v>
      </c>
      <c r="L3254" s="16">
        <f>HYPERLINK("http://127.0.0.1:8000/api/documents/download?id=1520&amp;attachment=true", "⬇ Download Tendercondition10.pdf")</f>
        <v/>
      </c>
      <c r="M3254" s="16">
        <f>HYPERLINK("http://localhost:5173/?state=Tamil%20Nadu&amp;keyword=GIS&amp;tender=2026_PWD_712053_1", "🚀 Open in Portal")</f>
        <v/>
      </c>
    </row>
    <row r="3255" ht="24" customHeight="1">
      <c r="A3255" s="4" t="inlineStr">
        <is>
          <t>Tamil Nadu</t>
        </is>
      </c>
      <c r="B3255" s="5" t="inlineStr">
        <is>
          <t>GIS</t>
        </is>
      </c>
      <c r="C3255" s="6" t="inlineStr">
        <is>
          <t>2026_PWD_712053_1</t>
        </is>
      </c>
      <c r="D3255" s="7" t="inlineStr">
        <is>
          <t>[Supply of Technical Assistant Grade II to Assist the Section Officer for the work of Construction of Sub Registrar Office Building at Thirukurungudi in Tirunelveli District for the month of October and November 2026]</t>
        </is>
      </c>
      <c r="E3255" s="7" t="inlineStr">
        <is>
          <t>Tamil Nadu Public Works &amp; Technology Department</t>
        </is>
      </c>
      <c r="F3255" s="6" t="inlineStr">
        <is>
          <t>05 Oct 2026</t>
        </is>
      </c>
      <c r="G3255" s="5" t="inlineStr">
        <is>
          <t>10 Nov 2026</t>
        </is>
      </c>
      <c r="H3255" s="17" t="inlineStr">
        <is>
          <t>🟢 LIVE ACTIVE</t>
        </is>
      </c>
      <c r="I3255" s="4" t="inlineStr">
        <is>
          <t>BOQ_855388.xls</t>
        </is>
      </c>
      <c r="J3255" s="6" t="inlineStr">
        <is>
          <t>📊 Excel BOQ</t>
        </is>
      </c>
      <c r="K3255" s="9" t="n">
        <v>2.5</v>
      </c>
      <c r="L3255" s="10">
        <f>HYPERLINK("http://127.0.0.1:8000/api/documents/download?id=1521&amp;attachment=true", "⬇ Download BOQ_855388.xls")</f>
        <v/>
      </c>
      <c r="M3255" s="10">
        <f>HYPERLINK("http://localhost:5173/?state=Tamil%20Nadu&amp;keyword=GIS&amp;tender=2026_PWD_712053_1", "🚀 Open in Portal")</f>
        <v/>
      </c>
    </row>
    <row r="3256" ht="24" customHeight="1">
      <c r="A3256" s="11" t="inlineStr">
        <is>
          <t>Tamil Nadu</t>
        </is>
      </c>
      <c r="B3256" s="12" t="inlineStr">
        <is>
          <t>GIS</t>
        </is>
      </c>
      <c r="C3256" s="13" t="inlineStr">
        <is>
          <t>2026_PWD_712053_1</t>
        </is>
      </c>
      <c r="D3256" s="14" t="inlineStr">
        <is>
          <t>[Supply of Technical Assistant Grade II to Assist the Section Officer for the work of Construction of Sub Registrar Office Building at Thirukurungudi in Tirunelveli District for the month of October and November 2026]</t>
        </is>
      </c>
      <c r="E3256" s="14" t="inlineStr">
        <is>
          <t>Tamil Nadu Public Works &amp; Technology Department</t>
        </is>
      </c>
      <c r="F3256" s="13" t="inlineStr">
        <is>
          <t>05 Oct 2026</t>
        </is>
      </c>
      <c r="G3256" s="12" t="inlineStr">
        <is>
          <t>10 Nov 2026</t>
        </is>
      </c>
      <c r="H3256" s="17" t="inlineStr">
        <is>
          <t>🟢 LIVE ACTIVE</t>
        </is>
      </c>
      <c r="I3256" s="11" t="inlineStr">
        <is>
          <t>Tender_2026_PWD_712053_1_All_Documents.zip</t>
        </is>
      </c>
      <c r="J3256" s="13" t="inlineStr">
        <is>
          <t>📦 ZIP Package</t>
        </is>
      </c>
      <c r="K3256" s="15" t="n">
        <v>20.8</v>
      </c>
      <c r="L3256" s="16">
        <f>HYPERLINK("http://127.0.0.1:8000/api/documents/download?id=1522&amp;attachment=true", "⬇ Download Tender_2026_PWD_712053_1")</f>
        <v/>
      </c>
      <c r="M3256" s="16">
        <f>HYPERLINK("http://localhost:5173/?state=Tamil%20Nadu&amp;keyword=GIS&amp;tender=2026_PWD_712053_1", "🚀 Open in Portal")</f>
        <v/>
      </c>
    </row>
    <row r="3257" ht="24" customHeight="1">
      <c r="A3257" s="4" t="inlineStr">
        <is>
          <t>Tamil Nadu</t>
        </is>
      </c>
      <c r="B3257" s="5" t="inlineStr">
        <is>
          <t>GIS</t>
        </is>
      </c>
      <c r="C3257" s="6" t="inlineStr">
        <is>
          <t>2026_PWD_712167_1</t>
        </is>
      </c>
      <c r="D3257" s="7" t="inlineStr">
        <is>
          <t>[Providing fire fighting arrangements for the work of construction of Integrated office Building for Registration Department at Krishnagiri in Krishnagiri District.]</t>
        </is>
      </c>
      <c r="E3257" s="7" t="inlineStr">
        <is>
          <t>Tamil Nadu Public Works &amp; Technology Department</t>
        </is>
      </c>
      <c r="F3257" s="6" t="inlineStr">
        <is>
          <t>07 Sep 2026</t>
        </is>
      </c>
      <c r="G3257" s="5" t="inlineStr">
        <is>
          <t>02 Oct 2026</t>
        </is>
      </c>
      <c r="H3257" s="8" t="inlineStr">
        <is>
          <t>⏳ UPCOMING</t>
        </is>
      </c>
      <c r="I3257" s="4" t="inlineStr">
        <is>
          <t>Tendernotice_1.pdf</t>
        </is>
      </c>
      <c r="J3257" s="6" t="inlineStr">
        <is>
          <t>📕 PDF Document</t>
        </is>
      </c>
      <c r="K3257" s="9" t="n">
        <v>17.8</v>
      </c>
      <c r="L3257" s="10">
        <f>HYPERLINK("http://127.0.0.1:8000/api/documents/download?id=1515&amp;attachment=true", "⬇ Download Tendernotice_1.pdf")</f>
        <v/>
      </c>
      <c r="M3257" s="10">
        <f>HYPERLINK("http://localhost:5173/?state=Tamil%20Nadu&amp;keyword=GIS&amp;tender=2026_PWD_712167_1", "🚀 Open in Portal")</f>
        <v/>
      </c>
    </row>
    <row r="3258" ht="24" customHeight="1">
      <c r="A3258" s="11" t="inlineStr">
        <is>
          <t>Tamil Nadu</t>
        </is>
      </c>
      <c r="B3258" s="12" t="inlineStr">
        <is>
          <t>GIS</t>
        </is>
      </c>
      <c r="C3258" s="13" t="inlineStr">
        <is>
          <t>2026_PWD_712167_1</t>
        </is>
      </c>
      <c r="D3258" s="14" t="inlineStr">
        <is>
          <t>[Providing fire fighting arrangements for the work of construction of Integrated office Building for Registration Department at Krishnagiri in Krishnagiri District.]</t>
        </is>
      </c>
      <c r="E3258" s="14" t="inlineStr">
        <is>
          <t>Tamil Nadu Public Works &amp; Technology Department</t>
        </is>
      </c>
      <c r="F3258" s="13" t="inlineStr">
        <is>
          <t>07 Sep 2026</t>
        </is>
      </c>
      <c r="G3258" s="12" t="inlineStr">
        <is>
          <t>02 Oct 2026</t>
        </is>
      </c>
      <c r="H3258" s="8" t="inlineStr">
        <is>
          <t>⏳ UPCOMING</t>
        </is>
      </c>
      <c r="I3258" s="11" t="inlineStr">
        <is>
          <t>Condition_Fire_Fightng.pdf</t>
        </is>
      </c>
      <c r="J3258" s="13" t="inlineStr">
        <is>
          <t>📕 PDF Document</t>
        </is>
      </c>
      <c r="K3258" s="15" t="n">
        <v>17.9</v>
      </c>
      <c r="L3258" s="16">
        <f>HYPERLINK("http://127.0.0.1:8000/api/documents/download?id=1516&amp;attachment=true", "⬇ Download Condition_Fire_Fightng.p")</f>
        <v/>
      </c>
      <c r="M3258" s="16">
        <f>HYPERLINK("http://localhost:5173/?state=Tamil%20Nadu&amp;keyword=GIS&amp;tender=2026_PWD_712167_1", "🚀 Open in Portal")</f>
        <v/>
      </c>
    </row>
    <row r="3259" ht="24" customHeight="1">
      <c r="A3259" s="4" t="inlineStr">
        <is>
          <t>Tamil Nadu</t>
        </is>
      </c>
      <c r="B3259" s="5" t="inlineStr">
        <is>
          <t>GIS</t>
        </is>
      </c>
      <c r="C3259" s="6" t="inlineStr">
        <is>
          <t>2026_PWD_712167_1</t>
        </is>
      </c>
      <c r="D3259" s="7" t="inlineStr">
        <is>
          <t>[Providing fire fighting arrangements for the work of construction of Integrated office Building for Registration Department at Krishnagiri in Krishnagiri District.]</t>
        </is>
      </c>
      <c r="E3259" s="7" t="inlineStr">
        <is>
          <t>Tamil Nadu Public Works &amp; Technology Department</t>
        </is>
      </c>
      <c r="F3259" s="6" t="inlineStr">
        <is>
          <t>07 Sep 2026</t>
        </is>
      </c>
      <c r="G3259" s="5" t="inlineStr">
        <is>
          <t>02 Oct 2026</t>
        </is>
      </c>
      <c r="H3259" s="8" t="inlineStr">
        <is>
          <t>⏳ UPCOMING</t>
        </is>
      </c>
      <c r="I3259" s="4" t="inlineStr">
        <is>
          <t>BOQ_855518.xls</t>
        </is>
      </c>
      <c r="J3259" s="6" t="inlineStr">
        <is>
          <t>📊 Excel BOQ</t>
        </is>
      </c>
      <c r="K3259" s="9" t="n">
        <v>2.5</v>
      </c>
      <c r="L3259" s="10">
        <f>HYPERLINK("http://127.0.0.1:8000/api/documents/download?id=1517&amp;attachment=true", "⬇ Download BOQ_855518.xls")</f>
        <v/>
      </c>
      <c r="M3259" s="10">
        <f>HYPERLINK("http://localhost:5173/?state=Tamil%20Nadu&amp;keyword=GIS&amp;tender=2026_PWD_712167_1", "🚀 Open in Portal")</f>
        <v/>
      </c>
    </row>
    <row r="3260" ht="24" customHeight="1">
      <c r="A3260" s="11" t="inlineStr">
        <is>
          <t>Tamil Nadu</t>
        </is>
      </c>
      <c r="B3260" s="12" t="inlineStr">
        <is>
          <t>GIS</t>
        </is>
      </c>
      <c r="C3260" s="13" t="inlineStr">
        <is>
          <t>2026_PWD_712167_1</t>
        </is>
      </c>
      <c r="D3260" s="14" t="inlineStr">
        <is>
          <t>[Providing fire fighting arrangements for the work of construction of Integrated office Building for Registration Department at Krishnagiri in Krishnagiri District.]</t>
        </is>
      </c>
      <c r="E3260" s="14" t="inlineStr">
        <is>
          <t>Tamil Nadu Public Works &amp; Technology Department</t>
        </is>
      </c>
      <c r="F3260" s="13" t="inlineStr">
        <is>
          <t>07 Sep 2026</t>
        </is>
      </c>
      <c r="G3260" s="12" t="inlineStr">
        <is>
          <t>02 Oct 2026</t>
        </is>
      </c>
      <c r="H3260" s="8" t="inlineStr">
        <is>
          <t>⏳ UPCOMING</t>
        </is>
      </c>
      <c r="I3260" s="11" t="inlineStr">
        <is>
          <t>Tender_2026_PWD_712167_1_All_Documents.zip</t>
        </is>
      </c>
      <c r="J3260" s="13" t="inlineStr">
        <is>
          <t>📦 ZIP Package</t>
        </is>
      </c>
      <c r="K3260" s="15" t="n">
        <v>20.8</v>
      </c>
      <c r="L3260" s="16">
        <f>HYPERLINK("http://127.0.0.1:8000/api/documents/download?id=1518&amp;attachment=true", "⬇ Download Tender_2026_PWD_712167_1")</f>
        <v/>
      </c>
      <c r="M3260" s="16">
        <f>HYPERLINK("http://localhost:5173/?state=Tamil%20Nadu&amp;keyword=GIS&amp;tender=2026_PWD_712167_1", "🚀 Open in Portal")</f>
        <v/>
      </c>
    </row>
    <row r="3261" ht="24" customHeight="1">
      <c r="A3261" s="4" t="inlineStr">
        <is>
          <t>Tamil Nadu</t>
        </is>
      </c>
      <c r="B3261" s="5" t="inlineStr">
        <is>
          <t>GIS</t>
        </is>
      </c>
      <c r="C3261" s="6" t="inlineStr">
        <is>
          <t>2026_PWD_712685_1</t>
        </is>
      </c>
      <c r="D3261" s="7" t="inlineStr">
        <is>
          <t>[Providing finishing front elevation, levelling the site, Name Board arrangements, lawn and Garden arrangements for the work of Construction of Integrated Office Building for Registration Department at Krishnagiri in Krishnagiri District.]</t>
        </is>
      </c>
      <c r="E3261" s="7" t="inlineStr">
        <is>
          <t>Tamil Nadu Public Works &amp; Technology Department</t>
        </is>
      </c>
      <c r="F3261" s="6" t="inlineStr">
        <is>
          <t>10 Aug 2026</t>
        </is>
      </c>
      <c r="G3261" s="5" t="inlineStr">
        <is>
          <t>08 Sep 2026</t>
        </is>
      </c>
      <c r="H3261" s="8" t="inlineStr">
        <is>
          <t>⏳ UPCOMING</t>
        </is>
      </c>
      <c r="I3261" s="4" t="inlineStr">
        <is>
          <t>Tendernotice_1.pdf</t>
        </is>
      </c>
      <c r="J3261" s="6" t="inlineStr">
        <is>
          <t>📕 PDF Document</t>
        </is>
      </c>
      <c r="K3261" s="9" t="n">
        <v>17.8</v>
      </c>
      <c r="L3261" s="10">
        <f>HYPERLINK("http://127.0.0.1:8000/api/documents/download?id=1511&amp;attachment=true", "⬇ Download Tendernotice_1.pdf")</f>
        <v/>
      </c>
      <c r="M3261" s="10">
        <f>HYPERLINK("http://localhost:5173/?state=Tamil%20Nadu&amp;keyword=GIS&amp;tender=2026_PWD_712685_1", "🚀 Open in Portal")</f>
        <v/>
      </c>
    </row>
    <row r="3262" ht="24" customHeight="1">
      <c r="A3262" s="11" t="inlineStr">
        <is>
          <t>Tamil Nadu</t>
        </is>
      </c>
      <c r="B3262" s="12" t="inlineStr">
        <is>
          <t>GIS</t>
        </is>
      </c>
      <c r="C3262" s="13" t="inlineStr">
        <is>
          <t>2026_PWD_712685_1</t>
        </is>
      </c>
      <c r="D3262" s="14" t="inlineStr">
        <is>
          <t>[Providing finishing front elevation, levelling the site, Name Board arrangements, lawn and Garden arrangements for the work of Construction of Integrated Office Building for Registration Department at Krishnagiri in Krishnagiri District.]</t>
        </is>
      </c>
      <c r="E3262" s="14" t="inlineStr">
        <is>
          <t>Tamil Nadu Public Works &amp; Technology Department</t>
        </is>
      </c>
      <c r="F3262" s="13" t="inlineStr">
        <is>
          <t>10 Aug 2026</t>
        </is>
      </c>
      <c r="G3262" s="12" t="inlineStr">
        <is>
          <t>08 Sep 2026</t>
        </is>
      </c>
      <c r="H3262" s="8" t="inlineStr">
        <is>
          <t>⏳ UPCOMING</t>
        </is>
      </c>
      <c r="I3262" s="11" t="inlineStr">
        <is>
          <t>lawn.pdf</t>
        </is>
      </c>
      <c r="J3262" s="13" t="inlineStr">
        <is>
          <t>📕 PDF Document</t>
        </is>
      </c>
      <c r="K3262" s="15" t="n">
        <v>17.8</v>
      </c>
      <c r="L3262" s="16">
        <f>HYPERLINK("http://127.0.0.1:8000/api/documents/download?id=1512&amp;attachment=true", "⬇ Download lawn.pdf")</f>
        <v/>
      </c>
      <c r="M3262" s="16">
        <f>HYPERLINK("http://localhost:5173/?state=Tamil%20Nadu&amp;keyword=GIS&amp;tender=2026_PWD_712685_1", "🚀 Open in Portal")</f>
        <v/>
      </c>
    </row>
    <row r="3263" ht="24" customHeight="1">
      <c r="A3263" s="4" t="inlineStr">
        <is>
          <t>Tamil Nadu</t>
        </is>
      </c>
      <c r="B3263" s="5" t="inlineStr">
        <is>
          <t>GIS</t>
        </is>
      </c>
      <c r="C3263" s="6" t="inlineStr">
        <is>
          <t>2026_PWD_712685_1</t>
        </is>
      </c>
      <c r="D3263" s="7" t="inlineStr">
        <is>
          <t>[Providing finishing front elevation, levelling the site, Name Board arrangements, lawn and Garden arrangements for the work of Construction of Integrated Office Building for Registration Department at Krishnagiri in Krishnagiri District.]</t>
        </is>
      </c>
      <c r="E3263" s="7" t="inlineStr">
        <is>
          <t>Tamil Nadu Public Works &amp; Technology Department</t>
        </is>
      </c>
      <c r="F3263" s="6" t="inlineStr">
        <is>
          <t>10 Aug 2026</t>
        </is>
      </c>
      <c r="G3263" s="5" t="inlineStr">
        <is>
          <t>08 Sep 2026</t>
        </is>
      </c>
      <c r="H3263" s="8" t="inlineStr">
        <is>
          <t>⏳ UPCOMING</t>
        </is>
      </c>
      <c r="I3263" s="4" t="inlineStr">
        <is>
          <t>BOQ_856067.xls</t>
        </is>
      </c>
      <c r="J3263" s="6" t="inlineStr">
        <is>
          <t>📊 Excel BOQ</t>
        </is>
      </c>
      <c r="K3263" s="9" t="n">
        <v>2.5</v>
      </c>
      <c r="L3263" s="10">
        <f>HYPERLINK("http://127.0.0.1:8000/api/documents/download?id=1513&amp;attachment=true", "⬇ Download BOQ_856067.xls")</f>
        <v/>
      </c>
      <c r="M3263" s="10">
        <f>HYPERLINK("http://localhost:5173/?state=Tamil%20Nadu&amp;keyword=GIS&amp;tender=2026_PWD_712685_1", "🚀 Open in Portal")</f>
        <v/>
      </c>
    </row>
    <row r="3264" ht="24" customHeight="1">
      <c r="A3264" s="11" t="inlineStr">
        <is>
          <t>Tamil Nadu</t>
        </is>
      </c>
      <c r="B3264" s="12" t="inlineStr">
        <is>
          <t>GIS</t>
        </is>
      </c>
      <c r="C3264" s="13" t="inlineStr">
        <is>
          <t>2026_PWD_712685_1</t>
        </is>
      </c>
      <c r="D3264" s="14" t="inlineStr">
        <is>
          <t>[Providing finishing front elevation, levelling the site, Name Board arrangements, lawn and Garden arrangements for the work of Construction of Integrated Office Building for Registration Department at Krishnagiri in Krishnagiri District.]</t>
        </is>
      </c>
      <c r="E3264" s="14" t="inlineStr">
        <is>
          <t>Tamil Nadu Public Works &amp; Technology Department</t>
        </is>
      </c>
      <c r="F3264" s="13" t="inlineStr">
        <is>
          <t>10 Aug 2026</t>
        </is>
      </c>
      <c r="G3264" s="12" t="inlineStr">
        <is>
          <t>08 Sep 2026</t>
        </is>
      </c>
      <c r="H3264" s="8" t="inlineStr">
        <is>
          <t>⏳ UPCOMING</t>
        </is>
      </c>
      <c r="I3264" s="11" t="inlineStr">
        <is>
          <t>Tender_2026_PWD_712685_1_All_Documents.zip</t>
        </is>
      </c>
      <c r="J3264" s="13" t="inlineStr">
        <is>
          <t>📦 ZIP Package</t>
        </is>
      </c>
      <c r="K3264" s="15" t="n">
        <v>20.8</v>
      </c>
      <c r="L3264" s="16">
        <f>HYPERLINK("http://127.0.0.1:8000/api/documents/download?id=1514&amp;attachment=true", "⬇ Download Tender_2026_PWD_712685_1")</f>
        <v/>
      </c>
      <c r="M3264" s="16">
        <f>HYPERLINK("http://localhost:5173/?state=Tamil%20Nadu&amp;keyword=GIS&amp;tender=2026_PWD_712685_1", "🚀 Open in Portal")</f>
        <v/>
      </c>
    </row>
    <row r="3265" ht="24" customHeight="1">
      <c r="A3265" s="4" t="inlineStr">
        <is>
          <t>Tamil Nadu</t>
        </is>
      </c>
      <c r="B3265" s="5" t="inlineStr">
        <is>
          <t>GIS</t>
        </is>
      </c>
      <c r="C3265" s="6" t="inlineStr">
        <is>
          <t>2026_PWD_712742_1</t>
        </is>
      </c>
      <c r="D3265" s="7" t="inlineStr">
        <is>
          <t>[Providing Accessibility to differently abled Persons for the work of Construction of Integrated Office Building for Registration Department at Krishnagiri in Krishnagiri District.]</t>
        </is>
      </c>
      <c r="E3265" s="7" t="inlineStr">
        <is>
          <t>Tamil Nadu Public Works &amp; Technology Department</t>
        </is>
      </c>
      <c r="F3265" s="6" t="inlineStr">
        <is>
          <t>11 Oct 2026</t>
        </is>
      </c>
      <c r="G3265" s="5" t="inlineStr">
        <is>
          <t>27 Oct 2026</t>
        </is>
      </c>
      <c r="H3265" s="17" t="inlineStr">
        <is>
          <t>🟢 LIVE ACTIVE</t>
        </is>
      </c>
      <c r="I3265" s="4" t="inlineStr">
        <is>
          <t>Tendernotice_1.pdf</t>
        </is>
      </c>
      <c r="J3265" s="6" t="inlineStr">
        <is>
          <t>📕 PDF Document</t>
        </is>
      </c>
      <c r="K3265" s="9" t="n">
        <v>17.8</v>
      </c>
      <c r="L3265" s="10">
        <f>HYPERLINK("http://127.0.0.1:8000/api/documents/download?id=1507&amp;attachment=true", "⬇ Download Tendernotice_1.pdf")</f>
        <v/>
      </c>
      <c r="M3265" s="10">
        <f>HYPERLINK("http://localhost:5173/?state=Tamil%20Nadu&amp;keyword=GIS&amp;tender=2026_PWD_712742_1", "🚀 Open in Portal")</f>
        <v/>
      </c>
    </row>
    <row r="3266" ht="24" customHeight="1">
      <c r="A3266" s="11" t="inlineStr">
        <is>
          <t>Tamil Nadu</t>
        </is>
      </c>
      <c r="B3266" s="12" t="inlineStr">
        <is>
          <t>GIS</t>
        </is>
      </c>
      <c r="C3266" s="13" t="inlineStr">
        <is>
          <t>2026_PWD_712742_1</t>
        </is>
      </c>
      <c r="D3266" s="14" t="inlineStr">
        <is>
          <t>[Providing Accessibility to differently abled Persons for the work of Construction of Integrated Office Building for Registration Department at Krishnagiri in Krishnagiri District.]</t>
        </is>
      </c>
      <c r="E3266" s="14" t="inlineStr">
        <is>
          <t>Tamil Nadu Public Works &amp; Technology Department</t>
        </is>
      </c>
      <c r="F3266" s="13" t="inlineStr">
        <is>
          <t>11 Oct 2026</t>
        </is>
      </c>
      <c r="G3266" s="12" t="inlineStr">
        <is>
          <t>27 Oct 2026</t>
        </is>
      </c>
      <c r="H3266" s="17" t="inlineStr">
        <is>
          <t>🟢 LIVE ACTIVE</t>
        </is>
      </c>
      <c r="I3266" s="11" t="inlineStr">
        <is>
          <t>Accessibility.pdf</t>
        </is>
      </c>
      <c r="J3266" s="13" t="inlineStr">
        <is>
          <t>📕 PDF Document</t>
        </is>
      </c>
      <c r="K3266" s="15" t="n">
        <v>17.9</v>
      </c>
      <c r="L3266" s="16">
        <f>HYPERLINK("http://127.0.0.1:8000/api/documents/download?id=1508&amp;attachment=true", "⬇ Download Accessibility.pdf")</f>
        <v/>
      </c>
      <c r="M3266" s="16">
        <f>HYPERLINK("http://localhost:5173/?state=Tamil%20Nadu&amp;keyword=GIS&amp;tender=2026_PWD_712742_1", "🚀 Open in Portal")</f>
        <v/>
      </c>
    </row>
    <row r="3267" ht="24" customHeight="1">
      <c r="A3267" s="4" t="inlineStr">
        <is>
          <t>Tamil Nadu</t>
        </is>
      </c>
      <c r="B3267" s="5" t="inlineStr">
        <is>
          <t>GIS</t>
        </is>
      </c>
      <c r="C3267" s="6" t="inlineStr">
        <is>
          <t>2026_PWD_712742_1</t>
        </is>
      </c>
      <c r="D3267" s="7" t="inlineStr">
        <is>
          <t>[Providing Accessibility to differently abled Persons for the work of Construction of Integrated Office Building for Registration Department at Krishnagiri in Krishnagiri District.]</t>
        </is>
      </c>
      <c r="E3267" s="7" t="inlineStr">
        <is>
          <t>Tamil Nadu Public Works &amp; Technology Department</t>
        </is>
      </c>
      <c r="F3267" s="6" t="inlineStr">
        <is>
          <t>11 Oct 2026</t>
        </is>
      </c>
      <c r="G3267" s="5" t="inlineStr">
        <is>
          <t>27 Oct 2026</t>
        </is>
      </c>
      <c r="H3267" s="17" t="inlineStr">
        <is>
          <t>🟢 LIVE ACTIVE</t>
        </is>
      </c>
      <c r="I3267" s="4" t="inlineStr">
        <is>
          <t>BOQ_856126.xls</t>
        </is>
      </c>
      <c r="J3267" s="6" t="inlineStr">
        <is>
          <t>📊 Excel BOQ</t>
        </is>
      </c>
      <c r="K3267" s="9" t="n">
        <v>2.5</v>
      </c>
      <c r="L3267" s="10">
        <f>HYPERLINK("http://127.0.0.1:8000/api/documents/download?id=1509&amp;attachment=true", "⬇ Download BOQ_856126.xls")</f>
        <v/>
      </c>
      <c r="M3267" s="10">
        <f>HYPERLINK("http://localhost:5173/?state=Tamil%20Nadu&amp;keyword=GIS&amp;tender=2026_PWD_712742_1", "🚀 Open in Portal")</f>
        <v/>
      </c>
    </row>
    <row r="3268" ht="24" customHeight="1">
      <c r="A3268" s="11" t="inlineStr">
        <is>
          <t>Tamil Nadu</t>
        </is>
      </c>
      <c r="B3268" s="12" t="inlineStr">
        <is>
          <t>GIS</t>
        </is>
      </c>
      <c r="C3268" s="13" t="inlineStr">
        <is>
          <t>2026_PWD_712742_1</t>
        </is>
      </c>
      <c r="D3268" s="14" t="inlineStr">
        <is>
          <t>[Providing Accessibility to differently abled Persons for the work of Construction of Integrated Office Building for Registration Department at Krishnagiri in Krishnagiri District.]</t>
        </is>
      </c>
      <c r="E3268" s="14" t="inlineStr">
        <is>
          <t>Tamil Nadu Public Works &amp; Technology Department</t>
        </is>
      </c>
      <c r="F3268" s="13" t="inlineStr">
        <is>
          <t>11 Oct 2026</t>
        </is>
      </c>
      <c r="G3268" s="12" t="inlineStr">
        <is>
          <t>27 Oct 2026</t>
        </is>
      </c>
      <c r="H3268" s="17" t="inlineStr">
        <is>
          <t>🟢 LIVE ACTIVE</t>
        </is>
      </c>
      <c r="I3268" s="11" t="inlineStr">
        <is>
          <t>Tender_2026_PWD_712742_1_All_Documents.zip</t>
        </is>
      </c>
      <c r="J3268" s="13" t="inlineStr">
        <is>
          <t>📦 ZIP Package</t>
        </is>
      </c>
      <c r="K3268" s="15" t="n">
        <v>20.8</v>
      </c>
      <c r="L3268" s="16">
        <f>HYPERLINK("http://127.0.0.1:8000/api/documents/download?id=1510&amp;attachment=true", "⬇ Download Tender_2026_PWD_712742_1")</f>
        <v/>
      </c>
      <c r="M3268" s="16">
        <f>HYPERLINK("http://localhost:5173/?state=Tamil%20Nadu&amp;keyword=GIS&amp;tender=2026_PWD_712742_1", "🚀 Open in Portal")</f>
        <v/>
      </c>
    </row>
    <row r="3269" ht="24" customHeight="1">
      <c r="A3269" s="4" t="inlineStr">
        <is>
          <t>Tamil Nadu</t>
        </is>
      </c>
      <c r="B3269" s="5" t="inlineStr">
        <is>
          <t>GIS</t>
        </is>
      </c>
      <c r="C3269" s="6" t="inlineStr">
        <is>
          <t>2026_TAM_2875672_88</t>
        </is>
      </c>
      <c r="D3269" s="7" t="inlineStr">
        <is>
          <t>GIS-Based Drone LiDAR Survey &amp; Web GIS Geodatabase Integration for Smart Infrastructure</t>
        </is>
      </c>
      <c r="E3269" s="7" t="inlineStr">
        <is>
          <t>DIRECTORATE OF MUNICIPAL URBAN INFRASTRUCTURE</t>
        </is>
      </c>
      <c r="F3269" s="6" t="inlineStr">
        <is>
          <t>21 Jul 2026</t>
        </is>
      </c>
      <c r="G3269" s="5" t="inlineStr">
        <is>
          <t>13 Aug 2026</t>
        </is>
      </c>
      <c r="H3269" s="8" t="inlineStr">
        <is>
          <t>⏳ UPCOMING</t>
        </is>
      </c>
      <c r="I3269" s="4" t="inlineStr">
        <is>
          <t>Tendernotice_2026_TAM_2875672_88.pdf</t>
        </is>
      </c>
      <c r="J3269" s="6" t="inlineStr">
        <is>
          <t>📕 PDF Document</t>
        </is>
      </c>
      <c r="K3269" s="9" t="n">
        <v>17.9</v>
      </c>
      <c r="L3269" s="10">
        <f>HYPERLINK("http://127.0.0.1:8000/api/documents/download?id=3281&amp;attachment=true", "⬇ Download Tendernotice_2026_TAM_28")</f>
        <v/>
      </c>
      <c r="M3269" s="10">
        <f>HYPERLINK("http://localhost:5173/?state=Tamil%20Nadu&amp;keyword=GIS&amp;tender=2026_TAM_2875672_88", "🚀 Open in Portal")</f>
        <v/>
      </c>
    </row>
    <row r="3270" ht="24" customHeight="1">
      <c r="A3270" s="11" t="inlineStr">
        <is>
          <t>Tamil Nadu</t>
        </is>
      </c>
      <c r="B3270" s="12" t="inlineStr">
        <is>
          <t>GIS</t>
        </is>
      </c>
      <c r="C3270" s="13" t="inlineStr">
        <is>
          <t>2026_TAM_2875672_88</t>
        </is>
      </c>
      <c r="D3270" s="14" t="inlineStr">
        <is>
          <t>GIS-Based Drone LiDAR Survey &amp; Web GIS Geodatabase Integration for Smart Infrastructure</t>
        </is>
      </c>
      <c r="E3270" s="14" t="inlineStr">
        <is>
          <t>DIRECTORATE OF MUNICIPAL URBAN INFRASTRUCTURE</t>
        </is>
      </c>
      <c r="F3270" s="13" t="inlineStr">
        <is>
          <t>21 Jul 2026</t>
        </is>
      </c>
      <c r="G3270" s="12" t="inlineStr">
        <is>
          <t>13 Aug 2026</t>
        </is>
      </c>
      <c r="H3270" s="8" t="inlineStr">
        <is>
          <t>⏳ UPCOMING</t>
        </is>
      </c>
      <c r="I3270" s="11" t="inlineStr">
        <is>
          <t>Technical_RFP_Specification_GIS.pdf</t>
        </is>
      </c>
      <c r="J3270" s="13" t="inlineStr">
        <is>
          <t>📕 PDF Document</t>
        </is>
      </c>
      <c r="K3270" s="15" t="n">
        <v>17.9</v>
      </c>
      <c r="L3270" s="16">
        <f>HYPERLINK("http://127.0.0.1:8000/api/documents/download?id=3282&amp;attachment=true", "⬇ Download Technical_RFP_Specificat")</f>
        <v/>
      </c>
      <c r="M3270" s="16">
        <f>HYPERLINK("http://localhost:5173/?state=Tamil%20Nadu&amp;keyword=GIS&amp;tender=2026_TAM_2875672_88", "🚀 Open in Portal")</f>
        <v/>
      </c>
    </row>
    <row r="3271" ht="24" customHeight="1">
      <c r="A3271" s="4" t="inlineStr">
        <is>
          <t>Tamil Nadu</t>
        </is>
      </c>
      <c r="B3271" s="5" t="inlineStr">
        <is>
          <t>GIS</t>
        </is>
      </c>
      <c r="C3271" s="6" t="inlineStr">
        <is>
          <t>2026_TAM_2875672_88</t>
        </is>
      </c>
      <c r="D3271" s="7" t="inlineStr">
        <is>
          <t>GIS-Based Drone LiDAR Survey &amp; Web GIS Geodatabase Integration for Smart Infrastructure</t>
        </is>
      </c>
      <c r="E3271" s="7" t="inlineStr">
        <is>
          <t>DIRECTORATE OF MUNICIPAL URBAN INFRASTRUCTURE</t>
        </is>
      </c>
      <c r="F3271" s="6" t="inlineStr">
        <is>
          <t>21 Jul 2026</t>
        </is>
      </c>
      <c r="G3271" s="5" t="inlineStr">
        <is>
          <t>13 Aug 2026</t>
        </is>
      </c>
      <c r="H3271" s="8" t="inlineStr">
        <is>
          <t>⏳ UPCOMING</t>
        </is>
      </c>
      <c r="I3271" s="4" t="inlineStr">
        <is>
          <t>BOQ_Financial_Schedule_2026_TAM_2875672_88.xlsx</t>
        </is>
      </c>
      <c r="J3271" s="6" t="inlineStr">
        <is>
          <t>📊 Excel BOQ</t>
        </is>
      </c>
      <c r="K3271" s="9" t="n">
        <v>2.5</v>
      </c>
      <c r="L3271" s="10">
        <f>HYPERLINK("http://127.0.0.1:8000/api/documents/download?id=3283&amp;attachment=true", "⬇ Download BOQ_Financial_Schedule_2")</f>
        <v/>
      </c>
      <c r="M3271" s="10">
        <f>HYPERLINK("http://localhost:5173/?state=Tamil%20Nadu&amp;keyword=GIS&amp;tender=2026_TAM_2875672_88", "🚀 Open in Portal")</f>
        <v/>
      </c>
    </row>
    <row r="3272" ht="24" customHeight="1">
      <c r="A3272" s="11" t="inlineStr">
        <is>
          <t>Tamil Nadu</t>
        </is>
      </c>
      <c r="B3272" s="12" t="inlineStr">
        <is>
          <t>GIS</t>
        </is>
      </c>
      <c r="C3272" s="13" t="inlineStr">
        <is>
          <t>2026_TAM_2875672_88</t>
        </is>
      </c>
      <c r="D3272" s="14" t="inlineStr">
        <is>
          <t>GIS-Based Drone LiDAR Survey &amp; Web GIS Geodatabase Integration for Smart Infrastructure</t>
        </is>
      </c>
      <c r="E3272" s="14" t="inlineStr">
        <is>
          <t>DIRECTORATE OF MUNICIPAL URBAN INFRASTRUCTURE</t>
        </is>
      </c>
      <c r="F3272" s="13" t="inlineStr">
        <is>
          <t>21 Jul 2026</t>
        </is>
      </c>
      <c r="G3272" s="12" t="inlineStr">
        <is>
          <t>13 Aug 2026</t>
        </is>
      </c>
      <c r="H3272" s="8" t="inlineStr">
        <is>
          <t>⏳ UPCOMING</t>
        </is>
      </c>
      <c r="I3272" s="11" t="inlineStr">
        <is>
          <t>Tender_2026_TAM_2875672_88_All_Documents.zip</t>
        </is>
      </c>
      <c r="J3272" s="13" t="inlineStr">
        <is>
          <t>📦 ZIP Package</t>
        </is>
      </c>
      <c r="K3272" s="15" t="n">
        <v>45</v>
      </c>
      <c r="L3272" s="16">
        <f>HYPERLINK("https://tntenders.gov.in/tender/2026_TAM_2875672_88", "⬇ Download Tender_2026_TAM_2875672_")</f>
        <v/>
      </c>
      <c r="M3272" s="16">
        <f>HYPERLINK("http://localhost:5173/?state=Tamil%20Nadu&amp;keyword=GIS&amp;tender=2026_TAM_2875672_88", "🚀 Open in Portal")</f>
        <v/>
      </c>
    </row>
    <row r="3273" ht="24" customHeight="1">
      <c r="A3273" s="4" t="inlineStr">
        <is>
          <t>Tamil Nadu</t>
        </is>
      </c>
      <c r="B3273" s="5" t="inlineStr">
        <is>
          <t>GIS</t>
        </is>
      </c>
      <c r="C3273" s="6" t="inlineStr">
        <is>
          <t>2026_TAM_932827_88</t>
        </is>
      </c>
      <c r="D3273" s="7" t="inlineStr">
        <is>
          <t>GIS-Based Drone LiDAR Survey &amp; Web GIS Geodatabase Integration for Smart Infrastructure</t>
        </is>
      </c>
      <c r="E3273" s="7" t="inlineStr">
        <is>
          <t>DIRECTORATE OF MUNICIPAL URBAN INFRASTRUCTURE</t>
        </is>
      </c>
      <c r="F3273" s="6" t="inlineStr">
        <is>
          <t>10 Oct 2026</t>
        </is>
      </c>
      <c r="G3273" s="5" t="inlineStr">
        <is>
          <t>11 Nov 2026</t>
        </is>
      </c>
      <c r="H3273" s="17" t="inlineStr">
        <is>
          <t>🟢 LIVE ACTIVE</t>
        </is>
      </c>
      <c r="I3273" s="4" t="inlineStr">
        <is>
          <t>Tendernotice_2026_TAM_932827_88.pdf</t>
        </is>
      </c>
      <c r="J3273" s="6" t="inlineStr">
        <is>
          <t>📕 PDF Document</t>
        </is>
      </c>
      <c r="K3273" s="9" t="n">
        <v>17.9</v>
      </c>
      <c r="L3273" s="10">
        <f>HYPERLINK("http://127.0.0.1:8000/api/documents/download?id=2977&amp;attachment=true", "⬇ Download Tendernotice_2026_TAM_93")</f>
        <v/>
      </c>
      <c r="M3273" s="10">
        <f>HYPERLINK("http://localhost:5173/?state=Tamil%20Nadu&amp;keyword=GIS&amp;tender=2026_TAM_932827_88", "🚀 Open in Portal")</f>
        <v/>
      </c>
    </row>
    <row r="3274" ht="24" customHeight="1">
      <c r="A3274" s="11" t="inlineStr">
        <is>
          <t>Tamil Nadu</t>
        </is>
      </c>
      <c r="B3274" s="12" t="inlineStr">
        <is>
          <t>GIS</t>
        </is>
      </c>
      <c r="C3274" s="13" t="inlineStr">
        <is>
          <t>2026_TAM_932827_88</t>
        </is>
      </c>
      <c r="D3274" s="14" t="inlineStr">
        <is>
          <t>GIS-Based Drone LiDAR Survey &amp; Web GIS Geodatabase Integration for Smart Infrastructure</t>
        </is>
      </c>
      <c r="E3274" s="14" t="inlineStr">
        <is>
          <t>DIRECTORATE OF MUNICIPAL URBAN INFRASTRUCTURE</t>
        </is>
      </c>
      <c r="F3274" s="13" t="inlineStr">
        <is>
          <t>10 Oct 2026</t>
        </is>
      </c>
      <c r="G3274" s="12" t="inlineStr">
        <is>
          <t>11 Nov 2026</t>
        </is>
      </c>
      <c r="H3274" s="17" t="inlineStr">
        <is>
          <t>🟢 LIVE ACTIVE</t>
        </is>
      </c>
      <c r="I3274" s="11" t="inlineStr">
        <is>
          <t>Technical_RFP_Specification_GIS.pdf</t>
        </is>
      </c>
      <c r="J3274" s="13" t="inlineStr">
        <is>
          <t>📕 PDF Document</t>
        </is>
      </c>
      <c r="K3274" s="15" t="n">
        <v>17.9</v>
      </c>
      <c r="L3274" s="16">
        <f>HYPERLINK("http://127.0.0.1:8000/api/documents/download?id=2978&amp;attachment=true", "⬇ Download Technical_RFP_Specificat")</f>
        <v/>
      </c>
      <c r="M3274" s="16">
        <f>HYPERLINK("http://localhost:5173/?state=Tamil%20Nadu&amp;keyword=GIS&amp;tender=2026_TAM_932827_88", "🚀 Open in Portal")</f>
        <v/>
      </c>
    </row>
    <row r="3275" ht="24" customHeight="1">
      <c r="A3275" s="4" t="inlineStr">
        <is>
          <t>Tamil Nadu</t>
        </is>
      </c>
      <c r="B3275" s="5" t="inlineStr">
        <is>
          <t>GIS</t>
        </is>
      </c>
      <c r="C3275" s="6" t="inlineStr">
        <is>
          <t>2026_TAM_932827_88</t>
        </is>
      </c>
      <c r="D3275" s="7" t="inlineStr">
        <is>
          <t>GIS-Based Drone LiDAR Survey &amp; Web GIS Geodatabase Integration for Smart Infrastructure</t>
        </is>
      </c>
      <c r="E3275" s="7" t="inlineStr">
        <is>
          <t>DIRECTORATE OF MUNICIPAL URBAN INFRASTRUCTURE</t>
        </is>
      </c>
      <c r="F3275" s="6" t="inlineStr">
        <is>
          <t>10 Oct 2026</t>
        </is>
      </c>
      <c r="G3275" s="5" t="inlineStr">
        <is>
          <t>11 Nov 2026</t>
        </is>
      </c>
      <c r="H3275" s="17" t="inlineStr">
        <is>
          <t>🟢 LIVE ACTIVE</t>
        </is>
      </c>
      <c r="I3275" s="4" t="inlineStr">
        <is>
          <t>BOQ_Financial_Schedule_2026_TAM_932827_88.xlsx</t>
        </is>
      </c>
      <c r="J3275" s="6" t="inlineStr">
        <is>
          <t>📊 Excel BOQ</t>
        </is>
      </c>
      <c r="K3275" s="9" t="n">
        <v>2.4</v>
      </c>
      <c r="L3275" s="10">
        <f>HYPERLINK("http://127.0.0.1:8000/api/documents/download?id=2979&amp;attachment=true", "⬇ Download BOQ_Financial_Schedule_2")</f>
        <v/>
      </c>
      <c r="M3275" s="10">
        <f>HYPERLINK("http://localhost:5173/?state=Tamil%20Nadu&amp;keyword=GIS&amp;tender=2026_TAM_932827_88", "🚀 Open in Portal")</f>
        <v/>
      </c>
    </row>
    <row r="3276" ht="24" customHeight="1">
      <c r="A3276" s="11" t="inlineStr">
        <is>
          <t>Tamil Nadu</t>
        </is>
      </c>
      <c r="B3276" s="12" t="inlineStr">
        <is>
          <t>GIS</t>
        </is>
      </c>
      <c r="C3276" s="13" t="inlineStr">
        <is>
          <t>2026_TAM_932827_88</t>
        </is>
      </c>
      <c r="D3276" s="14" t="inlineStr">
        <is>
          <t>GIS-Based Drone LiDAR Survey &amp; Web GIS Geodatabase Integration for Smart Infrastructure</t>
        </is>
      </c>
      <c r="E3276" s="14" t="inlineStr">
        <is>
          <t>DIRECTORATE OF MUNICIPAL URBAN INFRASTRUCTURE</t>
        </is>
      </c>
      <c r="F3276" s="13" t="inlineStr">
        <is>
          <t>10 Oct 2026</t>
        </is>
      </c>
      <c r="G3276" s="12" t="inlineStr">
        <is>
          <t>11 Nov 2026</t>
        </is>
      </c>
      <c r="H3276" s="17" t="inlineStr">
        <is>
          <t>🟢 LIVE ACTIVE</t>
        </is>
      </c>
      <c r="I3276" s="11" t="inlineStr">
        <is>
          <t>Tender_2026_TAM_932827_88_All_Documents.zip</t>
        </is>
      </c>
      <c r="J3276" s="13" t="inlineStr">
        <is>
          <t>📦 ZIP Package</t>
        </is>
      </c>
      <c r="K3276" s="15" t="n">
        <v>21</v>
      </c>
      <c r="L3276" s="16">
        <f>HYPERLINK("http://127.0.0.1:8000/api/documents/download?id=2980&amp;attachment=true", "⬇ Download Tender_2026_TAM_932827_8")</f>
        <v/>
      </c>
      <c r="M3276" s="16">
        <f>HYPERLINK("http://localhost:5173/?state=Tamil%20Nadu&amp;keyword=GIS&amp;tender=2026_TAM_932827_88", "🚀 Open in Portal")</f>
        <v/>
      </c>
    </row>
    <row r="3277" ht="24" customHeight="1">
      <c r="A3277" s="4" t="inlineStr">
        <is>
          <t>Tamil Nadu</t>
        </is>
      </c>
      <c r="B3277" s="5" t="inlineStr">
        <is>
          <t>GIS</t>
        </is>
      </c>
      <c r="C3277" s="6" t="inlineStr">
        <is>
          <t>2026_TIDCO_711996_1</t>
        </is>
      </c>
      <c r="D3277" s="7" t="inlineStr">
        <is>
          <t>[REQUEST FOR PROPOSAL (RFP) FOR SELECTION OF CONSULTANT FOR PREPARATION OF DETAILED FEASIBILITY REPORT AND PROJECT STRUCTURING OPTIONS FOR DEVELOPING THE MULTI-MODALLOGISTICS HUB (MMLH) IN TIRUCHIRAPPALLI DISTRICT]</t>
        </is>
      </c>
      <c r="E3277" s="7" t="inlineStr">
        <is>
          <t>Tamil Nadu Public Works &amp; Technology Department</t>
        </is>
      </c>
      <c r="F3277" s="6" t="inlineStr">
        <is>
          <t>26 Oct 2026</t>
        </is>
      </c>
      <c r="G3277" s="5" t="inlineStr">
        <is>
          <t>16 Nov 2026</t>
        </is>
      </c>
      <c r="H3277" s="8" t="inlineStr">
        <is>
          <t>⏳ UPCOMING</t>
        </is>
      </c>
      <c r="I3277" s="4" t="inlineStr">
        <is>
          <t>Tendernotice_1.pdf</t>
        </is>
      </c>
      <c r="J3277" s="6" t="inlineStr">
        <is>
          <t>📕 PDF Document</t>
        </is>
      </c>
      <c r="K3277" s="9" t="n">
        <v>17.8</v>
      </c>
      <c r="L3277" s="10">
        <f>HYPERLINK("http://127.0.0.1:8000/api/documents/download?id=1523&amp;attachment=true", "⬇ Download Tendernotice_1.pdf")</f>
        <v/>
      </c>
      <c r="M3277" s="10">
        <f>HYPERLINK("http://localhost:5173/?state=Tamil%20Nadu&amp;keyword=GIS&amp;tender=2026_TIDCO_711996_1", "🚀 Open in Portal")</f>
        <v/>
      </c>
    </row>
    <row r="3278" ht="24" customHeight="1">
      <c r="A3278" s="11" t="inlineStr">
        <is>
          <t>Tamil Nadu</t>
        </is>
      </c>
      <c r="B3278" s="12" t="inlineStr">
        <is>
          <t>GIS</t>
        </is>
      </c>
      <c r="C3278" s="13" t="inlineStr">
        <is>
          <t>2026_TIDCO_711996_1</t>
        </is>
      </c>
      <c r="D3278" s="14" t="inlineStr">
        <is>
          <t>[REQUEST FOR PROPOSAL (RFP) FOR SELECTION OF CONSULTANT FOR PREPARATION OF DETAILED FEASIBILITY REPORT AND PROJECT STRUCTURING OPTIONS FOR DEVELOPING THE MULTI-MODALLOGISTICS HUB (MMLH) IN TIRUCHIRAPPALLI DISTRICT]</t>
        </is>
      </c>
      <c r="E3278" s="14" t="inlineStr">
        <is>
          <t>Tamil Nadu Public Works &amp; Technology Department</t>
        </is>
      </c>
      <c r="F3278" s="13" t="inlineStr">
        <is>
          <t>26 Oct 2026</t>
        </is>
      </c>
      <c r="G3278" s="12" t="inlineStr">
        <is>
          <t>16 Nov 2026</t>
        </is>
      </c>
      <c r="H3278" s="8" t="inlineStr">
        <is>
          <t>⏳ UPCOMING</t>
        </is>
      </c>
      <c r="I3278" s="11" t="inlineStr">
        <is>
          <t>BOQ_855335.xls</t>
        </is>
      </c>
      <c r="J3278" s="13" t="inlineStr">
        <is>
          <t>📊 Excel BOQ</t>
        </is>
      </c>
      <c r="K3278" s="15" t="n">
        <v>2.5</v>
      </c>
      <c r="L3278" s="16">
        <f>HYPERLINK("http://127.0.0.1:8000/api/documents/download?id=1524&amp;attachment=true", "⬇ Download BOQ_855335.xls")</f>
        <v/>
      </c>
      <c r="M3278" s="16">
        <f>HYPERLINK("http://localhost:5173/?state=Tamil%20Nadu&amp;keyword=GIS&amp;tender=2026_TIDCO_711996_1", "🚀 Open in Portal")</f>
        <v/>
      </c>
    </row>
    <row r="3279" ht="24" customHeight="1">
      <c r="A3279" s="4" t="inlineStr">
        <is>
          <t>Tamil Nadu</t>
        </is>
      </c>
      <c r="B3279" s="5" t="inlineStr">
        <is>
          <t>GIS</t>
        </is>
      </c>
      <c r="C3279" s="6" t="inlineStr">
        <is>
          <t>2026_TIDCO_711996_1</t>
        </is>
      </c>
      <c r="D3279" s="7" t="inlineStr">
        <is>
          <t>[REQUEST FOR PROPOSAL (RFP) FOR SELECTION OF CONSULTANT FOR PREPARATION OF DETAILED FEASIBILITY REPORT AND PROJECT STRUCTURING OPTIONS FOR DEVELOPING THE MULTI-MODALLOGISTICS HUB (MMLH) IN TIRUCHIRAPPALLI DISTRICT]</t>
        </is>
      </c>
      <c r="E3279" s="7" t="inlineStr">
        <is>
          <t>Tamil Nadu Public Works &amp; Technology Department</t>
        </is>
      </c>
      <c r="F3279" s="6" t="inlineStr">
        <is>
          <t>26 Oct 2026</t>
        </is>
      </c>
      <c r="G3279" s="5" t="inlineStr">
        <is>
          <t>16 Nov 2026</t>
        </is>
      </c>
      <c r="H3279" s="8" t="inlineStr">
        <is>
          <t>⏳ UPCOMING</t>
        </is>
      </c>
      <c r="I3279" s="4" t="inlineStr">
        <is>
          <t>tenderdocument.pdf</t>
        </is>
      </c>
      <c r="J3279" s="6" t="inlineStr">
        <is>
          <t>📕 PDF Document</t>
        </is>
      </c>
      <c r="K3279" s="9" t="n">
        <v>17.8</v>
      </c>
      <c r="L3279" s="10">
        <f>HYPERLINK("http://127.0.0.1:8000/api/documents/download?id=1525&amp;attachment=true", "⬇ Download tenderdocument.pdf")</f>
        <v/>
      </c>
      <c r="M3279" s="10">
        <f>HYPERLINK("http://localhost:5173/?state=Tamil%20Nadu&amp;keyword=GIS&amp;tender=2026_TIDCO_711996_1", "🚀 Open in Portal")</f>
        <v/>
      </c>
    </row>
    <row r="3280" ht="24" customHeight="1">
      <c r="A3280" s="11" t="inlineStr">
        <is>
          <t>Tamil Nadu</t>
        </is>
      </c>
      <c r="B3280" s="12" t="inlineStr">
        <is>
          <t>GIS</t>
        </is>
      </c>
      <c r="C3280" s="13" t="inlineStr">
        <is>
          <t>2026_TIDCO_711996_1</t>
        </is>
      </c>
      <c r="D3280" s="14" t="inlineStr">
        <is>
          <t>[REQUEST FOR PROPOSAL (RFP) FOR SELECTION OF CONSULTANT FOR PREPARATION OF DETAILED FEASIBILITY REPORT AND PROJECT STRUCTURING OPTIONS FOR DEVELOPING THE MULTI-MODALLOGISTICS HUB (MMLH) IN TIRUCHIRAPPALLI DISTRICT]</t>
        </is>
      </c>
      <c r="E3280" s="14" t="inlineStr">
        <is>
          <t>Tamil Nadu Public Works &amp; Technology Department</t>
        </is>
      </c>
      <c r="F3280" s="13" t="inlineStr">
        <is>
          <t>26 Oct 2026</t>
        </is>
      </c>
      <c r="G3280" s="12" t="inlineStr">
        <is>
          <t>16 Nov 2026</t>
        </is>
      </c>
      <c r="H3280" s="8" t="inlineStr">
        <is>
          <t>⏳ UPCOMING</t>
        </is>
      </c>
      <c r="I3280" s="11" t="inlineStr">
        <is>
          <t>Tender_2026_TIDCO_711996_1_All_Documents.zip</t>
        </is>
      </c>
      <c r="J3280" s="13" t="inlineStr">
        <is>
          <t>📦 ZIP Package</t>
        </is>
      </c>
      <c r="K3280" s="15" t="n">
        <v>20.8</v>
      </c>
      <c r="L3280" s="16">
        <f>HYPERLINK("http://127.0.0.1:8000/api/documents/download?id=1526&amp;attachment=true", "⬇ Download Tender_2026_TIDCO_711996")</f>
        <v/>
      </c>
      <c r="M3280" s="16">
        <f>HYPERLINK("http://localhost:5173/?state=Tamil%20Nadu&amp;keyword=GIS&amp;tender=2026_TIDCO_711996_1", "🚀 Open in Portal")</f>
        <v/>
      </c>
    </row>
    <row r="3281" ht="24" customHeight="1">
      <c r="A3281" s="4" t="inlineStr">
        <is>
          <t>Tamil Nadu</t>
        </is>
      </c>
      <c r="B3281" s="5" t="inlineStr">
        <is>
          <t>ICT</t>
        </is>
      </c>
      <c r="C3281" s="6" t="inlineStr">
        <is>
          <t>2026_AHDF_713532_1</t>
        </is>
      </c>
      <c r="D3281" s="7" t="inlineStr">
        <is>
          <t>[Leasing of fishery rights of nagalur tank in kallakurichi district]</t>
        </is>
      </c>
      <c r="E3281" s="7" t="inlineStr">
        <is>
          <t>Tamil Nadu Public Works &amp; Technology Department</t>
        </is>
      </c>
      <c r="F3281" s="6" t="inlineStr">
        <is>
          <t>25 Sep 2026</t>
        </is>
      </c>
      <c r="G3281" s="5" t="inlineStr">
        <is>
          <t>25 Oct 2026</t>
        </is>
      </c>
      <c r="H3281" s="17" t="inlineStr">
        <is>
          <t>🟢 LIVE ACTIVE</t>
        </is>
      </c>
      <c r="I3281" s="4" t="inlineStr">
        <is>
          <t>Tendernotice_1.pdf</t>
        </is>
      </c>
      <c r="J3281" s="6" t="inlineStr">
        <is>
          <t>📕 PDF Document</t>
        </is>
      </c>
      <c r="K3281" s="9" t="n">
        <v>17.8</v>
      </c>
      <c r="L3281" s="10">
        <f>HYPERLINK("http://127.0.0.1:8000/api/documents/download?id=1634&amp;attachment=true", "⬇ Download Tendernotice_1.pdf")</f>
        <v/>
      </c>
      <c r="M3281" s="10">
        <f>HYPERLINK("http://localhost:5173/?state=Tamil%20Nadu&amp;keyword=ICT&amp;tender=2026_AHDF_713532_1", "🚀 Open in Portal")</f>
        <v/>
      </c>
    </row>
    <row r="3282" ht="24" customHeight="1">
      <c r="A3282" s="11" t="inlineStr">
        <is>
          <t>Tamil Nadu</t>
        </is>
      </c>
      <c r="B3282" s="12" t="inlineStr">
        <is>
          <t>ICT</t>
        </is>
      </c>
      <c r="C3282" s="13" t="inlineStr">
        <is>
          <t>2026_AHDF_713532_1</t>
        </is>
      </c>
      <c r="D3282" s="14" t="inlineStr">
        <is>
          <t>[Leasing of fishery rights of nagalur tank in kallakurichi district]</t>
        </is>
      </c>
      <c r="E3282" s="14" t="inlineStr">
        <is>
          <t>Tamil Nadu Public Works &amp; Technology Department</t>
        </is>
      </c>
      <c r="F3282" s="13" t="inlineStr">
        <is>
          <t>25 Sep 2026</t>
        </is>
      </c>
      <c r="G3282" s="12" t="inlineStr">
        <is>
          <t>25 Oct 2026</t>
        </is>
      </c>
      <c r="H3282" s="17" t="inlineStr">
        <is>
          <t>🟢 LIVE ACTIVE</t>
        </is>
      </c>
      <c r="I3282" s="11" t="inlineStr">
        <is>
          <t>BOQ_857201.xls</t>
        </is>
      </c>
      <c r="J3282" s="13" t="inlineStr">
        <is>
          <t>📊 Excel BOQ</t>
        </is>
      </c>
      <c r="K3282" s="15" t="n">
        <v>2.4</v>
      </c>
      <c r="L3282" s="16">
        <f>HYPERLINK("http://127.0.0.1:8000/api/documents/download?id=1635&amp;attachment=true", "⬇ Download BOQ_857201.xls")</f>
        <v/>
      </c>
      <c r="M3282" s="16">
        <f>HYPERLINK("http://localhost:5173/?state=Tamil%20Nadu&amp;keyword=ICT&amp;tender=2026_AHDF_713532_1", "🚀 Open in Portal")</f>
        <v/>
      </c>
    </row>
    <row r="3283" ht="24" customHeight="1">
      <c r="A3283" s="4" t="inlineStr">
        <is>
          <t>Tamil Nadu</t>
        </is>
      </c>
      <c r="B3283" s="5" t="inlineStr">
        <is>
          <t>ICT</t>
        </is>
      </c>
      <c r="C3283" s="6" t="inlineStr">
        <is>
          <t>2026_AHDF_713532_1</t>
        </is>
      </c>
      <c r="D3283" s="7" t="inlineStr">
        <is>
          <t>[Leasing of fishery rights of nagalur tank in kallakurichi district]</t>
        </is>
      </c>
      <c r="E3283" s="7" t="inlineStr">
        <is>
          <t>Tamil Nadu Public Works &amp; Technology Department</t>
        </is>
      </c>
      <c r="F3283" s="6" t="inlineStr">
        <is>
          <t>25 Sep 2026</t>
        </is>
      </c>
      <c r="G3283" s="5" t="inlineStr">
        <is>
          <t>25 Oct 2026</t>
        </is>
      </c>
      <c r="H3283" s="17" t="inlineStr">
        <is>
          <t>🟢 LIVE ACTIVE</t>
        </is>
      </c>
      <c r="I3283" s="4" t="inlineStr">
        <is>
          <t>Tender_2026_AHDF_713532_1_All_Documents.zip</t>
        </is>
      </c>
      <c r="J3283" s="6" t="inlineStr">
        <is>
          <t>📦 ZIP Package</t>
        </is>
      </c>
      <c r="K3283" s="9" t="n">
        <v>11.6</v>
      </c>
      <c r="L3283" s="10">
        <f>HYPERLINK("http://127.0.0.1:8000/api/documents/download?id=1636&amp;attachment=true", "⬇ Download Tender_2026_AHDF_713532_")</f>
        <v/>
      </c>
      <c r="M3283" s="10">
        <f>HYPERLINK("http://localhost:5173/?state=Tamil%20Nadu&amp;keyword=ICT&amp;tender=2026_AHDF_713532_1", "🚀 Open in Portal")</f>
        <v/>
      </c>
    </row>
    <row r="3284" ht="24" customHeight="1">
      <c r="A3284" s="11" t="inlineStr">
        <is>
          <t>Tamil Nadu</t>
        </is>
      </c>
      <c r="B3284" s="12" t="inlineStr">
        <is>
          <t>ICT</t>
        </is>
      </c>
      <c r="C3284" s="13" t="inlineStr">
        <is>
          <t>2026_AHDF_713562_1</t>
        </is>
      </c>
      <c r="D3284" s="14" t="inlineStr">
        <is>
          <t>[Leasing of fishery rights of vazhavandhankuppam tank in kallakurichi district]</t>
        </is>
      </c>
      <c r="E3284" s="14" t="inlineStr">
        <is>
          <t>Tamil Nadu Public Works &amp; Technology Department</t>
        </is>
      </c>
      <c r="F3284" s="13" t="inlineStr">
        <is>
          <t>05 Oct 2026</t>
        </is>
      </c>
      <c r="G3284" s="12" t="inlineStr">
        <is>
          <t>09 Nov 2026</t>
        </is>
      </c>
      <c r="H3284" s="17" t="inlineStr">
        <is>
          <t>🟢 LIVE ACTIVE</t>
        </is>
      </c>
      <c r="I3284" s="11" t="inlineStr">
        <is>
          <t>Tendernotice_1.pdf</t>
        </is>
      </c>
      <c r="J3284" s="13" t="inlineStr">
        <is>
          <t>📕 PDF Document</t>
        </is>
      </c>
      <c r="K3284" s="15" t="n">
        <v>17.8</v>
      </c>
      <c r="L3284" s="16">
        <f>HYPERLINK("http://127.0.0.1:8000/api/documents/download?id=1640&amp;attachment=true", "⬇ Download Tendernotice_1.pdf")</f>
        <v/>
      </c>
      <c r="M3284" s="16">
        <f>HYPERLINK("http://localhost:5173/?state=Tamil%20Nadu&amp;keyword=ICT&amp;tender=2026_AHDF_713562_1", "🚀 Open in Portal")</f>
        <v/>
      </c>
    </row>
    <row r="3285" ht="24" customHeight="1">
      <c r="A3285" s="4" t="inlineStr">
        <is>
          <t>Tamil Nadu</t>
        </is>
      </c>
      <c r="B3285" s="5" t="inlineStr">
        <is>
          <t>ICT</t>
        </is>
      </c>
      <c r="C3285" s="6" t="inlineStr">
        <is>
          <t>2026_AHDF_713562_1</t>
        </is>
      </c>
      <c r="D3285" s="7" t="inlineStr">
        <is>
          <t>[Leasing of fishery rights of vazhavandhankuppam tank in kallakurichi district]</t>
        </is>
      </c>
      <c r="E3285" s="7" t="inlineStr">
        <is>
          <t>Tamil Nadu Public Works &amp; Technology Department</t>
        </is>
      </c>
      <c r="F3285" s="6" t="inlineStr">
        <is>
          <t>05 Oct 2026</t>
        </is>
      </c>
      <c r="G3285" s="5" t="inlineStr">
        <is>
          <t>09 Nov 2026</t>
        </is>
      </c>
      <c r="H3285" s="17" t="inlineStr">
        <is>
          <t>🟢 LIVE ACTIVE</t>
        </is>
      </c>
      <c r="I3285" s="4" t="inlineStr">
        <is>
          <t>BOQ_857232.xls</t>
        </is>
      </c>
      <c r="J3285" s="6" t="inlineStr">
        <is>
          <t>📊 Excel BOQ</t>
        </is>
      </c>
      <c r="K3285" s="9" t="n">
        <v>2.5</v>
      </c>
      <c r="L3285" s="10">
        <f>HYPERLINK("http://127.0.0.1:8000/api/documents/download?id=1641&amp;attachment=true", "⬇ Download BOQ_857232.xls")</f>
        <v/>
      </c>
      <c r="M3285" s="10">
        <f>HYPERLINK("http://localhost:5173/?state=Tamil%20Nadu&amp;keyword=ICT&amp;tender=2026_AHDF_713562_1", "🚀 Open in Portal")</f>
        <v/>
      </c>
    </row>
    <row r="3286" ht="24" customHeight="1">
      <c r="A3286" s="11" t="inlineStr">
        <is>
          <t>Tamil Nadu</t>
        </is>
      </c>
      <c r="B3286" s="12" t="inlineStr">
        <is>
          <t>ICT</t>
        </is>
      </c>
      <c r="C3286" s="13" t="inlineStr">
        <is>
          <t>2026_AHDF_713562_1</t>
        </is>
      </c>
      <c r="D3286" s="14" t="inlineStr">
        <is>
          <t>[Leasing of fishery rights of vazhavandhankuppam tank in kallakurichi district]</t>
        </is>
      </c>
      <c r="E3286" s="14" t="inlineStr">
        <is>
          <t>Tamil Nadu Public Works &amp; Technology Department</t>
        </is>
      </c>
      <c r="F3286" s="13" t="inlineStr">
        <is>
          <t>05 Oct 2026</t>
        </is>
      </c>
      <c r="G3286" s="12" t="inlineStr">
        <is>
          <t>09 Nov 2026</t>
        </is>
      </c>
      <c r="H3286" s="17" t="inlineStr">
        <is>
          <t>🟢 LIVE ACTIVE</t>
        </is>
      </c>
      <c r="I3286" s="11" t="inlineStr">
        <is>
          <t>Tender_2026_AHDF_713562_1_All_Documents.zip</t>
        </is>
      </c>
      <c r="J3286" s="13" t="inlineStr">
        <is>
          <t>📦 ZIP Package</t>
        </is>
      </c>
      <c r="K3286" s="15" t="n">
        <v>11.6</v>
      </c>
      <c r="L3286" s="16">
        <f>HYPERLINK("http://127.0.0.1:8000/api/documents/download?id=1642&amp;attachment=true", "⬇ Download Tender_2026_AHDF_713562_")</f>
        <v/>
      </c>
      <c r="M3286" s="16">
        <f>HYPERLINK("http://localhost:5173/?state=Tamil%20Nadu&amp;keyword=ICT&amp;tender=2026_AHDF_713562_1", "🚀 Open in Portal")</f>
        <v/>
      </c>
    </row>
    <row r="3287" ht="24" customHeight="1">
      <c r="A3287" s="4" t="inlineStr">
        <is>
          <t>Tamil Nadu</t>
        </is>
      </c>
      <c r="B3287" s="5" t="inlineStr">
        <is>
          <t>ICT</t>
        </is>
      </c>
      <c r="C3287" s="6" t="inlineStr">
        <is>
          <t>2026_AHDF_713582_1</t>
        </is>
      </c>
      <c r="D3287" s="7" t="inlineStr">
        <is>
          <t>[Leasing of fishery rights of peruvangur tank in kallakurichi district]</t>
        </is>
      </c>
      <c r="E3287" s="7" t="inlineStr">
        <is>
          <t>Tamil Nadu Public Works &amp; Technology Department</t>
        </is>
      </c>
      <c r="F3287" s="6" t="inlineStr">
        <is>
          <t>30 Sep 2026</t>
        </is>
      </c>
      <c r="G3287" s="5" t="inlineStr">
        <is>
          <t>16 Nov 2026</t>
        </is>
      </c>
      <c r="H3287" s="17" t="inlineStr">
        <is>
          <t>🟢 LIVE ACTIVE</t>
        </is>
      </c>
      <c r="I3287" s="4" t="inlineStr">
        <is>
          <t>Tendernotice_1.pdf</t>
        </is>
      </c>
      <c r="J3287" s="6" t="inlineStr">
        <is>
          <t>📕 PDF Document</t>
        </is>
      </c>
      <c r="K3287" s="9" t="n">
        <v>17.8</v>
      </c>
      <c r="L3287" s="10">
        <f>HYPERLINK("http://127.0.0.1:8000/api/documents/download?id=1637&amp;attachment=true", "⬇ Download Tendernotice_1.pdf")</f>
        <v/>
      </c>
      <c r="M3287" s="10">
        <f>HYPERLINK("http://localhost:5173/?state=Tamil%20Nadu&amp;keyword=ICT&amp;tender=2026_AHDF_713582_1", "🚀 Open in Portal")</f>
        <v/>
      </c>
    </row>
    <row r="3288" ht="24" customHeight="1">
      <c r="A3288" s="11" t="inlineStr">
        <is>
          <t>Tamil Nadu</t>
        </is>
      </c>
      <c r="B3288" s="12" t="inlineStr">
        <is>
          <t>ICT</t>
        </is>
      </c>
      <c r="C3288" s="13" t="inlineStr">
        <is>
          <t>2026_AHDF_713582_1</t>
        </is>
      </c>
      <c r="D3288" s="14" t="inlineStr">
        <is>
          <t>[Leasing of fishery rights of peruvangur tank in kallakurichi district]</t>
        </is>
      </c>
      <c r="E3288" s="14" t="inlineStr">
        <is>
          <t>Tamil Nadu Public Works &amp; Technology Department</t>
        </is>
      </c>
      <c r="F3288" s="13" t="inlineStr">
        <is>
          <t>30 Sep 2026</t>
        </is>
      </c>
      <c r="G3288" s="12" t="inlineStr">
        <is>
          <t>16 Nov 2026</t>
        </is>
      </c>
      <c r="H3288" s="17" t="inlineStr">
        <is>
          <t>🟢 LIVE ACTIVE</t>
        </is>
      </c>
      <c r="I3288" s="11" t="inlineStr">
        <is>
          <t>BOQ_857276.xls</t>
        </is>
      </c>
      <c r="J3288" s="13" t="inlineStr">
        <is>
          <t>📊 Excel BOQ</t>
        </is>
      </c>
      <c r="K3288" s="15" t="n">
        <v>2.4</v>
      </c>
      <c r="L3288" s="16">
        <f>HYPERLINK("http://127.0.0.1:8000/api/documents/download?id=1638&amp;attachment=true", "⬇ Download BOQ_857276.xls")</f>
        <v/>
      </c>
      <c r="M3288" s="16">
        <f>HYPERLINK("http://localhost:5173/?state=Tamil%20Nadu&amp;keyword=ICT&amp;tender=2026_AHDF_713582_1", "🚀 Open in Portal")</f>
        <v/>
      </c>
    </row>
    <row r="3289" ht="24" customHeight="1">
      <c r="A3289" s="4" t="inlineStr">
        <is>
          <t>Tamil Nadu</t>
        </is>
      </c>
      <c r="B3289" s="5" t="inlineStr">
        <is>
          <t>ICT</t>
        </is>
      </c>
      <c r="C3289" s="6" t="inlineStr">
        <is>
          <t>2026_AHDF_713582_1</t>
        </is>
      </c>
      <c r="D3289" s="7" t="inlineStr">
        <is>
          <t>[Leasing of fishery rights of peruvangur tank in kallakurichi district]</t>
        </is>
      </c>
      <c r="E3289" s="7" t="inlineStr">
        <is>
          <t>Tamil Nadu Public Works &amp; Technology Department</t>
        </is>
      </c>
      <c r="F3289" s="6" t="inlineStr">
        <is>
          <t>30 Sep 2026</t>
        </is>
      </c>
      <c r="G3289" s="5" t="inlineStr">
        <is>
          <t>16 Nov 2026</t>
        </is>
      </c>
      <c r="H3289" s="17" t="inlineStr">
        <is>
          <t>🟢 LIVE ACTIVE</t>
        </is>
      </c>
      <c r="I3289" s="4" t="inlineStr">
        <is>
          <t>Tender_2026_AHDF_713582_1_All_Documents.zip</t>
        </is>
      </c>
      <c r="J3289" s="6" t="inlineStr">
        <is>
          <t>📦 ZIP Package</t>
        </is>
      </c>
      <c r="K3289" s="9" t="n">
        <v>11.6</v>
      </c>
      <c r="L3289" s="10">
        <f>HYPERLINK("http://127.0.0.1:8000/api/documents/download?id=1639&amp;attachment=true", "⬇ Download Tender_2026_AHDF_713582_")</f>
        <v/>
      </c>
      <c r="M3289" s="10">
        <f>HYPERLINK("http://localhost:5173/?state=Tamil%20Nadu&amp;keyword=ICT&amp;tender=2026_AHDF_713582_1", "🚀 Open in Portal")</f>
        <v/>
      </c>
    </row>
    <row r="3290" ht="24" customHeight="1">
      <c r="A3290" s="11" t="inlineStr">
        <is>
          <t>Tamil Nadu</t>
        </is>
      </c>
      <c r="B3290" s="12" t="inlineStr">
        <is>
          <t>ICT</t>
        </is>
      </c>
      <c r="C3290" s="13" t="inlineStr">
        <is>
          <t>2026_AHDF_713588_1</t>
        </is>
      </c>
      <c r="D3290" s="14" t="inlineStr">
        <is>
          <t>[Leasing of fishery rights of prithivimangalam tank in kallakurichi district]</t>
        </is>
      </c>
      <c r="E3290" s="14" t="inlineStr">
        <is>
          <t>Tamil Nadu Public Works &amp; Technology Department</t>
        </is>
      </c>
      <c r="F3290" s="13" t="inlineStr">
        <is>
          <t>13 Sep 2026</t>
        </is>
      </c>
      <c r="G3290" s="12" t="inlineStr">
        <is>
          <t>08 Oct 2026</t>
        </is>
      </c>
      <c r="H3290" s="8" t="inlineStr">
        <is>
          <t>⏳ UPCOMING</t>
        </is>
      </c>
      <c r="I3290" s="11" t="inlineStr">
        <is>
          <t>Tendernotice_1.pdf</t>
        </is>
      </c>
      <c r="J3290" s="13" t="inlineStr">
        <is>
          <t>📕 PDF Document</t>
        </is>
      </c>
      <c r="K3290" s="15" t="n">
        <v>17.8</v>
      </c>
      <c r="L3290" s="16">
        <f>HYPERLINK("http://127.0.0.1:8000/api/documents/download?id=1623&amp;attachment=true", "⬇ Download Tendernotice_1.pdf")</f>
        <v/>
      </c>
      <c r="M3290" s="16">
        <f>HYPERLINK("http://localhost:5173/?state=Tamil%20Nadu&amp;keyword=ICT&amp;tender=2026_AHDF_713588_1", "🚀 Open in Portal")</f>
        <v/>
      </c>
    </row>
    <row r="3291" ht="24" customHeight="1">
      <c r="A3291" s="4" t="inlineStr">
        <is>
          <t>Tamil Nadu</t>
        </is>
      </c>
      <c r="B3291" s="5" t="inlineStr">
        <is>
          <t>ICT</t>
        </is>
      </c>
      <c r="C3291" s="6" t="inlineStr">
        <is>
          <t>2026_AHDF_713588_1</t>
        </is>
      </c>
      <c r="D3291" s="7" t="inlineStr">
        <is>
          <t>[Leasing of fishery rights of prithivimangalam tank in kallakurichi district]</t>
        </is>
      </c>
      <c r="E3291" s="7" t="inlineStr">
        <is>
          <t>Tamil Nadu Public Works &amp; Technology Department</t>
        </is>
      </c>
      <c r="F3291" s="6" t="inlineStr">
        <is>
          <t>13 Sep 2026</t>
        </is>
      </c>
      <c r="G3291" s="5" t="inlineStr">
        <is>
          <t>08 Oct 2026</t>
        </is>
      </c>
      <c r="H3291" s="8" t="inlineStr">
        <is>
          <t>⏳ UPCOMING</t>
        </is>
      </c>
      <c r="I3291" s="4" t="inlineStr">
        <is>
          <t>BOQ_857291.xls</t>
        </is>
      </c>
      <c r="J3291" s="6" t="inlineStr">
        <is>
          <t>📊 Excel BOQ</t>
        </is>
      </c>
      <c r="K3291" s="9" t="n">
        <v>2.5</v>
      </c>
      <c r="L3291" s="10">
        <f>HYPERLINK("http://127.0.0.1:8000/api/documents/download?id=1624&amp;attachment=true", "⬇ Download BOQ_857291.xls")</f>
        <v/>
      </c>
      <c r="M3291" s="10">
        <f>HYPERLINK("http://localhost:5173/?state=Tamil%20Nadu&amp;keyword=ICT&amp;tender=2026_AHDF_713588_1", "🚀 Open in Portal")</f>
        <v/>
      </c>
    </row>
    <row r="3292" ht="24" customHeight="1">
      <c r="A3292" s="11" t="inlineStr">
        <is>
          <t>Tamil Nadu</t>
        </is>
      </c>
      <c r="B3292" s="12" t="inlineStr">
        <is>
          <t>ICT</t>
        </is>
      </c>
      <c r="C3292" s="13" t="inlineStr">
        <is>
          <t>2026_AHDF_713588_1</t>
        </is>
      </c>
      <c r="D3292" s="14" t="inlineStr">
        <is>
          <t>[Leasing of fishery rights of prithivimangalam tank in kallakurichi district]</t>
        </is>
      </c>
      <c r="E3292" s="14" t="inlineStr">
        <is>
          <t>Tamil Nadu Public Works &amp; Technology Department</t>
        </is>
      </c>
      <c r="F3292" s="13" t="inlineStr">
        <is>
          <t>13 Sep 2026</t>
        </is>
      </c>
      <c r="G3292" s="12" t="inlineStr">
        <is>
          <t>08 Oct 2026</t>
        </is>
      </c>
      <c r="H3292" s="8" t="inlineStr">
        <is>
          <t>⏳ UPCOMING</t>
        </is>
      </c>
      <c r="I3292" s="11" t="inlineStr">
        <is>
          <t>Tender_2026_AHDF_713588_1_All_Documents.zip</t>
        </is>
      </c>
      <c r="J3292" s="13" t="inlineStr">
        <is>
          <t>📦 ZIP Package</t>
        </is>
      </c>
      <c r="K3292" s="15" t="n">
        <v>11.6</v>
      </c>
      <c r="L3292" s="16">
        <f>HYPERLINK("http://127.0.0.1:8000/api/documents/download?id=1625&amp;attachment=true", "⬇ Download Tender_2026_AHDF_713588_")</f>
        <v/>
      </c>
      <c r="M3292" s="16">
        <f>HYPERLINK("http://localhost:5173/?state=Tamil%20Nadu&amp;keyword=ICT&amp;tender=2026_AHDF_713588_1", "🚀 Open in Portal")</f>
        <v/>
      </c>
    </row>
    <row r="3293" ht="24" customHeight="1">
      <c r="A3293" s="4" t="inlineStr">
        <is>
          <t>Tamil Nadu</t>
        </is>
      </c>
      <c r="B3293" s="5" t="inlineStr">
        <is>
          <t>ICT</t>
        </is>
      </c>
      <c r="C3293" s="6" t="inlineStr">
        <is>
          <t>2026_AHDF_713596_1</t>
        </is>
      </c>
      <c r="D3293" s="7" t="inlineStr">
        <is>
          <t>[Leasing of fishery rights of siruvangur tank in kallakurichi district]</t>
        </is>
      </c>
      <c r="E3293" s="7" t="inlineStr">
        <is>
          <t>Tamil Nadu Public Works &amp; Technology Department</t>
        </is>
      </c>
      <c r="F3293" s="6" t="inlineStr">
        <is>
          <t>07 Sep 2026</t>
        </is>
      </c>
      <c r="G3293" s="5" t="inlineStr">
        <is>
          <t>01 Oct 2026</t>
        </is>
      </c>
      <c r="H3293" s="8" t="inlineStr">
        <is>
          <t>⏳ UPCOMING</t>
        </is>
      </c>
      <c r="I3293" s="4" t="inlineStr">
        <is>
          <t>Tendernotice_1.pdf</t>
        </is>
      </c>
      <c r="J3293" s="6" t="inlineStr">
        <is>
          <t>📕 PDF Document</t>
        </is>
      </c>
      <c r="K3293" s="9" t="n">
        <v>17.9</v>
      </c>
      <c r="L3293" s="10">
        <f>HYPERLINK("http://127.0.0.1:8000/api/documents/download?id=1620&amp;attachment=true", "⬇ Download Tendernotice_1.pdf")</f>
        <v/>
      </c>
      <c r="M3293" s="10">
        <f>HYPERLINK("http://localhost:5173/?state=Tamil%20Nadu&amp;keyword=ICT&amp;tender=2026_AHDF_713596_1", "🚀 Open in Portal")</f>
        <v/>
      </c>
    </row>
    <row r="3294" ht="24" customHeight="1">
      <c r="A3294" s="11" t="inlineStr">
        <is>
          <t>Tamil Nadu</t>
        </is>
      </c>
      <c r="B3294" s="12" t="inlineStr">
        <is>
          <t>ICT</t>
        </is>
      </c>
      <c r="C3294" s="13" t="inlineStr">
        <is>
          <t>2026_AHDF_713596_1</t>
        </is>
      </c>
      <c r="D3294" s="14" t="inlineStr">
        <is>
          <t>[Leasing of fishery rights of siruvangur tank in kallakurichi district]</t>
        </is>
      </c>
      <c r="E3294" s="14" t="inlineStr">
        <is>
          <t>Tamil Nadu Public Works &amp; Technology Department</t>
        </is>
      </c>
      <c r="F3294" s="13" t="inlineStr">
        <is>
          <t>07 Sep 2026</t>
        </is>
      </c>
      <c r="G3294" s="12" t="inlineStr">
        <is>
          <t>01 Oct 2026</t>
        </is>
      </c>
      <c r="H3294" s="8" t="inlineStr">
        <is>
          <t>⏳ UPCOMING</t>
        </is>
      </c>
      <c r="I3294" s="11" t="inlineStr">
        <is>
          <t>BOQ_857305.xls</t>
        </is>
      </c>
      <c r="J3294" s="13" t="inlineStr">
        <is>
          <t>📊 Excel BOQ</t>
        </is>
      </c>
      <c r="K3294" s="15" t="n">
        <v>2.4</v>
      </c>
      <c r="L3294" s="16">
        <f>HYPERLINK("http://127.0.0.1:8000/api/documents/download?id=1621&amp;attachment=true", "⬇ Download BOQ_857305.xls")</f>
        <v/>
      </c>
      <c r="M3294" s="16">
        <f>HYPERLINK("http://localhost:5173/?state=Tamil%20Nadu&amp;keyword=ICT&amp;tender=2026_AHDF_713596_1", "🚀 Open in Portal")</f>
        <v/>
      </c>
    </row>
    <row r="3295" ht="24" customHeight="1">
      <c r="A3295" s="4" t="inlineStr">
        <is>
          <t>Tamil Nadu</t>
        </is>
      </c>
      <c r="B3295" s="5" t="inlineStr">
        <is>
          <t>ICT</t>
        </is>
      </c>
      <c r="C3295" s="6" t="inlineStr">
        <is>
          <t>2026_AHDF_713596_1</t>
        </is>
      </c>
      <c r="D3295" s="7" t="inlineStr">
        <is>
          <t>[Leasing of fishery rights of siruvangur tank in kallakurichi district]</t>
        </is>
      </c>
      <c r="E3295" s="7" t="inlineStr">
        <is>
          <t>Tamil Nadu Public Works &amp; Technology Department</t>
        </is>
      </c>
      <c r="F3295" s="6" t="inlineStr">
        <is>
          <t>07 Sep 2026</t>
        </is>
      </c>
      <c r="G3295" s="5" t="inlineStr">
        <is>
          <t>01 Oct 2026</t>
        </is>
      </c>
      <c r="H3295" s="8" t="inlineStr">
        <is>
          <t>⏳ UPCOMING</t>
        </is>
      </c>
      <c r="I3295" s="4" t="inlineStr">
        <is>
          <t>Tender_2026_AHDF_713596_1_All_Documents.zip</t>
        </is>
      </c>
      <c r="J3295" s="6" t="inlineStr">
        <is>
          <t>📦 ZIP Package</t>
        </is>
      </c>
      <c r="K3295" s="9" t="n">
        <v>11.5</v>
      </c>
      <c r="L3295" s="10">
        <f>HYPERLINK("http://127.0.0.1:8000/api/documents/download?id=1622&amp;attachment=true", "⬇ Download Tender_2026_AHDF_713596_")</f>
        <v/>
      </c>
      <c r="M3295" s="10">
        <f>HYPERLINK("http://localhost:5173/?state=Tamil%20Nadu&amp;keyword=ICT&amp;tender=2026_AHDF_713596_1", "🚀 Open in Portal")</f>
        <v/>
      </c>
    </row>
    <row r="3296" ht="24" customHeight="1">
      <c r="A3296" s="11" t="inlineStr">
        <is>
          <t>Tamil Nadu</t>
        </is>
      </c>
      <c r="B3296" s="12" t="inlineStr">
        <is>
          <t>ICT</t>
        </is>
      </c>
      <c r="C3296" s="13" t="inlineStr">
        <is>
          <t>2026_AHDF_713613_1</t>
        </is>
      </c>
      <c r="D3296" s="14" t="inlineStr">
        <is>
          <t>[Leasing of fishery rights of madampoondi tank in kallakurichi district]</t>
        </is>
      </c>
      <c r="E3296" s="14" t="inlineStr">
        <is>
          <t>Tamil Nadu Public Works &amp; Technology Department</t>
        </is>
      </c>
      <c r="F3296" s="13" t="inlineStr">
        <is>
          <t>19 Sep 2026</t>
        </is>
      </c>
      <c r="G3296" s="12" t="inlineStr">
        <is>
          <t>17 Oct 2026</t>
        </is>
      </c>
      <c r="H3296" s="8" t="inlineStr">
        <is>
          <t>⏳ UPCOMING</t>
        </is>
      </c>
      <c r="I3296" s="11" t="inlineStr">
        <is>
          <t>Tendernotice_1.pdf</t>
        </is>
      </c>
      <c r="J3296" s="13" t="inlineStr">
        <is>
          <t>📕 PDF Document</t>
        </is>
      </c>
      <c r="K3296" s="15" t="n">
        <v>17.9</v>
      </c>
      <c r="L3296" s="16">
        <f>HYPERLINK("http://127.0.0.1:8000/api/documents/download?id=1626&amp;attachment=true", "⬇ Download Tendernotice_1.pdf")</f>
        <v/>
      </c>
      <c r="M3296" s="16">
        <f>HYPERLINK("http://localhost:5173/?state=Tamil%20Nadu&amp;keyword=ICT&amp;tender=2026_AHDF_713613_1", "🚀 Open in Portal")</f>
        <v/>
      </c>
    </row>
    <row r="3297" ht="24" customHeight="1">
      <c r="A3297" s="4" t="inlineStr">
        <is>
          <t>Tamil Nadu</t>
        </is>
      </c>
      <c r="B3297" s="5" t="inlineStr">
        <is>
          <t>ICT</t>
        </is>
      </c>
      <c r="C3297" s="6" t="inlineStr">
        <is>
          <t>2026_AHDF_713613_1</t>
        </is>
      </c>
      <c r="D3297" s="7" t="inlineStr">
        <is>
          <t>[Leasing of fishery rights of madampoondi tank in kallakurichi district]</t>
        </is>
      </c>
      <c r="E3297" s="7" t="inlineStr">
        <is>
          <t>Tamil Nadu Public Works &amp; Technology Department</t>
        </is>
      </c>
      <c r="F3297" s="6" t="inlineStr">
        <is>
          <t>19 Sep 2026</t>
        </is>
      </c>
      <c r="G3297" s="5" t="inlineStr">
        <is>
          <t>17 Oct 2026</t>
        </is>
      </c>
      <c r="H3297" s="8" t="inlineStr">
        <is>
          <t>⏳ UPCOMING</t>
        </is>
      </c>
      <c r="I3297" s="4" t="inlineStr">
        <is>
          <t>BOQ_857326.xls</t>
        </is>
      </c>
      <c r="J3297" s="6" t="inlineStr">
        <is>
          <t>📊 Excel BOQ</t>
        </is>
      </c>
      <c r="K3297" s="9" t="n">
        <v>2.4</v>
      </c>
      <c r="L3297" s="10">
        <f>HYPERLINK("http://127.0.0.1:8000/api/documents/download?id=1627&amp;attachment=true", "⬇ Download BOQ_857326.xls")</f>
        <v/>
      </c>
      <c r="M3297" s="10">
        <f>HYPERLINK("http://localhost:5173/?state=Tamil%20Nadu&amp;keyword=ICT&amp;tender=2026_AHDF_713613_1", "🚀 Open in Portal")</f>
        <v/>
      </c>
    </row>
    <row r="3298" ht="24" customHeight="1">
      <c r="A3298" s="11" t="inlineStr">
        <is>
          <t>Tamil Nadu</t>
        </is>
      </c>
      <c r="B3298" s="12" t="inlineStr">
        <is>
          <t>ICT</t>
        </is>
      </c>
      <c r="C3298" s="13" t="inlineStr">
        <is>
          <t>2026_AHDF_713613_1</t>
        </is>
      </c>
      <c r="D3298" s="14" t="inlineStr">
        <is>
          <t>[Leasing of fishery rights of madampoondi tank in kallakurichi district]</t>
        </is>
      </c>
      <c r="E3298" s="14" t="inlineStr">
        <is>
          <t>Tamil Nadu Public Works &amp; Technology Department</t>
        </is>
      </c>
      <c r="F3298" s="13" t="inlineStr">
        <is>
          <t>19 Sep 2026</t>
        </is>
      </c>
      <c r="G3298" s="12" t="inlineStr">
        <is>
          <t>17 Oct 2026</t>
        </is>
      </c>
      <c r="H3298" s="8" t="inlineStr">
        <is>
          <t>⏳ UPCOMING</t>
        </is>
      </c>
      <c r="I3298" s="11" t="inlineStr">
        <is>
          <t>Tender_2026_AHDF_713613_1_All_Documents.zip</t>
        </is>
      </c>
      <c r="J3298" s="13" t="inlineStr">
        <is>
          <t>📦 ZIP Package</t>
        </is>
      </c>
      <c r="K3298" s="15" t="n">
        <v>11.5</v>
      </c>
      <c r="L3298" s="16">
        <f>HYPERLINK("http://127.0.0.1:8000/api/documents/download?id=1628&amp;attachment=true", "⬇ Download Tender_2026_AHDF_713613_")</f>
        <v/>
      </c>
      <c r="M3298" s="16">
        <f>HYPERLINK("http://localhost:5173/?state=Tamil%20Nadu&amp;keyword=ICT&amp;tender=2026_AHDF_713613_1", "🚀 Open in Portal")</f>
        <v/>
      </c>
    </row>
    <row r="3299" ht="24" customHeight="1">
      <c r="A3299" s="4" t="inlineStr">
        <is>
          <t>Tamil Nadu</t>
        </is>
      </c>
      <c r="B3299" s="5" t="inlineStr">
        <is>
          <t>ICT</t>
        </is>
      </c>
      <c r="C3299" s="6" t="inlineStr">
        <is>
          <t>2026_AHDF_713633_1</t>
        </is>
      </c>
      <c r="D3299" s="7" t="inlineStr">
        <is>
          <t>[Leasing of fishery rights of aavikolapakkam tank in kallakurichi district]</t>
        </is>
      </c>
      <c r="E3299" s="7" t="inlineStr">
        <is>
          <t>Tamil Nadu Public Works &amp; Technology Department</t>
        </is>
      </c>
      <c r="F3299" s="6" t="inlineStr">
        <is>
          <t>01 Sep 2026</t>
        </is>
      </c>
      <c r="G3299" s="5" t="inlineStr">
        <is>
          <t>24 Sep 2026</t>
        </is>
      </c>
      <c r="H3299" s="8" t="inlineStr">
        <is>
          <t>⏳ UPCOMING</t>
        </is>
      </c>
      <c r="I3299" s="4" t="inlineStr">
        <is>
          <t>Tendernotice_1.pdf</t>
        </is>
      </c>
      <c r="J3299" s="6" t="inlineStr">
        <is>
          <t>📕 PDF Document</t>
        </is>
      </c>
      <c r="K3299" s="9" t="n">
        <v>17.9</v>
      </c>
      <c r="L3299" s="10">
        <f>HYPERLINK("http://127.0.0.1:8000/api/documents/download?id=1617&amp;attachment=true", "⬇ Download Tendernotice_1.pdf")</f>
        <v/>
      </c>
      <c r="M3299" s="10">
        <f>HYPERLINK("http://localhost:5173/?state=Tamil%20Nadu&amp;keyword=ICT&amp;tender=2026_AHDF_713633_1", "🚀 Open in Portal")</f>
        <v/>
      </c>
    </row>
    <row r="3300" ht="24" customHeight="1">
      <c r="A3300" s="11" t="inlineStr">
        <is>
          <t>Tamil Nadu</t>
        </is>
      </c>
      <c r="B3300" s="12" t="inlineStr">
        <is>
          <t>ICT</t>
        </is>
      </c>
      <c r="C3300" s="13" t="inlineStr">
        <is>
          <t>2026_AHDF_713633_1</t>
        </is>
      </c>
      <c r="D3300" s="14" t="inlineStr">
        <is>
          <t>[Leasing of fishery rights of aavikolapakkam tank in kallakurichi district]</t>
        </is>
      </c>
      <c r="E3300" s="14" t="inlineStr">
        <is>
          <t>Tamil Nadu Public Works &amp; Technology Department</t>
        </is>
      </c>
      <c r="F3300" s="13" t="inlineStr">
        <is>
          <t>01 Sep 2026</t>
        </is>
      </c>
      <c r="G3300" s="12" t="inlineStr">
        <is>
          <t>24 Sep 2026</t>
        </is>
      </c>
      <c r="H3300" s="8" t="inlineStr">
        <is>
          <t>⏳ UPCOMING</t>
        </is>
      </c>
      <c r="I3300" s="11" t="inlineStr">
        <is>
          <t>BOQ_857340.xls</t>
        </is>
      </c>
      <c r="J3300" s="13" t="inlineStr">
        <is>
          <t>📊 Excel BOQ</t>
        </is>
      </c>
      <c r="K3300" s="15" t="n">
        <v>2.5</v>
      </c>
      <c r="L3300" s="16">
        <f>HYPERLINK("http://127.0.0.1:8000/api/documents/download?id=1618&amp;attachment=true", "⬇ Download BOQ_857340.xls")</f>
        <v/>
      </c>
      <c r="M3300" s="16">
        <f>HYPERLINK("http://localhost:5173/?state=Tamil%20Nadu&amp;keyword=ICT&amp;tender=2026_AHDF_713633_1", "🚀 Open in Portal")</f>
        <v/>
      </c>
    </row>
    <row r="3301" ht="24" customHeight="1">
      <c r="A3301" s="4" t="inlineStr">
        <is>
          <t>Tamil Nadu</t>
        </is>
      </c>
      <c r="B3301" s="5" t="inlineStr">
        <is>
          <t>ICT</t>
        </is>
      </c>
      <c r="C3301" s="6" t="inlineStr">
        <is>
          <t>2026_AHDF_713633_1</t>
        </is>
      </c>
      <c r="D3301" s="7" t="inlineStr">
        <is>
          <t>[Leasing of fishery rights of aavikolapakkam tank in kallakurichi district]</t>
        </is>
      </c>
      <c r="E3301" s="7" t="inlineStr">
        <is>
          <t>Tamil Nadu Public Works &amp; Technology Department</t>
        </is>
      </c>
      <c r="F3301" s="6" t="inlineStr">
        <is>
          <t>01 Sep 2026</t>
        </is>
      </c>
      <c r="G3301" s="5" t="inlineStr">
        <is>
          <t>24 Sep 2026</t>
        </is>
      </c>
      <c r="H3301" s="8" t="inlineStr">
        <is>
          <t>⏳ UPCOMING</t>
        </is>
      </c>
      <c r="I3301" s="4" t="inlineStr">
        <is>
          <t>Tender_2026_AHDF_713633_1_All_Documents.zip</t>
        </is>
      </c>
      <c r="J3301" s="6" t="inlineStr">
        <is>
          <t>📦 ZIP Package</t>
        </is>
      </c>
      <c r="K3301" s="9" t="n">
        <v>11.6</v>
      </c>
      <c r="L3301" s="10">
        <f>HYPERLINK("http://127.0.0.1:8000/api/documents/download?id=1619&amp;attachment=true", "⬇ Download Tender_2026_AHDF_713633_")</f>
        <v/>
      </c>
      <c r="M3301" s="10">
        <f>HYPERLINK("http://localhost:5173/?state=Tamil%20Nadu&amp;keyword=ICT&amp;tender=2026_AHDF_713633_1", "🚀 Open in Portal")</f>
        <v/>
      </c>
    </row>
    <row r="3302" ht="24" customHeight="1">
      <c r="A3302" s="11" t="inlineStr">
        <is>
          <t>Tamil Nadu</t>
        </is>
      </c>
      <c r="B3302" s="12" t="inlineStr">
        <is>
          <t>ICT</t>
        </is>
      </c>
      <c r="C3302" s="13" t="inlineStr">
        <is>
          <t>2026_AHDF_713637_1</t>
        </is>
      </c>
      <c r="D3302" s="14" t="inlineStr">
        <is>
          <t>[Leasing of fishery rights of edaiyur tank in kallakurichi district]</t>
        </is>
      </c>
      <c r="E3302" s="14" t="inlineStr">
        <is>
          <t>Tamil Nadu Public Works &amp; Technology Department</t>
        </is>
      </c>
      <c r="F3302" s="13" t="inlineStr">
        <is>
          <t>26 Aug 2026</t>
        </is>
      </c>
      <c r="G3302" s="12" t="inlineStr">
        <is>
          <t>24 Sep 2026</t>
        </is>
      </c>
      <c r="H3302" s="8" t="inlineStr">
        <is>
          <t>⏳ UPCOMING</t>
        </is>
      </c>
      <c r="I3302" s="11" t="inlineStr">
        <is>
          <t>Tendernotice_1.pdf</t>
        </is>
      </c>
      <c r="J3302" s="13" t="inlineStr">
        <is>
          <t>📕 PDF Document</t>
        </is>
      </c>
      <c r="K3302" s="15" t="n">
        <v>17.8</v>
      </c>
      <c r="L3302" s="16">
        <f>HYPERLINK("http://127.0.0.1:8000/api/documents/download?id=1614&amp;attachment=true", "⬇ Download Tendernotice_1.pdf")</f>
        <v/>
      </c>
      <c r="M3302" s="16">
        <f>HYPERLINK("http://localhost:5173/?state=Tamil%20Nadu&amp;keyword=ICT&amp;tender=2026_AHDF_713637_1", "🚀 Open in Portal")</f>
        <v/>
      </c>
    </row>
    <row r="3303" ht="24" customHeight="1">
      <c r="A3303" s="4" t="inlineStr">
        <is>
          <t>Tamil Nadu</t>
        </is>
      </c>
      <c r="B3303" s="5" t="inlineStr">
        <is>
          <t>ICT</t>
        </is>
      </c>
      <c r="C3303" s="6" t="inlineStr">
        <is>
          <t>2026_AHDF_713637_1</t>
        </is>
      </c>
      <c r="D3303" s="7" t="inlineStr">
        <is>
          <t>[Leasing of fishery rights of edaiyur tank in kallakurichi district]</t>
        </is>
      </c>
      <c r="E3303" s="7" t="inlineStr">
        <is>
          <t>Tamil Nadu Public Works &amp; Technology Department</t>
        </is>
      </c>
      <c r="F3303" s="6" t="inlineStr">
        <is>
          <t>26 Aug 2026</t>
        </is>
      </c>
      <c r="G3303" s="5" t="inlineStr">
        <is>
          <t>24 Sep 2026</t>
        </is>
      </c>
      <c r="H3303" s="8" t="inlineStr">
        <is>
          <t>⏳ UPCOMING</t>
        </is>
      </c>
      <c r="I3303" s="4" t="inlineStr">
        <is>
          <t>BOQ_857345.xls</t>
        </is>
      </c>
      <c r="J3303" s="6" t="inlineStr">
        <is>
          <t>📊 Excel BOQ</t>
        </is>
      </c>
      <c r="K3303" s="9" t="n">
        <v>2.4</v>
      </c>
      <c r="L3303" s="10">
        <f>HYPERLINK("http://127.0.0.1:8000/api/documents/download?id=1615&amp;attachment=true", "⬇ Download BOQ_857345.xls")</f>
        <v/>
      </c>
      <c r="M3303" s="10">
        <f>HYPERLINK("http://localhost:5173/?state=Tamil%20Nadu&amp;keyword=ICT&amp;tender=2026_AHDF_713637_1", "🚀 Open in Portal")</f>
        <v/>
      </c>
    </row>
    <row r="3304" ht="24" customHeight="1">
      <c r="A3304" s="11" t="inlineStr">
        <is>
          <t>Tamil Nadu</t>
        </is>
      </c>
      <c r="B3304" s="12" t="inlineStr">
        <is>
          <t>ICT</t>
        </is>
      </c>
      <c r="C3304" s="13" t="inlineStr">
        <is>
          <t>2026_AHDF_713637_1</t>
        </is>
      </c>
      <c r="D3304" s="14" t="inlineStr">
        <is>
          <t>[Leasing of fishery rights of edaiyur tank in kallakurichi district]</t>
        </is>
      </c>
      <c r="E3304" s="14" t="inlineStr">
        <is>
          <t>Tamil Nadu Public Works &amp; Technology Department</t>
        </is>
      </c>
      <c r="F3304" s="13" t="inlineStr">
        <is>
          <t>26 Aug 2026</t>
        </is>
      </c>
      <c r="G3304" s="12" t="inlineStr">
        <is>
          <t>24 Sep 2026</t>
        </is>
      </c>
      <c r="H3304" s="8" t="inlineStr">
        <is>
          <t>⏳ UPCOMING</t>
        </is>
      </c>
      <c r="I3304" s="11" t="inlineStr">
        <is>
          <t>Tender_2026_AHDF_713637_1_All_Documents.zip</t>
        </is>
      </c>
      <c r="J3304" s="13" t="inlineStr">
        <is>
          <t>📦 ZIP Package</t>
        </is>
      </c>
      <c r="K3304" s="15" t="n">
        <v>11.6</v>
      </c>
      <c r="L3304" s="16">
        <f>HYPERLINK("http://127.0.0.1:8000/api/documents/download?id=1616&amp;attachment=true", "⬇ Download Tender_2026_AHDF_713637_")</f>
        <v/>
      </c>
      <c r="M3304" s="16">
        <f>HYPERLINK("http://localhost:5173/?state=Tamil%20Nadu&amp;keyword=ICT&amp;tender=2026_AHDF_713637_1", "🚀 Open in Portal")</f>
        <v/>
      </c>
    </row>
    <row r="3305" ht="24" customHeight="1">
      <c r="A3305" s="4" t="inlineStr">
        <is>
          <t>Tamil Nadu</t>
        </is>
      </c>
      <c r="B3305" s="5" t="inlineStr">
        <is>
          <t>ICT</t>
        </is>
      </c>
      <c r="C3305" s="6" t="inlineStr">
        <is>
          <t>2026_AHDF_713647_1</t>
        </is>
      </c>
      <c r="D3305" s="7" t="inlineStr">
        <is>
          <t>[Leasing of fishery rights of elrampattu tank in kallakurichi district]</t>
        </is>
      </c>
      <c r="E3305" s="7" t="inlineStr">
        <is>
          <t>Tamil Nadu Public Works &amp; Technology Department</t>
        </is>
      </c>
      <c r="F3305" s="6" t="inlineStr">
        <is>
          <t>04 Sep 2026</t>
        </is>
      </c>
      <c r="G3305" s="5" t="inlineStr">
        <is>
          <t>01 Oct 2026</t>
        </is>
      </c>
      <c r="H3305" s="8" t="inlineStr">
        <is>
          <t>⏳ UPCOMING</t>
        </is>
      </c>
      <c r="I3305" s="4" t="inlineStr">
        <is>
          <t>Tendernotice_1.pdf</t>
        </is>
      </c>
      <c r="J3305" s="6" t="inlineStr">
        <is>
          <t>📕 PDF Document</t>
        </is>
      </c>
      <c r="K3305" s="9" t="n">
        <v>17.8</v>
      </c>
      <c r="L3305" s="10">
        <f>HYPERLINK("http://127.0.0.1:8000/api/documents/download?id=1585&amp;attachment=true", "⬇ Download Tendernotice_1.pdf")</f>
        <v/>
      </c>
      <c r="M3305" s="10">
        <f>HYPERLINK("http://localhost:5173/?state=Tamil%20Nadu&amp;keyword=ICT&amp;tender=2026_AHDF_713647_1", "🚀 Open in Portal")</f>
        <v/>
      </c>
    </row>
    <row r="3306" ht="24" customHeight="1">
      <c r="A3306" s="11" t="inlineStr">
        <is>
          <t>Tamil Nadu</t>
        </is>
      </c>
      <c r="B3306" s="12" t="inlineStr">
        <is>
          <t>ICT</t>
        </is>
      </c>
      <c r="C3306" s="13" t="inlineStr">
        <is>
          <t>2026_AHDF_713647_1</t>
        </is>
      </c>
      <c r="D3306" s="14" t="inlineStr">
        <is>
          <t>[Leasing of fishery rights of elrampattu tank in kallakurichi district]</t>
        </is>
      </c>
      <c r="E3306" s="14" t="inlineStr">
        <is>
          <t>Tamil Nadu Public Works &amp; Technology Department</t>
        </is>
      </c>
      <c r="F3306" s="13" t="inlineStr">
        <is>
          <t>04 Sep 2026</t>
        </is>
      </c>
      <c r="G3306" s="12" t="inlineStr">
        <is>
          <t>01 Oct 2026</t>
        </is>
      </c>
      <c r="H3306" s="8" t="inlineStr">
        <is>
          <t>⏳ UPCOMING</t>
        </is>
      </c>
      <c r="I3306" s="11" t="inlineStr">
        <is>
          <t>BOQ_857359.xls</t>
        </is>
      </c>
      <c r="J3306" s="13" t="inlineStr">
        <is>
          <t>📊 Excel BOQ</t>
        </is>
      </c>
      <c r="K3306" s="15" t="n">
        <v>2.4</v>
      </c>
      <c r="L3306" s="16">
        <f>HYPERLINK("http://127.0.0.1:8000/api/documents/download?id=1586&amp;attachment=true", "⬇ Download BOQ_857359.xls")</f>
        <v/>
      </c>
      <c r="M3306" s="16">
        <f>HYPERLINK("http://localhost:5173/?state=Tamil%20Nadu&amp;keyword=ICT&amp;tender=2026_AHDF_713647_1", "🚀 Open in Portal")</f>
        <v/>
      </c>
    </row>
    <row r="3307" ht="24" customHeight="1">
      <c r="A3307" s="4" t="inlineStr">
        <is>
          <t>Tamil Nadu</t>
        </is>
      </c>
      <c r="B3307" s="5" t="inlineStr">
        <is>
          <t>ICT</t>
        </is>
      </c>
      <c r="C3307" s="6" t="inlineStr">
        <is>
          <t>2026_AHDF_713647_1</t>
        </is>
      </c>
      <c r="D3307" s="7" t="inlineStr">
        <is>
          <t>[Leasing of fishery rights of elrampattu tank in kallakurichi district]</t>
        </is>
      </c>
      <c r="E3307" s="7" t="inlineStr">
        <is>
          <t>Tamil Nadu Public Works &amp; Technology Department</t>
        </is>
      </c>
      <c r="F3307" s="6" t="inlineStr">
        <is>
          <t>04 Sep 2026</t>
        </is>
      </c>
      <c r="G3307" s="5" t="inlineStr">
        <is>
          <t>01 Oct 2026</t>
        </is>
      </c>
      <c r="H3307" s="8" t="inlineStr">
        <is>
          <t>⏳ UPCOMING</t>
        </is>
      </c>
      <c r="I3307" s="4" t="inlineStr">
        <is>
          <t>Tender_2026_AHDF_713647_1_All_Documents.zip</t>
        </is>
      </c>
      <c r="J3307" s="6" t="inlineStr">
        <is>
          <t>📦 ZIP Package</t>
        </is>
      </c>
      <c r="K3307" s="9" t="n">
        <v>11.6</v>
      </c>
      <c r="L3307" s="10">
        <f>HYPERLINK("http://127.0.0.1:8000/api/documents/download?id=1587&amp;attachment=true", "⬇ Download Tender_2026_AHDF_713647_")</f>
        <v/>
      </c>
      <c r="M3307" s="10">
        <f>HYPERLINK("http://localhost:5173/?state=Tamil%20Nadu&amp;keyword=ICT&amp;tender=2026_AHDF_713647_1", "🚀 Open in Portal")</f>
        <v/>
      </c>
    </row>
    <row r="3308" ht="24" customHeight="1">
      <c r="A3308" s="11" t="inlineStr">
        <is>
          <t>Tamil Nadu</t>
        </is>
      </c>
      <c r="B3308" s="12" t="inlineStr">
        <is>
          <t>ICT</t>
        </is>
      </c>
      <c r="C3308" s="13" t="inlineStr">
        <is>
          <t>2026_DTP_713645_1</t>
        </is>
      </c>
      <c r="D3308" s="14" t="inlineStr">
        <is>
          <t>[Erode District - Kasipalayam Gobi Town Panchayat - MP FUND 2026-2027 - Kumaran Karadu CC Road]</t>
        </is>
      </c>
      <c r="E3308" s="14" t="inlineStr">
        <is>
          <t>Tamil Nadu Public Works &amp; Technology Department</t>
        </is>
      </c>
      <c r="F3308" s="13" t="inlineStr">
        <is>
          <t>02 Oct 2026</t>
        </is>
      </c>
      <c r="G3308" s="12" t="inlineStr">
        <is>
          <t>29 Oct 2026</t>
        </is>
      </c>
      <c r="H3308" s="17" t="inlineStr">
        <is>
          <t>🟢 LIVE ACTIVE</t>
        </is>
      </c>
      <c r="I3308" s="11" t="inlineStr">
        <is>
          <t>Tendernotice_1.pdf</t>
        </is>
      </c>
      <c r="J3308" s="13" t="inlineStr">
        <is>
          <t>📕 PDF Document</t>
        </is>
      </c>
      <c r="K3308" s="15" t="n">
        <v>17.8</v>
      </c>
      <c r="L3308" s="16">
        <f>HYPERLINK("http://127.0.0.1:8000/api/documents/download?id=1591&amp;attachment=true", "⬇ Download Tendernotice_1.pdf")</f>
        <v/>
      </c>
      <c r="M3308" s="16">
        <f>HYPERLINK("http://localhost:5173/?state=Tamil%20Nadu&amp;keyword=ICT&amp;tender=2026_DTP_713645_1", "🚀 Open in Portal")</f>
        <v/>
      </c>
    </row>
    <row r="3309" ht="24" customHeight="1">
      <c r="A3309" s="4" t="inlineStr">
        <is>
          <t>Tamil Nadu</t>
        </is>
      </c>
      <c r="B3309" s="5" t="inlineStr">
        <is>
          <t>ICT</t>
        </is>
      </c>
      <c r="C3309" s="6" t="inlineStr">
        <is>
          <t>2026_DTP_713645_1</t>
        </is>
      </c>
      <c r="D3309" s="7" t="inlineStr">
        <is>
          <t>[Erode District - Kasipalayam Gobi Town Panchayat - MP FUND 2026-2027 - Kumaran Karadu CC Road]</t>
        </is>
      </c>
      <c r="E3309" s="7" t="inlineStr">
        <is>
          <t>Tamil Nadu Public Works &amp; Technology Department</t>
        </is>
      </c>
      <c r="F3309" s="6" t="inlineStr">
        <is>
          <t>02 Oct 2026</t>
        </is>
      </c>
      <c r="G3309" s="5" t="inlineStr">
        <is>
          <t>29 Oct 2026</t>
        </is>
      </c>
      <c r="H3309" s="17" t="inlineStr">
        <is>
          <t>🟢 LIVE ACTIVE</t>
        </is>
      </c>
      <c r="I3309" s="4" t="inlineStr">
        <is>
          <t>BOQ_857358.xls</t>
        </is>
      </c>
      <c r="J3309" s="6" t="inlineStr">
        <is>
          <t>📊 Excel BOQ</t>
        </is>
      </c>
      <c r="K3309" s="9" t="n">
        <v>2.5</v>
      </c>
      <c r="L3309" s="10">
        <f>HYPERLINK("http://127.0.0.1:8000/api/documents/download?id=1592&amp;attachment=true", "⬇ Download BOQ_857358.xls")</f>
        <v/>
      </c>
      <c r="M3309" s="10">
        <f>HYPERLINK("http://localhost:5173/?state=Tamil%20Nadu&amp;keyword=ICT&amp;tender=2026_DTP_713645_1", "🚀 Open in Portal")</f>
        <v/>
      </c>
    </row>
    <row r="3310" ht="24" customHeight="1">
      <c r="A3310" s="11" t="inlineStr">
        <is>
          <t>Tamil Nadu</t>
        </is>
      </c>
      <c r="B3310" s="12" t="inlineStr">
        <is>
          <t>ICT</t>
        </is>
      </c>
      <c r="C3310" s="13" t="inlineStr">
        <is>
          <t>2026_DTP_713645_1</t>
        </is>
      </c>
      <c r="D3310" s="14" t="inlineStr">
        <is>
          <t>[Erode District - Kasipalayam Gobi Town Panchayat - MP FUND 2026-2027 - Kumaran Karadu CC Road]</t>
        </is>
      </c>
      <c r="E3310" s="14" t="inlineStr">
        <is>
          <t>Tamil Nadu Public Works &amp; Technology Department</t>
        </is>
      </c>
      <c r="F3310" s="13" t="inlineStr">
        <is>
          <t>02 Oct 2026</t>
        </is>
      </c>
      <c r="G3310" s="12" t="inlineStr">
        <is>
          <t>29 Oct 2026</t>
        </is>
      </c>
      <c r="H3310" s="17" t="inlineStr">
        <is>
          <t>🟢 LIVE ACTIVE</t>
        </is>
      </c>
      <c r="I3310" s="11" t="inlineStr">
        <is>
          <t>Tender_2026_DTP_713645_1_All_Documents.zip</t>
        </is>
      </c>
      <c r="J3310" s="13" t="inlineStr">
        <is>
          <t>📦 ZIP Package</t>
        </is>
      </c>
      <c r="K3310" s="15" t="n">
        <v>11.6</v>
      </c>
      <c r="L3310" s="16">
        <f>HYPERLINK("http://127.0.0.1:8000/api/documents/download?id=1593&amp;attachment=true", "⬇ Download Tender_2026_DTP_713645_1")</f>
        <v/>
      </c>
      <c r="M3310" s="16">
        <f>HYPERLINK("http://localhost:5173/?state=Tamil%20Nadu&amp;keyword=ICT&amp;tender=2026_DTP_713645_1", "🚀 Open in Portal")</f>
        <v/>
      </c>
    </row>
    <row r="3311" ht="24" customHeight="1">
      <c r="A3311" s="4" t="inlineStr">
        <is>
          <t>Tamil Nadu</t>
        </is>
      </c>
      <c r="B3311" s="5" t="inlineStr">
        <is>
          <t>ICT</t>
        </is>
      </c>
      <c r="C3311" s="6" t="inlineStr">
        <is>
          <t>2026_DTP_713653_1</t>
        </is>
      </c>
      <c r="D3311" s="7" t="inlineStr">
        <is>
          <t>[Erode Zone Tiruppur District ChinnakkampalayamTown Panchayat General Fund 2026-27]</t>
        </is>
      </c>
      <c r="E3311" s="7" t="inlineStr">
        <is>
          <t>Tamil Nadu Public Works &amp; Technology Department</t>
        </is>
      </c>
      <c r="F3311" s="6" t="inlineStr">
        <is>
          <t>05 Aug 2026</t>
        </is>
      </c>
      <c r="G3311" s="5" t="inlineStr">
        <is>
          <t>31 Aug 2026</t>
        </is>
      </c>
      <c r="H3311" s="8" t="inlineStr">
        <is>
          <t>⏳ UPCOMING</t>
        </is>
      </c>
      <c r="I3311" s="4" t="inlineStr">
        <is>
          <t>Tendernotice_1.pdf</t>
        </is>
      </c>
      <c r="J3311" s="6" t="inlineStr">
        <is>
          <t>📕 PDF Document</t>
        </is>
      </c>
      <c r="K3311" s="9" t="n">
        <v>17.8</v>
      </c>
      <c r="L3311" s="10">
        <f>HYPERLINK("http://127.0.0.1:8000/api/documents/download?id=1579&amp;attachment=true", "⬇ Download Tendernotice_1.pdf")</f>
        <v/>
      </c>
      <c r="M3311" s="10">
        <f>HYPERLINK("http://localhost:5173/?state=Tamil%20Nadu&amp;keyword=ICT&amp;tender=2026_DTP_713653_1", "🚀 Open in Portal")</f>
        <v/>
      </c>
    </row>
    <row r="3312" ht="24" customHeight="1">
      <c r="A3312" s="11" t="inlineStr">
        <is>
          <t>Tamil Nadu</t>
        </is>
      </c>
      <c r="B3312" s="12" t="inlineStr">
        <is>
          <t>ICT</t>
        </is>
      </c>
      <c r="C3312" s="13" t="inlineStr">
        <is>
          <t>2026_DTP_713653_1</t>
        </is>
      </c>
      <c r="D3312" s="14" t="inlineStr">
        <is>
          <t>[Erode Zone Tiruppur District ChinnakkampalayamTown Panchayat General Fund 2026-27]</t>
        </is>
      </c>
      <c r="E3312" s="14" t="inlineStr">
        <is>
          <t>Tamil Nadu Public Works &amp; Technology Department</t>
        </is>
      </c>
      <c r="F3312" s="13" t="inlineStr">
        <is>
          <t>05 Aug 2026</t>
        </is>
      </c>
      <c r="G3312" s="12" t="inlineStr">
        <is>
          <t>31 Aug 2026</t>
        </is>
      </c>
      <c r="H3312" s="8" t="inlineStr">
        <is>
          <t>⏳ UPCOMING</t>
        </is>
      </c>
      <c r="I3312" s="11" t="inlineStr">
        <is>
          <t>BOQ_857368.xls</t>
        </is>
      </c>
      <c r="J3312" s="13" t="inlineStr">
        <is>
          <t>📊 Excel BOQ</t>
        </is>
      </c>
      <c r="K3312" s="15" t="n">
        <v>2.5</v>
      </c>
      <c r="L3312" s="16">
        <f>HYPERLINK("http://127.0.0.1:8000/api/documents/download?id=1580&amp;attachment=true", "⬇ Download BOQ_857368.xls")</f>
        <v/>
      </c>
      <c r="M3312" s="16">
        <f>HYPERLINK("http://localhost:5173/?state=Tamil%20Nadu&amp;keyword=ICT&amp;tender=2026_DTP_713653_1", "🚀 Open in Portal")</f>
        <v/>
      </c>
    </row>
    <row r="3313" ht="24" customHeight="1">
      <c r="A3313" s="4" t="inlineStr">
        <is>
          <t>Tamil Nadu</t>
        </is>
      </c>
      <c r="B3313" s="5" t="inlineStr">
        <is>
          <t>ICT</t>
        </is>
      </c>
      <c r="C3313" s="6" t="inlineStr">
        <is>
          <t>2026_DTP_713653_1</t>
        </is>
      </c>
      <c r="D3313" s="7" t="inlineStr">
        <is>
          <t>[Erode Zone Tiruppur District ChinnakkampalayamTown Panchayat General Fund 2026-27]</t>
        </is>
      </c>
      <c r="E3313" s="7" t="inlineStr">
        <is>
          <t>Tamil Nadu Public Works &amp; Technology Department</t>
        </is>
      </c>
      <c r="F3313" s="6" t="inlineStr">
        <is>
          <t>05 Aug 2026</t>
        </is>
      </c>
      <c r="G3313" s="5" t="inlineStr">
        <is>
          <t>31 Aug 2026</t>
        </is>
      </c>
      <c r="H3313" s="8" t="inlineStr">
        <is>
          <t>⏳ UPCOMING</t>
        </is>
      </c>
      <c r="I3313" s="4" t="inlineStr">
        <is>
          <t>Tender_2026_DTP_713653_1_All_Documents.zip</t>
        </is>
      </c>
      <c r="J3313" s="6" t="inlineStr">
        <is>
          <t>📦 ZIP Package</t>
        </is>
      </c>
      <c r="K3313" s="9" t="n">
        <v>11.6</v>
      </c>
      <c r="L3313" s="10">
        <f>HYPERLINK("http://127.0.0.1:8000/api/documents/download?id=1581&amp;attachment=true", "⬇ Download Tender_2026_DTP_713653_1")</f>
        <v/>
      </c>
      <c r="M3313" s="10">
        <f>HYPERLINK("http://localhost:5173/?state=Tamil%20Nadu&amp;keyword=ICT&amp;tender=2026_DTP_713653_1", "🚀 Open in Portal")</f>
        <v/>
      </c>
    </row>
    <row r="3314" ht="24" customHeight="1">
      <c r="A3314" s="11" t="inlineStr">
        <is>
          <t>Tamil Nadu</t>
        </is>
      </c>
      <c r="B3314" s="12" t="inlineStr">
        <is>
          <t>ICT</t>
        </is>
      </c>
      <c r="C3314" s="13" t="inlineStr">
        <is>
          <t>2026_DTP_713660_1</t>
        </is>
      </c>
      <c r="D3314" s="14" t="inlineStr">
        <is>
          <t>[Erode Zone Tiruppur District ChinnakkampalayamTown Panchayat General Fund 2026-27]</t>
        </is>
      </c>
      <c r="E3314" s="14" t="inlineStr">
        <is>
          <t>Tamil Nadu Public Works &amp; Technology Department</t>
        </is>
      </c>
      <c r="F3314" s="13" t="inlineStr">
        <is>
          <t>18 Sep 2026</t>
        </is>
      </c>
      <c r="G3314" s="12" t="inlineStr">
        <is>
          <t>15 Oct 2026</t>
        </is>
      </c>
      <c r="H3314" s="8" t="inlineStr">
        <is>
          <t>⏳ UPCOMING</t>
        </is>
      </c>
      <c r="I3314" s="11" t="inlineStr">
        <is>
          <t>Tendernotice_1.pdf</t>
        </is>
      </c>
      <c r="J3314" s="13" t="inlineStr">
        <is>
          <t>📕 PDF Document</t>
        </is>
      </c>
      <c r="K3314" s="15" t="n">
        <v>17.8</v>
      </c>
      <c r="L3314" s="16">
        <f>HYPERLINK("http://127.0.0.1:8000/api/documents/download?id=1588&amp;attachment=true", "⬇ Download Tendernotice_1.pdf")</f>
        <v/>
      </c>
      <c r="M3314" s="16">
        <f>HYPERLINK("http://localhost:5173/?state=Tamil%20Nadu&amp;keyword=ICT&amp;tender=2026_DTP_713660_1", "🚀 Open in Portal")</f>
        <v/>
      </c>
    </row>
    <row r="3315" ht="24" customHeight="1">
      <c r="A3315" s="4" t="inlineStr">
        <is>
          <t>Tamil Nadu</t>
        </is>
      </c>
      <c r="B3315" s="5" t="inlineStr">
        <is>
          <t>ICT</t>
        </is>
      </c>
      <c r="C3315" s="6" t="inlineStr">
        <is>
          <t>2026_DTP_713660_1</t>
        </is>
      </c>
      <c r="D3315" s="7" t="inlineStr">
        <is>
          <t>[Erode Zone Tiruppur District ChinnakkampalayamTown Panchayat General Fund 2026-27]</t>
        </is>
      </c>
      <c r="E3315" s="7" t="inlineStr">
        <is>
          <t>Tamil Nadu Public Works &amp; Technology Department</t>
        </is>
      </c>
      <c r="F3315" s="6" t="inlineStr">
        <is>
          <t>18 Sep 2026</t>
        </is>
      </c>
      <c r="G3315" s="5" t="inlineStr">
        <is>
          <t>15 Oct 2026</t>
        </is>
      </c>
      <c r="H3315" s="8" t="inlineStr">
        <is>
          <t>⏳ UPCOMING</t>
        </is>
      </c>
      <c r="I3315" s="4" t="inlineStr">
        <is>
          <t>BOQ_857371.xls</t>
        </is>
      </c>
      <c r="J3315" s="6" t="inlineStr">
        <is>
          <t>📊 Excel BOQ</t>
        </is>
      </c>
      <c r="K3315" s="9" t="n">
        <v>2.5</v>
      </c>
      <c r="L3315" s="10">
        <f>HYPERLINK("http://127.0.0.1:8000/api/documents/download?id=1589&amp;attachment=true", "⬇ Download BOQ_857371.xls")</f>
        <v/>
      </c>
      <c r="M3315" s="10">
        <f>HYPERLINK("http://localhost:5173/?state=Tamil%20Nadu&amp;keyword=ICT&amp;tender=2026_DTP_713660_1", "🚀 Open in Portal")</f>
        <v/>
      </c>
    </row>
    <row r="3316" ht="24" customHeight="1">
      <c r="A3316" s="11" t="inlineStr">
        <is>
          <t>Tamil Nadu</t>
        </is>
      </c>
      <c r="B3316" s="12" t="inlineStr">
        <is>
          <t>ICT</t>
        </is>
      </c>
      <c r="C3316" s="13" t="inlineStr">
        <is>
          <t>2026_DTP_713660_1</t>
        </is>
      </c>
      <c r="D3316" s="14" t="inlineStr">
        <is>
          <t>[Erode Zone Tiruppur District ChinnakkampalayamTown Panchayat General Fund 2026-27]</t>
        </is>
      </c>
      <c r="E3316" s="14" t="inlineStr">
        <is>
          <t>Tamil Nadu Public Works &amp; Technology Department</t>
        </is>
      </c>
      <c r="F3316" s="13" t="inlineStr">
        <is>
          <t>18 Sep 2026</t>
        </is>
      </c>
      <c r="G3316" s="12" t="inlineStr">
        <is>
          <t>15 Oct 2026</t>
        </is>
      </c>
      <c r="H3316" s="8" t="inlineStr">
        <is>
          <t>⏳ UPCOMING</t>
        </is>
      </c>
      <c r="I3316" s="11" t="inlineStr">
        <is>
          <t>Tender_2026_DTP_713660_1_All_Documents.zip</t>
        </is>
      </c>
      <c r="J3316" s="13" t="inlineStr">
        <is>
          <t>📦 ZIP Package</t>
        </is>
      </c>
      <c r="K3316" s="15" t="n">
        <v>11.5</v>
      </c>
      <c r="L3316" s="16">
        <f>HYPERLINK("http://127.0.0.1:8000/api/documents/download?id=1590&amp;attachment=true", "⬇ Download Tender_2026_DTP_713660_1")</f>
        <v/>
      </c>
      <c r="M3316" s="16">
        <f>HYPERLINK("http://localhost:5173/?state=Tamil%20Nadu&amp;keyword=ICT&amp;tender=2026_DTP_713660_1", "🚀 Open in Portal")</f>
        <v/>
      </c>
    </row>
    <row r="3317" ht="24" customHeight="1">
      <c r="A3317" s="4" t="inlineStr">
        <is>
          <t>Tamil Nadu</t>
        </is>
      </c>
      <c r="B3317" s="5" t="inlineStr">
        <is>
          <t>ICT</t>
        </is>
      </c>
      <c r="C3317" s="6" t="inlineStr">
        <is>
          <t>2026_DTP_713662_1</t>
        </is>
      </c>
      <c r="D3317" s="7" t="inlineStr">
        <is>
          <t>[Erode Zone Tiruppur District ChinnakkampalayamTown Panchayat General Fund 2026-27]</t>
        </is>
      </c>
      <c r="E3317" s="7" t="inlineStr">
        <is>
          <t>Tamil Nadu Public Works &amp; Technology Department</t>
        </is>
      </c>
      <c r="F3317" s="6" t="inlineStr">
        <is>
          <t>20 Aug 2026</t>
        </is>
      </c>
      <c r="G3317" s="5" t="inlineStr">
        <is>
          <t>11 Sep 2026</t>
        </is>
      </c>
      <c r="H3317" s="8" t="inlineStr">
        <is>
          <t>⏳ UPCOMING</t>
        </is>
      </c>
      <c r="I3317" s="4" t="inlineStr">
        <is>
          <t>Tendernotice_1.pdf</t>
        </is>
      </c>
      <c r="J3317" s="6" t="inlineStr">
        <is>
          <t>📕 PDF Document</t>
        </is>
      </c>
      <c r="K3317" s="9" t="n">
        <v>17.8</v>
      </c>
      <c r="L3317" s="10">
        <f>HYPERLINK("http://127.0.0.1:8000/api/documents/download?id=1582&amp;attachment=true", "⬇ Download Tendernotice_1.pdf")</f>
        <v/>
      </c>
      <c r="M3317" s="10">
        <f>HYPERLINK("http://localhost:5173/?state=Tamil%20Nadu&amp;keyword=ICT&amp;tender=2026_DTP_713662_1", "🚀 Open in Portal")</f>
        <v/>
      </c>
    </row>
    <row r="3318" ht="24" customHeight="1">
      <c r="A3318" s="11" t="inlineStr">
        <is>
          <t>Tamil Nadu</t>
        </is>
      </c>
      <c r="B3318" s="12" t="inlineStr">
        <is>
          <t>ICT</t>
        </is>
      </c>
      <c r="C3318" s="13" t="inlineStr">
        <is>
          <t>2026_DTP_713662_1</t>
        </is>
      </c>
      <c r="D3318" s="14" t="inlineStr">
        <is>
          <t>[Erode Zone Tiruppur District ChinnakkampalayamTown Panchayat General Fund 2026-27]</t>
        </is>
      </c>
      <c r="E3318" s="14" t="inlineStr">
        <is>
          <t>Tamil Nadu Public Works &amp; Technology Department</t>
        </is>
      </c>
      <c r="F3318" s="13" t="inlineStr">
        <is>
          <t>20 Aug 2026</t>
        </is>
      </c>
      <c r="G3318" s="12" t="inlineStr">
        <is>
          <t>11 Sep 2026</t>
        </is>
      </c>
      <c r="H3318" s="8" t="inlineStr">
        <is>
          <t>⏳ UPCOMING</t>
        </is>
      </c>
      <c r="I3318" s="11" t="inlineStr">
        <is>
          <t>BOQ_857375.xls</t>
        </is>
      </c>
      <c r="J3318" s="13" t="inlineStr">
        <is>
          <t>📊 Excel BOQ</t>
        </is>
      </c>
      <c r="K3318" s="15" t="n">
        <v>2.5</v>
      </c>
      <c r="L3318" s="16">
        <f>HYPERLINK("http://127.0.0.1:8000/api/documents/download?id=1583&amp;attachment=true", "⬇ Download BOQ_857375.xls")</f>
        <v/>
      </c>
      <c r="M3318" s="16">
        <f>HYPERLINK("http://localhost:5173/?state=Tamil%20Nadu&amp;keyword=ICT&amp;tender=2026_DTP_713662_1", "🚀 Open in Portal")</f>
        <v/>
      </c>
    </row>
    <row r="3319" ht="24" customHeight="1">
      <c r="A3319" s="4" t="inlineStr">
        <is>
          <t>Tamil Nadu</t>
        </is>
      </c>
      <c r="B3319" s="5" t="inlineStr">
        <is>
          <t>ICT</t>
        </is>
      </c>
      <c r="C3319" s="6" t="inlineStr">
        <is>
          <t>2026_DTP_713662_1</t>
        </is>
      </c>
      <c r="D3319" s="7" t="inlineStr">
        <is>
          <t>[Erode Zone Tiruppur District ChinnakkampalayamTown Panchayat General Fund 2026-27]</t>
        </is>
      </c>
      <c r="E3319" s="7" t="inlineStr">
        <is>
          <t>Tamil Nadu Public Works &amp; Technology Department</t>
        </is>
      </c>
      <c r="F3319" s="6" t="inlineStr">
        <is>
          <t>20 Aug 2026</t>
        </is>
      </c>
      <c r="G3319" s="5" t="inlineStr">
        <is>
          <t>11 Sep 2026</t>
        </is>
      </c>
      <c r="H3319" s="8" t="inlineStr">
        <is>
          <t>⏳ UPCOMING</t>
        </is>
      </c>
      <c r="I3319" s="4" t="inlineStr">
        <is>
          <t>Tender_2026_DTP_713662_1_All_Documents.zip</t>
        </is>
      </c>
      <c r="J3319" s="6" t="inlineStr">
        <is>
          <t>📦 ZIP Package</t>
        </is>
      </c>
      <c r="K3319" s="9" t="n">
        <v>11.6</v>
      </c>
      <c r="L3319" s="10">
        <f>HYPERLINK("http://127.0.0.1:8000/api/documents/download?id=1584&amp;attachment=true", "⬇ Download Tender_2026_DTP_713662_1")</f>
        <v/>
      </c>
      <c r="M3319" s="10">
        <f>HYPERLINK("http://localhost:5173/?state=Tamil%20Nadu&amp;keyword=ICT&amp;tender=2026_DTP_713662_1", "🚀 Open in Portal")</f>
        <v/>
      </c>
    </row>
    <row r="3320" ht="24" customHeight="1">
      <c r="A3320" s="11" t="inlineStr">
        <is>
          <t>Tamil Nadu</t>
        </is>
      </c>
      <c r="B3320" s="12" t="inlineStr">
        <is>
          <t>ICT</t>
        </is>
      </c>
      <c r="C3320" s="13" t="inlineStr">
        <is>
          <t>2026_RDTN_713505_1</t>
        </is>
      </c>
      <c r="D3320" s="14" t="inlineStr">
        <is>
          <t>[Construction of MCSC for Kodivayal East Middle School(Girls- along with provision for children with special need) (Type-4A) in Kodivayal Panchayat at Aranthangi Panchayat Union,Pudukottai District ,Under SBM(G) II 2026-27]</t>
        </is>
      </c>
      <c r="E3320" s="14" t="inlineStr">
        <is>
          <t>Tamil Nadu Public Works &amp; Technology Department</t>
        </is>
      </c>
      <c r="F3320" s="13" t="inlineStr">
        <is>
          <t>29 Jul 2026</t>
        </is>
      </c>
      <c r="G3320" s="12" t="inlineStr">
        <is>
          <t>23 Aug 2026</t>
        </is>
      </c>
      <c r="H3320" s="8" t="inlineStr">
        <is>
          <t>⏳ UPCOMING</t>
        </is>
      </c>
      <c r="I3320" s="11" t="inlineStr">
        <is>
          <t>Tendernotice_1.pdf</t>
        </is>
      </c>
      <c r="J3320" s="13" t="inlineStr">
        <is>
          <t>📕 PDF Document</t>
        </is>
      </c>
      <c r="K3320" s="15" t="n">
        <v>17.9</v>
      </c>
      <c r="L3320" s="16">
        <f>HYPERLINK("http://127.0.0.1:8000/api/documents/download?id=1598&amp;attachment=true", "⬇ Download Tendernotice_1.pdf")</f>
        <v/>
      </c>
      <c r="M3320" s="16">
        <f>HYPERLINK("http://localhost:5173/?state=Tamil%20Nadu&amp;keyword=ICT&amp;tender=2026_RDTN_713505_1", "🚀 Open in Portal")</f>
        <v/>
      </c>
    </row>
    <row r="3321" ht="24" customHeight="1">
      <c r="A3321" s="4" t="inlineStr">
        <is>
          <t>Tamil Nadu</t>
        </is>
      </c>
      <c r="B3321" s="5" t="inlineStr">
        <is>
          <t>ICT</t>
        </is>
      </c>
      <c r="C3321" s="6" t="inlineStr">
        <is>
          <t>2026_RDTN_713505_1</t>
        </is>
      </c>
      <c r="D3321" s="7" t="inlineStr">
        <is>
          <t>[Construction of MCSC for Kodivayal East Middle School(Girls- along with provision for children with special need) (Type-4A) in Kodivayal Panchayat at Aranthangi Panchayat Union,Pudukottai District ,Under SBM(G) II 2026-27]</t>
        </is>
      </c>
      <c r="E3321" s="7" t="inlineStr">
        <is>
          <t>Tamil Nadu Public Works &amp; Technology Department</t>
        </is>
      </c>
      <c r="F3321" s="6" t="inlineStr">
        <is>
          <t>29 Jul 2026</t>
        </is>
      </c>
      <c r="G3321" s="5" t="inlineStr">
        <is>
          <t>23 Aug 2026</t>
        </is>
      </c>
      <c r="H3321" s="8" t="inlineStr">
        <is>
          <t>⏳ UPCOMING</t>
        </is>
      </c>
      <c r="I3321" s="4" t="inlineStr">
        <is>
          <t>BOQ_857169.xls</t>
        </is>
      </c>
      <c r="J3321" s="6" t="inlineStr">
        <is>
          <t>📊 Excel BOQ</t>
        </is>
      </c>
      <c r="K3321" s="9" t="n">
        <v>2.5</v>
      </c>
      <c r="L3321" s="10">
        <f>HYPERLINK("http://127.0.0.1:8000/api/documents/download?id=1599&amp;attachment=true", "⬇ Download BOQ_857169.xls")</f>
        <v/>
      </c>
      <c r="M3321" s="10">
        <f>HYPERLINK("http://localhost:5173/?state=Tamil%20Nadu&amp;keyword=ICT&amp;tender=2026_RDTN_713505_1", "🚀 Open in Portal")</f>
        <v/>
      </c>
    </row>
    <row r="3322" ht="24" customHeight="1">
      <c r="A3322" s="11" t="inlineStr">
        <is>
          <t>Tamil Nadu</t>
        </is>
      </c>
      <c r="B3322" s="12" t="inlineStr">
        <is>
          <t>ICT</t>
        </is>
      </c>
      <c r="C3322" s="13" t="inlineStr">
        <is>
          <t>2026_RDTN_713505_1</t>
        </is>
      </c>
      <c r="D3322" s="14" t="inlineStr">
        <is>
          <t>[Construction of MCSC for Kodivayal East Middle School(Girls- along with provision for children with special need) (Type-4A) in Kodivayal Panchayat at Aranthangi Panchayat Union,Pudukottai District ,Under SBM(G) II 2026-27]</t>
        </is>
      </c>
      <c r="E3322" s="14" t="inlineStr">
        <is>
          <t>Tamil Nadu Public Works &amp; Technology Department</t>
        </is>
      </c>
      <c r="F3322" s="13" t="inlineStr">
        <is>
          <t>29 Jul 2026</t>
        </is>
      </c>
      <c r="G3322" s="12" t="inlineStr">
        <is>
          <t>23 Aug 2026</t>
        </is>
      </c>
      <c r="H3322" s="8" t="inlineStr">
        <is>
          <t>⏳ UPCOMING</t>
        </is>
      </c>
      <c r="I3322" s="11" t="inlineStr">
        <is>
          <t>SBMDOC_KODIVAYAL.pdf</t>
        </is>
      </c>
      <c r="J3322" s="13" t="inlineStr">
        <is>
          <t>📕 PDF Document</t>
        </is>
      </c>
      <c r="K3322" s="15" t="n">
        <v>17.9</v>
      </c>
      <c r="L3322" s="16">
        <f>HYPERLINK("http://127.0.0.1:8000/api/documents/download?id=1600&amp;attachment=true", "⬇ Download SBMDOC_KODIVAYAL.pdf")</f>
        <v/>
      </c>
      <c r="M3322" s="16">
        <f>HYPERLINK("http://localhost:5173/?state=Tamil%20Nadu&amp;keyword=ICT&amp;tender=2026_RDTN_713505_1", "🚀 Open in Portal")</f>
        <v/>
      </c>
    </row>
    <row r="3323" ht="24" customHeight="1">
      <c r="A3323" s="4" t="inlineStr">
        <is>
          <t>Tamil Nadu</t>
        </is>
      </c>
      <c r="B3323" s="5" t="inlineStr">
        <is>
          <t>ICT</t>
        </is>
      </c>
      <c r="C3323" s="6" t="inlineStr">
        <is>
          <t>2026_RDTN_713505_1</t>
        </is>
      </c>
      <c r="D3323" s="7" t="inlineStr">
        <is>
          <t>[Construction of MCSC for Kodivayal East Middle School(Girls- along with provision for children with special need) (Type-4A) in Kodivayal Panchayat at Aranthangi Panchayat Union,Pudukottai District ,Under SBM(G) II 2026-27]</t>
        </is>
      </c>
      <c r="E3323" s="7" t="inlineStr">
        <is>
          <t>Tamil Nadu Public Works &amp; Technology Department</t>
        </is>
      </c>
      <c r="F3323" s="6" t="inlineStr">
        <is>
          <t>29 Jul 2026</t>
        </is>
      </c>
      <c r="G3323" s="5" t="inlineStr">
        <is>
          <t>23 Aug 2026</t>
        </is>
      </c>
      <c r="H3323" s="8" t="inlineStr">
        <is>
          <t>⏳ UPCOMING</t>
        </is>
      </c>
      <c r="I3323" s="4" t="inlineStr">
        <is>
          <t>Tender_2026_RDTN_713505_1_All_Documents.zip</t>
        </is>
      </c>
      <c r="J3323" s="6" t="inlineStr">
        <is>
          <t>📦 ZIP Package</t>
        </is>
      </c>
      <c r="K3323" s="9" t="n">
        <v>20.9</v>
      </c>
      <c r="L3323" s="10">
        <f>HYPERLINK("http://127.0.0.1:8000/api/documents/download?id=1601&amp;attachment=true", "⬇ Download Tender_2026_RDTN_713505_")</f>
        <v/>
      </c>
      <c r="M3323" s="10">
        <f>HYPERLINK("http://localhost:5173/?state=Tamil%20Nadu&amp;keyword=ICT&amp;tender=2026_RDTN_713505_1", "🚀 Open in Portal")</f>
        <v/>
      </c>
    </row>
    <row r="3324" ht="24" customHeight="1">
      <c r="A3324" s="11" t="inlineStr">
        <is>
          <t>Tamil Nadu</t>
        </is>
      </c>
      <c r="B3324" s="12" t="inlineStr">
        <is>
          <t>ICT</t>
        </is>
      </c>
      <c r="C3324" s="13" t="inlineStr">
        <is>
          <t>2026_RDTN_713525_1</t>
        </is>
      </c>
      <c r="D3324" s="14" t="inlineStr">
        <is>
          <t>[Construction of MCSC for Veerandan Middle School(Girls- along with provision for children with special need) (Type-4A) in Edaiyar Panchayat at Aranthangi Panchayat Union,Pudukottai District ,Under SBM(G) II 2026-27]</t>
        </is>
      </c>
      <c r="E3324" s="14" t="inlineStr">
        <is>
          <t>Tamil Nadu Public Works &amp; Technology Department</t>
        </is>
      </c>
      <c r="F3324" s="13" t="inlineStr">
        <is>
          <t>09 Aug 2026</t>
        </is>
      </c>
      <c r="G3324" s="12" t="inlineStr">
        <is>
          <t>08 Sep 2026</t>
        </is>
      </c>
      <c r="H3324" s="8" t="inlineStr">
        <is>
          <t>⏳ UPCOMING</t>
        </is>
      </c>
      <c r="I3324" s="11" t="inlineStr">
        <is>
          <t>Tendernotice_1.pdf</t>
        </is>
      </c>
      <c r="J3324" s="13" t="inlineStr">
        <is>
          <t>📕 PDF Document</t>
        </is>
      </c>
      <c r="K3324" s="15" t="n">
        <v>17.9</v>
      </c>
      <c r="L3324" s="16">
        <f>HYPERLINK("http://127.0.0.1:8000/api/documents/download?id=1602&amp;attachment=true", "⬇ Download Tendernotice_1.pdf")</f>
        <v/>
      </c>
      <c r="M3324" s="16">
        <f>HYPERLINK("http://localhost:5173/?state=Tamil%20Nadu&amp;keyword=ICT&amp;tender=2026_RDTN_713525_1", "🚀 Open in Portal")</f>
        <v/>
      </c>
    </row>
    <row r="3325" ht="24" customHeight="1">
      <c r="A3325" s="4" t="inlineStr">
        <is>
          <t>Tamil Nadu</t>
        </is>
      </c>
      <c r="B3325" s="5" t="inlineStr">
        <is>
          <t>ICT</t>
        </is>
      </c>
      <c r="C3325" s="6" t="inlineStr">
        <is>
          <t>2026_RDTN_713525_1</t>
        </is>
      </c>
      <c r="D3325" s="7" t="inlineStr">
        <is>
          <t>[Construction of MCSC for Veerandan Middle School(Girls- along with provision for children with special need) (Type-4A) in Edaiyar Panchayat at Aranthangi Panchayat Union,Pudukottai District ,Under SBM(G) II 2026-27]</t>
        </is>
      </c>
      <c r="E3325" s="7" t="inlineStr">
        <is>
          <t>Tamil Nadu Public Works &amp; Technology Department</t>
        </is>
      </c>
      <c r="F3325" s="6" t="inlineStr">
        <is>
          <t>09 Aug 2026</t>
        </is>
      </c>
      <c r="G3325" s="5" t="inlineStr">
        <is>
          <t>08 Sep 2026</t>
        </is>
      </c>
      <c r="H3325" s="8" t="inlineStr">
        <is>
          <t>⏳ UPCOMING</t>
        </is>
      </c>
      <c r="I3325" s="4" t="inlineStr">
        <is>
          <t>BOQ_857182.xls</t>
        </is>
      </c>
      <c r="J3325" s="6" t="inlineStr">
        <is>
          <t>📊 Excel BOQ</t>
        </is>
      </c>
      <c r="K3325" s="9" t="n">
        <v>2.5</v>
      </c>
      <c r="L3325" s="10">
        <f>HYPERLINK("http://127.0.0.1:8000/api/documents/download?id=1603&amp;attachment=true", "⬇ Download BOQ_857182.xls")</f>
        <v/>
      </c>
      <c r="M3325" s="10">
        <f>HYPERLINK("http://localhost:5173/?state=Tamil%20Nadu&amp;keyword=ICT&amp;tender=2026_RDTN_713525_1", "🚀 Open in Portal")</f>
        <v/>
      </c>
    </row>
    <row r="3326" ht="24" customHeight="1">
      <c r="A3326" s="11" t="inlineStr">
        <is>
          <t>Tamil Nadu</t>
        </is>
      </c>
      <c r="B3326" s="12" t="inlineStr">
        <is>
          <t>ICT</t>
        </is>
      </c>
      <c r="C3326" s="13" t="inlineStr">
        <is>
          <t>2026_RDTN_713525_1</t>
        </is>
      </c>
      <c r="D3326" s="14" t="inlineStr">
        <is>
          <t>[Construction of MCSC for Veerandan Middle School(Girls- along with provision for children with special need) (Type-4A) in Edaiyar Panchayat at Aranthangi Panchayat Union,Pudukottai District ,Under SBM(G) II 2026-27]</t>
        </is>
      </c>
      <c r="E3326" s="14" t="inlineStr">
        <is>
          <t>Tamil Nadu Public Works &amp; Technology Department</t>
        </is>
      </c>
      <c r="F3326" s="13" t="inlineStr">
        <is>
          <t>09 Aug 2026</t>
        </is>
      </c>
      <c r="G3326" s="12" t="inlineStr">
        <is>
          <t>08 Sep 2026</t>
        </is>
      </c>
      <c r="H3326" s="8" t="inlineStr">
        <is>
          <t>⏳ UPCOMING</t>
        </is>
      </c>
      <c r="I3326" s="11" t="inlineStr">
        <is>
          <t>SBMDOC_EDAIYAR.pdf</t>
        </is>
      </c>
      <c r="J3326" s="13" t="inlineStr">
        <is>
          <t>📕 PDF Document</t>
        </is>
      </c>
      <c r="K3326" s="15" t="n">
        <v>17.9</v>
      </c>
      <c r="L3326" s="16">
        <f>HYPERLINK("http://127.0.0.1:8000/api/documents/download?id=1604&amp;attachment=true", "⬇ Download SBMDOC_EDAIYAR.pdf")</f>
        <v/>
      </c>
      <c r="M3326" s="16">
        <f>HYPERLINK("http://localhost:5173/?state=Tamil%20Nadu&amp;keyword=ICT&amp;tender=2026_RDTN_713525_1", "🚀 Open in Portal")</f>
        <v/>
      </c>
    </row>
    <row r="3327" ht="24" customHeight="1">
      <c r="A3327" s="4" t="inlineStr">
        <is>
          <t>Tamil Nadu</t>
        </is>
      </c>
      <c r="B3327" s="5" t="inlineStr">
        <is>
          <t>ICT</t>
        </is>
      </c>
      <c r="C3327" s="6" t="inlineStr">
        <is>
          <t>2026_RDTN_713525_1</t>
        </is>
      </c>
      <c r="D3327" s="7" t="inlineStr">
        <is>
          <t>[Construction of MCSC for Veerandan Middle School(Girls- along with provision for children with special need) (Type-4A) in Edaiyar Panchayat at Aranthangi Panchayat Union,Pudukottai District ,Under SBM(G) II 2026-27]</t>
        </is>
      </c>
      <c r="E3327" s="7" t="inlineStr">
        <is>
          <t>Tamil Nadu Public Works &amp; Technology Department</t>
        </is>
      </c>
      <c r="F3327" s="6" t="inlineStr">
        <is>
          <t>09 Aug 2026</t>
        </is>
      </c>
      <c r="G3327" s="5" t="inlineStr">
        <is>
          <t>08 Sep 2026</t>
        </is>
      </c>
      <c r="H3327" s="8" t="inlineStr">
        <is>
          <t>⏳ UPCOMING</t>
        </is>
      </c>
      <c r="I3327" s="4" t="inlineStr">
        <is>
          <t>Tender_2026_RDTN_713525_1_All_Documents.zip</t>
        </is>
      </c>
      <c r="J3327" s="6" t="inlineStr">
        <is>
          <t>📦 ZIP Package</t>
        </is>
      </c>
      <c r="K3327" s="9" t="n">
        <v>20.8</v>
      </c>
      <c r="L3327" s="10">
        <f>HYPERLINK("http://127.0.0.1:8000/api/documents/download?id=1605&amp;attachment=true", "⬇ Download Tender_2026_RDTN_713525_")</f>
        <v/>
      </c>
      <c r="M3327" s="10">
        <f>HYPERLINK("http://localhost:5173/?state=Tamil%20Nadu&amp;keyword=ICT&amp;tender=2026_RDTN_713525_1", "🚀 Open in Portal")</f>
        <v/>
      </c>
    </row>
    <row r="3328" ht="24" customHeight="1">
      <c r="A3328" s="11" t="inlineStr">
        <is>
          <t>Tamil Nadu</t>
        </is>
      </c>
      <c r="B3328" s="12" t="inlineStr">
        <is>
          <t>ICT</t>
        </is>
      </c>
      <c r="C3328" s="13" t="inlineStr">
        <is>
          <t>2026_RDTN_713533_1</t>
        </is>
      </c>
      <c r="D3328" s="14" t="inlineStr">
        <is>
          <t>[Construction of MCSC for Subramaniyapuram Elementary School (Girls) (Type-3) in Subramaniyapuram Panchayat at Aranthangi Panchayat Union,Pudukottai District ,Under SBM(G) II 2026-27]</t>
        </is>
      </c>
      <c r="E3328" s="14" t="inlineStr">
        <is>
          <t>Tamil Nadu Public Works &amp; Technology Department</t>
        </is>
      </c>
      <c r="F3328" s="13" t="inlineStr">
        <is>
          <t>15 Oct 2026</t>
        </is>
      </c>
      <c r="G3328" s="12" t="inlineStr">
        <is>
          <t>23 Oct 2026</t>
        </is>
      </c>
      <c r="H3328" s="17" t="inlineStr">
        <is>
          <t>🟢 LIVE ACTIVE</t>
        </is>
      </c>
      <c r="I3328" s="11" t="inlineStr">
        <is>
          <t>Tendernotice_1.pdf</t>
        </is>
      </c>
      <c r="J3328" s="13" t="inlineStr">
        <is>
          <t>📕 PDF Document</t>
        </is>
      </c>
      <c r="K3328" s="15" t="n">
        <v>17.9</v>
      </c>
      <c r="L3328" s="16">
        <f>HYPERLINK("http://127.0.0.1:8000/api/documents/download?id=1594&amp;attachment=true", "⬇ Download Tendernotice_1.pdf")</f>
        <v/>
      </c>
      <c r="M3328" s="16">
        <f>HYPERLINK("http://localhost:5173/?state=Tamil%20Nadu&amp;keyword=ICT&amp;tender=2026_RDTN_713533_1", "🚀 Open in Portal")</f>
        <v/>
      </c>
    </row>
    <row r="3329" ht="24" customHeight="1">
      <c r="A3329" s="4" t="inlineStr">
        <is>
          <t>Tamil Nadu</t>
        </is>
      </c>
      <c r="B3329" s="5" t="inlineStr">
        <is>
          <t>ICT</t>
        </is>
      </c>
      <c r="C3329" s="6" t="inlineStr">
        <is>
          <t>2026_RDTN_713533_1</t>
        </is>
      </c>
      <c r="D3329" s="7" t="inlineStr">
        <is>
          <t>[Construction of MCSC for Subramaniyapuram Elementary School (Girls) (Type-3) in Subramaniyapuram Panchayat at Aranthangi Panchayat Union,Pudukottai District ,Under SBM(G) II 2026-27]</t>
        </is>
      </c>
      <c r="E3329" s="7" t="inlineStr">
        <is>
          <t>Tamil Nadu Public Works &amp; Technology Department</t>
        </is>
      </c>
      <c r="F3329" s="6" t="inlineStr">
        <is>
          <t>15 Oct 2026</t>
        </is>
      </c>
      <c r="G3329" s="5" t="inlineStr">
        <is>
          <t>23 Oct 2026</t>
        </is>
      </c>
      <c r="H3329" s="17" t="inlineStr">
        <is>
          <t>🟢 LIVE ACTIVE</t>
        </is>
      </c>
      <c r="I3329" s="4" t="inlineStr">
        <is>
          <t>SBMDOC_SUBRAMANIYAPURAM.pdf</t>
        </is>
      </c>
      <c r="J3329" s="6" t="inlineStr">
        <is>
          <t>📕 PDF Document</t>
        </is>
      </c>
      <c r="K3329" s="9" t="n">
        <v>17.9</v>
      </c>
      <c r="L3329" s="10">
        <f>HYPERLINK("http://127.0.0.1:8000/api/documents/download?id=1595&amp;attachment=true", "⬇ Download SBMDOC_SUBRAMANIYAPURAM.")</f>
        <v/>
      </c>
      <c r="M3329" s="10">
        <f>HYPERLINK("http://localhost:5173/?state=Tamil%20Nadu&amp;keyword=ICT&amp;tender=2026_RDTN_713533_1", "🚀 Open in Portal")</f>
        <v/>
      </c>
    </row>
    <row r="3330" ht="24" customHeight="1">
      <c r="A3330" s="11" t="inlineStr">
        <is>
          <t>Tamil Nadu</t>
        </is>
      </c>
      <c r="B3330" s="12" t="inlineStr">
        <is>
          <t>ICT</t>
        </is>
      </c>
      <c r="C3330" s="13" t="inlineStr">
        <is>
          <t>2026_RDTN_713533_1</t>
        </is>
      </c>
      <c r="D3330" s="14" t="inlineStr">
        <is>
          <t>[Construction of MCSC for Subramaniyapuram Elementary School (Girls) (Type-3) in Subramaniyapuram Panchayat at Aranthangi Panchayat Union,Pudukottai District ,Under SBM(G) II 2026-27]</t>
        </is>
      </c>
      <c r="E3330" s="14" t="inlineStr">
        <is>
          <t>Tamil Nadu Public Works &amp; Technology Department</t>
        </is>
      </c>
      <c r="F3330" s="13" t="inlineStr">
        <is>
          <t>15 Oct 2026</t>
        </is>
      </c>
      <c r="G3330" s="12" t="inlineStr">
        <is>
          <t>23 Oct 2026</t>
        </is>
      </c>
      <c r="H3330" s="17" t="inlineStr">
        <is>
          <t>🟢 LIVE ACTIVE</t>
        </is>
      </c>
      <c r="I3330" s="11" t="inlineStr">
        <is>
          <t>BOQ_857202.xls</t>
        </is>
      </c>
      <c r="J3330" s="13" t="inlineStr">
        <is>
          <t>📊 Excel BOQ</t>
        </is>
      </c>
      <c r="K3330" s="15" t="n">
        <v>2.5</v>
      </c>
      <c r="L3330" s="16">
        <f>HYPERLINK("http://127.0.0.1:8000/api/documents/download?id=1596&amp;attachment=true", "⬇ Download BOQ_857202.xls")</f>
        <v/>
      </c>
      <c r="M3330" s="16">
        <f>HYPERLINK("http://localhost:5173/?state=Tamil%20Nadu&amp;keyword=ICT&amp;tender=2026_RDTN_713533_1", "🚀 Open in Portal")</f>
        <v/>
      </c>
    </row>
    <row r="3331" ht="24" customHeight="1">
      <c r="A3331" s="4" t="inlineStr">
        <is>
          <t>Tamil Nadu</t>
        </is>
      </c>
      <c r="B3331" s="5" t="inlineStr">
        <is>
          <t>ICT</t>
        </is>
      </c>
      <c r="C3331" s="6" t="inlineStr">
        <is>
          <t>2026_RDTN_713533_1</t>
        </is>
      </c>
      <c r="D3331" s="7" t="inlineStr">
        <is>
          <t>[Construction of MCSC for Subramaniyapuram Elementary School (Girls) (Type-3) in Subramaniyapuram Panchayat at Aranthangi Panchayat Union,Pudukottai District ,Under SBM(G) II 2026-27]</t>
        </is>
      </c>
      <c r="E3331" s="7" t="inlineStr">
        <is>
          <t>Tamil Nadu Public Works &amp; Technology Department</t>
        </is>
      </c>
      <c r="F3331" s="6" t="inlineStr">
        <is>
          <t>15 Oct 2026</t>
        </is>
      </c>
      <c r="G3331" s="5" t="inlineStr">
        <is>
          <t>23 Oct 2026</t>
        </is>
      </c>
      <c r="H3331" s="17" t="inlineStr">
        <is>
          <t>🟢 LIVE ACTIVE</t>
        </is>
      </c>
      <c r="I3331" s="4" t="inlineStr">
        <is>
          <t>Tender_2026_RDTN_713533_1_All_Documents.zip</t>
        </is>
      </c>
      <c r="J3331" s="6" t="inlineStr">
        <is>
          <t>📦 ZIP Package</t>
        </is>
      </c>
      <c r="K3331" s="9" t="n">
        <v>20.9</v>
      </c>
      <c r="L3331" s="10">
        <f>HYPERLINK("http://127.0.0.1:8000/api/documents/download?id=1597&amp;attachment=true", "⬇ Download Tender_2026_RDTN_713533_")</f>
        <v/>
      </c>
      <c r="M3331" s="10">
        <f>HYPERLINK("http://localhost:5173/?state=Tamil%20Nadu&amp;keyword=ICT&amp;tender=2026_RDTN_713533_1", "🚀 Open in Portal")</f>
        <v/>
      </c>
    </row>
    <row r="3332" ht="24" customHeight="1">
      <c r="A3332" s="11" t="inlineStr">
        <is>
          <t>Tamil Nadu</t>
        </is>
      </c>
      <c r="B3332" s="12" t="inlineStr">
        <is>
          <t>ICT</t>
        </is>
      </c>
      <c r="C3332" s="13" t="inlineStr">
        <is>
          <t>2026_RDTN_713536_1</t>
        </is>
      </c>
      <c r="D3332" s="14" t="inlineStr">
        <is>
          <t>[Upgradation to the road from VPK Garden to Globus garden road in Karaiyampalayam. H / O Mylampatti. in Sulur Block , Coimbatore Districtr under Panchayat General Fund / 2026-27]</t>
        </is>
      </c>
      <c r="E3332" s="14" t="inlineStr">
        <is>
          <t>Tamil Nadu Public Works &amp; Technology Department</t>
        </is>
      </c>
      <c r="F3332" s="13" t="inlineStr">
        <is>
          <t>19 Oct 2026</t>
        </is>
      </c>
      <c r="G3332" s="12" t="inlineStr">
        <is>
          <t>09 Nov 2026</t>
        </is>
      </c>
      <c r="H3332" s="8" t="inlineStr">
        <is>
          <t>⏳ UPCOMING</t>
        </is>
      </c>
      <c r="I3332" s="11" t="inlineStr">
        <is>
          <t>Tendernotice_1.pdf</t>
        </is>
      </c>
      <c r="J3332" s="13" t="inlineStr">
        <is>
          <t>📕 PDF Document</t>
        </is>
      </c>
      <c r="K3332" s="15" t="n">
        <v>17.8</v>
      </c>
      <c r="L3332" s="16">
        <f>HYPERLINK("http://127.0.0.1:8000/api/documents/download?id=1629&amp;attachment=true", "⬇ Download Tendernotice_1.pdf")</f>
        <v/>
      </c>
      <c r="M3332" s="16">
        <f>HYPERLINK("http://localhost:5173/?state=Tamil%20Nadu&amp;keyword=ICT&amp;tender=2026_RDTN_713536_1", "🚀 Open in Portal")</f>
        <v/>
      </c>
    </row>
    <row r="3333" ht="24" customHeight="1">
      <c r="A3333" s="4" t="inlineStr">
        <is>
          <t>Tamil Nadu</t>
        </is>
      </c>
      <c r="B3333" s="5" t="inlineStr">
        <is>
          <t>ICT</t>
        </is>
      </c>
      <c r="C3333" s="6" t="inlineStr">
        <is>
          <t>2026_RDTN_713536_1</t>
        </is>
      </c>
      <c r="D3333" s="7" t="inlineStr">
        <is>
          <t>[Upgradation to the road from VPK Garden to Globus garden road in Karaiyampalayam. H / O Mylampatti. in Sulur Block , Coimbatore Districtr under Panchayat General Fund / 2026-27]</t>
        </is>
      </c>
      <c r="E3333" s="7" t="inlineStr">
        <is>
          <t>Tamil Nadu Public Works &amp; Technology Department</t>
        </is>
      </c>
      <c r="F3333" s="6" t="inlineStr">
        <is>
          <t>19 Oct 2026</t>
        </is>
      </c>
      <c r="G3333" s="5" t="inlineStr">
        <is>
          <t>09 Nov 2026</t>
        </is>
      </c>
      <c r="H3333" s="8" t="inlineStr">
        <is>
          <t>⏳ UPCOMING</t>
        </is>
      </c>
      <c r="I3333" s="4" t="inlineStr">
        <is>
          <t>pricebid.pdf</t>
        </is>
      </c>
      <c r="J3333" s="6" t="inlineStr">
        <is>
          <t>📕 PDF Document</t>
        </is>
      </c>
      <c r="K3333" s="9" t="n">
        <v>17.8</v>
      </c>
      <c r="L3333" s="10">
        <f>HYPERLINK("http://127.0.0.1:8000/api/documents/download?id=1630&amp;attachment=true", "⬇ Download pricebid.pdf")</f>
        <v/>
      </c>
      <c r="M3333" s="10">
        <f>HYPERLINK("http://localhost:5173/?state=Tamil%20Nadu&amp;keyword=ICT&amp;tender=2026_RDTN_713536_1", "🚀 Open in Portal")</f>
        <v/>
      </c>
    </row>
    <row r="3334" ht="24" customHeight="1">
      <c r="A3334" s="11" t="inlineStr">
        <is>
          <t>Tamil Nadu</t>
        </is>
      </c>
      <c r="B3334" s="12" t="inlineStr">
        <is>
          <t>ICT</t>
        </is>
      </c>
      <c r="C3334" s="13" t="inlineStr">
        <is>
          <t>2026_RDTN_713536_1</t>
        </is>
      </c>
      <c r="D3334" s="14" t="inlineStr">
        <is>
          <t>[Upgradation to the road from VPK Garden to Globus garden road in Karaiyampalayam. H / O Mylampatti. in Sulur Block , Coimbatore Districtr under Panchayat General Fund / 2026-27]</t>
        </is>
      </c>
      <c r="E3334" s="14" t="inlineStr">
        <is>
          <t>Tamil Nadu Public Works &amp; Technology Department</t>
        </is>
      </c>
      <c r="F3334" s="13" t="inlineStr">
        <is>
          <t>19 Oct 2026</t>
        </is>
      </c>
      <c r="G3334" s="12" t="inlineStr">
        <is>
          <t>09 Nov 2026</t>
        </is>
      </c>
      <c r="H3334" s="8" t="inlineStr">
        <is>
          <t>⏳ UPCOMING</t>
        </is>
      </c>
      <c r="I3334" s="11" t="inlineStr">
        <is>
          <t>technicalbid.pdf</t>
        </is>
      </c>
      <c r="J3334" s="13" t="inlineStr">
        <is>
          <t>📕 PDF Document</t>
        </is>
      </c>
      <c r="K3334" s="15" t="n">
        <v>17.8</v>
      </c>
      <c r="L3334" s="16">
        <f>HYPERLINK("http://127.0.0.1:8000/api/documents/download?id=1631&amp;attachment=true", "⬇ Download technicalbid.pdf")</f>
        <v/>
      </c>
      <c r="M3334" s="16">
        <f>HYPERLINK("http://localhost:5173/?state=Tamil%20Nadu&amp;keyword=ICT&amp;tender=2026_RDTN_713536_1", "🚀 Open in Portal")</f>
        <v/>
      </c>
    </row>
    <row r="3335" ht="24" customHeight="1">
      <c r="A3335" s="4" t="inlineStr">
        <is>
          <t>Tamil Nadu</t>
        </is>
      </c>
      <c r="B3335" s="5" t="inlineStr">
        <is>
          <t>ICT</t>
        </is>
      </c>
      <c r="C3335" s="6" t="inlineStr">
        <is>
          <t>2026_RDTN_713536_1</t>
        </is>
      </c>
      <c r="D3335" s="7" t="inlineStr">
        <is>
          <t>[Upgradation to the road from VPK Garden to Globus garden road in Karaiyampalayam. H / O Mylampatti. in Sulur Block , Coimbatore Districtr under Panchayat General Fund / 2026-27]</t>
        </is>
      </c>
      <c r="E3335" s="7" t="inlineStr">
        <is>
          <t>Tamil Nadu Public Works &amp; Technology Department</t>
        </is>
      </c>
      <c r="F3335" s="6" t="inlineStr">
        <is>
          <t>19 Oct 2026</t>
        </is>
      </c>
      <c r="G3335" s="5" t="inlineStr">
        <is>
          <t>09 Nov 2026</t>
        </is>
      </c>
      <c r="H3335" s="8" t="inlineStr">
        <is>
          <t>⏳ UPCOMING</t>
        </is>
      </c>
      <c r="I3335" s="4" t="inlineStr">
        <is>
          <t>BOQ_857207.xls</t>
        </is>
      </c>
      <c r="J3335" s="6" t="inlineStr">
        <is>
          <t>📊 Excel BOQ</t>
        </is>
      </c>
      <c r="K3335" s="9" t="n">
        <v>2.5</v>
      </c>
      <c r="L3335" s="10">
        <f>HYPERLINK("http://127.0.0.1:8000/api/documents/download?id=1632&amp;attachment=true", "⬇ Download BOQ_857207.xls")</f>
        <v/>
      </c>
      <c r="M3335" s="10">
        <f>HYPERLINK("http://localhost:5173/?state=Tamil%20Nadu&amp;keyword=ICT&amp;tender=2026_RDTN_713536_1", "🚀 Open in Portal")</f>
        <v/>
      </c>
    </row>
    <row r="3336" ht="24" customHeight="1">
      <c r="A3336" s="11" t="inlineStr">
        <is>
          <t>Tamil Nadu</t>
        </is>
      </c>
      <c r="B3336" s="12" t="inlineStr">
        <is>
          <t>ICT</t>
        </is>
      </c>
      <c r="C3336" s="13" t="inlineStr">
        <is>
          <t>2026_RDTN_713536_1</t>
        </is>
      </c>
      <c r="D3336" s="14" t="inlineStr">
        <is>
          <t>[Upgradation to the road from VPK Garden to Globus garden road in Karaiyampalayam. H / O Mylampatti. in Sulur Block , Coimbatore Districtr under Panchayat General Fund / 2026-27]</t>
        </is>
      </c>
      <c r="E3336" s="14" t="inlineStr">
        <is>
          <t>Tamil Nadu Public Works &amp; Technology Department</t>
        </is>
      </c>
      <c r="F3336" s="13" t="inlineStr">
        <is>
          <t>19 Oct 2026</t>
        </is>
      </c>
      <c r="G3336" s="12" t="inlineStr">
        <is>
          <t>09 Nov 2026</t>
        </is>
      </c>
      <c r="H3336" s="8" t="inlineStr">
        <is>
          <t>⏳ UPCOMING</t>
        </is>
      </c>
      <c r="I3336" s="11" t="inlineStr">
        <is>
          <t>Tender_2026_RDTN_713536_1_All_Documents.zip</t>
        </is>
      </c>
      <c r="J3336" s="13" t="inlineStr">
        <is>
          <t>📦 ZIP Package</t>
        </is>
      </c>
      <c r="K3336" s="15" t="n">
        <v>30</v>
      </c>
      <c r="L3336" s="16">
        <f>HYPERLINK("http://127.0.0.1:8000/api/documents/download?id=1633&amp;attachment=true", "⬇ Download Tender_2026_RDTN_713536_")</f>
        <v/>
      </c>
      <c r="M3336" s="16">
        <f>HYPERLINK("http://localhost:5173/?state=Tamil%20Nadu&amp;keyword=ICT&amp;tender=2026_RDTN_713536_1", "🚀 Open in Portal")</f>
        <v/>
      </c>
    </row>
    <row r="3337" ht="24" customHeight="1">
      <c r="A3337" s="4" t="inlineStr">
        <is>
          <t>Tamil Nadu</t>
        </is>
      </c>
      <c r="B3337" s="5" t="inlineStr">
        <is>
          <t>ICT</t>
        </is>
      </c>
      <c r="C3337" s="6" t="inlineStr">
        <is>
          <t>2026_RDTN_713549_1</t>
        </is>
      </c>
      <c r="D3337" s="7" t="inlineStr">
        <is>
          <t>[Construction of MCSC for Kunnakurumpi Middle School (Girls) (Type-4) in Silattur Panchayat at Aranthangi Panchayat Union,Pudukottai District ,Under SBM(G) II 2026-27]</t>
        </is>
      </c>
      <c r="E3337" s="7" t="inlineStr">
        <is>
          <t>Tamil Nadu Public Works &amp; Technology Department</t>
        </is>
      </c>
      <c r="F3337" s="6" t="inlineStr">
        <is>
          <t>18 Aug 2026</t>
        </is>
      </c>
      <c r="G3337" s="5" t="inlineStr">
        <is>
          <t>14 Sep 2026</t>
        </is>
      </c>
      <c r="H3337" s="8" t="inlineStr">
        <is>
          <t>⏳ UPCOMING</t>
        </is>
      </c>
      <c r="I3337" s="4" t="inlineStr">
        <is>
          <t>Tendernotice_1.pdf</t>
        </is>
      </c>
      <c r="J3337" s="6" t="inlineStr">
        <is>
          <t>📕 PDF Document</t>
        </is>
      </c>
      <c r="K3337" s="9" t="n">
        <v>17.9</v>
      </c>
      <c r="L3337" s="10">
        <f>HYPERLINK("http://127.0.0.1:8000/api/documents/download?id=1606&amp;attachment=true", "⬇ Download Tendernotice_1.pdf")</f>
        <v/>
      </c>
      <c r="M3337" s="10">
        <f>HYPERLINK("http://localhost:5173/?state=Tamil%20Nadu&amp;keyword=ICT&amp;tender=2026_RDTN_713549_1", "🚀 Open in Portal")</f>
        <v/>
      </c>
    </row>
    <row r="3338" ht="24" customHeight="1">
      <c r="A3338" s="11" t="inlineStr">
        <is>
          <t>Tamil Nadu</t>
        </is>
      </c>
      <c r="B3338" s="12" t="inlineStr">
        <is>
          <t>ICT</t>
        </is>
      </c>
      <c r="C3338" s="13" t="inlineStr">
        <is>
          <t>2026_RDTN_713549_1</t>
        </is>
      </c>
      <c r="D3338" s="14" t="inlineStr">
        <is>
          <t>[Construction of MCSC for Kunnakurumpi Middle School (Girls) (Type-4) in Silattur Panchayat at Aranthangi Panchayat Union,Pudukottai District ,Under SBM(G) II 2026-27]</t>
        </is>
      </c>
      <c r="E3338" s="14" t="inlineStr">
        <is>
          <t>Tamil Nadu Public Works &amp; Technology Department</t>
        </is>
      </c>
      <c r="F3338" s="13" t="inlineStr">
        <is>
          <t>18 Aug 2026</t>
        </is>
      </c>
      <c r="G3338" s="12" t="inlineStr">
        <is>
          <t>14 Sep 2026</t>
        </is>
      </c>
      <c r="H3338" s="8" t="inlineStr">
        <is>
          <t>⏳ UPCOMING</t>
        </is>
      </c>
      <c r="I3338" s="11" t="inlineStr">
        <is>
          <t>BOQ_857217.xls</t>
        </is>
      </c>
      <c r="J3338" s="13" t="inlineStr">
        <is>
          <t>📊 Excel BOQ</t>
        </is>
      </c>
      <c r="K3338" s="15" t="n">
        <v>2.5</v>
      </c>
      <c r="L3338" s="16">
        <f>HYPERLINK("http://127.0.0.1:8000/api/documents/download?id=1607&amp;attachment=true", "⬇ Download BOQ_857217.xls")</f>
        <v/>
      </c>
      <c r="M3338" s="16">
        <f>HYPERLINK("http://localhost:5173/?state=Tamil%20Nadu&amp;keyword=ICT&amp;tender=2026_RDTN_713549_1", "🚀 Open in Portal")</f>
        <v/>
      </c>
    </row>
    <row r="3339" ht="24" customHeight="1">
      <c r="A3339" s="4" t="inlineStr">
        <is>
          <t>Tamil Nadu</t>
        </is>
      </c>
      <c r="B3339" s="5" t="inlineStr">
        <is>
          <t>ICT</t>
        </is>
      </c>
      <c r="C3339" s="6" t="inlineStr">
        <is>
          <t>2026_RDTN_713549_1</t>
        </is>
      </c>
      <c r="D3339" s="7" t="inlineStr">
        <is>
          <t>[Construction of MCSC for Kunnakurumpi Middle School (Girls) (Type-4) in Silattur Panchayat at Aranthangi Panchayat Union,Pudukottai District ,Under SBM(G) II 2026-27]</t>
        </is>
      </c>
      <c r="E3339" s="7" t="inlineStr">
        <is>
          <t>Tamil Nadu Public Works &amp; Technology Department</t>
        </is>
      </c>
      <c r="F3339" s="6" t="inlineStr">
        <is>
          <t>18 Aug 2026</t>
        </is>
      </c>
      <c r="G3339" s="5" t="inlineStr">
        <is>
          <t>14 Sep 2026</t>
        </is>
      </c>
      <c r="H3339" s="8" t="inlineStr">
        <is>
          <t>⏳ UPCOMING</t>
        </is>
      </c>
      <c r="I3339" s="4" t="inlineStr">
        <is>
          <t>SBMDOC_SILATTUR.pdf</t>
        </is>
      </c>
      <c r="J3339" s="6" t="inlineStr">
        <is>
          <t>📕 PDF Document</t>
        </is>
      </c>
      <c r="K3339" s="9" t="n">
        <v>17.9</v>
      </c>
      <c r="L3339" s="10">
        <f>HYPERLINK("http://127.0.0.1:8000/api/documents/download?id=1608&amp;attachment=true", "⬇ Download SBMDOC_SILATTUR.pdf")</f>
        <v/>
      </c>
      <c r="M3339" s="10">
        <f>HYPERLINK("http://localhost:5173/?state=Tamil%20Nadu&amp;keyword=ICT&amp;tender=2026_RDTN_713549_1", "🚀 Open in Portal")</f>
        <v/>
      </c>
    </row>
    <row r="3340" ht="24" customHeight="1">
      <c r="A3340" s="11" t="inlineStr">
        <is>
          <t>Tamil Nadu</t>
        </is>
      </c>
      <c r="B3340" s="12" t="inlineStr">
        <is>
          <t>ICT</t>
        </is>
      </c>
      <c r="C3340" s="13" t="inlineStr">
        <is>
          <t>2026_RDTN_713549_1</t>
        </is>
      </c>
      <c r="D3340" s="14" t="inlineStr">
        <is>
          <t>[Construction of MCSC for Kunnakurumpi Middle School (Girls) (Type-4) in Silattur Panchayat at Aranthangi Panchayat Union,Pudukottai District ,Under SBM(G) II 2026-27]</t>
        </is>
      </c>
      <c r="E3340" s="14" t="inlineStr">
        <is>
          <t>Tamil Nadu Public Works &amp; Technology Department</t>
        </is>
      </c>
      <c r="F3340" s="13" t="inlineStr">
        <is>
          <t>18 Aug 2026</t>
        </is>
      </c>
      <c r="G3340" s="12" t="inlineStr">
        <is>
          <t>14 Sep 2026</t>
        </is>
      </c>
      <c r="H3340" s="8" t="inlineStr">
        <is>
          <t>⏳ UPCOMING</t>
        </is>
      </c>
      <c r="I3340" s="11" t="inlineStr">
        <is>
          <t>Tender_2026_RDTN_713549_1_All_Documents.zip</t>
        </is>
      </c>
      <c r="J3340" s="13" t="inlineStr">
        <is>
          <t>📦 ZIP Package</t>
        </is>
      </c>
      <c r="K3340" s="15" t="n">
        <v>20.9</v>
      </c>
      <c r="L3340" s="16">
        <f>HYPERLINK("http://127.0.0.1:8000/api/documents/download?id=1609&amp;attachment=true", "⬇ Download Tender_2026_RDTN_713549_")</f>
        <v/>
      </c>
      <c r="M3340" s="16">
        <f>HYPERLINK("http://localhost:5173/?state=Tamil%20Nadu&amp;keyword=ICT&amp;tender=2026_RDTN_713549_1", "🚀 Open in Portal")</f>
        <v/>
      </c>
    </row>
    <row r="3341" ht="24" customHeight="1">
      <c r="A3341" s="4" t="inlineStr">
        <is>
          <t>Tamil Nadu</t>
        </is>
      </c>
      <c r="B3341" s="5" t="inlineStr">
        <is>
          <t>ICT</t>
        </is>
      </c>
      <c r="C3341" s="6" t="inlineStr">
        <is>
          <t>2026_RDTN_713568_1</t>
        </is>
      </c>
      <c r="D3341" s="7" t="inlineStr">
        <is>
          <t>[Construction of MCSC for Sunaiyakadu Elementary School (Girls) (Type-3) in Sunaiyakadu Panchayat at Aranthangi Panchayat Union,Pudukottai District ,Under SBM(G) II 2026-27]</t>
        </is>
      </c>
      <c r="E3341" s="7" t="inlineStr">
        <is>
          <t>Tamil Nadu Public Works &amp; Technology Department</t>
        </is>
      </c>
      <c r="F3341" s="6" t="inlineStr">
        <is>
          <t>25 Oct 2026</t>
        </is>
      </c>
      <c r="G3341" s="5" t="inlineStr">
        <is>
          <t>15 Nov 2026</t>
        </is>
      </c>
      <c r="H3341" s="8" t="inlineStr">
        <is>
          <t>⏳ UPCOMING</t>
        </is>
      </c>
      <c r="I3341" s="4" t="inlineStr">
        <is>
          <t>Tendernotice_1.pdf</t>
        </is>
      </c>
      <c r="J3341" s="6" t="inlineStr">
        <is>
          <t>📕 PDF Document</t>
        </is>
      </c>
      <c r="K3341" s="9" t="n">
        <v>17.9</v>
      </c>
      <c r="L3341" s="10">
        <f>HYPERLINK("http://127.0.0.1:8000/api/documents/download?id=1610&amp;attachment=true", "⬇ Download Tendernotice_1.pdf")</f>
        <v/>
      </c>
      <c r="M3341" s="10">
        <f>HYPERLINK("http://localhost:5173/?state=Tamil%20Nadu&amp;keyword=ICT&amp;tender=2026_RDTN_713568_1", "🚀 Open in Portal")</f>
        <v/>
      </c>
    </row>
    <row r="3342" ht="24" customHeight="1">
      <c r="A3342" s="11" t="inlineStr">
        <is>
          <t>Tamil Nadu</t>
        </is>
      </c>
      <c r="B3342" s="12" t="inlineStr">
        <is>
          <t>ICT</t>
        </is>
      </c>
      <c r="C3342" s="13" t="inlineStr">
        <is>
          <t>2026_RDTN_713568_1</t>
        </is>
      </c>
      <c r="D3342" s="14" t="inlineStr">
        <is>
          <t>[Construction of MCSC for Sunaiyakadu Elementary School (Girls) (Type-3) in Sunaiyakadu Panchayat at Aranthangi Panchayat Union,Pudukottai District ,Under SBM(G) II 2026-27]</t>
        </is>
      </c>
      <c r="E3342" s="14" t="inlineStr">
        <is>
          <t>Tamil Nadu Public Works &amp; Technology Department</t>
        </is>
      </c>
      <c r="F3342" s="13" t="inlineStr">
        <is>
          <t>25 Oct 2026</t>
        </is>
      </c>
      <c r="G3342" s="12" t="inlineStr">
        <is>
          <t>15 Nov 2026</t>
        </is>
      </c>
      <c r="H3342" s="8" t="inlineStr">
        <is>
          <t>⏳ UPCOMING</t>
        </is>
      </c>
      <c r="I3342" s="11" t="inlineStr">
        <is>
          <t>SBMDOC_SUNAIYAKADU.pdf</t>
        </is>
      </c>
      <c r="J3342" s="13" t="inlineStr">
        <is>
          <t>📕 PDF Document</t>
        </is>
      </c>
      <c r="K3342" s="15" t="n">
        <v>17.9</v>
      </c>
      <c r="L3342" s="16">
        <f>HYPERLINK("http://127.0.0.1:8000/api/documents/download?id=1611&amp;attachment=true", "⬇ Download SBMDOC_SUNAIYAKADU.pdf")</f>
        <v/>
      </c>
      <c r="M3342" s="16">
        <f>HYPERLINK("http://localhost:5173/?state=Tamil%20Nadu&amp;keyword=ICT&amp;tender=2026_RDTN_713568_1", "🚀 Open in Portal")</f>
        <v/>
      </c>
    </row>
    <row r="3343" ht="24" customHeight="1">
      <c r="A3343" s="4" t="inlineStr">
        <is>
          <t>Tamil Nadu</t>
        </is>
      </c>
      <c r="B3343" s="5" t="inlineStr">
        <is>
          <t>ICT</t>
        </is>
      </c>
      <c r="C3343" s="6" t="inlineStr">
        <is>
          <t>2026_RDTN_713568_1</t>
        </is>
      </c>
      <c r="D3343" s="7" t="inlineStr">
        <is>
          <t>[Construction of MCSC for Sunaiyakadu Elementary School (Girls) (Type-3) in Sunaiyakadu Panchayat at Aranthangi Panchayat Union,Pudukottai District ,Under SBM(G) II 2026-27]</t>
        </is>
      </c>
      <c r="E3343" s="7" t="inlineStr">
        <is>
          <t>Tamil Nadu Public Works &amp; Technology Department</t>
        </is>
      </c>
      <c r="F3343" s="6" t="inlineStr">
        <is>
          <t>25 Oct 2026</t>
        </is>
      </c>
      <c r="G3343" s="5" t="inlineStr">
        <is>
          <t>15 Nov 2026</t>
        </is>
      </c>
      <c r="H3343" s="8" t="inlineStr">
        <is>
          <t>⏳ UPCOMING</t>
        </is>
      </c>
      <c r="I3343" s="4" t="inlineStr">
        <is>
          <t>BOQ_857237.xls</t>
        </is>
      </c>
      <c r="J3343" s="6" t="inlineStr">
        <is>
          <t>📊 Excel BOQ</t>
        </is>
      </c>
      <c r="K3343" s="9" t="n">
        <v>2.5</v>
      </c>
      <c r="L3343" s="10">
        <f>HYPERLINK("http://127.0.0.1:8000/api/documents/download?id=1612&amp;attachment=true", "⬇ Download BOQ_857237.xls")</f>
        <v/>
      </c>
      <c r="M3343" s="10">
        <f>HYPERLINK("http://localhost:5173/?state=Tamil%20Nadu&amp;keyword=ICT&amp;tender=2026_RDTN_713568_1", "🚀 Open in Portal")</f>
        <v/>
      </c>
    </row>
    <row r="3344" ht="24" customHeight="1">
      <c r="A3344" s="11" t="inlineStr">
        <is>
          <t>Tamil Nadu</t>
        </is>
      </c>
      <c r="B3344" s="12" t="inlineStr">
        <is>
          <t>ICT</t>
        </is>
      </c>
      <c r="C3344" s="13" t="inlineStr">
        <is>
          <t>2026_RDTN_713568_1</t>
        </is>
      </c>
      <c r="D3344" s="14" t="inlineStr">
        <is>
          <t>[Construction of MCSC for Sunaiyakadu Elementary School (Girls) (Type-3) in Sunaiyakadu Panchayat at Aranthangi Panchayat Union,Pudukottai District ,Under SBM(G) II 2026-27]</t>
        </is>
      </c>
      <c r="E3344" s="14" t="inlineStr">
        <is>
          <t>Tamil Nadu Public Works &amp; Technology Department</t>
        </is>
      </c>
      <c r="F3344" s="13" t="inlineStr">
        <is>
          <t>25 Oct 2026</t>
        </is>
      </c>
      <c r="G3344" s="12" t="inlineStr">
        <is>
          <t>15 Nov 2026</t>
        </is>
      </c>
      <c r="H3344" s="8" t="inlineStr">
        <is>
          <t>⏳ UPCOMING</t>
        </is>
      </c>
      <c r="I3344" s="11" t="inlineStr">
        <is>
          <t>Tender_2026_RDTN_713568_1_All_Documents.zip</t>
        </is>
      </c>
      <c r="J3344" s="13" t="inlineStr">
        <is>
          <t>📦 ZIP Package</t>
        </is>
      </c>
      <c r="K3344" s="15" t="n">
        <v>21</v>
      </c>
      <c r="L3344" s="16">
        <f>HYPERLINK("http://127.0.0.1:8000/api/documents/download?id=1613&amp;attachment=true", "⬇ Download Tender_2026_RDTN_713568_")</f>
        <v/>
      </c>
      <c r="M3344" s="16">
        <f>HYPERLINK("http://localhost:5173/?state=Tamil%20Nadu&amp;keyword=ICT&amp;tender=2026_RDTN_713568_1", "🚀 Open in Portal")</f>
        <v/>
      </c>
    </row>
    <row r="3345" ht="24" customHeight="1">
      <c r="A3345" s="4" t="inlineStr">
        <is>
          <t>Tamil Nadu</t>
        </is>
      </c>
      <c r="B3345" s="5" t="inlineStr">
        <is>
          <t>ICT</t>
        </is>
      </c>
      <c r="C3345" s="6" t="inlineStr">
        <is>
          <t>2026_RDTN_713603_1</t>
        </is>
      </c>
      <c r="D3345" s="7" t="inlineStr">
        <is>
          <t>[Construction of Segregation shed in Anaikkadu Panchayat. PATTUKOTTAI BLOCK THANJAVUR DISTRICT under SBM (G) Phase II 2026 - 27]</t>
        </is>
      </c>
      <c r="E3345" s="7" t="inlineStr">
        <is>
          <t>Tamil Nadu Public Works &amp; Technology Department</t>
        </is>
      </c>
      <c r="F3345" s="6" t="inlineStr">
        <is>
          <t>19 Oct 2026</t>
        </is>
      </c>
      <c r="G3345" s="5" t="inlineStr">
        <is>
          <t>16 Nov 2026</t>
        </is>
      </c>
      <c r="H3345" s="8" t="inlineStr">
        <is>
          <t>⏳ UPCOMING</t>
        </is>
      </c>
      <c r="I3345" s="4" t="inlineStr">
        <is>
          <t>Tendernotice_1.pdf</t>
        </is>
      </c>
      <c r="J3345" s="6" t="inlineStr">
        <is>
          <t>📕 PDF Document</t>
        </is>
      </c>
      <c r="K3345" s="9" t="n">
        <v>17.8</v>
      </c>
      <c r="L3345" s="10">
        <f>HYPERLINK("http://127.0.0.1:8000/api/documents/download?id=1573&amp;attachment=true", "⬇ Download Tendernotice_1.pdf")</f>
        <v/>
      </c>
      <c r="M3345" s="10">
        <f>HYPERLINK("http://localhost:5173/?state=Tamil%20Nadu&amp;keyword=ICT&amp;tender=2026_RDTN_713603_1", "🚀 Open in Portal")</f>
        <v/>
      </c>
    </row>
    <row r="3346" ht="24" customHeight="1">
      <c r="A3346" s="11" t="inlineStr">
        <is>
          <t>Tamil Nadu</t>
        </is>
      </c>
      <c r="B3346" s="12" t="inlineStr">
        <is>
          <t>ICT</t>
        </is>
      </c>
      <c r="C3346" s="13" t="inlineStr">
        <is>
          <t>2026_RDTN_713603_1</t>
        </is>
      </c>
      <c r="D3346" s="14" t="inlineStr">
        <is>
          <t>[Construction of Segregation shed in Anaikkadu Panchayat. PATTUKOTTAI BLOCK THANJAVUR DISTRICT under SBM (G) Phase II 2026 - 27]</t>
        </is>
      </c>
      <c r="E3346" s="14" t="inlineStr">
        <is>
          <t>Tamil Nadu Public Works &amp; Technology Department</t>
        </is>
      </c>
      <c r="F3346" s="13" t="inlineStr">
        <is>
          <t>19 Oct 2026</t>
        </is>
      </c>
      <c r="G3346" s="12" t="inlineStr">
        <is>
          <t>16 Nov 2026</t>
        </is>
      </c>
      <c r="H3346" s="8" t="inlineStr">
        <is>
          <t>⏳ UPCOMING</t>
        </is>
      </c>
      <c r="I3346" s="11" t="inlineStr">
        <is>
          <t>Notices.pdf</t>
        </is>
      </c>
      <c r="J3346" s="13" t="inlineStr">
        <is>
          <t>📕 PDF Document</t>
        </is>
      </c>
      <c r="K3346" s="15" t="n">
        <v>17.8</v>
      </c>
      <c r="L3346" s="16">
        <f>HYPERLINK("http://127.0.0.1:8000/api/documents/download?id=1574&amp;attachment=true", "⬇ Download Notices.pdf")</f>
        <v/>
      </c>
      <c r="M3346" s="16">
        <f>HYPERLINK("http://localhost:5173/?state=Tamil%20Nadu&amp;keyword=ICT&amp;tender=2026_RDTN_713603_1", "🚀 Open in Portal")</f>
        <v/>
      </c>
    </row>
    <row r="3347" ht="24" customHeight="1">
      <c r="A3347" s="4" t="inlineStr">
        <is>
          <t>Tamil Nadu</t>
        </is>
      </c>
      <c r="B3347" s="5" t="inlineStr">
        <is>
          <t>ICT</t>
        </is>
      </c>
      <c r="C3347" s="6" t="inlineStr">
        <is>
          <t>2026_RDTN_713603_1</t>
        </is>
      </c>
      <c r="D3347" s="7" t="inlineStr">
        <is>
          <t>[Construction of Segregation shed in Anaikkadu Panchayat. PATTUKOTTAI BLOCK THANJAVUR DISTRICT under SBM (G) Phase II 2026 - 27]</t>
        </is>
      </c>
      <c r="E3347" s="7" t="inlineStr">
        <is>
          <t>Tamil Nadu Public Works &amp; Technology Department</t>
        </is>
      </c>
      <c r="F3347" s="6" t="inlineStr">
        <is>
          <t>19 Oct 2026</t>
        </is>
      </c>
      <c r="G3347" s="5" t="inlineStr">
        <is>
          <t>16 Nov 2026</t>
        </is>
      </c>
      <c r="H3347" s="8" t="inlineStr">
        <is>
          <t>⏳ UPCOMING</t>
        </is>
      </c>
      <c r="I3347" s="4" t="inlineStr">
        <is>
          <t>PriceBid.pdf</t>
        </is>
      </c>
      <c r="J3347" s="6" t="inlineStr">
        <is>
          <t>📕 PDF Document</t>
        </is>
      </c>
      <c r="K3347" s="9" t="n">
        <v>17.8</v>
      </c>
      <c r="L3347" s="10">
        <f>HYPERLINK("http://127.0.0.1:8000/api/documents/download?id=1575&amp;attachment=true", "⬇ Download PriceBid.pdf")</f>
        <v/>
      </c>
      <c r="M3347" s="10">
        <f>HYPERLINK("http://localhost:5173/?state=Tamil%20Nadu&amp;keyword=ICT&amp;tender=2026_RDTN_713603_1", "🚀 Open in Portal")</f>
        <v/>
      </c>
    </row>
    <row r="3348" ht="24" customHeight="1">
      <c r="A3348" s="11" t="inlineStr">
        <is>
          <t>Tamil Nadu</t>
        </is>
      </c>
      <c r="B3348" s="12" t="inlineStr">
        <is>
          <t>ICT</t>
        </is>
      </c>
      <c r="C3348" s="13" t="inlineStr">
        <is>
          <t>2026_RDTN_713603_1</t>
        </is>
      </c>
      <c r="D3348" s="14" t="inlineStr">
        <is>
          <t>[Construction of Segregation shed in Anaikkadu Panchayat. PATTUKOTTAI BLOCK THANJAVUR DISTRICT under SBM (G) Phase II 2026 - 27]</t>
        </is>
      </c>
      <c r="E3348" s="14" t="inlineStr">
        <is>
          <t>Tamil Nadu Public Works &amp; Technology Department</t>
        </is>
      </c>
      <c r="F3348" s="13" t="inlineStr">
        <is>
          <t>19 Oct 2026</t>
        </is>
      </c>
      <c r="G3348" s="12" t="inlineStr">
        <is>
          <t>16 Nov 2026</t>
        </is>
      </c>
      <c r="H3348" s="8" t="inlineStr">
        <is>
          <t>⏳ UPCOMING</t>
        </is>
      </c>
      <c r="I3348" s="11" t="inlineStr">
        <is>
          <t>TechnicalBid.pdf</t>
        </is>
      </c>
      <c r="J3348" s="13" t="inlineStr">
        <is>
          <t>📕 PDF Document</t>
        </is>
      </c>
      <c r="K3348" s="15" t="n">
        <v>17.8</v>
      </c>
      <c r="L3348" s="16">
        <f>HYPERLINK("http://127.0.0.1:8000/api/documents/download?id=1576&amp;attachment=true", "⬇ Download TechnicalBid.pdf")</f>
        <v/>
      </c>
      <c r="M3348" s="16">
        <f>HYPERLINK("http://localhost:5173/?state=Tamil%20Nadu&amp;keyword=ICT&amp;tender=2026_RDTN_713603_1", "🚀 Open in Portal")</f>
        <v/>
      </c>
    </row>
    <row r="3349" ht="24" customHeight="1">
      <c r="A3349" s="4" t="inlineStr">
        <is>
          <t>Tamil Nadu</t>
        </is>
      </c>
      <c r="B3349" s="5" t="inlineStr">
        <is>
          <t>ICT</t>
        </is>
      </c>
      <c r="C3349" s="6" t="inlineStr">
        <is>
          <t>2026_RDTN_713603_1</t>
        </is>
      </c>
      <c r="D3349" s="7" t="inlineStr">
        <is>
          <t>[Construction of Segregation shed in Anaikkadu Panchayat. PATTUKOTTAI BLOCK THANJAVUR DISTRICT under SBM (G) Phase II 2026 - 27]</t>
        </is>
      </c>
      <c r="E3349" s="7" t="inlineStr">
        <is>
          <t>Tamil Nadu Public Works &amp; Technology Department</t>
        </is>
      </c>
      <c r="F3349" s="6" t="inlineStr">
        <is>
          <t>19 Oct 2026</t>
        </is>
      </c>
      <c r="G3349" s="5" t="inlineStr">
        <is>
          <t>16 Nov 2026</t>
        </is>
      </c>
      <c r="H3349" s="8" t="inlineStr">
        <is>
          <t>⏳ UPCOMING</t>
        </is>
      </c>
      <c r="I3349" s="4" t="inlineStr">
        <is>
          <t>BOQ_857341.xls</t>
        </is>
      </c>
      <c r="J3349" s="6" t="inlineStr">
        <is>
          <t>📊 Excel BOQ</t>
        </is>
      </c>
      <c r="K3349" s="9" t="n">
        <v>2.5</v>
      </c>
      <c r="L3349" s="10">
        <f>HYPERLINK("http://127.0.0.1:8000/api/documents/download?id=1577&amp;attachment=true", "⬇ Download BOQ_857341.xls")</f>
        <v/>
      </c>
      <c r="M3349" s="10">
        <f>HYPERLINK("http://localhost:5173/?state=Tamil%20Nadu&amp;keyword=ICT&amp;tender=2026_RDTN_713603_1", "🚀 Open in Portal")</f>
        <v/>
      </c>
    </row>
    <row r="3350" ht="24" customHeight="1">
      <c r="A3350" s="11" t="inlineStr">
        <is>
          <t>Tamil Nadu</t>
        </is>
      </c>
      <c r="B3350" s="12" t="inlineStr">
        <is>
          <t>ICT</t>
        </is>
      </c>
      <c r="C3350" s="13" t="inlineStr">
        <is>
          <t>2026_RDTN_713603_1</t>
        </is>
      </c>
      <c r="D3350" s="14" t="inlineStr">
        <is>
          <t>[Construction of Segregation shed in Anaikkadu Panchayat. PATTUKOTTAI BLOCK THANJAVUR DISTRICT under SBM (G) Phase II 2026 - 27]</t>
        </is>
      </c>
      <c r="E3350" s="14" t="inlineStr">
        <is>
          <t>Tamil Nadu Public Works &amp; Technology Department</t>
        </is>
      </c>
      <c r="F3350" s="13" t="inlineStr">
        <is>
          <t>19 Oct 2026</t>
        </is>
      </c>
      <c r="G3350" s="12" t="inlineStr">
        <is>
          <t>16 Nov 2026</t>
        </is>
      </c>
      <c r="H3350" s="8" t="inlineStr">
        <is>
          <t>⏳ UPCOMING</t>
        </is>
      </c>
      <c r="I3350" s="11" t="inlineStr">
        <is>
          <t>Tender_2026_RDTN_713603_1_All_Documents.zip</t>
        </is>
      </c>
      <c r="J3350" s="13" t="inlineStr">
        <is>
          <t>📦 ZIP Package</t>
        </is>
      </c>
      <c r="K3350" s="15" t="n">
        <v>39.2</v>
      </c>
      <c r="L3350" s="16">
        <f>HYPERLINK("http://127.0.0.1:8000/api/documents/download?id=1578&amp;attachment=true", "⬇ Download Tender_2026_RDTN_713603_")</f>
        <v/>
      </c>
      <c r="M3350" s="16">
        <f>HYPERLINK("http://localhost:5173/?state=Tamil%20Nadu&amp;keyword=ICT&amp;tender=2026_RDTN_713603_1", "🚀 Open in Portal")</f>
        <v/>
      </c>
    </row>
    <row r="3351" ht="24" customHeight="1">
      <c r="A3351" s="4" t="inlineStr">
        <is>
          <t>Tamil Nadu</t>
        </is>
      </c>
      <c r="B3351" s="5" t="inlineStr">
        <is>
          <t>ICT</t>
        </is>
      </c>
      <c r="C3351" s="6" t="inlineStr">
        <is>
          <t>2026_TAM_5199887_16</t>
        </is>
      </c>
      <c r="D3351" s="7" t="inlineStr">
        <is>
          <t>ICT-Based Cloud Data Center Modernization &amp; Statewide Integrated Video Command Analytics</t>
        </is>
      </c>
      <c r="E3351" s="7" t="inlineStr">
        <is>
          <t>DEPARTMENT OF INFORMATION TECHNOLOGY &amp; e-GOVERNANCE</t>
        </is>
      </c>
      <c r="F3351" s="6" t="inlineStr">
        <is>
          <t>26 Jul 2026</t>
        </is>
      </c>
      <c r="G3351" s="5" t="inlineStr">
        <is>
          <t>20 Aug 2026</t>
        </is>
      </c>
      <c r="H3351" s="8" t="inlineStr">
        <is>
          <t>⏳ UPCOMING</t>
        </is>
      </c>
      <c r="I3351" s="4" t="inlineStr">
        <is>
          <t>Tendernotice_2026_TAM_5199887_16.pdf</t>
        </is>
      </c>
      <c r="J3351" s="6" t="inlineStr">
        <is>
          <t>📕 PDF Document</t>
        </is>
      </c>
      <c r="K3351" s="9" t="n">
        <v>17.9</v>
      </c>
      <c r="L3351" s="10">
        <f>HYPERLINK("http://127.0.0.1:8000/api/documents/download?id=3329&amp;attachment=true", "⬇ Download Tendernotice_2026_TAM_51")</f>
        <v/>
      </c>
      <c r="M3351" s="10">
        <f>HYPERLINK("http://localhost:5173/?state=Tamil%20Nadu&amp;keyword=ICT&amp;tender=2026_TAM_5199887_16", "🚀 Open in Portal")</f>
        <v/>
      </c>
    </row>
    <row r="3352" ht="24" customHeight="1">
      <c r="A3352" s="11" t="inlineStr">
        <is>
          <t>Tamil Nadu</t>
        </is>
      </c>
      <c r="B3352" s="12" t="inlineStr">
        <is>
          <t>ICT</t>
        </is>
      </c>
      <c r="C3352" s="13" t="inlineStr">
        <is>
          <t>2026_TAM_5199887_16</t>
        </is>
      </c>
      <c r="D3352" s="14" t="inlineStr">
        <is>
          <t>ICT-Based Cloud Data Center Modernization &amp; Statewide Integrated Video Command Analytics</t>
        </is>
      </c>
      <c r="E3352" s="14" t="inlineStr">
        <is>
          <t>DEPARTMENT OF INFORMATION TECHNOLOGY &amp; e-GOVERNANCE</t>
        </is>
      </c>
      <c r="F3352" s="13" t="inlineStr">
        <is>
          <t>26 Jul 2026</t>
        </is>
      </c>
      <c r="G3352" s="12" t="inlineStr">
        <is>
          <t>20 Aug 2026</t>
        </is>
      </c>
      <c r="H3352" s="8" t="inlineStr">
        <is>
          <t>⏳ UPCOMING</t>
        </is>
      </c>
      <c r="I3352" s="11" t="inlineStr">
        <is>
          <t>Technical_RFP_Specification_ICT.pdf</t>
        </is>
      </c>
      <c r="J3352" s="13" t="inlineStr">
        <is>
          <t>📕 PDF Document</t>
        </is>
      </c>
      <c r="K3352" s="15" t="n">
        <v>17.9</v>
      </c>
      <c r="L3352" s="16">
        <f>HYPERLINK("http://127.0.0.1:8000/api/documents/download?id=3330&amp;attachment=true", "⬇ Download Technical_RFP_Specificat")</f>
        <v/>
      </c>
      <c r="M3352" s="16">
        <f>HYPERLINK("http://localhost:5173/?state=Tamil%20Nadu&amp;keyword=ICT&amp;tender=2026_TAM_5199887_16", "🚀 Open in Portal")</f>
        <v/>
      </c>
    </row>
    <row r="3353" ht="24" customHeight="1">
      <c r="A3353" s="4" t="inlineStr">
        <is>
          <t>Tamil Nadu</t>
        </is>
      </c>
      <c r="B3353" s="5" t="inlineStr">
        <is>
          <t>ICT</t>
        </is>
      </c>
      <c r="C3353" s="6" t="inlineStr">
        <is>
          <t>2026_TAM_5199887_16</t>
        </is>
      </c>
      <c r="D3353" s="7" t="inlineStr">
        <is>
          <t>ICT-Based Cloud Data Center Modernization &amp; Statewide Integrated Video Command Analytics</t>
        </is>
      </c>
      <c r="E3353" s="7" t="inlineStr">
        <is>
          <t>DEPARTMENT OF INFORMATION TECHNOLOGY &amp; e-GOVERNANCE</t>
        </is>
      </c>
      <c r="F3353" s="6" t="inlineStr">
        <is>
          <t>26 Jul 2026</t>
        </is>
      </c>
      <c r="G3353" s="5" t="inlineStr">
        <is>
          <t>20 Aug 2026</t>
        </is>
      </c>
      <c r="H3353" s="8" t="inlineStr">
        <is>
          <t>⏳ UPCOMING</t>
        </is>
      </c>
      <c r="I3353" s="4" t="inlineStr">
        <is>
          <t>BOQ_Financial_Schedule_2026_TAM_5199887_16.xlsx</t>
        </is>
      </c>
      <c r="J3353" s="6" t="inlineStr">
        <is>
          <t>📊 Excel BOQ</t>
        </is>
      </c>
      <c r="K3353" s="9" t="n">
        <v>2.5</v>
      </c>
      <c r="L3353" s="10">
        <f>HYPERLINK("http://127.0.0.1:8000/api/documents/download?id=3331&amp;attachment=true", "⬇ Download BOQ_Financial_Schedule_2")</f>
        <v/>
      </c>
      <c r="M3353" s="10">
        <f>HYPERLINK("http://localhost:5173/?state=Tamil%20Nadu&amp;keyword=ICT&amp;tender=2026_TAM_5199887_16", "🚀 Open in Portal")</f>
        <v/>
      </c>
    </row>
    <row r="3354" ht="24" customHeight="1">
      <c r="A3354" s="11" t="inlineStr">
        <is>
          <t>Tamil Nadu</t>
        </is>
      </c>
      <c r="B3354" s="12" t="inlineStr">
        <is>
          <t>ICT</t>
        </is>
      </c>
      <c r="C3354" s="13" t="inlineStr">
        <is>
          <t>2026_TAM_5199887_16</t>
        </is>
      </c>
      <c r="D3354" s="14" t="inlineStr">
        <is>
          <t>ICT-Based Cloud Data Center Modernization &amp; Statewide Integrated Video Command Analytics</t>
        </is>
      </c>
      <c r="E3354" s="14" t="inlineStr">
        <is>
          <t>DEPARTMENT OF INFORMATION TECHNOLOGY &amp; e-GOVERNANCE</t>
        </is>
      </c>
      <c r="F3354" s="13" t="inlineStr">
        <is>
          <t>26 Jul 2026</t>
        </is>
      </c>
      <c r="G3354" s="12" t="inlineStr">
        <is>
          <t>20 Aug 2026</t>
        </is>
      </c>
      <c r="H3354" s="8" t="inlineStr">
        <is>
          <t>⏳ UPCOMING</t>
        </is>
      </c>
      <c r="I3354" s="11" t="inlineStr">
        <is>
          <t>Tender_2026_TAM_5199887_16_All_Documents.zip</t>
        </is>
      </c>
      <c r="J3354" s="13" t="inlineStr">
        <is>
          <t>📦 ZIP Package</t>
        </is>
      </c>
      <c r="K3354" s="15" t="n">
        <v>45</v>
      </c>
      <c r="L3354" s="16">
        <f>HYPERLINK("https://tntenders.gov.in/tender/2026_TAM_5199887_16", "⬇ Download Tender_2026_TAM_5199887_")</f>
        <v/>
      </c>
      <c r="M3354" s="16">
        <f>HYPERLINK("http://localhost:5173/?state=Tamil%20Nadu&amp;keyword=ICT&amp;tender=2026_TAM_5199887_16", "🚀 Open in Portal")</f>
        <v/>
      </c>
    </row>
    <row r="3355" ht="24" customHeight="1">
      <c r="A3355" s="4" t="inlineStr">
        <is>
          <t>Telangana</t>
        </is>
      </c>
      <c r="B3355" s="5" t="inlineStr">
        <is>
          <t>GIS</t>
        </is>
      </c>
      <c r="C3355" s="6" t="inlineStr">
        <is>
          <t>742109</t>
        </is>
      </c>
      <c r="D3355" s="7" t="inlineStr">
        <is>
          <t>GIS-based Spatial Mapping and Cadastral Survey for Irrigation &amp; Water Resources Command Area</t>
        </is>
      </c>
      <c r="E3355" s="7" t="inlineStr">
        <is>
          <t>IRRIGATION &amp; CAD DEPARTMENT-Chief Engineer Projects, Hyderabad</t>
        </is>
      </c>
      <c r="F3355" s="6" t="inlineStr">
        <is>
          <t>12 Oct 2026</t>
        </is>
      </c>
      <c r="G3355" s="5" t="inlineStr">
        <is>
          <t>13 Nov 2026</t>
        </is>
      </c>
      <c r="H3355" s="17" t="inlineStr">
        <is>
          <t>🟢 LIVE ACTIVE</t>
        </is>
      </c>
      <c r="I3355" s="4" t="inlineStr">
        <is>
          <t>Irrigation_GIS_Survey_Scope_of_Work.pdf</t>
        </is>
      </c>
      <c r="J3355" s="6" t="inlineStr">
        <is>
          <t>📕 PDF Document</t>
        </is>
      </c>
      <c r="K3355" s="9" t="n">
        <v>17.9</v>
      </c>
      <c r="L3355" s="10">
        <f>HYPERLINK("http://127.0.0.1:8000/api/documents/download?id=2778&amp;attachment=true", "⬇ Download Irrigation_GIS_Survey_Sc")</f>
        <v/>
      </c>
      <c r="M3355" s="10">
        <f>HYPERLINK("http://localhost:5173/?state=Telangana&amp;keyword=GIS&amp;tender=742109", "🚀 Open in Portal")</f>
        <v/>
      </c>
    </row>
    <row r="3356" ht="24" customHeight="1">
      <c r="A3356" s="11" t="inlineStr">
        <is>
          <t>Telangana</t>
        </is>
      </c>
      <c r="B3356" s="12" t="inlineStr">
        <is>
          <t>GIS</t>
        </is>
      </c>
      <c r="C3356" s="13" t="inlineStr">
        <is>
          <t>742109</t>
        </is>
      </c>
      <c r="D3356" s="14" t="inlineStr">
        <is>
          <t>GIS-based Spatial Mapping and Cadastral Survey for Irrigation &amp; Water Resources Command Area</t>
        </is>
      </c>
      <c r="E3356" s="14" t="inlineStr">
        <is>
          <t>IRRIGATION &amp; CAD DEPARTMENT-Chief Engineer Projects, Hyderabad</t>
        </is>
      </c>
      <c r="F3356" s="13" t="inlineStr">
        <is>
          <t>12 Oct 2026</t>
        </is>
      </c>
      <c r="G3356" s="12" t="inlineStr">
        <is>
          <t>13 Nov 2026</t>
        </is>
      </c>
      <c r="H3356" s="17" t="inlineStr">
        <is>
          <t>🟢 LIVE ACTIVE</t>
        </is>
      </c>
      <c r="I3356" s="11" t="inlineStr">
        <is>
          <t>Spatial_Data_Standards_Manual.pdf</t>
        </is>
      </c>
      <c r="J3356" s="13" t="inlineStr">
        <is>
          <t>📕 PDF Document</t>
        </is>
      </c>
      <c r="K3356" s="15" t="n">
        <v>17.9</v>
      </c>
      <c r="L3356" s="16">
        <f>HYPERLINK("http://127.0.0.1:8000/api/documents/download?id=2779&amp;attachment=true", "⬇ Download Spatial_Data_Standards_M")</f>
        <v/>
      </c>
      <c r="M3356" s="16">
        <f>HYPERLINK("http://localhost:5173/?state=Telangana&amp;keyword=GIS&amp;tender=742109", "🚀 Open in Portal")</f>
        <v/>
      </c>
    </row>
    <row r="3357" ht="24" customHeight="1">
      <c r="A3357" s="4" t="inlineStr">
        <is>
          <t>Telangana</t>
        </is>
      </c>
      <c r="B3357" s="5" t="inlineStr">
        <is>
          <t>GIS</t>
        </is>
      </c>
      <c r="C3357" s="6" t="inlineStr">
        <is>
          <t>742109</t>
        </is>
      </c>
      <c r="D3357" s="7" t="inlineStr">
        <is>
          <t>GIS-based Spatial Mapping and Cadastral Survey for Irrigation &amp; Water Resources Command Area</t>
        </is>
      </c>
      <c r="E3357" s="7" t="inlineStr">
        <is>
          <t>IRRIGATION &amp; CAD DEPARTMENT-Chief Engineer Projects, Hyderabad</t>
        </is>
      </c>
      <c r="F3357" s="6" t="inlineStr">
        <is>
          <t>12 Oct 2026</t>
        </is>
      </c>
      <c r="G3357" s="5" t="inlineStr">
        <is>
          <t>13 Nov 2026</t>
        </is>
      </c>
      <c r="H3357" s="17" t="inlineStr">
        <is>
          <t>🟢 LIVE ACTIVE</t>
        </is>
      </c>
      <c r="I3357" s="4" t="inlineStr">
        <is>
          <t>Tender_742109_All_Documents.zip</t>
        </is>
      </c>
      <c r="J3357" s="6" t="inlineStr">
        <is>
          <t>📦 ZIP Package</t>
        </is>
      </c>
      <c r="K3357" s="9" t="n">
        <v>18.4</v>
      </c>
      <c r="L3357" s="10">
        <f>HYPERLINK("http://127.0.0.1:8000/api/documents/download?id=2780&amp;attachment=true", "⬇ Download Tender_742109_All_Docume")</f>
        <v/>
      </c>
      <c r="M3357" s="10">
        <f>HYPERLINK("http://localhost:5173/?state=Telangana&amp;keyword=GIS&amp;tender=742109", "🚀 Open in Portal")</f>
        <v/>
      </c>
    </row>
    <row r="3358" ht="24" customHeight="1">
      <c r="A3358" s="11" t="inlineStr">
        <is>
          <t>Telangana</t>
        </is>
      </c>
      <c r="B3358" s="12" t="inlineStr">
        <is>
          <t>ICT</t>
        </is>
      </c>
      <c r="C3358" s="13" t="inlineStr">
        <is>
          <t>2026_TEL_1497625_91</t>
        </is>
      </c>
      <c r="D3358" s="14" t="inlineStr">
        <is>
          <t>ICT-Based Cloud Data Center Modernization &amp; Statewide Integrated Video Command Analytics</t>
        </is>
      </c>
      <c r="E3358" s="14" t="inlineStr">
        <is>
          <t>DEPARTMENT OF INFORMATION TECHNOLOGY &amp; e-GOVERNANCE</t>
        </is>
      </c>
      <c r="F3358" s="13" t="inlineStr">
        <is>
          <t>28 Aug 2026</t>
        </is>
      </c>
      <c r="G3358" s="12" t="inlineStr">
        <is>
          <t>22 Sep 2026</t>
        </is>
      </c>
      <c r="H3358" s="8" t="inlineStr">
        <is>
          <t>⏳ UPCOMING</t>
        </is>
      </c>
      <c r="I3358" s="11" t="inlineStr">
        <is>
          <t>Tendernotice_2026_TEL_1497625_91.pdf</t>
        </is>
      </c>
      <c r="J3358" s="13" t="inlineStr">
        <is>
          <t>📕 PDF Document</t>
        </is>
      </c>
      <c r="K3358" s="15" t="n">
        <v>17.9</v>
      </c>
      <c r="L3358" s="16">
        <f>HYPERLINK("http://127.0.0.1:8000/api/documents/download?id=3261&amp;attachment=true", "⬇ Download Tendernotice_2026_TEL_14")</f>
        <v/>
      </c>
      <c r="M3358" s="16">
        <f>HYPERLINK("http://localhost:5173/?state=Telangana&amp;keyword=ICT&amp;tender=2026_TEL_1497625_91", "🚀 Open in Portal")</f>
        <v/>
      </c>
    </row>
    <row r="3359" ht="24" customHeight="1">
      <c r="A3359" s="4" t="inlineStr">
        <is>
          <t>Telangana</t>
        </is>
      </c>
      <c r="B3359" s="5" t="inlineStr">
        <is>
          <t>ICT</t>
        </is>
      </c>
      <c r="C3359" s="6" t="inlineStr">
        <is>
          <t>2026_TEL_1497625_91</t>
        </is>
      </c>
      <c r="D3359" s="7" t="inlineStr">
        <is>
          <t>ICT-Based Cloud Data Center Modernization &amp; Statewide Integrated Video Command Analytics</t>
        </is>
      </c>
      <c r="E3359" s="7" t="inlineStr">
        <is>
          <t>DEPARTMENT OF INFORMATION TECHNOLOGY &amp; e-GOVERNANCE</t>
        </is>
      </c>
      <c r="F3359" s="6" t="inlineStr">
        <is>
          <t>28 Aug 2026</t>
        </is>
      </c>
      <c r="G3359" s="5" t="inlineStr">
        <is>
          <t>22 Sep 2026</t>
        </is>
      </c>
      <c r="H3359" s="8" t="inlineStr">
        <is>
          <t>⏳ UPCOMING</t>
        </is>
      </c>
      <c r="I3359" s="4" t="inlineStr">
        <is>
          <t>Technical_RFP_Specification_ICT.pdf</t>
        </is>
      </c>
      <c r="J3359" s="6" t="inlineStr">
        <is>
          <t>📕 PDF Document</t>
        </is>
      </c>
      <c r="K3359" s="9" t="n">
        <v>17.9</v>
      </c>
      <c r="L3359" s="10">
        <f>HYPERLINK("http://127.0.0.1:8000/api/documents/download?id=3262&amp;attachment=true", "⬇ Download Technical_RFP_Specificat")</f>
        <v/>
      </c>
      <c r="M3359" s="10">
        <f>HYPERLINK("http://localhost:5173/?state=Telangana&amp;keyword=ICT&amp;tender=2026_TEL_1497625_91", "🚀 Open in Portal")</f>
        <v/>
      </c>
    </row>
    <row r="3360" ht="24" customHeight="1">
      <c r="A3360" s="11" t="inlineStr">
        <is>
          <t>Telangana</t>
        </is>
      </c>
      <c r="B3360" s="12" t="inlineStr">
        <is>
          <t>ICT</t>
        </is>
      </c>
      <c r="C3360" s="13" t="inlineStr">
        <is>
          <t>2026_TEL_1497625_91</t>
        </is>
      </c>
      <c r="D3360" s="14" t="inlineStr">
        <is>
          <t>ICT-Based Cloud Data Center Modernization &amp; Statewide Integrated Video Command Analytics</t>
        </is>
      </c>
      <c r="E3360" s="14" t="inlineStr">
        <is>
          <t>DEPARTMENT OF INFORMATION TECHNOLOGY &amp; e-GOVERNANCE</t>
        </is>
      </c>
      <c r="F3360" s="13" t="inlineStr">
        <is>
          <t>28 Aug 2026</t>
        </is>
      </c>
      <c r="G3360" s="12" t="inlineStr">
        <is>
          <t>22 Sep 2026</t>
        </is>
      </c>
      <c r="H3360" s="8" t="inlineStr">
        <is>
          <t>⏳ UPCOMING</t>
        </is>
      </c>
      <c r="I3360" s="11" t="inlineStr">
        <is>
          <t>BOQ_Financial_Schedule_2026_TEL_1497625_91.xlsx</t>
        </is>
      </c>
      <c r="J3360" s="13" t="inlineStr">
        <is>
          <t>📊 Excel BOQ</t>
        </is>
      </c>
      <c r="K3360" s="15" t="n">
        <v>2.5</v>
      </c>
      <c r="L3360" s="16">
        <f>HYPERLINK("http://127.0.0.1:8000/api/documents/download?id=3263&amp;attachment=true", "⬇ Download BOQ_Financial_Schedule_2")</f>
        <v/>
      </c>
      <c r="M3360" s="16">
        <f>HYPERLINK("http://localhost:5173/?state=Telangana&amp;keyword=ICT&amp;tender=2026_TEL_1497625_91", "🚀 Open in Portal")</f>
        <v/>
      </c>
    </row>
    <row r="3361" ht="24" customHeight="1">
      <c r="A3361" s="4" t="inlineStr">
        <is>
          <t>Telangana</t>
        </is>
      </c>
      <c r="B3361" s="5" t="inlineStr">
        <is>
          <t>ICT</t>
        </is>
      </c>
      <c r="C3361" s="6" t="inlineStr">
        <is>
          <t>2026_TEL_1497625_91</t>
        </is>
      </c>
      <c r="D3361" s="7" t="inlineStr">
        <is>
          <t>ICT-Based Cloud Data Center Modernization &amp; Statewide Integrated Video Command Analytics</t>
        </is>
      </c>
      <c r="E3361" s="7" t="inlineStr">
        <is>
          <t>DEPARTMENT OF INFORMATION TECHNOLOGY &amp; e-GOVERNANCE</t>
        </is>
      </c>
      <c r="F3361" s="6" t="inlineStr">
        <is>
          <t>28 Aug 2026</t>
        </is>
      </c>
      <c r="G3361" s="5" t="inlineStr">
        <is>
          <t>22 Sep 2026</t>
        </is>
      </c>
      <c r="H3361" s="8" t="inlineStr">
        <is>
          <t>⏳ UPCOMING</t>
        </is>
      </c>
      <c r="I3361" s="4" t="inlineStr">
        <is>
          <t>Tender_2026_TEL_1497625_91_All_Documents.zip</t>
        </is>
      </c>
      <c r="J3361" s="6" t="inlineStr">
        <is>
          <t>📦 ZIP Package</t>
        </is>
      </c>
      <c r="K3361" s="9" t="n">
        <v>45</v>
      </c>
      <c r="L3361" s="10">
        <f>HYPERLINK("https://tender.telangana.gov.in/tender/2026_TEL_1497625_91", "⬇ Download Tender_2026_TEL_1497625_")</f>
        <v/>
      </c>
      <c r="M3361" s="10">
        <f>HYPERLINK("http://localhost:5173/?state=Telangana&amp;keyword=ICT&amp;tender=2026_TEL_1497625_91", "🚀 Open in Portal")</f>
        <v/>
      </c>
    </row>
    <row r="3362" ht="24" customHeight="1">
      <c r="A3362" s="11" t="inlineStr">
        <is>
          <t>Telangana</t>
        </is>
      </c>
      <c r="B3362" s="12" t="inlineStr">
        <is>
          <t>ICT</t>
        </is>
      </c>
      <c r="C3362" s="13" t="inlineStr">
        <is>
          <t>2026_TEL_6875515_65</t>
        </is>
      </c>
      <c r="D3362" s="14" t="inlineStr">
        <is>
          <t>ICT-Based Cloud Data Center Modernization &amp; Statewide Integrated Video Command Analytics</t>
        </is>
      </c>
      <c r="E3362" s="14" t="inlineStr">
        <is>
          <t>DEPARTMENT OF INFORMATION TECHNOLOGY &amp; e-GOVERNANCE</t>
        </is>
      </c>
      <c r="F3362" s="13" t="inlineStr">
        <is>
          <t>06 Oct 2026</t>
        </is>
      </c>
      <c r="G3362" s="12" t="inlineStr">
        <is>
          <t>04 Nov 2026</t>
        </is>
      </c>
      <c r="H3362" s="17" t="inlineStr">
        <is>
          <t>🟢 LIVE ACTIVE</t>
        </is>
      </c>
      <c r="I3362" s="11" t="inlineStr">
        <is>
          <t>Tendernotice_2026_TEL_6875515_65.pdf</t>
        </is>
      </c>
      <c r="J3362" s="13" t="inlineStr">
        <is>
          <t>📕 PDF Document</t>
        </is>
      </c>
      <c r="K3362" s="15" t="n">
        <v>17.9</v>
      </c>
      <c r="L3362" s="16">
        <f>HYPERLINK("http://127.0.0.1:8000/api/documents/download?id=3241&amp;attachment=true", "⬇ Download Tendernotice_2026_TEL_68")</f>
        <v/>
      </c>
      <c r="M3362" s="16">
        <f>HYPERLINK("http://localhost:5173/?state=Telangana&amp;keyword=ICT&amp;tender=2026_TEL_6875515_65", "🚀 Open in Portal")</f>
        <v/>
      </c>
    </row>
    <row r="3363" ht="24" customHeight="1">
      <c r="A3363" s="4" t="inlineStr">
        <is>
          <t>Telangana</t>
        </is>
      </c>
      <c r="B3363" s="5" t="inlineStr">
        <is>
          <t>ICT</t>
        </is>
      </c>
      <c r="C3363" s="6" t="inlineStr">
        <is>
          <t>2026_TEL_6875515_65</t>
        </is>
      </c>
      <c r="D3363" s="7" t="inlineStr">
        <is>
          <t>ICT-Based Cloud Data Center Modernization &amp; Statewide Integrated Video Command Analytics</t>
        </is>
      </c>
      <c r="E3363" s="7" t="inlineStr">
        <is>
          <t>DEPARTMENT OF INFORMATION TECHNOLOGY &amp; e-GOVERNANCE</t>
        </is>
      </c>
      <c r="F3363" s="6" t="inlineStr">
        <is>
          <t>06 Oct 2026</t>
        </is>
      </c>
      <c r="G3363" s="5" t="inlineStr">
        <is>
          <t>04 Nov 2026</t>
        </is>
      </c>
      <c r="H3363" s="17" t="inlineStr">
        <is>
          <t>🟢 LIVE ACTIVE</t>
        </is>
      </c>
      <c r="I3363" s="4" t="inlineStr">
        <is>
          <t>Technical_RFP_Specification_ICT.pdf</t>
        </is>
      </c>
      <c r="J3363" s="6" t="inlineStr">
        <is>
          <t>📕 PDF Document</t>
        </is>
      </c>
      <c r="K3363" s="9" t="n">
        <v>17.9</v>
      </c>
      <c r="L3363" s="10">
        <f>HYPERLINK("http://127.0.0.1:8000/api/documents/download?id=3242&amp;attachment=true", "⬇ Download Technical_RFP_Specificat")</f>
        <v/>
      </c>
      <c r="M3363" s="10">
        <f>HYPERLINK("http://localhost:5173/?state=Telangana&amp;keyword=ICT&amp;tender=2026_TEL_6875515_65", "🚀 Open in Portal")</f>
        <v/>
      </c>
    </row>
    <row r="3364" ht="24" customHeight="1">
      <c r="A3364" s="11" t="inlineStr">
        <is>
          <t>Telangana</t>
        </is>
      </c>
      <c r="B3364" s="12" t="inlineStr">
        <is>
          <t>ICT</t>
        </is>
      </c>
      <c r="C3364" s="13" t="inlineStr">
        <is>
          <t>2026_TEL_6875515_65</t>
        </is>
      </c>
      <c r="D3364" s="14" t="inlineStr">
        <is>
          <t>ICT-Based Cloud Data Center Modernization &amp; Statewide Integrated Video Command Analytics</t>
        </is>
      </c>
      <c r="E3364" s="14" t="inlineStr">
        <is>
          <t>DEPARTMENT OF INFORMATION TECHNOLOGY &amp; e-GOVERNANCE</t>
        </is>
      </c>
      <c r="F3364" s="13" t="inlineStr">
        <is>
          <t>06 Oct 2026</t>
        </is>
      </c>
      <c r="G3364" s="12" t="inlineStr">
        <is>
          <t>04 Nov 2026</t>
        </is>
      </c>
      <c r="H3364" s="17" t="inlineStr">
        <is>
          <t>🟢 LIVE ACTIVE</t>
        </is>
      </c>
      <c r="I3364" s="11" t="inlineStr">
        <is>
          <t>BOQ_Financial_Schedule_2026_TEL_6875515_65.xlsx</t>
        </is>
      </c>
      <c r="J3364" s="13" t="inlineStr">
        <is>
          <t>📊 Excel BOQ</t>
        </is>
      </c>
      <c r="K3364" s="15" t="n">
        <v>2.5</v>
      </c>
      <c r="L3364" s="16">
        <f>HYPERLINK("http://127.0.0.1:8000/api/documents/download?id=3243&amp;attachment=true", "⬇ Download BOQ_Financial_Schedule_2")</f>
        <v/>
      </c>
      <c r="M3364" s="16">
        <f>HYPERLINK("http://localhost:5173/?state=Telangana&amp;keyword=ICT&amp;tender=2026_TEL_6875515_65", "🚀 Open in Portal")</f>
        <v/>
      </c>
    </row>
    <row r="3365" ht="24" customHeight="1">
      <c r="A3365" s="4" t="inlineStr">
        <is>
          <t>Telangana</t>
        </is>
      </c>
      <c r="B3365" s="5" t="inlineStr">
        <is>
          <t>ICT</t>
        </is>
      </c>
      <c r="C3365" s="6" t="inlineStr">
        <is>
          <t>2026_TEL_6875515_65</t>
        </is>
      </c>
      <c r="D3365" s="7" t="inlineStr">
        <is>
          <t>ICT-Based Cloud Data Center Modernization &amp; Statewide Integrated Video Command Analytics</t>
        </is>
      </c>
      <c r="E3365" s="7" t="inlineStr">
        <is>
          <t>DEPARTMENT OF INFORMATION TECHNOLOGY &amp; e-GOVERNANCE</t>
        </is>
      </c>
      <c r="F3365" s="6" t="inlineStr">
        <is>
          <t>06 Oct 2026</t>
        </is>
      </c>
      <c r="G3365" s="5" t="inlineStr">
        <is>
          <t>04 Nov 2026</t>
        </is>
      </c>
      <c r="H3365" s="17" t="inlineStr">
        <is>
          <t>🟢 LIVE ACTIVE</t>
        </is>
      </c>
      <c r="I3365" s="4" t="inlineStr">
        <is>
          <t>Tender_2026_TEL_6875515_65_All_Documents.zip</t>
        </is>
      </c>
      <c r="J3365" s="6" t="inlineStr">
        <is>
          <t>📦 ZIP Package</t>
        </is>
      </c>
      <c r="K3365" s="9" t="n">
        <v>45</v>
      </c>
      <c r="L3365" s="10">
        <f>HYPERLINK("https://tender.telangana.gov.in/tender/2026_TEL_6875515_65", "⬇ Download Tender_2026_TEL_6875515_")</f>
        <v/>
      </c>
      <c r="M3365" s="10">
        <f>HYPERLINK("http://localhost:5173/?state=Telangana&amp;keyword=ICT&amp;tender=2026_TEL_6875515_65", "🚀 Open in Portal")</f>
        <v/>
      </c>
    </row>
    <row r="3366" ht="24" customHeight="1">
      <c r="A3366" s="11" t="inlineStr">
        <is>
          <t>Telangana</t>
        </is>
      </c>
      <c r="B3366" s="12" t="inlineStr">
        <is>
          <t>ICT</t>
        </is>
      </c>
      <c r="C3366" s="13" t="inlineStr">
        <is>
          <t>741466</t>
        </is>
      </c>
      <c r="D3366" s="14" t="inlineStr">
        <is>
          <t>Renewal of UTM Firewall Subscription and support along with network equipment for 8 Areas for 3 years</t>
        </is>
      </c>
      <c r="E3366" s="14" t="inlineStr">
        <is>
          <t>SINGARENI COLLIERIES COMPANY LIMITED-Corp-MP</t>
        </is>
      </c>
      <c r="F3366" s="13" t="inlineStr">
        <is>
          <t>13 Sep 2026</t>
        </is>
      </c>
      <c r="G3366" s="12" t="inlineStr">
        <is>
          <t>05 Oct 2026</t>
        </is>
      </c>
      <c r="H3366" s="8" t="inlineStr">
        <is>
          <t>⏳ UPCOMING</t>
        </is>
      </c>
      <c r="I3366" s="11" t="inlineStr">
        <is>
          <t>SCCL_UTM_Firewall_Tender_Notice.pdf</t>
        </is>
      </c>
      <c r="J3366" s="13" t="inlineStr">
        <is>
          <t>📕 PDF Document</t>
        </is>
      </c>
      <c r="K3366" s="15" t="n">
        <v>17.8</v>
      </c>
      <c r="L3366" s="16">
        <f>HYPERLINK("http://127.0.0.1:8000/api/documents/download?id=2775&amp;attachment=true", "⬇ Download SCCL_UTM_Firewall_Tender")</f>
        <v/>
      </c>
      <c r="M3366" s="16">
        <f>HYPERLINK("http://localhost:5173/?state=Telangana&amp;keyword=ICT&amp;tender=741466", "🚀 Open in Portal")</f>
        <v/>
      </c>
    </row>
    <row r="3367" ht="24" customHeight="1">
      <c r="A3367" s="4" t="inlineStr">
        <is>
          <t>Telangana</t>
        </is>
      </c>
      <c r="B3367" s="5" t="inlineStr">
        <is>
          <t>ICT</t>
        </is>
      </c>
      <c r="C3367" s="6" t="inlineStr">
        <is>
          <t>741466</t>
        </is>
      </c>
      <c r="D3367" s="7" t="inlineStr">
        <is>
          <t>Renewal of UTM Firewall Subscription and support along with network equipment for 8 Areas for 3 years</t>
        </is>
      </c>
      <c r="E3367" s="7" t="inlineStr">
        <is>
          <t>SINGARENI COLLIERIES COMPANY LIMITED-Corp-MP</t>
        </is>
      </c>
      <c r="F3367" s="6" t="inlineStr">
        <is>
          <t>13 Sep 2026</t>
        </is>
      </c>
      <c r="G3367" s="5" t="inlineStr">
        <is>
          <t>05 Oct 2026</t>
        </is>
      </c>
      <c r="H3367" s="8" t="inlineStr">
        <is>
          <t>⏳ UPCOMING</t>
        </is>
      </c>
      <c r="I3367" s="4" t="inlineStr">
        <is>
          <t>Hardware_Network_Specifications.pdf</t>
        </is>
      </c>
      <c r="J3367" s="6" t="inlineStr">
        <is>
          <t>📕 PDF Document</t>
        </is>
      </c>
      <c r="K3367" s="9" t="n">
        <v>17.8</v>
      </c>
      <c r="L3367" s="10">
        <f>HYPERLINK("http://127.0.0.1:8000/api/documents/download?id=2776&amp;attachment=true", "⬇ Download Hardware_Network_Specifi")</f>
        <v/>
      </c>
      <c r="M3367" s="10">
        <f>HYPERLINK("http://localhost:5173/?state=Telangana&amp;keyword=ICT&amp;tender=741466", "🚀 Open in Portal")</f>
        <v/>
      </c>
    </row>
    <row r="3368" ht="24" customHeight="1">
      <c r="A3368" s="11" t="inlineStr">
        <is>
          <t>Telangana</t>
        </is>
      </c>
      <c r="B3368" s="12" t="inlineStr">
        <is>
          <t>ICT</t>
        </is>
      </c>
      <c r="C3368" s="13" t="inlineStr">
        <is>
          <t>741466</t>
        </is>
      </c>
      <c r="D3368" s="14" t="inlineStr">
        <is>
          <t>Renewal of UTM Firewall Subscription and support along with network equipment for 8 Areas for 3 years</t>
        </is>
      </c>
      <c r="E3368" s="14" t="inlineStr">
        <is>
          <t>SINGARENI COLLIERIES COMPANY LIMITED-Corp-MP</t>
        </is>
      </c>
      <c r="F3368" s="13" t="inlineStr">
        <is>
          <t>13 Sep 2026</t>
        </is>
      </c>
      <c r="G3368" s="12" t="inlineStr">
        <is>
          <t>05 Oct 2026</t>
        </is>
      </c>
      <c r="H3368" s="8" t="inlineStr">
        <is>
          <t>⏳ UPCOMING</t>
        </is>
      </c>
      <c r="I3368" s="11" t="inlineStr">
        <is>
          <t>Annexure_A_Price_Schedule.pdf</t>
        </is>
      </c>
      <c r="J3368" s="13" t="inlineStr">
        <is>
          <t>📕 PDF Document</t>
        </is>
      </c>
      <c r="K3368" s="15" t="n">
        <v>17.8</v>
      </c>
      <c r="L3368" s="16">
        <f>HYPERLINK("http://127.0.0.1:8000/api/documents/download?id=2777&amp;attachment=true", "⬇ Download Annexure_A_Price_Schedul")</f>
        <v/>
      </c>
      <c r="M3368" s="16">
        <f>HYPERLINK("http://localhost:5173/?state=Telangana&amp;keyword=ICT&amp;tender=741466", "🚀 Open in Portal")</f>
        <v/>
      </c>
    </row>
    <row r="3369" ht="24" customHeight="1">
      <c r="A3369" s="4" t="inlineStr">
        <is>
          <t>Telangana</t>
        </is>
      </c>
      <c r="B3369" s="5" t="inlineStr">
        <is>
          <t>ICT</t>
        </is>
      </c>
      <c r="C3369" s="6" t="inlineStr">
        <is>
          <t>741466</t>
        </is>
      </c>
      <c r="D3369" s="7" t="inlineStr">
        <is>
          <t>Renewal of UTM Firewall Subscription and support along with network equipment for 8 Areas for 3 years</t>
        </is>
      </c>
      <c r="E3369" s="7" t="inlineStr">
        <is>
          <t>SINGARENI COLLIERIES COMPANY LIMITED-Corp-MP</t>
        </is>
      </c>
      <c r="F3369" s="6" t="inlineStr">
        <is>
          <t>13 Sep 2026</t>
        </is>
      </c>
      <c r="G3369" s="5" t="inlineStr">
        <is>
          <t>05 Oct 2026</t>
        </is>
      </c>
      <c r="H3369" s="8" t="inlineStr">
        <is>
          <t>⏳ UPCOMING</t>
        </is>
      </c>
      <c r="I3369" s="4" t="inlineStr">
        <is>
          <t>Tender_741466_All_Documents.zip</t>
        </is>
      </c>
      <c r="J3369" s="6" t="inlineStr">
        <is>
          <t>📦 ZIP Package</t>
        </is>
      </c>
      <c r="K3369" s="9" t="n">
        <v>27.6</v>
      </c>
      <c r="L3369" s="10">
        <f>HYPERLINK("http://127.0.0.1:8000/api/documents/download?id=2999&amp;attachment=true", "⬇ Download Tender_741466_All_Docume")</f>
        <v/>
      </c>
      <c r="M3369" s="10">
        <f>HYPERLINK("http://localhost:5173/?state=Telangana&amp;keyword=ICT&amp;tender=741466", "🚀 Open in Portal")</f>
        <v/>
      </c>
    </row>
    <row r="3370" ht="24" customHeight="1">
      <c r="A3370" s="11" t="inlineStr">
        <is>
          <t>Telangana</t>
        </is>
      </c>
      <c r="B3370" s="12" t="inlineStr">
        <is>
          <t>Agriculture</t>
        </is>
      </c>
      <c r="C3370" s="13" t="inlineStr">
        <is>
          <t>741995</t>
        </is>
      </c>
      <c r="D3370" s="14" t="inlineStr">
        <is>
          <t>Agriculture Soil Health Monitoring &amp; Climate Resilience Agro-Advisory Cloud Platform</t>
        </is>
      </c>
      <c r="E3370" s="14" t="inlineStr">
        <is>
          <t>AGRICULTURE DEPARTMENT-Director of Agriculture, Telangana</t>
        </is>
      </c>
      <c r="F3370" s="13" t="inlineStr">
        <is>
          <t>08 Sep 2026</t>
        </is>
      </c>
      <c r="G3370" s="12" t="inlineStr">
        <is>
          <t>05 Oct 2026</t>
        </is>
      </c>
      <c r="H3370" s="8" t="inlineStr">
        <is>
          <t>⏳ UPCOMING</t>
        </is>
      </c>
      <c r="I3370" s="11" t="inlineStr">
        <is>
          <t>Agri_Climate_Advisory_Tender.pdf</t>
        </is>
      </c>
      <c r="J3370" s="13" t="inlineStr">
        <is>
          <t>📕 PDF Document</t>
        </is>
      </c>
      <c r="K3370" s="15" t="n">
        <v>17.8</v>
      </c>
      <c r="L3370" s="16">
        <f>HYPERLINK("http://127.0.0.1:8000/api/documents/download?id=2784&amp;attachment=true", "⬇ Download Agri_Climate_Advisory_Te")</f>
        <v/>
      </c>
      <c r="M3370" s="16">
        <f>HYPERLINK("http://localhost:5173/?state=Telangana&amp;keyword=Agriculture&amp;tender=741995", "🚀 Open in Portal")</f>
        <v/>
      </c>
    </row>
    <row r="3371" ht="24" customHeight="1">
      <c r="A3371" s="4" t="inlineStr">
        <is>
          <t>Telangana</t>
        </is>
      </c>
      <c r="B3371" s="5" t="inlineStr">
        <is>
          <t>Agriculture</t>
        </is>
      </c>
      <c r="C3371" s="6" t="inlineStr">
        <is>
          <t>741995</t>
        </is>
      </c>
      <c r="D3371" s="7" t="inlineStr">
        <is>
          <t>Agriculture Soil Health Monitoring &amp; Climate Resilience Agro-Advisory Cloud Platform</t>
        </is>
      </c>
      <c r="E3371" s="7" t="inlineStr">
        <is>
          <t>AGRICULTURE DEPARTMENT-Director of Agriculture, Telangana</t>
        </is>
      </c>
      <c r="F3371" s="6" t="inlineStr">
        <is>
          <t>08 Sep 2026</t>
        </is>
      </c>
      <c r="G3371" s="5" t="inlineStr">
        <is>
          <t>05 Oct 2026</t>
        </is>
      </c>
      <c r="H3371" s="8" t="inlineStr">
        <is>
          <t>⏳ UPCOMING</t>
        </is>
      </c>
      <c r="I3371" s="4" t="inlineStr">
        <is>
          <t>Soil_Sensor_Specifications.pdf</t>
        </is>
      </c>
      <c r="J3371" s="6" t="inlineStr">
        <is>
          <t>📕 PDF Document</t>
        </is>
      </c>
      <c r="K3371" s="9" t="n">
        <v>17.8</v>
      </c>
      <c r="L3371" s="10">
        <f>HYPERLINK("http://127.0.0.1:8000/api/documents/download?id=2785&amp;attachment=true", "⬇ Download Soil_Sensor_Specificatio")</f>
        <v/>
      </c>
      <c r="M3371" s="10">
        <f>HYPERLINK("http://localhost:5173/?state=Telangana&amp;keyword=Agriculture&amp;tender=741995", "🚀 Open in Portal")</f>
        <v/>
      </c>
    </row>
    <row r="3372" ht="24" customHeight="1">
      <c r="A3372" s="11" t="inlineStr">
        <is>
          <t>Telangana</t>
        </is>
      </c>
      <c r="B3372" s="12" t="inlineStr">
        <is>
          <t>Agriculture</t>
        </is>
      </c>
      <c r="C3372" s="13" t="inlineStr">
        <is>
          <t>741995</t>
        </is>
      </c>
      <c r="D3372" s="14" t="inlineStr">
        <is>
          <t>Agriculture Soil Health Monitoring &amp; Climate Resilience Agro-Advisory Cloud Platform</t>
        </is>
      </c>
      <c r="E3372" s="14" t="inlineStr">
        <is>
          <t>AGRICULTURE DEPARTMENT-Director of Agriculture, Telangana</t>
        </is>
      </c>
      <c r="F3372" s="13" t="inlineStr">
        <is>
          <t>08 Sep 2026</t>
        </is>
      </c>
      <c r="G3372" s="12" t="inlineStr">
        <is>
          <t>05 Oct 2026</t>
        </is>
      </c>
      <c r="H3372" s="8" t="inlineStr">
        <is>
          <t>⏳ UPCOMING</t>
        </is>
      </c>
      <c r="I3372" s="11" t="inlineStr">
        <is>
          <t>Tender_741995_All_Documents.zip</t>
        </is>
      </c>
      <c r="J3372" s="13" t="inlineStr">
        <is>
          <t>📦 ZIP Package</t>
        </is>
      </c>
      <c r="K3372" s="15" t="n">
        <v>18.4</v>
      </c>
      <c r="L3372" s="16">
        <f>HYPERLINK("http://127.0.0.1:8000/api/documents/download?id=3001&amp;attachment=true", "⬇ Download Tender_741995_All_Docume")</f>
        <v/>
      </c>
      <c r="M3372" s="16">
        <f>HYPERLINK("http://localhost:5173/?state=Telangana&amp;keyword=Agriculture&amp;tender=741995", "🚀 Open in Portal")</f>
        <v/>
      </c>
    </row>
    <row r="3373" ht="24" customHeight="1">
      <c r="A3373" s="4" t="inlineStr">
        <is>
          <t>Telangana</t>
        </is>
      </c>
      <c r="B3373" s="5" t="inlineStr">
        <is>
          <t>Forest</t>
        </is>
      </c>
      <c r="C3373" s="6" t="inlineStr">
        <is>
          <t>2026_TEL_8945082_14</t>
        </is>
      </c>
      <c r="D3373" s="7" t="inlineStr">
        <is>
          <t>Forest-Based Satellite-Based Forest Canopy Density &amp; Wildlife Corridor Spatial Monitoring</t>
        </is>
      </c>
      <c r="E3373" s="7" t="inlineStr">
        <is>
          <t>STATE FOREST &amp; ENVIRONMENT DEPARTMENT</t>
        </is>
      </c>
      <c r="F3373" s="6" t="inlineStr">
        <is>
          <t>12 Oct 2026</t>
        </is>
      </c>
      <c r="G3373" s="5" t="inlineStr">
        <is>
          <t>16 Nov 2026</t>
        </is>
      </c>
      <c r="H3373" s="17" t="inlineStr">
        <is>
          <t>🟢 LIVE ACTIVE</t>
        </is>
      </c>
      <c r="I3373" s="4" t="inlineStr">
        <is>
          <t>Tendernotice_2026_TEL_8945082_14.pdf</t>
        </is>
      </c>
      <c r="J3373" s="6" t="inlineStr">
        <is>
          <t>📕 PDF Document</t>
        </is>
      </c>
      <c r="K3373" s="9" t="n">
        <v>7.7</v>
      </c>
      <c r="L3373" s="10">
        <f>HYPERLINK("http://127.0.0.1:8000/api/documents/download?id=3441&amp;attachment=true", "⬇ Download Tendernotice_2026_TEL_89")</f>
        <v/>
      </c>
      <c r="M3373" s="10">
        <f>HYPERLINK("http://localhost:5173/?state=Telangana&amp;keyword=Forest&amp;tender=2026_TEL_8945082_14", "🚀 Open in Portal")</f>
        <v/>
      </c>
    </row>
    <row r="3374" ht="24" customHeight="1">
      <c r="A3374" s="11" t="inlineStr">
        <is>
          <t>Telangana</t>
        </is>
      </c>
      <c r="B3374" s="12" t="inlineStr">
        <is>
          <t>Forest</t>
        </is>
      </c>
      <c r="C3374" s="13" t="inlineStr">
        <is>
          <t>2026_TEL_8945082_14</t>
        </is>
      </c>
      <c r="D3374" s="14" t="inlineStr">
        <is>
          <t>Forest-Based Satellite-Based Forest Canopy Density &amp; Wildlife Corridor Spatial Monitoring</t>
        </is>
      </c>
      <c r="E3374" s="14" t="inlineStr">
        <is>
          <t>STATE FOREST &amp; ENVIRONMENT DEPARTMENT</t>
        </is>
      </c>
      <c r="F3374" s="13" t="inlineStr">
        <is>
          <t>12 Oct 2026</t>
        </is>
      </c>
      <c r="G3374" s="12" t="inlineStr">
        <is>
          <t>16 Nov 2026</t>
        </is>
      </c>
      <c r="H3374" s="17" t="inlineStr">
        <is>
          <t>🟢 LIVE ACTIVE</t>
        </is>
      </c>
      <c r="I3374" s="11" t="inlineStr">
        <is>
          <t>Technical_RFP_Specification_Forest.pdf</t>
        </is>
      </c>
      <c r="J3374" s="13" t="inlineStr">
        <is>
          <t>📕 PDF Document</t>
        </is>
      </c>
      <c r="K3374" s="15" t="n">
        <v>7.7</v>
      </c>
      <c r="L3374" s="16">
        <f>HYPERLINK("http://127.0.0.1:8000/api/documents/download?id=3442&amp;attachment=true", "⬇ Download Technical_RFP_Specificat")</f>
        <v/>
      </c>
      <c r="M3374" s="16">
        <f>HYPERLINK("http://localhost:5173/?state=Telangana&amp;keyword=Forest&amp;tender=2026_TEL_8945082_14", "🚀 Open in Portal")</f>
        <v/>
      </c>
    </row>
    <row r="3375" ht="24" customHeight="1">
      <c r="A3375" s="4" t="inlineStr">
        <is>
          <t>Telangana</t>
        </is>
      </c>
      <c r="B3375" s="5" t="inlineStr">
        <is>
          <t>Forest</t>
        </is>
      </c>
      <c r="C3375" s="6" t="inlineStr">
        <is>
          <t>2026_TEL_8945082_14</t>
        </is>
      </c>
      <c r="D3375" s="7" t="inlineStr">
        <is>
          <t>Forest-Based Satellite-Based Forest Canopy Density &amp; Wildlife Corridor Spatial Monitoring</t>
        </is>
      </c>
      <c r="E3375" s="7" t="inlineStr">
        <is>
          <t>STATE FOREST &amp; ENVIRONMENT DEPARTMENT</t>
        </is>
      </c>
      <c r="F3375" s="6" t="inlineStr">
        <is>
          <t>12 Oct 2026</t>
        </is>
      </c>
      <c r="G3375" s="5" t="inlineStr">
        <is>
          <t>16 Nov 2026</t>
        </is>
      </c>
      <c r="H3375" s="17" t="inlineStr">
        <is>
          <t>🟢 LIVE ACTIVE</t>
        </is>
      </c>
      <c r="I3375" s="4" t="inlineStr">
        <is>
          <t>BOQ_Financial_Schedule_2026_TEL_8945082_14.xlsx</t>
        </is>
      </c>
      <c r="J3375" s="6" t="inlineStr">
        <is>
          <t>📊 Excel BOQ</t>
        </is>
      </c>
      <c r="K3375" s="9" t="n">
        <v>5.9</v>
      </c>
      <c r="L3375" s="10">
        <f>HYPERLINK("http://127.0.0.1:8000/api/documents/download?id=3443&amp;attachment=true", "⬇ Download BOQ_Financial_Schedule_2")</f>
        <v/>
      </c>
      <c r="M3375" s="10">
        <f>HYPERLINK("http://localhost:5173/?state=Telangana&amp;keyword=Forest&amp;tender=2026_TEL_8945082_14", "🚀 Open in Portal")</f>
        <v/>
      </c>
    </row>
    <row r="3376" ht="24" customHeight="1">
      <c r="A3376" s="11" t="inlineStr">
        <is>
          <t>Telangana</t>
        </is>
      </c>
      <c r="B3376" s="12" t="inlineStr">
        <is>
          <t>Forest</t>
        </is>
      </c>
      <c r="C3376" s="13" t="inlineStr">
        <is>
          <t>2026_TEL_8945082_14</t>
        </is>
      </c>
      <c r="D3376" s="14" t="inlineStr">
        <is>
          <t>Forest-Based Satellite-Based Forest Canopy Density &amp; Wildlife Corridor Spatial Monitoring</t>
        </is>
      </c>
      <c r="E3376" s="14" t="inlineStr">
        <is>
          <t>STATE FOREST &amp; ENVIRONMENT DEPARTMENT</t>
        </is>
      </c>
      <c r="F3376" s="13" t="inlineStr">
        <is>
          <t>12 Oct 2026</t>
        </is>
      </c>
      <c r="G3376" s="12" t="inlineStr">
        <is>
          <t>16 Nov 2026</t>
        </is>
      </c>
      <c r="H3376" s="17" t="inlineStr">
        <is>
          <t>🟢 LIVE ACTIVE</t>
        </is>
      </c>
      <c r="I3376" s="11" t="inlineStr">
        <is>
          <t>Tender_2026_TEL_8945082_14_All_Documents.zip</t>
        </is>
      </c>
      <c r="J3376" s="13" t="inlineStr">
        <is>
          <t>📦 ZIP Package</t>
        </is>
      </c>
      <c r="K3376" s="15" t="n">
        <v>45</v>
      </c>
      <c r="L3376" s="16">
        <f>HYPERLINK("https://tender.telangana.gov.in/tender/2026_TEL_8945082_14", "⬇ Download Tender_2026_TEL_8945082_")</f>
        <v/>
      </c>
      <c r="M3376" s="16">
        <f>HYPERLINK("http://localhost:5173/?state=Telangana&amp;keyword=Forest&amp;tender=2026_TEL_8945082_14", "🚀 Open in Portal")</f>
        <v/>
      </c>
    </row>
    <row r="3377" ht="24" customHeight="1">
      <c r="A3377" s="4" t="inlineStr">
        <is>
          <t>Telangana</t>
        </is>
      </c>
      <c r="B3377" s="5" t="inlineStr">
        <is>
          <t>Forest</t>
        </is>
      </c>
      <c r="C3377" s="6" t="inlineStr">
        <is>
          <t>741861</t>
        </is>
      </c>
      <c r="D3377" s="7" t="inlineStr">
        <is>
          <t>Development, Integration, Enhancements, Operation and Maintenance of Forest Department Web Portal and MIS System</t>
        </is>
      </c>
      <c r="E3377" s="7" t="inlineStr">
        <is>
          <t>TELANGANA FOREST DEPARTMENT-P.C.C.F Hyderabad</t>
        </is>
      </c>
      <c r="F3377" s="6" t="inlineStr">
        <is>
          <t>15 Aug 2026</t>
        </is>
      </c>
      <c r="G3377" s="5" t="inlineStr">
        <is>
          <t>10 Sep 2026</t>
        </is>
      </c>
      <c r="H3377" s="8" t="inlineStr">
        <is>
          <t>⏳ UPCOMING</t>
        </is>
      </c>
      <c r="I3377" s="4" t="inlineStr">
        <is>
          <t>Forest_Portal_RFP_Specification.pdf</t>
        </is>
      </c>
      <c r="J3377" s="6" t="inlineStr">
        <is>
          <t>📕 PDF Document</t>
        </is>
      </c>
      <c r="K3377" s="9" t="n">
        <v>17.9</v>
      </c>
      <c r="L3377" s="10">
        <f>HYPERLINK("http://127.0.0.1:8000/api/documents/download?id=2771&amp;attachment=true", "⬇ Download Forest_Portal_RFP_Specif")</f>
        <v/>
      </c>
      <c r="M3377" s="10">
        <f>HYPERLINK("http://localhost:5173/?state=Telangana&amp;keyword=Forest&amp;tender=741861", "🚀 Open in Portal")</f>
        <v/>
      </c>
    </row>
    <row r="3378" ht="24" customHeight="1">
      <c r="A3378" s="11" t="inlineStr">
        <is>
          <t>Telangana</t>
        </is>
      </c>
      <c r="B3378" s="12" t="inlineStr">
        <is>
          <t>Forest</t>
        </is>
      </c>
      <c r="C3378" s="13" t="inlineStr">
        <is>
          <t>741861</t>
        </is>
      </c>
      <c r="D3378" s="14" t="inlineStr">
        <is>
          <t>Development, Integration, Enhancements, Operation and Maintenance of Forest Department Web Portal and MIS System</t>
        </is>
      </c>
      <c r="E3378" s="14" t="inlineStr">
        <is>
          <t>TELANGANA FOREST DEPARTMENT-P.C.C.F Hyderabad</t>
        </is>
      </c>
      <c r="F3378" s="13" t="inlineStr">
        <is>
          <t>15 Aug 2026</t>
        </is>
      </c>
      <c r="G3378" s="12" t="inlineStr">
        <is>
          <t>10 Sep 2026</t>
        </is>
      </c>
      <c r="H3378" s="8" t="inlineStr">
        <is>
          <t>⏳ UPCOMING</t>
        </is>
      </c>
      <c r="I3378" s="11" t="inlineStr">
        <is>
          <t>Technical_Evaluation_Criteria.pdf</t>
        </is>
      </c>
      <c r="J3378" s="13" t="inlineStr">
        <is>
          <t>📕 PDF Document</t>
        </is>
      </c>
      <c r="K3378" s="15" t="n">
        <v>17.9</v>
      </c>
      <c r="L3378" s="16">
        <f>HYPERLINK("http://127.0.0.1:8000/api/documents/download?id=2772&amp;attachment=true", "⬇ Download Technical_Evaluation_Cri")</f>
        <v/>
      </c>
      <c r="M3378" s="16">
        <f>HYPERLINK("http://localhost:5173/?state=Telangana&amp;keyword=Forest&amp;tender=741861", "🚀 Open in Portal")</f>
        <v/>
      </c>
    </row>
    <row r="3379" ht="24" customHeight="1">
      <c r="A3379" s="4" t="inlineStr">
        <is>
          <t>Telangana</t>
        </is>
      </c>
      <c r="B3379" s="5" t="inlineStr">
        <is>
          <t>Forest</t>
        </is>
      </c>
      <c r="C3379" s="6" t="inlineStr">
        <is>
          <t>741861</t>
        </is>
      </c>
      <c r="D3379" s="7" t="inlineStr">
        <is>
          <t>Development, Integration, Enhancements, Operation and Maintenance of Forest Department Web Portal and MIS System</t>
        </is>
      </c>
      <c r="E3379" s="7" t="inlineStr">
        <is>
          <t>TELANGANA FOREST DEPARTMENT-P.C.C.F Hyderabad</t>
        </is>
      </c>
      <c r="F3379" s="6" t="inlineStr">
        <is>
          <t>15 Aug 2026</t>
        </is>
      </c>
      <c r="G3379" s="5" t="inlineStr">
        <is>
          <t>10 Sep 2026</t>
        </is>
      </c>
      <c r="H3379" s="8" t="inlineStr">
        <is>
          <t>⏳ UPCOMING</t>
        </is>
      </c>
      <c r="I3379" s="4" t="inlineStr">
        <is>
          <t>BOQ_Financial_Bid_Format.xlsx</t>
        </is>
      </c>
      <c r="J3379" s="6" t="inlineStr">
        <is>
          <t>📊 Excel BOQ</t>
        </is>
      </c>
      <c r="K3379" s="9" t="n">
        <v>2.4</v>
      </c>
      <c r="L3379" s="10">
        <f>HYPERLINK("http://127.0.0.1:8000/api/documents/download?id=2773&amp;attachment=true", "⬇ Download BOQ_Financial_Bid_Format")</f>
        <v/>
      </c>
      <c r="M3379" s="10">
        <f>HYPERLINK("http://localhost:5173/?state=Telangana&amp;keyword=Forest&amp;tender=741861", "🚀 Open in Portal")</f>
        <v/>
      </c>
    </row>
    <row r="3380" ht="24" customHeight="1">
      <c r="A3380" s="11" t="inlineStr">
        <is>
          <t>Telangana</t>
        </is>
      </c>
      <c r="B3380" s="12" t="inlineStr">
        <is>
          <t>Forest</t>
        </is>
      </c>
      <c r="C3380" s="13" t="inlineStr">
        <is>
          <t>741861</t>
        </is>
      </c>
      <c r="D3380" s="14" t="inlineStr">
        <is>
          <t>Development, Integration, Enhancements, Operation and Maintenance of Forest Department Web Portal and MIS System</t>
        </is>
      </c>
      <c r="E3380" s="14" t="inlineStr">
        <is>
          <t>TELANGANA FOREST DEPARTMENT-P.C.C.F Hyderabad</t>
        </is>
      </c>
      <c r="F3380" s="13" t="inlineStr">
        <is>
          <t>15 Aug 2026</t>
        </is>
      </c>
      <c r="G3380" s="12" t="inlineStr">
        <is>
          <t>10 Sep 2026</t>
        </is>
      </c>
      <c r="H3380" s="8" t="inlineStr">
        <is>
          <t>⏳ UPCOMING</t>
        </is>
      </c>
      <c r="I3380" s="11" t="inlineStr">
        <is>
          <t>Tender_741861_All_Documents.zip</t>
        </is>
      </c>
      <c r="J3380" s="13" t="inlineStr">
        <is>
          <t>📦 ZIP Package</t>
        </is>
      </c>
      <c r="K3380" s="15" t="n">
        <v>20.8</v>
      </c>
      <c r="L3380" s="16">
        <f>HYPERLINK("http://127.0.0.1:8000/api/documents/download?id=2774&amp;attachment=true", "⬇ Download Tender_741861_All_Docume")</f>
        <v/>
      </c>
      <c r="M3380" s="16">
        <f>HYPERLINK("http://localhost:5173/?state=Telangana&amp;keyword=Forest&amp;tender=741861", "🚀 Open in Portal")</f>
        <v/>
      </c>
    </row>
    <row r="3381" ht="24" customHeight="1">
      <c r="A3381" s="4" t="inlineStr">
        <is>
          <t>Telangana</t>
        </is>
      </c>
      <c r="B3381" s="5" t="inlineStr">
        <is>
          <t>Climate Change</t>
        </is>
      </c>
      <c r="C3381" s="6" t="inlineStr">
        <is>
          <t>741995</t>
        </is>
      </c>
      <c r="D3381" s="7" t="inlineStr">
        <is>
          <t>Agriculture Soil Health Monitoring &amp; Climate Resilience Agro-Advisory Cloud Platform</t>
        </is>
      </c>
      <c r="E3381" s="7" t="inlineStr">
        <is>
          <t>AGRICULTURE DEPARTMENT-Director of Agriculture, Telangana</t>
        </is>
      </c>
      <c r="F3381" s="6" t="inlineStr">
        <is>
          <t>08 Sep 2026</t>
        </is>
      </c>
      <c r="G3381" s="5" t="inlineStr">
        <is>
          <t>05 Oct 2026</t>
        </is>
      </c>
      <c r="H3381" s="8" t="inlineStr">
        <is>
          <t>⏳ UPCOMING</t>
        </is>
      </c>
      <c r="I3381" s="4" t="inlineStr">
        <is>
          <t>Agri_Climate_Advisory_Tender.pdf</t>
        </is>
      </c>
      <c r="J3381" s="6" t="inlineStr">
        <is>
          <t>📕 PDF Document</t>
        </is>
      </c>
      <c r="K3381" s="9" t="n">
        <v>17.8</v>
      </c>
      <c r="L3381" s="10">
        <f>HYPERLINK("http://127.0.0.1:8000/api/documents/download?id=2784&amp;attachment=true", "⬇ Download Agri_Climate_Advisory_Te")</f>
        <v/>
      </c>
      <c r="M3381" s="10">
        <f>HYPERLINK("http://localhost:5173/?state=Telangana&amp;keyword=Climate%20Change&amp;tender=741995", "🚀 Open in Portal")</f>
        <v/>
      </c>
    </row>
    <row r="3382" ht="24" customHeight="1">
      <c r="A3382" s="11" t="inlineStr">
        <is>
          <t>Telangana</t>
        </is>
      </c>
      <c r="B3382" s="12" t="inlineStr">
        <is>
          <t>Climate Change</t>
        </is>
      </c>
      <c r="C3382" s="13" t="inlineStr">
        <is>
          <t>741995</t>
        </is>
      </c>
      <c r="D3382" s="14" t="inlineStr">
        <is>
          <t>Agriculture Soil Health Monitoring &amp; Climate Resilience Agro-Advisory Cloud Platform</t>
        </is>
      </c>
      <c r="E3382" s="14" t="inlineStr">
        <is>
          <t>AGRICULTURE DEPARTMENT-Director of Agriculture, Telangana</t>
        </is>
      </c>
      <c r="F3382" s="13" t="inlineStr">
        <is>
          <t>08 Sep 2026</t>
        </is>
      </c>
      <c r="G3382" s="12" t="inlineStr">
        <is>
          <t>05 Oct 2026</t>
        </is>
      </c>
      <c r="H3382" s="8" t="inlineStr">
        <is>
          <t>⏳ UPCOMING</t>
        </is>
      </c>
      <c r="I3382" s="11" t="inlineStr">
        <is>
          <t>Soil_Sensor_Specifications.pdf</t>
        </is>
      </c>
      <c r="J3382" s="13" t="inlineStr">
        <is>
          <t>📕 PDF Document</t>
        </is>
      </c>
      <c r="K3382" s="15" t="n">
        <v>17.8</v>
      </c>
      <c r="L3382" s="16">
        <f>HYPERLINK("http://127.0.0.1:8000/api/documents/download?id=2785&amp;attachment=true", "⬇ Download Soil_Sensor_Specificatio")</f>
        <v/>
      </c>
      <c r="M3382" s="16">
        <f>HYPERLINK("http://localhost:5173/?state=Telangana&amp;keyword=Climate%20Change&amp;tender=741995", "🚀 Open in Portal")</f>
        <v/>
      </c>
    </row>
    <row r="3383" ht="24" customHeight="1">
      <c r="A3383" s="4" t="inlineStr">
        <is>
          <t>Telangana</t>
        </is>
      </c>
      <c r="B3383" s="5" t="inlineStr">
        <is>
          <t>Climate Change</t>
        </is>
      </c>
      <c r="C3383" s="6" t="inlineStr">
        <is>
          <t>741995</t>
        </is>
      </c>
      <c r="D3383" s="7" t="inlineStr">
        <is>
          <t>Agriculture Soil Health Monitoring &amp; Climate Resilience Agro-Advisory Cloud Platform</t>
        </is>
      </c>
      <c r="E3383" s="7" t="inlineStr">
        <is>
          <t>AGRICULTURE DEPARTMENT-Director of Agriculture, Telangana</t>
        </is>
      </c>
      <c r="F3383" s="6" t="inlineStr">
        <is>
          <t>08 Sep 2026</t>
        </is>
      </c>
      <c r="G3383" s="5" t="inlineStr">
        <is>
          <t>05 Oct 2026</t>
        </is>
      </c>
      <c r="H3383" s="8" t="inlineStr">
        <is>
          <t>⏳ UPCOMING</t>
        </is>
      </c>
      <c r="I3383" s="4" t="inlineStr">
        <is>
          <t>Tender_741995_All_Documents.zip</t>
        </is>
      </c>
      <c r="J3383" s="6" t="inlineStr">
        <is>
          <t>📦 ZIP Package</t>
        </is>
      </c>
      <c r="K3383" s="9" t="n">
        <v>18.4</v>
      </c>
      <c r="L3383" s="10">
        <f>HYPERLINK("http://127.0.0.1:8000/api/documents/download?id=3001&amp;attachment=true", "⬇ Download Tender_741995_All_Docume")</f>
        <v/>
      </c>
      <c r="M3383" s="10">
        <f>HYPERLINK("http://localhost:5173/?state=Telangana&amp;keyword=Climate%20Change&amp;tender=741995", "🚀 Open in Portal")</f>
        <v/>
      </c>
    </row>
    <row r="3384" ht="24" customHeight="1">
      <c r="A3384" s="11" t="inlineStr">
        <is>
          <t>Telangana</t>
        </is>
      </c>
      <c r="B3384" s="12" t="inlineStr">
        <is>
          <t>Environment</t>
        </is>
      </c>
      <c r="C3384" s="13" t="inlineStr">
        <is>
          <t>741995</t>
        </is>
      </c>
      <c r="D3384" s="14" t="inlineStr">
        <is>
          <t>Agriculture Soil Health Monitoring &amp; Climate Resilience Agro-Advisory Cloud Platform</t>
        </is>
      </c>
      <c r="E3384" s="14" t="inlineStr">
        <is>
          <t>AGRICULTURE DEPARTMENT-Director of Agriculture, Telangana</t>
        </is>
      </c>
      <c r="F3384" s="13" t="inlineStr">
        <is>
          <t>08 Sep 2026</t>
        </is>
      </c>
      <c r="G3384" s="12" t="inlineStr">
        <is>
          <t>05 Oct 2026</t>
        </is>
      </c>
      <c r="H3384" s="8" t="inlineStr">
        <is>
          <t>⏳ UPCOMING</t>
        </is>
      </c>
      <c r="I3384" s="11" t="inlineStr">
        <is>
          <t>Agri_Climate_Advisory_Tender.pdf</t>
        </is>
      </c>
      <c r="J3384" s="13" t="inlineStr">
        <is>
          <t>📕 PDF Document</t>
        </is>
      </c>
      <c r="K3384" s="15" t="n">
        <v>17.8</v>
      </c>
      <c r="L3384" s="16">
        <f>HYPERLINK("http://127.0.0.1:8000/api/documents/download?id=2784&amp;attachment=true", "⬇ Download Agri_Climate_Advisory_Te")</f>
        <v/>
      </c>
      <c r="M3384" s="16">
        <f>HYPERLINK("http://localhost:5173/?state=Telangana&amp;keyword=Environment&amp;tender=741995", "🚀 Open in Portal")</f>
        <v/>
      </c>
    </row>
    <row r="3385" ht="24" customHeight="1">
      <c r="A3385" s="4" t="inlineStr">
        <is>
          <t>Telangana</t>
        </is>
      </c>
      <c r="B3385" s="5" t="inlineStr">
        <is>
          <t>Environment</t>
        </is>
      </c>
      <c r="C3385" s="6" t="inlineStr">
        <is>
          <t>741995</t>
        </is>
      </c>
      <c r="D3385" s="7" t="inlineStr">
        <is>
          <t>Agriculture Soil Health Monitoring &amp; Climate Resilience Agro-Advisory Cloud Platform</t>
        </is>
      </c>
      <c r="E3385" s="7" t="inlineStr">
        <is>
          <t>AGRICULTURE DEPARTMENT-Director of Agriculture, Telangana</t>
        </is>
      </c>
      <c r="F3385" s="6" t="inlineStr">
        <is>
          <t>08 Sep 2026</t>
        </is>
      </c>
      <c r="G3385" s="5" t="inlineStr">
        <is>
          <t>05 Oct 2026</t>
        </is>
      </c>
      <c r="H3385" s="8" t="inlineStr">
        <is>
          <t>⏳ UPCOMING</t>
        </is>
      </c>
      <c r="I3385" s="4" t="inlineStr">
        <is>
          <t>Soil_Sensor_Specifications.pdf</t>
        </is>
      </c>
      <c r="J3385" s="6" t="inlineStr">
        <is>
          <t>📕 PDF Document</t>
        </is>
      </c>
      <c r="K3385" s="9" t="n">
        <v>17.8</v>
      </c>
      <c r="L3385" s="10">
        <f>HYPERLINK("http://127.0.0.1:8000/api/documents/download?id=2785&amp;attachment=true", "⬇ Download Soil_Sensor_Specificatio")</f>
        <v/>
      </c>
      <c r="M3385" s="10">
        <f>HYPERLINK("http://localhost:5173/?state=Telangana&amp;keyword=Environment&amp;tender=741995", "🚀 Open in Portal")</f>
        <v/>
      </c>
    </row>
    <row r="3386" ht="24" customHeight="1">
      <c r="A3386" s="11" t="inlineStr">
        <is>
          <t>Telangana</t>
        </is>
      </c>
      <c r="B3386" s="12" t="inlineStr">
        <is>
          <t>Environment</t>
        </is>
      </c>
      <c r="C3386" s="13" t="inlineStr">
        <is>
          <t>741995</t>
        </is>
      </c>
      <c r="D3386" s="14" t="inlineStr">
        <is>
          <t>Agriculture Soil Health Monitoring &amp; Climate Resilience Agro-Advisory Cloud Platform</t>
        </is>
      </c>
      <c r="E3386" s="14" t="inlineStr">
        <is>
          <t>AGRICULTURE DEPARTMENT-Director of Agriculture, Telangana</t>
        </is>
      </c>
      <c r="F3386" s="13" t="inlineStr">
        <is>
          <t>08 Sep 2026</t>
        </is>
      </c>
      <c r="G3386" s="12" t="inlineStr">
        <is>
          <t>05 Oct 2026</t>
        </is>
      </c>
      <c r="H3386" s="8" t="inlineStr">
        <is>
          <t>⏳ UPCOMING</t>
        </is>
      </c>
      <c r="I3386" s="11" t="inlineStr">
        <is>
          <t>Tender_741995_All_Documents.zip</t>
        </is>
      </c>
      <c r="J3386" s="13" t="inlineStr">
        <is>
          <t>📦 ZIP Package</t>
        </is>
      </c>
      <c r="K3386" s="15" t="n">
        <v>18.4</v>
      </c>
      <c r="L3386" s="16">
        <f>HYPERLINK("http://127.0.0.1:8000/api/documents/download?id=3001&amp;attachment=true", "⬇ Download Tender_741995_All_Docume")</f>
        <v/>
      </c>
      <c r="M3386" s="16">
        <f>HYPERLINK("http://localhost:5173/?state=Telangana&amp;keyword=Environment&amp;tender=741995", "🚀 Open in Portal")</f>
        <v/>
      </c>
    </row>
    <row r="3387" ht="24" customHeight="1">
      <c r="A3387" s="4" t="inlineStr">
        <is>
          <t>Telangana</t>
        </is>
      </c>
      <c r="B3387" s="5" t="inlineStr">
        <is>
          <t>Water Resources</t>
        </is>
      </c>
      <c r="C3387" s="6" t="inlineStr">
        <is>
          <t>742109</t>
        </is>
      </c>
      <c r="D3387" s="7" t="inlineStr">
        <is>
          <t>GIS-based Spatial Mapping and Cadastral Survey for Irrigation &amp; Water Resources Command Area</t>
        </is>
      </c>
      <c r="E3387" s="7" t="inlineStr">
        <is>
          <t>IRRIGATION &amp; CAD DEPARTMENT-Chief Engineer Projects, Hyderabad</t>
        </is>
      </c>
      <c r="F3387" s="6" t="inlineStr">
        <is>
          <t>12 Oct 2026</t>
        </is>
      </c>
      <c r="G3387" s="5" t="inlineStr">
        <is>
          <t>13 Nov 2026</t>
        </is>
      </c>
      <c r="H3387" s="17" t="inlineStr">
        <is>
          <t>🟢 LIVE ACTIVE</t>
        </is>
      </c>
      <c r="I3387" s="4" t="inlineStr">
        <is>
          <t>Irrigation_GIS_Survey_Scope_of_Work.pdf</t>
        </is>
      </c>
      <c r="J3387" s="6" t="inlineStr">
        <is>
          <t>📕 PDF Document</t>
        </is>
      </c>
      <c r="K3387" s="9" t="n">
        <v>17.9</v>
      </c>
      <c r="L3387" s="10">
        <f>HYPERLINK("http://127.0.0.1:8000/api/documents/download?id=2778&amp;attachment=true", "⬇ Download Irrigation_GIS_Survey_Sc")</f>
        <v/>
      </c>
      <c r="M3387" s="10">
        <f>HYPERLINK("http://localhost:5173/?state=Telangana&amp;keyword=Water%20Resources&amp;tender=742109", "🚀 Open in Portal")</f>
        <v/>
      </c>
    </row>
    <row r="3388" ht="24" customHeight="1">
      <c r="A3388" s="11" t="inlineStr">
        <is>
          <t>Telangana</t>
        </is>
      </c>
      <c r="B3388" s="12" t="inlineStr">
        <is>
          <t>Water Resources</t>
        </is>
      </c>
      <c r="C3388" s="13" t="inlineStr">
        <is>
          <t>742109</t>
        </is>
      </c>
      <c r="D3388" s="14" t="inlineStr">
        <is>
          <t>GIS-based Spatial Mapping and Cadastral Survey for Irrigation &amp; Water Resources Command Area</t>
        </is>
      </c>
      <c r="E3388" s="14" t="inlineStr">
        <is>
          <t>IRRIGATION &amp; CAD DEPARTMENT-Chief Engineer Projects, Hyderabad</t>
        </is>
      </c>
      <c r="F3388" s="13" t="inlineStr">
        <is>
          <t>12 Oct 2026</t>
        </is>
      </c>
      <c r="G3388" s="12" t="inlineStr">
        <is>
          <t>13 Nov 2026</t>
        </is>
      </c>
      <c r="H3388" s="17" t="inlineStr">
        <is>
          <t>🟢 LIVE ACTIVE</t>
        </is>
      </c>
      <c r="I3388" s="11" t="inlineStr">
        <is>
          <t>Spatial_Data_Standards_Manual.pdf</t>
        </is>
      </c>
      <c r="J3388" s="13" t="inlineStr">
        <is>
          <t>📕 PDF Document</t>
        </is>
      </c>
      <c r="K3388" s="15" t="n">
        <v>17.9</v>
      </c>
      <c r="L3388" s="16">
        <f>HYPERLINK("http://127.0.0.1:8000/api/documents/download?id=2779&amp;attachment=true", "⬇ Download Spatial_Data_Standards_M")</f>
        <v/>
      </c>
      <c r="M3388" s="16">
        <f>HYPERLINK("http://localhost:5173/?state=Telangana&amp;keyword=Water%20Resources&amp;tender=742109", "🚀 Open in Portal")</f>
        <v/>
      </c>
    </row>
    <row r="3389" ht="24" customHeight="1">
      <c r="A3389" s="4" t="inlineStr">
        <is>
          <t>Telangana</t>
        </is>
      </c>
      <c r="B3389" s="5" t="inlineStr">
        <is>
          <t>Water Resources</t>
        </is>
      </c>
      <c r="C3389" s="6" t="inlineStr">
        <is>
          <t>742109</t>
        </is>
      </c>
      <c r="D3389" s="7" t="inlineStr">
        <is>
          <t>GIS-based Spatial Mapping and Cadastral Survey for Irrigation &amp; Water Resources Command Area</t>
        </is>
      </c>
      <c r="E3389" s="7" t="inlineStr">
        <is>
          <t>IRRIGATION &amp; CAD DEPARTMENT-Chief Engineer Projects, Hyderabad</t>
        </is>
      </c>
      <c r="F3389" s="6" t="inlineStr">
        <is>
          <t>12 Oct 2026</t>
        </is>
      </c>
      <c r="G3389" s="5" t="inlineStr">
        <is>
          <t>13 Nov 2026</t>
        </is>
      </c>
      <c r="H3389" s="17" t="inlineStr">
        <is>
          <t>🟢 LIVE ACTIVE</t>
        </is>
      </c>
      <c r="I3389" s="4" t="inlineStr">
        <is>
          <t>Tender_742109_All_Documents.zip</t>
        </is>
      </c>
      <c r="J3389" s="6" t="inlineStr">
        <is>
          <t>📦 ZIP Package</t>
        </is>
      </c>
      <c r="K3389" s="9" t="n">
        <v>18.4</v>
      </c>
      <c r="L3389" s="10">
        <f>HYPERLINK("http://127.0.0.1:8000/api/documents/download?id=2780&amp;attachment=true", "⬇ Download Tender_742109_All_Docume")</f>
        <v/>
      </c>
      <c r="M3389" s="10">
        <f>HYPERLINK("http://localhost:5173/?state=Telangana&amp;keyword=Water%20Resources&amp;tender=742109", "🚀 Open in Portal")</f>
        <v/>
      </c>
    </row>
    <row r="3390" ht="24" customHeight="1">
      <c r="A3390" s="11" t="inlineStr">
        <is>
          <t>Telangana</t>
        </is>
      </c>
      <c r="B3390" s="12" t="inlineStr">
        <is>
          <t>Health</t>
        </is>
      </c>
      <c r="C3390" s="13" t="inlineStr">
        <is>
          <t>742350</t>
        </is>
      </c>
      <c r="D3390" s="14" t="inlineStr">
        <is>
          <t>Implementation of Mobile Application &amp; Tele-Health Monitoring Portal for Primary Health Centers</t>
        </is>
      </c>
      <c r="E3390" s="14" t="inlineStr">
        <is>
          <t>HEALTH, MEDICAL &amp; FAMILY WELFARE-TSMSIDC</t>
        </is>
      </c>
      <c r="F3390" s="13" t="inlineStr">
        <is>
          <t>11 Aug 2026</t>
        </is>
      </c>
      <c r="G3390" s="12" t="inlineStr">
        <is>
          <t>02 Sep 2026</t>
        </is>
      </c>
      <c r="H3390" s="8" t="inlineStr">
        <is>
          <t>⏳ UPCOMING</t>
        </is>
      </c>
      <c r="I3390" s="11" t="inlineStr">
        <is>
          <t>TS_Health_Mobile_App_RFP.pdf</t>
        </is>
      </c>
      <c r="J3390" s="13" t="inlineStr">
        <is>
          <t>📕 PDF Document</t>
        </is>
      </c>
      <c r="K3390" s="15" t="n">
        <v>17.9</v>
      </c>
      <c r="L3390" s="16">
        <f>HYPERLINK("http://127.0.0.1:8000/api/documents/download?id=2781&amp;attachment=true", "⬇ Download TS_Health_Mobile_App_RFP")</f>
        <v/>
      </c>
      <c r="M3390" s="16">
        <f>HYPERLINK("http://localhost:5173/?state=Telangana&amp;keyword=Health&amp;tender=742350", "🚀 Open in Portal")</f>
        <v/>
      </c>
    </row>
    <row r="3391" ht="24" customHeight="1">
      <c r="A3391" s="4" t="inlineStr">
        <is>
          <t>Telangana</t>
        </is>
      </c>
      <c r="B3391" s="5" t="inlineStr">
        <is>
          <t>Health</t>
        </is>
      </c>
      <c r="C3391" s="6" t="inlineStr">
        <is>
          <t>742350</t>
        </is>
      </c>
      <c r="D3391" s="7" t="inlineStr">
        <is>
          <t>Implementation of Mobile Application &amp; Tele-Health Monitoring Portal for Primary Health Centers</t>
        </is>
      </c>
      <c r="E3391" s="7" t="inlineStr">
        <is>
          <t>HEALTH, MEDICAL &amp; FAMILY WELFARE-TSMSIDC</t>
        </is>
      </c>
      <c r="F3391" s="6" t="inlineStr">
        <is>
          <t>11 Aug 2026</t>
        </is>
      </c>
      <c r="G3391" s="5" t="inlineStr">
        <is>
          <t>02 Sep 2026</t>
        </is>
      </c>
      <c r="H3391" s="8" t="inlineStr">
        <is>
          <t>⏳ UPCOMING</t>
        </is>
      </c>
      <c r="I3391" s="4" t="inlineStr">
        <is>
          <t>Security_Audit_Requirements.pdf</t>
        </is>
      </c>
      <c r="J3391" s="6" t="inlineStr">
        <is>
          <t>📕 PDF Document</t>
        </is>
      </c>
      <c r="K3391" s="9" t="n">
        <v>17.9</v>
      </c>
      <c r="L3391" s="10">
        <f>HYPERLINK("http://127.0.0.1:8000/api/documents/download?id=2782&amp;attachment=true", "⬇ Download Security_Audit_Requireme")</f>
        <v/>
      </c>
      <c r="M3391" s="10">
        <f>HYPERLINK("http://localhost:5173/?state=Telangana&amp;keyword=Health&amp;tender=742350", "🚀 Open in Portal")</f>
        <v/>
      </c>
    </row>
    <row r="3392" ht="24" customHeight="1">
      <c r="A3392" s="11" t="inlineStr">
        <is>
          <t>Telangana</t>
        </is>
      </c>
      <c r="B3392" s="12" t="inlineStr">
        <is>
          <t>Health</t>
        </is>
      </c>
      <c r="C3392" s="13" t="inlineStr">
        <is>
          <t>742350</t>
        </is>
      </c>
      <c r="D3392" s="14" t="inlineStr">
        <is>
          <t>Implementation of Mobile Application &amp; Tele-Health Monitoring Portal for Primary Health Centers</t>
        </is>
      </c>
      <c r="E3392" s="14" t="inlineStr">
        <is>
          <t>HEALTH, MEDICAL &amp; FAMILY WELFARE-TSMSIDC</t>
        </is>
      </c>
      <c r="F3392" s="13" t="inlineStr">
        <is>
          <t>11 Aug 2026</t>
        </is>
      </c>
      <c r="G3392" s="12" t="inlineStr">
        <is>
          <t>02 Sep 2026</t>
        </is>
      </c>
      <c r="H3392" s="8" t="inlineStr">
        <is>
          <t>⏳ UPCOMING</t>
        </is>
      </c>
      <c r="I3392" s="11" t="inlineStr">
        <is>
          <t>Mobile_Application_SRS.pdf</t>
        </is>
      </c>
      <c r="J3392" s="13" t="inlineStr">
        <is>
          <t>📕 PDF Document</t>
        </is>
      </c>
      <c r="K3392" s="15" t="n">
        <v>17.9</v>
      </c>
      <c r="L3392" s="16">
        <f>HYPERLINK("http://127.0.0.1:8000/api/documents/download?id=2783&amp;attachment=true", "⬇ Download Mobile_Application_SRS.p")</f>
        <v/>
      </c>
      <c r="M3392" s="16">
        <f>HYPERLINK("http://localhost:5173/?state=Telangana&amp;keyword=Health&amp;tender=742350", "🚀 Open in Portal")</f>
        <v/>
      </c>
    </row>
    <row r="3393" ht="24" customHeight="1">
      <c r="A3393" s="4" t="inlineStr">
        <is>
          <t>Telangana</t>
        </is>
      </c>
      <c r="B3393" s="5" t="inlineStr">
        <is>
          <t>Health</t>
        </is>
      </c>
      <c r="C3393" s="6" t="inlineStr">
        <is>
          <t>742350</t>
        </is>
      </c>
      <c r="D3393" s="7" t="inlineStr">
        <is>
          <t>Implementation of Mobile Application &amp; Tele-Health Monitoring Portal for Primary Health Centers</t>
        </is>
      </c>
      <c r="E3393" s="7" t="inlineStr">
        <is>
          <t>HEALTH, MEDICAL &amp; FAMILY WELFARE-TSMSIDC</t>
        </is>
      </c>
      <c r="F3393" s="6" t="inlineStr">
        <is>
          <t>11 Aug 2026</t>
        </is>
      </c>
      <c r="G3393" s="5" t="inlineStr">
        <is>
          <t>02 Sep 2026</t>
        </is>
      </c>
      <c r="H3393" s="8" t="inlineStr">
        <is>
          <t>⏳ UPCOMING</t>
        </is>
      </c>
      <c r="I3393" s="4" t="inlineStr">
        <is>
          <t>Tender_742350_All_Documents.zip</t>
        </is>
      </c>
      <c r="J3393" s="6" t="inlineStr">
        <is>
          <t>📦 ZIP Package</t>
        </is>
      </c>
      <c r="K3393" s="9" t="n">
        <v>27.6</v>
      </c>
      <c r="L3393" s="10">
        <f>HYPERLINK("http://127.0.0.1:8000/api/documents/download?id=3000&amp;attachment=true", "⬇ Download Tender_742350_All_Docume")</f>
        <v/>
      </c>
      <c r="M3393" s="10">
        <f>HYPERLINK("http://localhost:5173/?state=Telangana&amp;keyword=Health&amp;tender=742350", "🚀 Open in Portal")</f>
        <v/>
      </c>
    </row>
    <row r="3394" ht="24" customHeight="1">
      <c r="A3394" s="11" t="inlineStr">
        <is>
          <t>Telangana</t>
        </is>
      </c>
      <c r="B3394" s="12" t="inlineStr">
        <is>
          <t>Spatial</t>
        </is>
      </c>
      <c r="C3394" s="13" t="inlineStr">
        <is>
          <t>2026_TEL_1401249_83</t>
        </is>
      </c>
      <c r="D3394" s="14" t="inlineStr">
        <is>
          <t>Spatial-Based Geospatial Road Asset Inventory &amp; Pavement Condition Digital Survey</t>
        </is>
      </c>
      <c r="E3394" s="14" t="inlineStr">
        <is>
          <t>PUBLIC WORKS &amp; HIGHWAYS DEPARTMENT</t>
        </is>
      </c>
      <c r="F3394" s="13" t="inlineStr">
        <is>
          <t>02 Aug 2026</t>
        </is>
      </c>
      <c r="G3394" s="12" t="inlineStr">
        <is>
          <t>28 Aug 2026</t>
        </is>
      </c>
      <c r="H3394" s="8" t="inlineStr">
        <is>
          <t>⏳ UPCOMING</t>
        </is>
      </c>
      <c r="I3394" s="11" t="inlineStr">
        <is>
          <t>Tendernotice_2026_TEL_1401249_83.pdf</t>
        </is>
      </c>
      <c r="J3394" s="13" t="inlineStr">
        <is>
          <t>📕 PDF Document</t>
        </is>
      </c>
      <c r="K3394" s="15" t="n">
        <v>17.9</v>
      </c>
      <c r="L3394" s="16">
        <f>HYPERLINK("http://127.0.0.1:8000/api/documents/download?id=3253&amp;attachment=true", "⬇ Download Tendernotice_2026_TEL_14")</f>
        <v/>
      </c>
      <c r="M3394" s="16">
        <f>HYPERLINK("http://localhost:5173/?state=Telangana&amp;keyword=Spatial&amp;tender=2026_TEL_1401249_83", "🚀 Open in Portal")</f>
        <v/>
      </c>
    </row>
    <row r="3395" ht="24" customHeight="1">
      <c r="A3395" s="4" t="inlineStr">
        <is>
          <t>Telangana</t>
        </is>
      </c>
      <c r="B3395" s="5" t="inlineStr">
        <is>
          <t>Spatial</t>
        </is>
      </c>
      <c r="C3395" s="6" t="inlineStr">
        <is>
          <t>2026_TEL_1401249_83</t>
        </is>
      </c>
      <c r="D3395" s="7" t="inlineStr">
        <is>
          <t>Spatial-Based Geospatial Road Asset Inventory &amp; Pavement Condition Digital Survey</t>
        </is>
      </c>
      <c r="E3395" s="7" t="inlineStr">
        <is>
          <t>PUBLIC WORKS &amp; HIGHWAYS DEPARTMENT</t>
        </is>
      </c>
      <c r="F3395" s="6" t="inlineStr">
        <is>
          <t>02 Aug 2026</t>
        </is>
      </c>
      <c r="G3395" s="5" t="inlineStr">
        <is>
          <t>28 Aug 2026</t>
        </is>
      </c>
      <c r="H3395" s="8" t="inlineStr">
        <is>
          <t>⏳ UPCOMING</t>
        </is>
      </c>
      <c r="I3395" s="4" t="inlineStr">
        <is>
          <t>Technical_RFP_Specification_Spatial.pdf</t>
        </is>
      </c>
      <c r="J3395" s="6" t="inlineStr">
        <is>
          <t>📕 PDF Document</t>
        </is>
      </c>
      <c r="K3395" s="9" t="n">
        <v>17.9</v>
      </c>
      <c r="L3395" s="10">
        <f>HYPERLINK("http://127.0.0.1:8000/api/documents/download?id=3254&amp;attachment=true", "⬇ Download Technical_RFP_Specificat")</f>
        <v/>
      </c>
      <c r="M3395" s="10">
        <f>HYPERLINK("http://localhost:5173/?state=Telangana&amp;keyword=Spatial&amp;tender=2026_TEL_1401249_83", "🚀 Open in Portal")</f>
        <v/>
      </c>
    </row>
    <row r="3396" ht="24" customHeight="1">
      <c r="A3396" s="11" t="inlineStr">
        <is>
          <t>Telangana</t>
        </is>
      </c>
      <c r="B3396" s="12" t="inlineStr">
        <is>
          <t>Spatial</t>
        </is>
      </c>
      <c r="C3396" s="13" t="inlineStr">
        <is>
          <t>2026_TEL_1401249_83</t>
        </is>
      </c>
      <c r="D3396" s="14" t="inlineStr">
        <is>
          <t>Spatial-Based Geospatial Road Asset Inventory &amp; Pavement Condition Digital Survey</t>
        </is>
      </c>
      <c r="E3396" s="14" t="inlineStr">
        <is>
          <t>PUBLIC WORKS &amp; HIGHWAYS DEPARTMENT</t>
        </is>
      </c>
      <c r="F3396" s="13" t="inlineStr">
        <is>
          <t>02 Aug 2026</t>
        </is>
      </c>
      <c r="G3396" s="12" t="inlineStr">
        <is>
          <t>28 Aug 2026</t>
        </is>
      </c>
      <c r="H3396" s="8" t="inlineStr">
        <is>
          <t>⏳ UPCOMING</t>
        </is>
      </c>
      <c r="I3396" s="11" t="inlineStr">
        <is>
          <t>BOQ_Financial_Schedule_2026_TEL_1401249_83.xlsx</t>
        </is>
      </c>
      <c r="J3396" s="13" t="inlineStr">
        <is>
          <t>📊 Excel BOQ</t>
        </is>
      </c>
      <c r="K3396" s="15" t="n">
        <v>2.4</v>
      </c>
      <c r="L3396" s="16">
        <f>HYPERLINK("http://127.0.0.1:8000/api/documents/download?id=3255&amp;attachment=true", "⬇ Download BOQ_Financial_Schedule_2")</f>
        <v/>
      </c>
      <c r="M3396" s="16">
        <f>HYPERLINK("http://localhost:5173/?state=Telangana&amp;keyword=Spatial&amp;tender=2026_TEL_1401249_83", "🚀 Open in Portal")</f>
        <v/>
      </c>
    </row>
    <row r="3397" ht="24" customHeight="1">
      <c r="A3397" s="4" t="inlineStr">
        <is>
          <t>Telangana</t>
        </is>
      </c>
      <c r="B3397" s="5" t="inlineStr">
        <is>
          <t>Spatial</t>
        </is>
      </c>
      <c r="C3397" s="6" t="inlineStr">
        <is>
          <t>2026_TEL_1401249_83</t>
        </is>
      </c>
      <c r="D3397" s="7" t="inlineStr">
        <is>
          <t>Spatial-Based Geospatial Road Asset Inventory &amp; Pavement Condition Digital Survey</t>
        </is>
      </c>
      <c r="E3397" s="7" t="inlineStr">
        <is>
          <t>PUBLIC WORKS &amp; HIGHWAYS DEPARTMENT</t>
        </is>
      </c>
      <c r="F3397" s="6" t="inlineStr">
        <is>
          <t>02 Aug 2026</t>
        </is>
      </c>
      <c r="G3397" s="5" t="inlineStr">
        <is>
          <t>28 Aug 2026</t>
        </is>
      </c>
      <c r="H3397" s="8" t="inlineStr">
        <is>
          <t>⏳ UPCOMING</t>
        </is>
      </c>
      <c r="I3397" s="4" t="inlineStr">
        <is>
          <t>Tender_2026_TEL_1401249_83_All_Documents.zip</t>
        </is>
      </c>
      <c r="J3397" s="6" t="inlineStr">
        <is>
          <t>📦 ZIP Package</t>
        </is>
      </c>
      <c r="K3397" s="9" t="n">
        <v>45</v>
      </c>
      <c r="L3397" s="10">
        <f>HYPERLINK("https://tender.telangana.gov.in/tender/2026_TEL_1401249_83", "⬇ Download Tender_2026_TEL_1401249_")</f>
        <v/>
      </c>
      <c r="M3397" s="10">
        <f>HYPERLINK("http://localhost:5173/?state=Telangana&amp;keyword=Spatial&amp;tender=2026_TEL_1401249_83", "🚀 Open in Portal")</f>
        <v/>
      </c>
    </row>
    <row r="3398" ht="24" customHeight="1">
      <c r="A3398" s="11" t="inlineStr">
        <is>
          <t>Telangana</t>
        </is>
      </c>
      <c r="B3398" s="12" t="inlineStr">
        <is>
          <t>Spatial</t>
        </is>
      </c>
      <c r="C3398" s="13" t="inlineStr">
        <is>
          <t>2026_TEL_2106055_63</t>
        </is>
      </c>
      <c r="D3398" s="14" t="inlineStr">
        <is>
          <t>Spatial-Based Geospatial Road Asset Inventory &amp; Pavement Condition Digital Survey</t>
        </is>
      </c>
      <c r="E3398" s="14" t="inlineStr">
        <is>
          <t>PUBLIC WORKS &amp; HIGHWAYS DEPARTMENT</t>
        </is>
      </c>
      <c r="F3398" s="13" t="inlineStr">
        <is>
          <t>20 Sep 2026</t>
        </is>
      </c>
      <c r="G3398" s="12" t="inlineStr">
        <is>
          <t>18 Oct 2026</t>
        </is>
      </c>
      <c r="H3398" s="8" t="inlineStr">
        <is>
          <t>⏳ UPCOMING</t>
        </is>
      </c>
      <c r="I3398" s="11" t="inlineStr">
        <is>
          <t>Tendernotice_2026_TEL_2106055_63.pdf</t>
        </is>
      </c>
      <c r="J3398" s="13" t="inlineStr">
        <is>
          <t>📕 PDF Document</t>
        </is>
      </c>
      <c r="K3398" s="15" t="n">
        <v>7.7</v>
      </c>
      <c r="L3398" s="16">
        <f>HYPERLINK("http://127.0.0.1:8000/api/documents/download?id=3397&amp;attachment=true", "⬇ Download Tendernotice_2026_TEL_21")</f>
        <v/>
      </c>
      <c r="M3398" s="16">
        <f>HYPERLINK("http://localhost:5173/?state=Telangana&amp;keyword=Spatial&amp;tender=2026_TEL_2106055_63", "🚀 Open in Portal")</f>
        <v/>
      </c>
    </row>
    <row r="3399" ht="24" customHeight="1">
      <c r="A3399" s="4" t="inlineStr">
        <is>
          <t>Telangana</t>
        </is>
      </c>
      <c r="B3399" s="5" t="inlineStr">
        <is>
          <t>Spatial</t>
        </is>
      </c>
      <c r="C3399" s="6" t="inlineStr">
        <is>
          <t>2026_TEL_2106055_63</t>
        </is>
      </c>
      <c r="D3399" s="7" t="inlineStr">
        <is>
          <t>Spatial-Based Geospatial Road Asset Inventory &amp; Pavement Condition Digital Survey</t>
        </is>
      </c>
      <c r="E3399" s="7" t="inlineStr">
        <is>
          <t>PUBLIC WORKS &amp; HIGHWAYS DEPARTMENT</t>
        </is>
      </c>
      <c r="F3399" s="6" t="inlineStr">
        <is>
          <t>20 Sep 2026</t>
        </is>
      </c>
      <c r="G3399" s="5" t="inlineStr">
        <is>
          <t>18 Oct 2026</t>
        </is>
      </c>
      <c r="H3399" s="8" t="inlineStr">
        <is>
          <t>⏳ UPCOMING</t>
        </is>
      </c>
      <c r="I3399" s="4" t="inlineStr">
        <is>
          <t>Technical_RFP_Specification_Spatial.pdf</t>
        </is>
      </c>
      <c r="J3399" s="6" t="inlineStr">
        <is>
          <t>📕 PDF Document</t>
        </is>
      </c>
      <c r="K3399" s="9" t="n">
        <v>7.7</v>
      </c>
      <c r="L3399" s="10">
        <f>HYPERLINK("http://127.0.0.1:8000/api/documents/download?id=3398&amp;attachment=true", "⬇ Download Technical_RFP_Specificat")</f>
        <v/>
      </c>
      <c r="M3399" s="10">
        <f>HYPERLINK("http://localhost:5173/?state=Telangana&amp;keyword=Spatial&amp;tender=2026_TEL_2106055_63", "🚀 Open in Portal")</f>
        <v/>
      </c>
    </row>
    <row r="3400" ht="24" customHeight="1">
      <c r="A3400" s="11" t="inlineStr">
        <is>
          <t>Telangana</t>
        </is>
      </c>
      <c r="B3400" s="12" t="inlineStr">
        <is>
          <t>Spatial</t>
        </is>
      </c>
      <c r="C3400" s="13" t="inlineStr">
        <is>
          <t>2026_TEL_2106055_63</t>
        </is>
      </c>
      <c r="D3400" s="14" t="inlineStr">
        <is>
          <t>Spatial-Based Geospatial Road Asset Inventory &amp; Pavement Condition Digital Survey</t>
        </is>
      </c>
      <c r="E3400" s="14" t="inlineStr">
        <is>
          <t>PUBLIC WORKS &amp; HIGHWAYS DEPARTMENT</t>
        </is>
      </c>
      <c r="F3400" s="13" t="inlineStr">
        <is>
          <t>20 Sep 2026</t>
        </is>
      </c>
      <c r="G3400" s="12" t="inlineStr">
        <is>
          <t>18 Oct 2026</t>
        </is>
      </c>
      <c r="H3400" s="8" t="inlineStr">
        <is>
          <t>⏳ UPCOMING</t>
        </is>
      </c>
      <c r="I3400" s="11" t="inlineStr">
        <is>
          <t>BOQ_Financial_Schedule_2026_TEL_2106055_63.xlsx</t>
        </is>
      </c>
      <c r="J3400" s="13" t="inlineStr">
        <is>
          <t>📊 Excel BOQ</t>
        </is>
      </c>
      <c r="K3400" s="15" t="n">
        <v>5.9</v>
      </c>
      <c r="L3400" s="16">
        <f>HYPERLINK("http://127.0.0.1:8000/api/documents/download?id=3399&amp;attachment=true", "⬇ Download BOQ_Financial_Schedule_2")</f>
        <v/>
      </c>
      <c r="M3400" s="16">
        <f>HYPERLINK("http://localhost:5173/?state=Telangana&amp;keyword=Spatial&amp;tender=2026_TEL_2106055_63", "🚀 Open in Portal")</f>
        <v/>
      </c>
    </row>
    <row r="3401" ht="24" customHeight="1">
      <c r="A3401" s="4" t="inlineStr">
        <is>
          <t>Telangana</t>
        </is>
      </c>
      <c r="B3401" s="5" t="inlineStr">
        <is>
          <t>Spatial</t>
        </is>
      </c>
      <c r="C3401" s="6" t="inlineStr">
        <is>
          <t>2026_TEL_2106055_63</t>
        </is>
      </c>
      <c r="D3401" s="7" t="inlineStr">
        <is>
          <t>Spatial-Based Geospatial Road Asset Inventory &amp; Pavement Condition Digital Survey</t>
        </is>
      </c>
      <c r="E3401" s="7" t="inlineStr">
        <is>
          <t>PUBLIC WORKS &amp; HIGHWAYS DEPARTMENT</t>
        </is>
      </c>
      <c r="F3401" s="6" t="inlineStr">
        <is>
          <t>20 Sep 2026</t>
        </is>
      </c>
      <c r="G3401" s="5" t="inlineStr">
        <is>
          <t>18 Oct 2026</t>
        </is>
      </c>
      <c r="H3401" s="8" t="inlineStr">
        <is>
          <t>⏳ UPCOMING</t>
        </is>
      </c>
      <c r="I3401" s="4" t="inlineStr">
        <is>
          <t>Tender_2026_TEL_2106055_63_All_Documents.zip</t>
        </is>
      </c>
      <c r="J3401" s="6" t="inlineStr">
        <is>
          <t>📦 ZIP Package</t>
        </is>
      </c>
      <c r="K3401" s="9" t="n">
        <v>45</v>
      </c>
      <c r="L3401" s="10">
        <f>HYPERLINK("https://tender.telangana.gov.in/tender/2026_TEL_2106055_63", "⬇ Download Tender_2026_TEL_2106055_")</f>
        <v/>
      </c>
      <c r="M3401" s="10">
        <f>HYPERLINK("http://localhost:5173/?state=Telangana&amp;keyword=Spatial&amp;tender=2026_TEL_2106055_63", "🚀 Open in Portal")</f>
        <v/>
      </c>
    </row>
    <row r="3402" ht="24" customHeight="1">
      <c r="A3402" s="11" t="inlineStr">
        <is>
          <t>Telangana</t>
        </is>
      </c>
      <c r="B3402" s="12" t="inlineStr">
        <is>
          <t>Spatial</t>
        </is>
      </c>
      <c r="C3402" s="13" t="inlineStr">
        <is>
          <t>742109</t>
        </is>
      </c>
      <c r="D3402" s="14" t="inlineStr">
        <is>
          <t>GIS-based Spatial Mapping and Cadastral Survey for Irrigation &amp; Water Resources Command Area</t>
        </is>
      </c>
      <c r="E3402" s="14" t="inlineStr">
        <is>
          <t>IRRIGATION &amp; CAD DEPARTMENT-Chief Engineer Projects, Hyderabad</t>
        </is>
      </c>
      <c r="F3402" s="13" t="inlineStr">
        <is>
          <t>12 Oct 2026</t>
        </is>
      </c>
      <c r="G3402" s="12" t="inlineStr">
        <is>
          <t>13 Nov 2026</t>
        </is>
      </c>
      <c r="H3402" s="17" t="inlineStr">
        <is>
          <t>🟢 LIVE ACTIVE</t>
        </is>
      </c>
      <c r="I3402" s="11" t="inlineStr">
        <is>
          <t>Irrigation_GIS_Survey_Scope_of_Work.pdf</t>
        </is>
      </c>
      <c r="J3402" s="13" t="inlineStr">
        <is>
          <t>📕 PDF Document</t>
        </is>
      </c>
      <c r="K3402" s="15" t="n">
        <v>17.9</v>
      </c>
      <c r="L3402" s="16">
        <f>HYPERLINK("http://127.0.0.1:8000/api/documents/download?id=2778&amp;attachment=true", "⬇ Download Irrigation_GIS_Survey_Sc")</f>
        <v/>
      </c>
      <c r="M3402" s="16">
        <f>HYPERLINK("http://localhost:5173/?state=Telangana&amp;keyword=Spatial&amp;tender=742109", "🚀 Open in Portal")</f>
        <v/>
      </c>
    </row>
    <row r="3403" ht="24" customHeight="1">
      <c r="A3403" s="4" t="inlineStr">
        <is>
          <t>Telangana</t>
        </is>
      </c>
      <c r="B3403" s="5" t="inlineStr">
        <is>
          <t>Spatial</t>
        </is>
      </c>
      <c r="C3403" s="6" t="inlineStr">
        <is>
          <t>742109</t>
        </is>
      </c>
      <c r="D3403" s="7" t="inlineStr">
        <is>
          <t>GIS-based Spatial Mapping and Cadastral Survey for Irrigation &amp; Water Resources Command Area</t>
        </is>
      </c>
      <c r="E3403" s="7" t="inlineStr">
        <is>
          <t>IRRIGATION &amp; CAD DEPARTMENT-Chief Engineer Projects, Hyderabad</t>
        </is>
      </c>
      <c r="F3403" s="6" t="inlineStr">
        <is>
          <t>12 Oct 2026</t>
        </is>
      </c>
      <c r="G3403" s="5" t="inlineStr">
        <is>
          <t>13 Nov 2026</t>
        </is>
      </c>
      <c r="H3403" s="17" t="inlineStr">
        <is>
          <t>🟢 LIVE ACTIVE</t>
        </is>
      </c>
      <c r="I3403" s="4" t="inlineStr">
        <is>
          <t>Spatial_Data_Standards_Manual.pdf</t>
        </is>
      </c>
      <c r="J3403" s="6" t="inlineStr">
        <is>
          <t>📕 PDF Document</t>
        </is>
      </c>
      <c r="K3403" s="9" t="n">
        <v>17.9</v>
      </c>
      <c r="L3403" s="10">
        <f>HYPERLINK("http://127.0.0.1:8000/api/documents/download?id=2779&amp;attachment=true", "⬇ Download Spatial_Data_Standards_M")</f>
        <v/>
      </c>
      <c r="M3403" s="10">
        <f>HYPERLINK("http://localhost:5173/?state=Telangana&amp;keyword=Spatial&amp;tender=742109", "🚀 Open in Portal")</f>
        <v/>
      </c>
    </row>
    <row r="3404" ht="24" customHeight="1">
      <c r="A3404" s="11" t="inlineStr">
        <is>
          <t>Telangana</t>
        </is>
      </c>
      <c r="B3404" s="12" t="inlineStr">
        <is>
          <t>Spatial</t>
        </is>
      </c>
      <c r="C3404" s="13" t="inlineStr">
        <is>
          <t>742109</t>
        </is>
      </c>
      <c r="D3404" s="14" t="inlineStr">
        <is>
          <t>GIS-based Spatial Mapping and Cadastral Survey for Irrigation &amp; Water Resources Command Area</t>
        </is>
      </c>
      <c r="E3404" s="14" t="inlineStr">
        <is>
          <t>IRRIGATION &amp; CAD DEPARTMENT-Chief Engineer Projects, Hyderabad</t>
        </is>
      </c>
      <c r="F3404" s="13" t="inlineStr">
        <is>
          <t>12 Oct 2026</t>
        </is>
      </c>
      <c r="G3404" s="12" t="inlineStr">
        <is>
          <t>13 Nov 2026</t>
        </is>
      </c>
      <c r="H3404" s="17" t="inlineStr">
        <is>
          <t>🟢 LIVE ACTIVE</t>
        </is>
      </c>
      <c r="I3404" s="11" t="inlineStr">
        <is>
          <t>Tender_742109_All_Documents.zip</t>
        </is>
      </c>
      <c r="J3404" s="13" t="inlineStr">
        <is>
          <t>📦 ZIP Package</t>
        </is>
      </c>
      <c r="K3404" s="15" t="n">
        <v>18.4</v>
      </c>
      <c r="L3404" s="16">
        <f>HYPERLINK("http://127.0.0.1:8000/api/documents/download?id=2780&amp;attachment=true", "⬇ Download Tender_742109_All_Docume")</f>
        <v/>
      </c>
      <c r="M3404" s="16">
        <f>HYPERLINK("http://localhost:5173/?state=Telangana&amp;keyword=Spatial&amp;tender=742109", "🚀 Open in Portal")</f>
        <v/>
      </c>
    </row>
    <row r="3405" ht="24" customHeight="1">
      <c r="A3405" s="4" t="inlineStr">
        <is>
          <t>Telangana</t>
        </is>
      </c>
      <c r="B3405" s="5" t="inlineStr">
        <is>
          <t>Software Development</t>
        </is>
      </c>
      <c r="C3405" s="6" t="inlineStr">
        <is>
          <t>741466</t>
        </is>
      </c>
      <c r="D3405" s="7" t="inlineStr">
        <is>
          <t>Renewal of UTM Firewall Subscription and support along with network equipment for 8 Areas for 3 years</t>
        </is>
      </c>
      <c r="E3405" s="7" t="inlineStr">
        <is>
          <t>SINGARENI COLLIERIES COMPANY LIMITED-Corp-MP</t>
        </is>
      </c>
      <c r="F3405" s="6" t="inlineStr">
        <is>
          <t>13 Sep 2026</t>
        </is>
      </c>
      <c r="G3405" s="5" t="inlineStr">
        <is>
          <t>05 Oct 2026</t>
        </is>
      </c>
      <c r="H3405" s="8" t="inlineStr">
        <is>
          <t>⏳ UPCOMING</t>
        </is>
      </c>
      <c r="I3405" s="4" t="inlineStr">
        <is>
          <t>SCCL_UTM_Firewall_Tender_Notice.pdf</t>
        </is>
      </c>
      <c r="J3405" s="6" t="inlineStr">
        <is>
          <t>📕 PDF Document</t>
        </is>
      </c>
      <c r="K3405" s="9" t="n">
        <v>17.8</v>
      </c>
      <c r="L3405" s="10">
        <f>HYPERLINK("http://127.0.0.1:8000/api/documents/download?id=2775&amp;attachment=true", "⬇ Download SCCL_UTM_Firewall_Tender")</f>
        <v/>
      </c>
      <c r="M3405" s="10">
        <f>HYPERLINK("http://localhost:5173/?state=Telangana&amp;keyword=Software%20Development&amp;tender=741466", "🚀 Open in Portal")</f>
        <v/>
      </c>
    </row>
    <row r="3406" ht="24" customHeight="1">
      <c r="A3406" s="11" t="inlineStr">
        <is>
          <t>Telangana</t>
        </is>
      </c>
      <c r="B3406" s="12" t="inlineStr">
        <is>
          <t>Software Development</t>
        </is>
      </c>
      <c r="C3406" s="13" t="inlineStr">
        <is>
          <t>741466</t>
        </is>
      </c>
      <c r="D3406" s="14" t="inlineStr">
        <is>
          <t>Renewal of UTM Firewall Subscription and support along with network equipment for 8 Areas for 3 years</t>
        </is>
      </c>
      <c r="E3406" s="14" t="inlineStr">
        <is>
          <t>SINGARENI COLLIERIES COMPANY LIMITED-Corp-MP</t>
        </is>
      </c>
      <c r="F3406" s="13" t="inlineStr">
        <is>
          <t>13 Sep 2026</t>
        </is>
      </c>
      <c r="G3406" s="12" t="inlineStr">
        <is>
          <t>05 Oct 2026</t>
        </is>
      </c>
      <c r="H3406" s="8" t="inlineStr">
        <is>
          <t>⏳ UPCOMING</t>
        </is>
      </c>
      <c r="I3406" s="11" t="inlineStr">
        <is>
          <t>Hardware_Network_Specifications.pdf</t>
        </is>
      </c>
      <c r="J3406" s="13" t="inlineStr">
        <is>
          <t>📕 PDF Document</t>
        </is>
      </c>
      <c r="K3406" s="15" t="n">
        <v>17.8</v>
      </c>
      <c r="L3406" s="16">
        <f>HYPERLINK("http://127.0.0.1:8000/api/documents/download?id=2776&amp;attachment=true", "⬇ Download Hardware_Network_Specifi")</f>
        <v/>
      </c>
      <c r="M3406" s="16">
        <f>HYPERLINK("http://localhost:5173/?state=Telangana&amp;keyword=Software%20Development&amp;tender=741466", "🚀 Open in Portal")</f>
        <v/>
      </c>
    </row>
    <row r="3407" ht="24" customHeight="1">
      <c r="A3407" s="4" t="inlineStr">
        <is>
          <t>Telangana</t>
        </is>
      </c>
      <c r="B3407" s="5" t="inlineStr">
        <is>
          <t>Software Development</t>
        </is>
      </c>
      <c r="C3407" s="6" t="inlineStr">
        <is>
          <t>741466</t>
        </is>
      </c>
      <c r="D3407" s="7" t="inlineStr">
        <is>
          <t>Renewal of UTM Firewall Subscription and support along with network equipment for 8 Areas for 3 years</t>
        </is>
      </c>
      <c r="E3407" s="7" t="inlineStr">
        <is>
          <t>SINGARENI COLLIERIES COMPANY LIMITED-Corp-MP</t>
        </is>
      </c>
      <c r="F3407" s="6" t="inlineStr">
        <is>
          <t>13 Sep 2026</t>
        </is>
      </c>
      <c r="G3407" s="5" t="inlineStr">
        <is>
          <t>05 Oct 2026</t>
        </is>
      </c>
      <c r="H3407" s="8" t="inlineStr">
        <is>
          <t>⏳ UPCOMING</t>
        </is>
      </c>
      <c r="I3407" s="4" t="inlineStr">
        <is>
          <t>Annexure_A_Price_Schedule.pdf</t>
        </is>
      </c>
      <c r="J3407" s="6" t="inlineStr">
        <is>
          <t>📕 PDF Document</t>
        </is>
      </c>
      <c r="K3407" s="9" t="n">
        <v>17.8</v>
      </c>
      <c r="L3407" s="10">
        <f>HYPERLINK("http://127.0.0.1:8000/api/documents/download?id=2777&amp;attachment=true", "⬇ Download Annexure_A_Price_Schedul")</f>
        <v/>
      </c>
      <c r="M3407" s="10">
        <f>HYPERLINK("http://localhost:5173/?state=Telangana&amp;keyword=Software%20Development&amp;tender=741466", "🚀 Open in Portal")</f>
        <v/>
      </c>
    </row>
    <row r="3408" ht="24" customHeight="1">
      <c r="A3408" s="11" t="inlineStr">
        <is>
          <t>Telangana</t>
        </is>
      </c>
      <c r="B3408" s="12" t="inlineStr">
        <is>
          <t>Software Development</t>
        </is>
      </c>
      <c r="C3408" s="13" t="inlineStr">
        <is>
          <t>741466</t>
        </is>
      </c>
      <c r="D3408" s="14" t="inlineStr">
        <is>
          <t>Renewal of UTM Firewall Subscription and support along with network equipment for 8 Areas for 3 years</t>
        </is>
      </c>
      <c r="E3408" s="14" t="inlineStr">
        <is>
          <t>SINGARENI COLLIERIES COMPANY LIMITED-Corp-MP</t>
        </is>
      </c>
      <c r="F3408" s="13" t="inlineStr">
        <is>
          <t>13 Sep 2026</t>
        </is>
      </c>
      <c r="G3408" s="12" t="inlineStr">
        <is>
          <t>05 Oct 2026</t>
        </is>
      </c>
      <c r="H3408" s="8" t="inlineStr">
        <is>
          <t>⏳ UPCOMING</t>
        </is>
      </c>
      <c r="I3408" s="11" t="inlineStr">
        <is>
          <t>Tender_741466_All_Documents.zip</t>
        </is>
      </c>
      <c r="J3408" s="13" t="inlineStr">
        <is>
          <t>📦 ZIP Package</t>
        </is>
      </c>
      <c r="K3408" s="15" t="n">
        <v>27.6</v>
      </c>
      <c r="L3408" s="16">
        <f>HYPERLINK("http://127.0.0.1:8000/api/documents/download?id=2999&amp;attachment=true", "⬇ Download Tender_741466_All_Docume")</f>
        <v/>
      </c>
      <c r="M3408" s="16">
        <f>HYPERLINK("http://localhost:5173/?state=Telangana&amp;keyword=Software%20Development&amp;tender=741466", "🚀 Open in Portal")</f>
        <v/>
      </c>
    </row>
    <row r="3409" ht="24" customHeight="1">
      <c r="A3409" s="4" t="inlineStr">
        <is>
          <t>Telangana</t>
        </is>
      </c>
      <c r="B3409" s="5" t="inlineStr">
        <is>
          <t>Software Development</t>
        </is>
      </c>
      <c r="C3409" s="6" t="inlineStr">
        <is>
          <t>741861</t>
        </is>
      </c>
      <c r="D3409" s="7" t="inlineStr">
        <is>
          <t>Development, Integration, Enhancements, Operation and Maintenance of Forest Department Web Portal and MIS System</t>
        </is>
      </c>
      <c r="E3409" s="7" t="inlineStr">
        <is>
          <t>TELANGANA FOREST DEPARTMENT-P.C.C.F Hyderabad</t>
        </is>
      </c>
      <c r="F3409" s="6" t="inlineStr">
        <is>
          <t>15 Aug 2026</t>
        </is>
      </c>
      <c r="G3409" s="5" t="inlineStr">
        <is>
          <t>10 Sep 2026</t>
        </is>
      </c>
      <c r="H3409" s="8" t="inlineStr">
        <is>
          <t>⏳ UPCOMING</t>
        </is>
      </c>
      <c r="I3409" s="4" t="inlineStr">
        <is>
          <t>Forest_Portal_RFP_Specification.pdf</t>
        </is>
      </c>
      <c r="J3409" s="6" t="inlineStr">
        <is>
          <t>📕 PDF Document</t>
        </is>
      </c>
      <c r="K3409" s="9" t="n">
        <v>17.9</v>
      </c>
      <c r="L3409" s="10">
        <f>HYPERLINK("http://127.0.0.1:8000/api/documents/download?id=2771&amp;attachment=true", "⬇ Download Forest_Portal_RFP_Specif")</f>
        <v/>
      </c>
      <c r="M3409" s="10">
        <f>HYPERLINK("http://localhost:5173/?state=Telangana&amp;keyword=Software%20Development&amp;tender=741861", "🚀 Open in Portal")</f>
        <v/>
      </c>
    </row>
    <row r="3410" ht="24" customHeight="1">
      <c r="A3410" s="11" t="inlineStr">
        <is>
          <t>Telangana</t>
        </is>
      </c>
      <c r="B3410" s="12" t="inlineStr">
        <is>
          <t>Software Development</t>
        </is>
      </c>
      <c r="C3410" s="13" t="inlineStr">
        <is>
          <t>741861</t>
        </is>
      </c>
      <c r="D3410" s="14" t="inlineStr">
        <is>
          <t>Development, Integration, Enhancements, Operation and Maintenance of Forest Department Web Portal and MIS System</t>
        </is>
      </c>
      <c r="E3410" s="14" t="inlineStr">
        <is>
          <t>TELANGANA FOREST DEPARTMENT-P.C.C.F Hyderabad</t>
        </is>
      </c>
      <c r="F3410" s="13" t="inlineStr">
        <is>
          <t>15 Aug 2026</t>
        </is>
      </c>
      <c r="G3410" s="12" t="inlineStr">
        <is>
          <t>10 Sep 2026</t>
        </is>
      </c>
      <c r="H3410" s="8" t="inlineStr">
        <is>
          <t>⏳ UPCOMING</t>
        </is>
      </c>
      <c r="I3410" s="11" t="inlineStr">
        <is>
          <t>Technical_Evaluation_Criteria.pdf</t>
        </is>
      </c>
      <c r="J3410" s="13" t="inlineStr">
        <is>
          <t>📕 PDF Document</t>
        </is>
      </c>
      <c r="K3410" s="15" t="n">
        <v>17.9</v>
      </c>
      <c r="L3410" s="16">
        <f>HYPERLINK("http://127.0.0.1:8000/api/documents/download?id=2772&amp;attachment=true", "⬇ Download Technical_Evaluation_Cri")</f>
        <v/>
      </c>
      <c r="M3410" s="16">
        <f>HYPERLINK("http://localhost:5173/?state=Telangana&amp;keyword=Software%20Development&amp;tender=741861", "🚀 Open in Portal")</f>
        <v/>
      </c>
    </row>
    <row r="3411" ht="24" customHeight="1">
      <c r="A3411" s="4" t="inlineStr">
        <is>
          <t>Telangana</t>
        </is>
      </c>
      <c r="B3411" s="5" t="inlineStr">
        <is>
          <t>Software Development</t>
        </is>
      </c>
      <c r="C3411" s="6" t="inlineStr">
        <is>
          <t>741861</t>
        </is>
      </c>
      <c r="D3411" s="7" t="inlineStr">
        <is>
          <t>Development, Integration, Enhancements, Operation and Maintenance of Forest Department Web Portal and MIS System</t>
        </is>
      </c>
      <c r="E3411" s="7" t="inlineStr">
        <is>
          <t>TELANGANA FOREST DEPARTMENT-P.C.C.F Hyderabad</t>
        </is>
      </c>
      <c r="F3411" s="6" t="inlineStr">
        <is>
          <t>15 Aug 2026</t>
        </is>
      </c>
      <c r="G3411" s="5" t="inlineStr">
        <is>
          <t>10 Sep 2026</t>
        </is>
      </c>
      <c r="H3411" s="8" t="inlineStr">
        <is>
          <t>⏳ UPCOMING</t>
        </is>
      </c>
      <c r="I3411" s="4" t="inlineStr">
        <is>
          <t>BOQ_Financial_Bid_Format.xlsx</t>
        </is>
      </c>
      <c r="J3411" s="6" t="inlineStr">
        <is>
          <t>📊 Excel BOQ</t>
        </is>
      </c>
      <c r="K3411" s="9" t="n">
        <v>2.4</v>
      </c>
      <c r="L3411" s="10">
        <f>HYPERLINK("http://127.0.0.1:8000/api/documents/download?id=2773&amp;attachment=true", "⬇ Download BOQ_Financial_Bid_Format")</f>
        <v/>
      </c>
      <c r="M3411" s="10">
        <f>HYPERLINK("http://localhost:5173/?state=Telangana&amp;keyword=Software%20Development&amp;tender=741861", "🚀 Open in Portal")</f>
        <v/>
      </c>
    </row>
    <row r="3412" ht="24" customHeight="1">
      <c r="A3412" s="11" t="inlineStr">
        <is>
          <t>Telangana</t>
        </is>
      </c>
      <c r="B3412" s="12" t="inlineStr">
        <is>
          <t>Software Development</t>
        </is>
      </c>
      <c r="C3412" s="13" t="inlineStr">
        <is>
          <t>741861</t>
        </is>
      </c>
      <c r="D3412" s="14" t="inlineStr">
        <is>
          <t>Development, Integration, Enhancements, Operation and Maintenance of Forest Department Web Portal and MIS System</t>
        </is>
      </c>
      <c r="E3412" s="14" t="inlineStr">
        <is>
          <t>TELANGANA FOREST DEPARTMENT-P.C.C.F Hyderabad</t>
        </is>
      </c>
      <c r="F3412" s="13" t="inlineStr">
        <is>
          <t>15 Aug 2026</t>
        </is>
      </c>
      <c r="G3412" s="12" t="inlineStr">
        <is>
          <t>10 Sep 2026</t>
        </is>
      </c>
      <c r="H3412" s="8" t="inlineStr">
        <is>
          <t>⏳ UPCOMING</t>
        </is>
      </c>
      <c r="I3412" s="11" t="inlineStr">
        <is>
          <t>Tender_741861_All_Documents.zip</t>
        </is>
      </c>
      <c r="J3412" s="13" t="inlineStr">
        <is>
          <t>📦 ZIP Package</t>
        </is>
      </c>
      <c r="K3412" s="15" t="n">
        <v>20.8</v>
      </c>
      <c r="L3412" s="16">
        <f>HYPERLINK("http://127.0.0.1:8000/api/documents/download?id=2774&amp;attachment=true", "⬇ Download Tender_741861_All_Docume")</f>
        <v/>
      </c>
      <c r="M3412" s="16">
        <f>HYPERLINK("http://localhost:5173/?state=Telangana&amp;keyword=Software%20Development&amp;tender=741861", "🚀 Open in Portal")</f>
        <v/>
      </c>
    </row>
    <row r="3413" ht="24" customHeight="1">
      <c r="A3413" s="4" t="inlineStr">
        <is>
          <t>Telangana</t>
        </is>
      </c>
      <c r="B3413" s="5" t="inlineStr">
        <is>
          <t>Software Development</t>
        </is>
      </c>
      <c r="C3413" s="6" t="inlineStr">
        <is>
          <t>742350</t>
        </is>
      </c>
      <c r="D3413" s="7" t="inlineStr">
        <is>
          <t>Implementation of Mobile Application &amp; Tele-Health Monitoring Portal for Primary Health Centers</t>
        </is>
      </c>
      <c r="E3413" s="7" t="inlineStr">
        <is>
          <t>HEALTH, MEDICAL &amp; FAMILY WELFARE-TSMSIDC</t>
        </is>
      </c>
      <c r="F3413" s="6" t="inlineStr">
        <is>
          <t>11 Aug 2026</t>
        </is>
      </c>
      <c r="G3413" s="5" t="inlineStr">
        <is>
          <t>02 Sep 2026</t>
        </is>
      </c>
      <c r="H3413" s="8" t="inlineStr">
        <is>
          <t>⏳ UPCOMING</t>
        </is>
      </c>
      <c r="I3413" s="4" t="inlineStr">
        <is>
          <t>TS_Health_Mobile_App_RFP.pdf</t>
        </is>
      </c>
      <c r="J3413" s="6" t="inlineStr">
        <is>
          <t>📕 PDF Document</t>
        </is>
      </c>
      <c r="K3413" s="9" t="n">
        <v>17.9</v>
      </c>
      <c r="L3413" s="10">
        <f>HYPERLINK("http://127.0.0.1:8000/api/documents/download?id=2781&amp;attachment=true", "⬇ Download TS_Health_Mobile_App_RFP")</f>
        <v/>
      </c>
      <c r="M3413" s="10">
        <f>HYPERLINK("http://localhost:5173/?state=Telangana&amp;keyword=Software%20Development&amp;tender=742350", "🚀 Open in Portal")</f>
        <v/>
      </c>
    </row>
    <row r="3414" ht="24" customHeight="1">
      <c r="A3414" s="11" t="inlineStr">
        <is>
          <t>Telangana</t>
        </is>
      </c>
      <c r="B3414" s="12" t="inlineStr">
        <is>
          <t>Software Development</t>
        </is>
      </c>
      <c r="C3414" s="13" t="inlineStr">
        <is>
          <t>742350</t>
        </is>
      </c>
      <c r="D3414" s="14" t="inlineStr">
        <is>
          <t>Implementation of Mobile Application &amp; Tele-Health Monitoring Portal for Primary Health Centers</t>
        </is>
      </c>
      <c r="E3414" s="14" t="inlineStr">
        <is>
          <t>HEALTH, MEDICAL &amp; FAMILY WELFARE-TSMSIDC</t>
        </is>
      </c>
      <c r="F3414" s="13" t="inlineStr">
        <is>
          <t>11 Aug 2026</t>
        </is>
      </c>
      <c r="G3414" s="12" t="inlineStr">
        <is>
          <t>02 Sep 2026</t>
        </is>
      </c>
      <c r="H3414" s="8" t="inlineStr">
        <is>
          <t>⏳ UPCOMING</t>
        </is>
      </c>
      <c r="I3414" s="11" t="inlineStr">
        <is>
          <t>Security_Audit_Requirements.pdf</t>
        </is>
      </c>
      <c r="J3414" s="13" t="inlineStr">
        <is>
          <t>📕 PDF Document</t>
        </is>
      </c>
      <c r="K3414" s="15" t="n">
        <v>17.9</v>
      </c>
      <c r="L3414" s="16">
        <f>HYPERLINK("http://127.0.0.1:8000/api/documents/download?id=2782&amp;attachment=true", "⬇ Download Security_Audit_Requireme")</f>
        <v/>
      </c>
      <c r="M3414" s="16">
        <f>HYPERLINK("http://localhost:5173/?state=Telangana&amp;keyword=Software%20Development&amp;tender=742350", "🚀 Open in Portal")</f>
        <v/>
      </c>
    </row>
    <row r="3415" ht="24" customHeight="1">
      <c r="A3415" s="4" t="inlineStr">
        <is>
          <t>Telangana</t>
        </is>
      </c>
      <c r="B3415" s="5" t="inlineStr">
        <is>
          <t>Software Development</t>
        </is>
      </c>
      <c r="C3415" s="6" t="inlineStr">
        <is>
          <t>742350</t>
        </is>
      </c>
      <c r="D3415" s="7" t="inlineStr">
        <is>
          <t>Implementation of Mobile Application &amp; Tele-Health Monitoring Portal for Primary Health Centers</t>
        </is>
      </c>
      <c r="E3415" s="7" t="inlineStr">
        <is>
          <t>HEALTH, MEDICAL &amp; FAMILY WELFARE-TSMSIDC</t>
        </is>
      </c>
      <c r="F3415" s="6" t="inlineStr">
        <is>
          <t>11 Aug 2026</t>
        </is>
      </c>
      <c r="G3415" s="5" t="inlineStr">
        <is>
          <t>02 Sep 2026</t>
        </is>
      </c>
      <c r="H3415" s="8" t="inlineStr">
        <is>
          <t>⏳ UPCOMING</t>
        </is>
      </c>
      <c r="I3415" s="4" t="inlineStr">
        <is>
          <t>Mobile_Application_SRS.pdf</t>
        </is>
      </c>
      <c r="J3415" s="6" t="inlineStr">
        <is>
          <t>📕 PDF Document</t>
        </is>
      </c>
      <c r="K3415" s="9" t="n">
        <v>17.9</v>
      </c>
      <c r="L3415" s="10">
        <f>HYPERLINK("http://127.0.0.1:8000/api/documents/download?id=2783&amp;attachment=true", "⬇ Download Mobile_Application_SRS.p")</f>
        <v/>
      </c>
      <c r="M3415" s="10">
        <f>HYPERLINK("http://localhost:5173/?state=Telangana&amp;keyword=Software%20Development&amp;tender=742350", "🚀 Open in Portal")</f>
        <v/>
      </c>
    </row>
    <row r="3416" ht="24" customHeight="1">
      <c r="A3416" s="11" t="inlineStr">
        <is>
          <t>Telangana</t>
        </is>
      </c>
      <c r="B3416" s="12" t="inlineStr">
        <is>
          <t>Software Development</t>
        </is>
      </c>
      <c r="C3416" s="13" t="inlineStr">
        <is>
          <t>742350</t>
        </is>
      </c>
      <c r="D3416" s="14" t="inlineStr">
        <is>
          <t>Implementation of Mobile Application &amp; Tele-Health Monitoring Portal for Primary Health Centers</t>
        </is>
      </c>
      <c r="E3416" s="14" t="inlineStr">
        <is>
          <t>HEALTH, MEDICAL &amp; FAMILY WELFARE-TSMSIDC</t>
        </is>
      </c>
      <c r="F3416" s="13" t="inlineStr">
        <is>
          <t>11 Aug 2026</t>
        </is>
      </c>
      <c r="G3416" s="12" t="inlineStr">
        <is>
          <t>02 Sep 2026</t>
        </is>
      </c>
      <c r="H3416" s="8" t="inlineStr">
        <is>
          <t>⏳ UPCOMING</t>
        </is>
      </c>
      <c r="I3416" s="11" t="inlineStr">
        <is>
          <t>Tender_742350_All_Documents.zip</t>
        </is>
      </c>
      <c r="J3416" s="13" t="inlineStr">
        <is>
          <t>📦 ZIP Package</t>
        </is>
      </c>
      <c r="K3416" s="15" t="n">
        <v>27.6</v>
      </c>
      <c r="L3416" s="16">
        <f>HYPERLINK("http://127.0.0.1:8000/api/documents/download?id=3000&amp;attachment=true", "⬇ Download Tender_742350_All_Docume")</f>
        <v/>
      </c>
      <c r="M3416" s="16">
        <f>HYPERLINK("http://localhost:5173/?state=Telangana&amp;keyword=Software%20Development&amp;tender=742350", "🚀 Open in Portal")</f>
        <v/>
      </c>
    </row>
    <row r="3417" ht="24" customHeight="1">
      <c r="A3417" s="4" t="inlineStr">
        <is>
          <t>Telangana</t>
        </is>
      </c>
      <c r="B3417" s="5" t="inlineStr">
        <is>
          <t>MIS</t>
        </is>
      </c>
      <c r="C3417" s="6" t="inlineStr">
        <is>
          <t>741861</t>
        </is>
      </c>
      <c r="D3417" s="7" t="inlineStr">
        <is>
          <t>Development, Integration, Enhancements, Operation and Maintenance of Forest Department Web Portal and MIS System</t>
        </is>
      </c>
      <c r="E3417" s="7" t="inlineStr">
        <is>
          <t>TELANGANA FOREST DEPARTMENT-P.C.C.F Hyderabad</t>
        </is>
      </c>
      <c r="F3417" s="6" t="inlineStr">
        <is>
          <t>15 Aug 2026</t>
        </is>
      </c>
      <c r="G3417" s="5" t="inlineStr">
        <is>
          <t>10 Sep 2026</t>
        </is>
      </c>
      <c r="H3417" s="8" t="inlineStr">
        <is>
          <t>⏳ UPCOMING</t>
        </is>
      </c>
      <c r="I3417" s="4" t="inlineStr">
        <is>
          <t>Forest_Portal_RFP_Specification.pdf</t>
        </is>
      </c>
      <c r="J3417" s="6" t="inlineStr">
        <is>
          <t>📕 PDF Document</t>
        </is>
      </c>
      <c r="K3417" s="9" t="n">
        <v>17.9</v>
      </c>
      <c r="L3417" s="10">
        <f>HYPERLINK("http://127.0.0.1:8000/api/documents/download?id=2771&amp;attachment=true", "⬇ Download Forest_Portal_RFP_Specif")</f>
        <v/>
      </c>
      <c r="M3417" s="10">
        <f>HYPERLINK("http://localhost:5173/?state=Telangana&amp;keyword=MIS&amp;tender=741861", "🚀 Open in Portal")</f>
        <v/>
      </c>
    </row>
    <row r="3418" ht="24" customHeight="1">
      <c r="A3418" s="11" t="inlineStr">
        <is>
          <t>Telangana</t>
        </is>
      </c>
      <c r="B3418" s="12" t="inlineStr">
        <is>
          <t>MIS</t>
        </is>
      </c>
      <c r="C3418" s="13" t="inlineStr">
        <is>
          <t>741861</t>
        </is>
      </c>
      <c r="D3418" s="14" t="inlineStr">
        <is>
          <t>Development, Integration, Enhancements, Operation and Maintenance of Forest Department Web Portal and MIS System</t>
        </is>
      </c>
      <c r="E3418" s="14" t="inlineStr">
        <is>
          <t>TELANGANA FOREST DEPARTMENT-P.C.C.F Hyderabad</t>
        </is>
      </c>
      <c r="F3418" s="13" t="inlineStr">
        <is>
          <t>15 Aug 2026</t>
        </is>
      </c>
      <c r="G3418" s="12" t="inlineStr">
        <is>
          <t>10 Sep 2026</t>
        </is>
      </c>
      <c r="H3418" s="8" t="inlineStr">
        <is>
          <t>⏳ UPCOMING</t>
        </is>
      </c>
      <c r="I3418" s="11" t="inlineStr">
        <is>
          <t>Technical_Evaluation_Criteria.pdf</t>
        </is>
      </c>
      <c r="J3418" s="13" t="inlineStr">
        <is>
          <t>📕 PDF Document</t>
        </is>
      </c>
      <c r="K3418" s="15" t="n">
        <v>17.9</v>
      </c>
      <c r="L3418" s="16">
        <f>HYPERLINK("http://127.0.0.1:8000/api/documents/download?id=2772&amp;attachment=true", "⬇ Download Technical_Evaluation_Cri")</f>
        <v/>
      </c>
      <c r="M3418" s="16">
        <f>HYPERLINK("http://localhost:5173/?state=Telangana&amp;keyword=MIS&amp;tender=741861", "🚀 Open in Portal")</f>
        <v/>
      </c>
    </row>
    <row r="3419" ht="24" customHeight="1">
      <c r="A3419" s="4" t="inlineStr">
        <is>
          <t>Telangana</t>
        </is>
      </c>
      <c r="B3419" s="5" t="inlineStr">
        <is>
          <t>MIS</t>
        </is>
      </c>
      <c r="C3419" s="6" t="inlineStr">
        <is>
          <t>741861</t>
        </is>
      </c>
      <c r="D3419" s="7" t="inlineStr">
        <is>
          <t>Development, Integration, Enhancements, Operation and Maintenance of Forest Department Web Portal and MIS System</t>
        </is>
      </c>
      <c r="E3419" s="7" t="inlineStr">
        <is>
          <t>TELANGANA FOREST DEPARTMENT-P.C.C.F Hyderabad</t>
        </is>
      </c>
      <c r="F3419" s="6" t="inlineStr">
        <is>
          <t>15 Aug 2026</t>
        </is>
      </c>
      <c r="G3419" s="5" t="inlineStr">
        <is>
          <t>10 Sep 2026</t>
        </is>
      </c>
      <c r="H3419" s="8" t="inlineStr">
        <is>
          <t>⏳ UPCOMING</t>
        </is>
      </c>
      <c r="I3419" s="4" t="inlineStr">
        <is>
          <t>BOQ_Financial_Bid_Format.xlsx</t>
        </is>
      </c>
      <c r="J3419" s="6" t="inlineStr">
        <is>
          <t>📊 Excel BOQ</t>
        </is>
      </c>
      <c r="K3419" s="9" t="n">
        <v>2.4</v>
      </c>
      <c r="L3419" s="10">
        <f>HYPERLINK("http://127.0.0.1:8000/api/documents/download?id=2773&amp;attachment=true", "⬇ Download BOQ_Financial_Bid_Format")</f>
        <v/>
      </c>
      <c r="M3419" s="10">
        <f>HYPERLINK("http://localhost:5173/?state=Telangana&amp;keyword=MIS&amp;tender=741861", "🚀 Open in Portal")</f>
        <v/>
      </c>
    </row>
    <row r="3420" ht="24" customHeight="1">
      <c r="A3420" s="11" t="inlineStr">
        <is>
          <t>Telangana</t>
        </is>
      </c>
      <c r="B3420" s="12" t="inlineStr">
        <is>
          <t>MIS</t>
        </is>
      </c>
      <c r="C3420" s="13" t="inlineStr">
        <is>
          <t>741861</t>
        </is>
      </c>
      <c r="D3420" s="14" t="inlineStr">
        <is>
          <t>Development, Integration, Enhancements, Operation and Maintenance of Forest Department Web Portal and MIS System</t>
        </is>
      </c>
      <c r="E3420" s="14" t="inlineStr">
        <is>
          <t>TELANGANA FOREST DEPARTMENT-P.C.C.F Hyderabad</t>
        </is>
      </c>
      <c r="F3420" s="13" t="inlineStr">
        <is>
          <t>15 Aug 2026</t>
        </is>
      </c>
      <c r="G3420" s="12" t="inlineStr">
        <is>
          <t>10 Sep 2026</t>
        </is>
      </c>
      <c r="H3420" s="8" t="inlineStr">
        <is>
          <t>⏳ UPCOMING</t>
        </is>
      </c>
      <c r="I3420" s="11" t="inlineStr">
        <is>
          <t>Tender_741861_All_Documents.zip</t>
        </is>
      </c>
      <c r="J3420" s="13" t="inlineStr">
        <is>
          <t>📦 ZIP Package</t>
        </is>
      </c>
      <c r="K3420" s="15" t="n">
        <v>20.8</v>
      </c>
      <c r="L3420" s="16">
        <f>HYPERLINK("http://127.0.0.1:8000/api/documents/download?id=2774&amp;attachment=true", "⬇ Download Tender_741861_All_Docume")</f>
        <v/>
      </c>
      <c r="M3420" s="16">
        <f>HYPERLINK("http://localhost:5173/?state=Telangana&amp;keyword=MIS&amp;tender=741861", "🚀 Open in Portal")</f>
        <v/>
      </c>
    </row>
    <row r="3421" ht="24" customHeight="1">
      <c r="A3421" s="4" t="inlineStr">
        <is>
          <t>Telangana</t>
        </is>
      </c>
      <c r="B3421" s="5" t="inlineStr">
        <is>
          <t>Mobile Application</t>
        </is>
      </c>
      <c r="C3421" s="6" t="inlineStr">
        <is>
          <t>742350</t>
        </is>
      </c>
      <c r="D3421" s="7" t="inlineStr">
        <is>
          <t>Implementation of Mobile Application &amp; Tele-Health Monitoring Portal for Primary Health Centers</t>
        </is>
      </c>
      <c r="E3421" s="7" t="inlineStr">
        <is>
          <t>HEALTH, MEDICAL &amp; FAMILY WELFARE-TSMSIDC</t>
        </is>
      </c>
      <c r="F3421" s="6" t="inlineStr">
        <is>
          <t>11 Aug 2026</t>
        </is>
      </c>
      <c r="G3421" s="5" t="inlineStr">
        <is>
          <t>02 Sep 2026</t>
        </is>
      </c>
      <c r="H3421" s="8" t="inlineStr">
        <is>
          <t>⏳ UPCOMING</t>
        </is>
      </c>
      <c r="I3421" s="4" t="inlineStr">
        <is>
          <t>TS_Health_Mobile_App_RFP.pdf</t>
        </is>
      </c>
      <c r="J3421" s="6" t="inlineStr">
        <is>
          <t>📕 PDF Document</t>
        </is>
      </c>
      <c r="K3421" s="9" t="n">
        <v>17.9</v>
      </c>
      <c r="L3421" s="10">
        <f>HYPERLINK("http://127.0.0.1:8000/api/documents/download?id=2781&amp;attachment=true", "⬇ Download TS_Health_Mobile_App_RFP")</f>
        <v/>
      </c>
      <c r="M3421" s="10">
        <f>HYPERLINK("http://localhost:5173/?state=Telangana&amp;keyword=Mobile%20Application&amp;tender=742350", "🚀 Open in Portal")</f>
        <v/>
      </c>
    </row>
    <row r="3422" ht="24" customHeight="1">
      <c r="A3422" s="11" t="inlineStr">
        <is>
          <t>Telangana</t>
        </is>
      </c>
      <c r="B3422" s="12" t="inlineStr">
        <is>
          <t>Mobile Application</t>
        </is>
      </c>
      <c r="C3422" s="13" t="inlineStr">
        <is>
          <t>742350</t>
        </is>
      </c>
      <c r="D3422" s="14" t="inlineStr">
        <is>
          <t>Implementation of Mobile Application &amp; Tele-Health Monitoring Portal for Primary Health Centers</t>
        </is>
      </c>
      <c r="E3422" s="14" t="inlineStr">
        <is>
          <t>HEALTH, MEDICAL &amp; FAMILY WELFARE-TSMSIDC</t>
        </is>
      </c>
      <c r="F3422" s="13" t="inlineStr">
        <is>
          <t>11 Aug 2026</t>
        </is>
      </c>
      <c r="G3422" s="12" t="inlineStr">
        <is>
          <t>02 Sep 2026</t>
        </is>
      </c>
      <c r="H3422" s="8" t="inlineStr">
        <is>
          <t>⏳ UPCOMING</t>
        </is>
      </c>
      <c r="I3422" s="11" t="inlineStr">
        <is>
          <t>Security_Audit_Requirements.pdf</t>
        </is>
      </c>
      <c r="J3422" s="13" t="inlineStr">
        <is>
          <t>📕 PDF Document</t>
        </is>
      </c>
      <c r="K3422" s="15" t="n">
        <v>17.9</v>
      </c>
      <c r="L3422" s="16">
        <f>HYPERLINK("http://127.0.0.1:8000/api/documents/download?id=2782&amp;attachment=true", "⬇ Download Security_Audit_Requireme")</f>
        <v/>
      </c>
      <c r="M3422" s="16">
        <f>HYPERLINK("http://localhost:5173/?state=Telangana&amp;keyword=Mobile%20Application&amp;tender=742350", "🚀 Open in Portal")</f>
        <v/>
      </c>
    </row>
    <row r="3423" ht="24" customHeight="1">
      <c r="A3423" s="4" t="inlineStr">
        <is>
          <t>Telangana</t>
        </is>
      </c>
      <c r="B3423" s="5" t="inlineStr">
        <is>
          <t>Mobile Application</t>
        </is>
      </c>
      <c r="C3423" s="6" t="inlineStr">
        <is>
          <t>742350</t>
        </is>
      </c>
      <c r="D3423" s="7" t="inlineStr">
        <is>
          <t>Implementation of Mobile Application &amp; Tele-Health Monitoring Portal for Primary Health Centers</t>
        </is>
      </c>
      <c r="E3423" s="7" t="inlineStr">
        <is>
          <t>HEALTH, MEDICAL &amp; FAMILY WELFARE-TSMSIDC</t>
        </is>
      </c>
      <c r="F3423" s="6" t="inlineStr">
        <is>
          <t>11 Aug 2026</t>
        </is>
      </c>
      <c r="G3423" s="5" t="inlineStr">
        <is>
          <t>02 Sep 2026</t>
        </is>
      </c>
      <c r="H3423" s="8" t="inlineStr">
        <is>
          <t>⏳ UPCOMING</t>
        </is>
      </c>
      <c r="I3423" s="4" t="inlineStr">
        <is>
          <t>Mobile_Application_SRS.pdf</t>
        </is>
      </c>
      <c r="J3423" s="6" t="inlineStr">
        <is>
          <t>📕 PDF Document</t>
        </is>
      </c>
      <c r="K3423" s="9" t="n">
        <v>17.9</v>
      </c>
      <c r="L3423" s="10">
        <f>HYPERLINK("http://127.0.0.1:8000/api/documents/download?id=2783&amp;attachment=true", "⬇ Download Mobile_Application_SRS.p")</f>
        <v/>
      </c>
      <c r="M3423" s="10">
        <f>HYPERLINK("http://localhost:5173/?state=Telangana&amp;keyword=Mobile%20Application&amp;tender=742350", "🚀 Open in Portal")</f>
        <v/>
      </c>
    </row>
    <row r="3424" ht="24" customHeight="1">
      <c r="A3424" s="11" t="inlineStr">
        <is>
          <t>Telangana</t>
        </is>
      </c>
      <c r="B3424" s="12" t="inlineStr">
        <is>
          <t>Mobile Application</t>
        </is>
      </c>
      <c r="C3424" s="13" t="inlineStr">
        <is>
          <t>742350</t>
        </is>
      </c>
      <c r="D3424" s="14" t="inlineStr">
        <is>
          <t>Implementation of Mobile Application &amp; Tele-Health Monitoring Portal for Primary Health Centers</t>
        </is>
      </c>
      <c r="E3424" s="14" t="inlineStr">
        <is>
          <t>HEALTH, MEDICAL &amp; FAMILY WELFARE-TSMSIDC</t>
        </is>
      </c>
      <c r="F3424" s="13" t="inlineStr">
        <is>
          <t>11 Aug 2026</t>
        </is>
      </c>
      <c r="G3424" s="12" t="inlineStr">
        <is>
          <t>02 Sep 2026</t>
        </is>
      </c>
      <c r="H3424" s="8" t="inlineStr">
        <is>
          <t>⏳ UPCOMING</t>
        </is>
      </c>
      <c r="I3424" s="11" t="inlineStr">
        <is>
          <t>Tender_742350_All_Documents.zip</t>
        </is>
      </c>
      <c r="J3424" s="13" t="inlineStr">
        <is>
          <t>📦 ZIP Package</t>
        </is>
      </c>
      <c r="K3424" s="15" t="n">
        <v>27.6</v>
      </c>
      <c r="L3424" s="16">
        <f>HYPERLINK("http://127.0.0.1:8000/api/documents/download?id=3000&amp;attachment=true", "⬇ Download Tender_742350_All_Docume")</f>
        <v/>
      </c>
      <c r="M3424" s="16">
        <f>HYPERLINK("http://localhost:5173/?state=Telangana&amp;keyword=Mobile%20Application&amp;tender=742350", "🚀 Open in Portal")</f>
        <v/>
      </c>
    </row>
    <row r="3425" ht="24" customHeight="1">
      <c r="A3425" s="4" t="inlineStr">
        <is>
          <t>Telangana</t>
        </is>
      </c>
      <c r="B3425" s="5" t="inlineStr">
        <is>
          <t>Mapping</t>
        </is>
      </c>
      <c r="C3425" s="6" t="inlineStr">
        <is>
          <t>742109</t>
        </is>
      </c>
      <c r="D3425" s="7" t="inlineStr">
        <is>
          <t>GIS-based Spatial Mapping and Cadastral Survey for Irrigation &amp; Water Resources Command Area</t>
        </is>
      </c>
      <c r="E3425" s="7" t="inlineStr">
        <is>
          <t>IRRIGATION &amp; CAD DEPARTMENT-Chief Engineer Projects, Hyderabad</t>
        </is>
      </c>
      <c r="F3425" s="6" t="inlineStr">
        <is>
          <t>12 Oct 2026</t>
        </is>
      </c>
      <c r="G3425" s="5" t="inlineStr">
        <is>
          <t>13 Nov 2026</t>
        </is>
      </c>
      <c r="H3425" s="17" t="inlineStr">
        <is>
          <t>🟢 LIVE ACTIVE</t>
        </is>
      </c>
      <c r="I3425" s="4" t="inlineStr">
        <is>
          <t>Irrigation_GIS_Survey_Scope_of_Work.pdf</t>
        </is>
      </c>
      <c r="J3425" s="6" t="inlineStr">
        <is>
          <t>📕 PDF Document</t>
        </is>
      </c>
      <c r="K3425" s="9" t="n">
        <v>17.9</v>
      </c>
      <c r="L3425" s="10">
        <f>HYPERLINK("http://127.0.0.1:8000/api/documents/download?id=2778&amp;attachment=true", "⬇ Download Irrigation_GIS_Survey_Sc")</f>
        <v/>
      </c>
      <c r="M3425" s="10">
        <f>HYPERLINK("http://localhost:5173/?state=Telangana&amp;keyword=Mapping&amp;tender=742109", "🚀 Open in Portal")</f>
        <v/>
      </c>
    </row>
    <row r="3426" ht="24" customHeight="1">
      <c r="A3426" s="11" t="inlineStr">
        <is>
          <t>Telangana</t>
        </is>
      </c>
      <c r="B3426" s="12" t="inlineStr">
        <is>
          <t>Mapping</t>
        </is>
      </c>
      <c r="C3426" s="13" t="inlineStr">
        <is>
          <t>742109</t>
        </is>
      </c>
      <c r="D3426" s="14" t="inlineStr">
        <is>
          <t>GIS-based Spatial Mapping and Cadastral Survey for Irrigation &amp; Water Resources Command Area</t>
        </is>
      </c>
      <c r="E3426" s="14" t="inlineStr">
        <is>
          <t>IRRIGATION &amp; CAD DEPARTMENT-Chief Engineer Projects, Hyderabad</t>
        </is>
      </c>
      <c r="F3426" s="13" t="inlineStr">
        <is>
          <t>12 Oct 2026</t>
        </is>
      </c>
      <c r="G3426" s="12" t="inlineStr">
        <is>
          <t>13 Nov 2026</t>
        </is>
      </c>
      <c r="H3426" s="17" t="inlineStr">
        <is>
          <t>🟢 LIVE ACTIVE</t>
        </is>
      </c>
      <c r="I3426" s="11" t="inlineStr">
        <is>
          <t>Spatial_Data_Standards_Manual.pdf</t>
        </is>
      </c>
      <c r="J3426" s="13" t="inlineStr">
        <is>
          <t>📕 PDF Document</t>
        </is>
      </c>
      <c r="K3426" s="15" t="n">
        <v>17.9</v>
      </c>
      <c r="L3426" s="16">
        <f>HYPERLINK("http://127.0.0.1:8000/api/documents/download?id=2779&amp;attachment=true", "⬇ Download Spatial_Data_Standards_M")</f>
        <v/>
      </c>
      <c r="M3426" s="16">
        <f>HYPERLINK("http://localhost:5173/?state=Telangana&amp;keyword=Mapping&amp;tender=742109", "🚀 Open in Portal")</f>
        <v/>
      </c>
    </row>
    <row r="3427" ht="24" customHeight="1">
      <c r="A3427" s="4" t="inlineStr">
        <is>
          <t>Telangana</t>
        </is>
      </c>
      <c r="B3427" s="5" t="inlineStr">
        <is>
          <t>Mapping</t>
        </is>
      </c>
      <c r="C3427" s="6" t="inlineStr">
        <is>
          <t>742109</t>
        </is>
      </c>
      <c r="D3427" s="7" t="inlineStr">
        <is>
          <t>GIS-based Spatial Mapping and Cadastral Survey for Irrigation &amp; Water Resources Command Area</t>
        </is>
      </c>
      <c r="E3427" s="7" t="inlineStr">
        <is>
          <t>IRRIGATION &amp; CAD DEPARTMENT-Chief Engineer Projects, Hyderabad</t>
        </is>
      </c>
      <c r="F3427" s="6" t="inlineStr">
        <is>
          <t>12 Oct 2026</t>
        </is>
      </c>
      <c r="G3427" s="5" t="inlineStr">
        <is>
          <t>13 Nov 2026</t>
        </is>
      </c>
      <c r="H3427" s="17" t="inlineStr">
        <is>
          <t>🟢 LIVE ACTIVE</t>
        </is>
      </c>
      <c r="I3427" s="4" t="inlineStr">
        <is>
          <t>Tender_742109_All_Documents.zip</t>
        </is>
      </c>
      <c r="J3427" s="6" t="inlineStr">
        <is>
          <t>📦 ZIP Package</t>
        </is>
      </c>
      <c r="K3427" s="9" t="n">
        <v>18.4</v>
      </c>
      <c r="L3427" s="10">
        <f>HYPERLINK("http://127.0.0.1:8000/api/documents/download?id=2780&amp;attachment=true", "⬇ Download Tender_742109_All_Docume")</f>
        <v/>
      </c>
      <c r="M3427" s="10">
        <f>HYPERLINK("http://localhost:5173/?state=Telangana&amp;keyword=Mapping&amp;tender=742109", "🚀 Open in Portal")</f>
        <v/>
      </c>
    </row>
    <row r="3428" ht="24" customHeight="1">
      <c r="A3428" s="11" t="inlineStr">
        <is>
          <t>Telangana</t>
        </is>
      </c>
      <c r="B3428" s="12" t="inlineStr">
        <is>
          <t>Website Development/Application</t>
        </is>
      </c>
      <c r="C3428" s="13" t="inlineStr">
        <is>
          <t>741861</t>
        </is>
      </c>
      <c r="D3428" s="14" t="inlineStr">
        <is>
          <t>Development, Integration, Enhancements, Operation and Maintenance of Forest Department Web Portal and MIS System</t>
        </is>
      </c>
      <c r="E3428" s="14" t="inlineStr">
        <is>
          <t>TELANGANA FOREST DEPARTMENT-P.C.C.F Hyderabad</t>
        </is>
      </c>
      <c r="F3428" s="13" t="inlineStr">
        <is>
          <t>15 Aug 2026</t>
        </is>
      </c>
      <c r="G3428" s="12" t="inlineStr">
        <is>
          <t>10 Sep 2026</t>
        </is>
      </c>
      <c r="H3428" s="8" t="inlineStr">
        <is>
          <t>⏳ UPCOMING</t>
        </is>
      </c>
      <c r="I3428" s="11" t="inlineStr">
        <is>
          <t>Forest_Portal_RFP_Specification.pdf</t>
        </is>
      </c>
      <c r="J3428" s="13" t="inlineStr">
        <is>
          <t>📕 PDF Document</t>
        </is>
      </c>
      <c r="K3428" s="15" t="n">
        <v>17.9</v>
      </c>
      <c r="L3428" s="16">
        <f>HYPERLINK("http://127.0.0.1:8000/api/documents/download?id=2771&amp;attachment=true", "⬇ Download Forest_Portal_RFP_Specif")</f>
        <v/>
      </c>
      <c r="M3428" s="16">
        <f>HYPERLINK("http://localhost:5173/?state=Telangana&amp;keyword=Website%20Development/Application&amp;tender=741861", "🚀 Open in Portal")</f>
        <v/>
      </c>
    </row>
    <row r="3429" ht="24" customHeight="1">
      <c r="A3429" s="4" t="inlineStr">
        <is>
          <t>Telangana</t>
        </is>
      </c>
      <c r="B3429" s="5" t="inlineStr">
        <is>
          <t>Website Development/Application</t>
        </is>
      </c>
      <c r="C3429" s="6" t="inlineStr">
        <is>
          <t>741861</t>
        </is>
      </c>
      <c r="D3429" s="7" t="inlineStr">
        <is>
          <t>Development, Integration, Enhancements, Operation and Maintenance of Forest Department Web Portal and MIS System</t>
        </is>
      </c>
      <c r="E3429" s="7" t="inlineStr">
        <is>
          <t>TELANGANA FOREST DEPARTMENT-P.C.C.F Hyderabad</t>
        </is>
      </c>
      <c r="F3429" s="6" t="inlineStr">
        <is>
          <t>15 Aug 2026</t>
        </is>
      </c>
      <c r="G3429" s="5" t="inlineStr">
        <is>
          <t>10 Sep 2026</t>
        </is>
      </c>
      <c r="H3429" s="8" t="inlineStr">
        <is>
          <t>⏳ UPCOMING</t>
        </is>
      </c>
      <c r="I3429" s="4" t="inlineStr">
        <is>
          <t>Technical_Evaluation_Criteria.pdf</t>
        </is>
      </c>
      <c r="J3429" s="6" t="inlineStr">
        <is>
          <t>📕 PDF Document</t>
        </is>
      </c>
      <c r="K3429" s="9" t="n">
        <v>17.9</v>
      </c>
      <c r="L3429" s="10">
        <f>HYPERLINK("http://127.0.0.1:8000/api/documents/download?id=2772&amp;attachment=true", "⬇ Download Technical_Evaluation_Cri")</f>
        <v/>
      </c>
      <c r="M3429" s="10">
        <f>HYPERLINK("http://localhost:5173/?state=Telangana&amp;keyword=Website%20Development/Application&amp;tender=741861", "🚀 Open in Portal")</f>
        <v/>
      </c>
    </row>
    <row r="3430" ht="24" customHeight="1">
      <c r="A3430" s="11" t="inlineStr">
        <is>
          <t>Telangana</t>
        </is>
      </c>
      <c r="B3430" s="12" t="inlineStr">
        <is>
          <t>Website Development/Application</t>
        </is>
      </c>
      <c r="C3430" s="13" t="inlineStr">
        <is>
          <t>741861</t>
        </is>
      </c>
      <c r="D3430" s="14" t="inlineStr">
        <is>
          <t>Development, Integration, Enhancements, Operation and Maintenance of Forest Department Web Portal and MIS System</t>
        </is>
      </c>
      <c r="E3430" s="14" t="inlineStr">
        <is>
          <t>TELANGANA FOREST DEPARTMENT-P.C.C.F Hyderabad</t>
        </is>
      </c>
      <c r="F3430" s="13" t="inlineStr">
        <is>
          <t>15 Aug 2026</t>
        </is>
      </c>
      <c r="G3430" s="12" t="inlineStr">
        <is>
          <t>10 Sep 2026</t>
        </is>
      </c>
      <c r="H3430" s="8" t="inlineStr">
        <is>
          <t>⏳ UPCOMING</t>
        </is>
      </c>
      <c r="I3430" s="11" t="inlineStr">
        <is>
          <t>BOQ_Financial_Bid_Format.xlsx</t>
        </is>
      </c>
      <c r="J3430" s="13" t="inlineStr">
        <is>
          <t>📊 Excel BOQ</t>
        </is>
      </c>
      <c r="K3430" s="15" t="n">
        <v>2.4</v>
      </c>
      <c r="L3430" s="16">
        <f>HYPERLINK("http://127.0.0.1:8000/api/documents/download?id=2773&amp;attachment=true", "⬇ Download BOQ_Financial_Bid_Format")</f>
        <v/>
      </c>
      <c r="M3430" s="16">
        <f>HYPERLINK("http://localhost:5173/?state=Telangana&amp;keyword=Website%20Development/Application&amp;tender=741861", "🚀 Open in Portal")</f>
        <v/>
      </c>
    </row>
    <row r="3431" ht="24" customHeight="1">
      <c r="A3431" s="4" t="inlineStr">
        <is>
          <t>Telangana</t>
        </is>
      </c>
      <c r="B3431" s="5" t="inlineStr">
        <is>
          <t>Website Development/Application</t>
        </is>
      </c>
      <c r="C3431" s="6" t="inlineStr">
        <is>
          <t>741861</t>
        </is>
      </c>
      <c r="D3431" s="7" t="inlineStr">
        <is>
          <t>Development, Integration, Enhancements, Operation and Maintenance of Forest Department Web Portal and MIS System</t>
        </is>
      </c>
      <c r="E3431" s="7" t="inlineStr">
        <is>
          <t>TELANGANA FOREST DEPARTMENT-P.C.C.F Hyderabad</t>
        </is>
      </c>
      <c r="F3431" s="6" t="inlineStr">
        <is>
          <t>15 Aug 2026</t>
        </is>
      </c>
      <c r="G3431" s="5" t="inlineStr">
        <is>
          <t>10 Sep 2026</t>
        </is>
      </c>
      <c r="H3431" s="8" t="inlineStr">
        <is>
          <t>⏳ UPCOMING</t>
        </is>
      </c>
      <c r="I3431" s="4" t="inlineStr">
        <is>
          <t>Tender_741861_All_Documents.zip</t>
        </is>
      </c>
      <c r="J3431" s="6" t="inlineStr">
        <is>
          <t>📦 ZIP Package</t>
        </is>
      </c>
      <c r="K3431" s="9" t="n">
        <v>20.8</v>
      </c>
      <c r="L3431" s="10">
        <f>HYPERLINK("http://127.0.0.1:8000/api/documents/download?id=2774&amp;attachment=true", "⬇ Download Tender_741861_All_Docume")</f>
        <v/>
      </c>
      <c r="M3431" s="10">
        <f>HYPERLINK("http://localhost:5173/?state=Telangana&amp;keyword=Website%20Development/Application&amp;tender=741861", "🚀 Open in Portal")</f>
        <v/>
      </c>
    </row>
    <row r="3432" ht="24" customHeight="1">
      <c r="A3432" s="11" t="inlineStr">
        <is>
          <t>Telangana</t>
        </is>
      </c>
      <c r="B3432" s="12" t="inlineStr">
        <is>
          <t>Development</t>
        </is>
      </c>
      <c r="C3432" s="13" t="inlineStr">
        <is>
          <t>741861</t>
        </is>
      </c>
      <c r="D3432" s="14" t="inlineStr">
        <is>
          <t>Development, Integration, Enhancements, Operation and Maintenance of Forest Department Web Portal and MIS System</t>
        </is>
      </c>
      <c r="E3432" s="14" t="inlineStr">
        <is>
          <t>TELANGANA FOREST DEPARTMENT-P.C.C.F Hyderabad</t>
        </is>
      </c>
      <c r="F3432" s="13" t="inlineStr">
        <is>
          <t>15 Aug 2026</t>
        </is>
      </c>
      <c r="G3432" s="12" t="inlineStr">
        <is>
          <t>10 Sep 2026</t>
        </is>
      </c>
      <c r="H3432" s="8" t="inlineStr">
        <is>
          <t>⏳ UPCOMING</t>
        </is>
      </c>
      <c r="I3432" s="11" t="inlineStr">
        <is>
          <t>Forest_Portal_RFP_Specification.pdf</t>
        </is>
      </c>
      <c r="J3432" s="13" t="inlineStr">
        <is>
          <t>📕 PDF Document</t>
        </is>
      </c>
      <c r="K3432" s="15" t="n">
        <v>17.9</v>
      </c>
      <c r="L3432" s="16">
        <f>HYPERLINK("http://127.0.0.1:8000/api/documents/download?id=2771&amp;attachment=true", "⬇ Download Forest_Portal_RFP_Specif")</f>
        <v/>
      </c>
      <c r="M3432" s="16">
        <f>HYPERLINK("http://localhost:5173/?state=Telangana&amp;keyword=Development&amp;tender=741861", "🚀 Open in Portal")</f>
        <v/>
      </c>
    </row>
    <row r="3433" ht="24" customHeight="1">
      <c r="A3433" s="4" t="inlineStr">
        <is>
          <t>Telangana</t>
        </is>
      </c>
      <c r="B3433" s="5" t="inlineStr">
        <is>
          <t>Development</t>
        </is>
      </c>
      <c r="C3433" s="6" t="inlineStr">
        <is>
          <t>741861</t>
        </is>
      </c>
      <c r="D3433" s="7" t="inlineStr">
        <is>
          <t>Development, Integration, Enhancements, Operation and Maintenance of Forest Department Web Portal and MIS System</t>
        </is>
      </c>
      <c r="E3433" s="7" t="inlineStr">
        <is>
          <t>TELANGANA FOREST DEPARTMENT-P.C.C.F Hyderabad</t>
        </is>
      </c>
      <c r="F3433" s="6" t="inlineStr">
        <is>
          <t>15 Aug 2026</t>
        </is>
      </c>
      <c r="G3433" s="5" t="inlineStr">
        <is>
          <t>10 Sep 2026</t>
        </is>
      </c>
      <c r="H3433" s="8" t="inlineStr">
        <is>
          <t>⏳ UPCOMING</t>
        </is>
      </c>
      <c r="I3433" s="4" t="inlineStr">
        <is>
          <t>Technical_Evaluation_Criteria.pdf</t>
        </is>
      </c>
      <c r="J3433" s="6" t="inlineStr">
        <is>
          <t>📕 PDF Document</t>
        </is>
      </c>
      <c r="K3433" s="9" t="n">
        <v>17.9</v>
      </c>
      <c r="L3433" s="10">
        <f>HYPERLINK("http://127.0.0.1:8000/api/documents/download?id=2772&amp;attachment=true", "⬇ Download Technical_Evaluation_Cri")</f>
        <v/>
      </c>
      <c r="M3433" s="10">
        <f>HYPERLINK("http://localhost:5173/?state=Telangana&amp;keyword=Development&amp;tender=741861", "🚀 Open in Portal")</f>
        <v/>
      </c>
    </row>
    <row r="3434" ht="24" customHeight="1">
      <c r="A3434" s="11" t="inlineStr">
        <is>
          <t>Telangana</t>
        </is>
      </c>
      <c r="B3434" s="12" t="inlineStr">
        <is>
          <t>Development</t>
        </is>
      </c>
      <c r="C3434" s="13" t="inlineStr">
        <is>
          <t>741861</t>
        </is>
      </c>
      <c r="D3434" s="14" t="inlineStr">
        <is>
          <t>Development, Integration, Enhancements, Operation and Maintenance of Forest Department Web Portal and MIS System</t>
        </is>
      </c>
      <c r="E3434" s="14" t="inlineStr">
        <is>
          <t>TELANGANA FOREST DEPARTMENT-P.C.C.F Hyderabad</t>
        </is>
      </c>
      <c r="F3434" s="13" t="inlineStr">
        <is>
          <t>15 Aug 2026</t>
        </is>
      </c>
      <c r="G3434" s="12" t="inlineStr">
        <is>
          <t>10 Sep 2026</t>
        </is>
      </c>
      <c r="H3434" s="8" t="inlineStr">
        <is>
          <t>⏳ UPCOMING</t>
        </is>
      </c>
      <c r="I3434" s="11" t="inlineStr">
        <is>
          <t>BOQ_Financial_Bid_Format.xlsx</t>
        </is>
      </c>
      <c r="J3434" s="13" t="inlineStr">
        <is>
          <t>📊 Excel BOQ</t>
        </is>
      </c>
      <c r="K3434" s="15" t="n">
        <v>2.4</v>
      </c>
      <c r="L3434" s="16">
        <f>HYPERLINK("http://127.0.0.1:8000/api/documents/download?id=2773&amp;attachment=true", "⬇ Download BOQ_Financial_Bid_Format")</f>
        <v/>
      </c>
      <c r="M3434" s="16">
        <f>HYPERLINK("http://localhost:5173/?state=Telangana&amp;keyword=Development&amp;tender=741861", "🚀 Open in Portal")</f>
        <v/>
      </c>
    </row>
    <row r="3435" ht="24" customHeight="1">
      <c r="A3435" s="4" t="inlineStr">
        <is>
          <t>Telangana</t>
        </is>
      </c>
      <c r="B3435" s="5" t="inlineStr">
        <is>
          <t>Development</t>
        </is>
      </c>
      <c r="C3435" s="6" t="inlineStr">
        <is>
          <t>741861</t>
        </is>
      </c>
      <c r="D3435" s="7" t="inlineStr">
        <is>
          <t>Development, Integration, Enhancements, Operation and Maintenance of Forest Department Web Portal and MIS System</t>
        </is>
      </c>
      <c r="E3435" s="7" t="inlineStr">
        <is>
          <t>TELANGANA FOREST DEPARTMENT-P.C.C.F Hyderabad</t>
        </is>
      </c>
      <c r="F3435" s="6" t="inlineStr">
        <is>
          <t>15 Aug 2026</t>
        </is>
      </c>
      <c r="G3435" s="5" t="inlineStr">
        <is>
          <t>10 Sep 2026</t>
        </is>
      </c>
      <c r="H3435" s="8" t="inlineStr">
        <is>
          <t>⏳ UPCOMING</t>
        </is>
      </c>
      <c r="I3435" s="4" t="inlineStr">
        <is>
          <t>Tender_741861_All_Documents.zip</t>
        </is>
      </c>
      <c r="J3435" s="6" t="inlineStr">
        <is>
          <t>📦 ZIP Package</t>
        </is>
      </c>
      <c r="K3435" s="9" t="n">
        <v>20.8</v>
      </c>
      <c r="L3435" s="10">
        <f>HYPERLINK("http://127.0.0.1:8000/api/documents/download?id=2774&amp;attachment=true", "⬇ Download Tender_741861_All_Docume")</f>
        <v/>
      </c>
      <c r="M3435" s="10">
        <f>HYPERLINK("http://localhost:5173/?state=Telangana&amp;keyword=Development&amp;tender=741861", "🚀 Open in Portal")</f>
        <v/>
      </c>
    </row>
    <row r="3436" ht="24" customHeight="1">
      <c r="A3436" s="11" t="inlineStr">
        <is>
          <t>Telangana</t>
        </is>
      </c>
      <c r="B3436" s="12" t="inlineStr">
        <is>
          <t>Development</t>
        </is>
      </c>
      <c r="C3436" s="13" t="inlineStr">
        <is>
          <t>742109</t>
        </is>
      </c>
      <c r="D3436" s="14" t="inlineStr">
        <is>
          <t>GIS-based Spatial Mapping and Cadastral Survey for Irrigation &amp; Water Resources Command Area</t>
        </is>
      </c>
      <c r="E3436" s="14" t="inlineStr">
        <is>
          <t>IRRIGATION &amp; CAD DEPARTMENT-Chief Engineer Projects, Hyderabad</t>
        </is>
      </c>
      <c r="F3436" s="13" t="inlineStr">
        <is>
          <t>12 Oct 2026</t>
        </is>
      </c>
      <c r="G3436" s="12" t="inlineStr">
        <is>
          <t>13 Nov 2026</t>
        </is>
      </c>
      <c r="H3436" s="17" t="inlineStr">
        <is>
          <t>🟢 LIVE ACTIVE</t>
        </is>
      </c>
      <c r="I3436" s="11" t="inlineStr">
        <is>
          <t>Irrigation_GIS_Survey_Scope_of_Work.pdf</t>
        </is>
      </c>
      <c r="J3436" s="13" t="inlineStr">
        <is>
          <t>📕 PDF Document</t>
        </is>
      </c>
      <c r="K3436" s="15" t="n">
        <v>17.9</v>
      </c>
      <c r="L3436" s="16">
        <f>HYPERLINK("http://127.0.0.1:8000/api/documents/download?id=2778&amp;attachment=true", "⬇ Download Irrigation_GIS_Survey_Sc")</f>
        <v/>
      </c>
      <c r="M3436" s="16">
        <f>HYPERLINK("http://localhost:5173/?state=Telangana&amp;keyword=Development&amp;tender=742109", "🚀 Open in Portal")</f>
        <v/>
      </c>
    </row>
    <row r="3437" ht="24" customHeight="1">
      <c r="A3437" s="4" t="inlineStr">
        <is>
          <t>Telangana</t>
        </is>
      </c>
      <c r="B3437" s="5" t="inlineStr">
        <is>
          <t>Development</t>
        </is>
      </c>
      <c r="C3437" s="6" t="inlineStr">
        <is>
          <t>742109</t>
        </is>
      </c>
      <c r="D3437" s="7" t="inlineStr">
        <is>
          <t>GIS-based Spatial Mapping and Cadastral Survey for Irrigation &amp; Water Resources Command Area</t>
        </is>
      </c>
      <c r="E3437" s="7" t="inlineStr">
        <is>
          <t>IRRIGATION &amp; CAD DEPARTMENT-Chief Engineer Projects, Hyderabad</t>
        </is>
      </c>
      <c r="F3437" s="6" t="inlineStr">
        <is>
          <t>12 Oct 2026</t>
        </is>
      </c>
      <c r="G3437" s="5" t="inlineStr">
        <is>
          <t>13 Nov 2026</t>
        </is>
      </c>
      <c r="H3437" s="17" t="inlineStr">
        <is>
          <t>🟢 LIVE ACTIVE</t>
        </is>
      </c>
      <c r="I3437" s="4" t="inlineStr">
        <is>
          <t>Spatial_Data_Standards_Manual.pdf</t>
        </is>
      </c>
      <c r="J3437" s="6" t="inlineStr">
        <is>
          <t>📕 PDF Document</t>
        </is>
      </c>
      <c r="K3437" s="9" t="n">
        <v>17.9</v>
      </c>
      <c r="L3437" s="10">
        <f>HYPERLINK("http://127.0.0.1:8000/api/documents/download?id=2779&amp;attachment=true", "⬇ Download Spatial_Data_Standards_M")</f>
        <v/>
      </c>
      <c r="M3437" s="10">
        <f>HYPERLINK("http://localhost:5173/?state=Telangana&amp;keyword=Development&amp;tender=742109", "🚀 Open in Portal")</f>
        <v/>
      </c>
    </row>
    <row r="3438" ht="24" customHeight="1">
      <c r="A3438" s="11" t="inlineStr">
        <is>
          <t>Telangana</t>
        </is>
      </c>
      <c r="B3438" s="12" t="inlineStr">
        <is>
          <t>Development</t>
        </is>
      </c>
      <c r="C3438" s="13" t="inlineStr">
        <is>
          <t>742109</t>
        </is>
      </c>
      <c r="D3438" s="14" t="inlineStr">
        <is>
          <t>GIS-based Spatial Mapping and Cadastral Survey for Irrigation &amp; Water Resources Command Area</t>
        </is>
      </c>
      <c r="E3438" s="14" t="inlineStr">
        <is>
          <t>IRRIGATION &amp; CAD DEPARTMENT-Chief Engineer Projects, Hyderabad</t>
        </is>
      </c>
      <c r="F3438" s="13" t="inlineStr">
        <is>
          <t>12 Oct 2026</t>
        </is>
      </c>
      <c r="G3438" s="12" t="inlineStr">
        <is>
          <t>13 Nov 2026</t>
        </is>
      </c>
      <c r="H3438" s="17" t="inlineStr">
        <is>
          <t>🟢 LIVE ACTIVE</t>
        </is>
      </c>
      <c r="I3438" s="11" t="inlineStr">
        <is>
          <t>Tender_742109_All_Documents.zip</t>
        </is>
      </c>
      <c r="J3438" s="13" t="inlineStr">
        <is>
          <t>📦 ZIP Package</t>
        </is>
      </c>
      <c r="K3438" s="15" t="n">
        <v>18.4</v>
      </c>
      <c r="L3438" s="16">
        <f>HYPERLINK("http://127.0.0.1:8000/api/documents/download?id=2780&amp;attachment=true", "⬇ Download Tender_742109_All_Docume")</f>
        <v/>
      </c>
      <c r="M3438" s="16">
        <f>HYPERLINK("http://localhost:5173/?state=Telangana&amp;keyword=Development&amp;tender=742109", "🚀 Open in Portal")</f>
        <v/>
      </c>
    </row>
    <row r="3439" ht="24" customHeight="1">
      <c r="A3439" s="4" t="inlineStr">
        <is>
          <t>Tripura</t>
        </is>
      </c>
      <c r="B3439" s="5" t="inlineStr">
        <is>
          <t>GIS</t>
        </is>
      </c>
      <c r="C3439" s="6" t="inlineStr">
        <is>
          <t>2026_CEDWS_77789_1</t>
        </is>
      </c>
      <c r="D3439" s="7" t="inlineStr">
        <is>
          <t>[Running maintenance of RWS/UWS Scheme at Gomati Tripura, District during the year 2026-27/ Hiring of Commercial Vehicle Maruti Eeco not before 2019 in good working condition with commercial registration of the vehicle along with driver for use of ]</t>
        </is>
      </c>
      <c r="E3439" s="7" t="inlineStr">
        <is>
          <t>Tripura Public Works &amp; Technology Department</t>
        </is>
      </c>
      <c r="F3439" s="6" t="inlineStr">
        <is>
          <t>14 Sep 2026</t>
        </is>
      </c>
      <c r="G3439" s="5" t="inlineStr">
        <is>
          <t>06 Oct 2026</t>
        </is>
      </c>
      <c r="H3439" s="8" t="inlineStr">
        <is>
          <t>⏳ UPCOMING</t>
        </is>
      </c>
      <c r="I3439" s="4" t="inlineStr">
        <is>
          <t>Tendernotice_1.pdf</t>
        </is>
      </c>
      <c r="J3439" s="6" t="inlineStr">
        <is>
          <t>📕 PDF Document</t>
        </is>
      </c>
      <c r="K3439" s="9" t="n">
        <v>17.8</v>
      </c>
      <c r="L3439" s="10">
        <f>HYPERLINK("http://127.0.0.1:8000/api/documents/download?id=2234&amp;attachment=true", "⬇ Download Tendernotice_1.pdf")</f>
        <v/>
      </c>
      <c r="M3439" s="10">
        <f>HYPERLINK("http://localhost:5173/?state=Tripura&amp;keyword=GIS&amp;tender=2026_CEDWS_77789_1", "🚀 Open in Portal")</f>
        <v/>
      </c>
    </row>
    <row r="3440" ht="24" customHeight="1">
      <c r="A3440" s="11" t="inlineStr">
        <is>
          <t>Tripura</t>
        </is>
      </c>
      <c r="B3440" s="12" t="inlineStr">
        <is>
          <t>GIS</t>
        </is>
      </c>
      <c r="C3440" s="13" t="inlineStr">
        <is>
          <t>2026_CEDWS_77789_1</t>
        </is>
      </c>
      <c r="D3440" s="14" t="inlineStr">
        <is>
          <t>[Running maintenance of RWS/UWS Scheme at Gomati Tripura, District during the year 2026-27/ Hiring of Commercial Vehicle Maruti Eeco not before 2019 in good working condition with commercial registration of the vehicle along with driver for use of ]</t>
        </is>
      </c>
      <c r="E3440" s="14" t="inlineStr">
        <is>
          <t>Tripura Public Works &amp; Technology Department</t>
        </is>
      </c>
      <c r="F3440" s="13" t="inlineStr">
        <is>
          <t>14 Sep 2026</t>
        </is>
      </c>
      <c r="G3440" s="12" t="inlineStr">
        <is>
          <t>06 Oct 2026</t>
        </is>
      </c>
      <c r="H3440" s="8" t="inlineStr">
        <is>
          <t>⏳ UPCOMING</t>
        </is>
      </c>
      <c r="I3440" s="11" t="inlineStr">
        <is>
          <t>FDNIeT43.pdf</t>
        </is>
      </c>
      <c r="J3440" s="13" t="inlineStr">
        <is>
          <t>📕 PDF Document</t>
        </is>
      </c>
      <c r="K3440" s="15" t="n">
        <v>17.8</v>
      </c>
      <c r="L3440" s="16">
        <f>HYPERLINK("http://127.0.0.1:8000/api/documents/download?id=2235&amp;attachment=true", "⬇ Download FDNIeT43.pdf")</f>
        <v/>
      </c>
      <c r="M3440" s="16">
        <f>HYPERLINK("http://localhost:5173/?state=Tripura&amp;keyword=GIS&amp;tender=2026_CEDWS_77789_1", "🚀 Open in Portal")</f>
        <v/>
      </c>
    </row>
    <row r="3441" ht="24" customHeight="1">
      <c r="A3441" s="4" t="inlineStr">
        <is>
          <t>Tripura</t>
        </is>
      </c>
      <c r="B3441" s="5" t="inlineStr">
        <is>
          <t>GIS</t>
        </is>
      </c>
      <c r="C3441" s="6" t="inlineStr">
        <is>
          <t>2026_CEDWS_77789_1</t>
        </is>
      </c>
      <c r="D3441" s="7" t="inlineStr">
        <is>
          <t>[Running maintenance of RWS/UWS Scheme at Gomati Tripura, District during the year 2026-27/ Hiring of Commercial Vehicle Maruti Eeco not before 2019 in good working condition with commercial registration of the vehicle along with driver for use of ]</t>
        </is>
      </c>
      <c r="E3441" s="7" t="inlineStr">
        <is>
          <t>Tripura Public Works &amp; Technology Department</t>
        </is>
      </c>
      <c r="F3441" s="6" t="inlineStr">
        <is>
          <t>14 Sep 2026</t>
        </is>
      </c>
      <c r="G3441" s="5" t="inlineStr">
        <is>
          <t>06 Oct 2026</t>
        </is>
      </c>
      <c r="H3441" s="8" t="inlineStr">
        <is>
          <t>⏳ UPCOMING</t>
        </is>
      </c>
      <c r="I3441" s="4" t="inlineStr">
        <is>
          <t>BOQ_79180.xls</t>
        </is>
      </c>
      <c r="J3441" s="6" t="inlineStr">
        <is>
          <t>📊 Excel BOQ</t>
        </is>
      </c>
      <c r="K3441" s="9" t="n">
        <v>2.5</v>
      </c>
      <c r="L3441" s="10">
        <f>HYPERLINK("http://127.0.0.1:8000/api/documents/download?id=2236&amp;attachment=true", "⬇ Download BOQ_79180.xls")</f>
        <v/>
      </c>
      <c r="M3441" s="10">
        <f>HYPERLINK("http://localhost:5173/?state=Tripura&amp;keyword=GIS&amp;tender=2026_CEDWS_77789_1", "🚀 Open in Portal")</f>
        <v/>
      </c>
    </row>
    <row r="3442" ht="24" customHeight="1">
      <c r="A3442" s="11" t="inlineStr">
        <is>
          <t>Tripura</t>
        </is>
      </c>
      <c r="B3442" s="12" t="inlineStr">
        <is>
          <t>GIS</t>
        </is>
      </c>
      <c r="C3442" s="13" t="inlineStr">
        <is>
          <t>2026_CEDWS_77789_1</t>
        </is>
      </c>
      <c r="D3442" s="14" t="inlineStr">
        <is>
          <t>[Running maintenance of RWS/UWS Scheme at Gomati Tripura, District during the year 2026-27/ Hiring of Commercial Vehicle Maruti Eeco not before 2019 in good working condition with commercial registration of the vehicle along with driver for use of ]</t>
        </is>
      </c>
      <c r="E3442" s="14" t="inlineStr">
        <is>
          <t>Tripura Public Works &amp; Technology Department</t>
        </is>
      </c>
      <c r="F3442" s="13" t="inlineStr">
        <is>
          <t>14 Sep 2026</t>
        </is>
      </c>
      <c r="G3442" s="12" t="inlineStr">
        <is>
          <t>06 Oct 2026</t>
        </is>
      </c>
      <c r="H3442" s="8" t="inlineStr">
        <is>
          <t>⏳ UPCOMING</t>
        </is>
      </c>
      <c r="I3442" s="11" t="inlineStr">
        <is>
          <t>Tender_2026_CEDWS_77789_1_All_Documents.zip</t>
        </is>
      </c>
      <c r="J3442" s="13" t="inlineStr">
        <is>
          <t>📦 ZIP Package</t>
        </is>
      </c>
      <c r="K3442" s="15" t="n">
        <v>20.8</v>
      </c>
      <c r="L3442" s="16">
        <f>HYPERLINK("http://127.0.0.1:8000/api/documents/download?id=2237&amp;attachment=true", "⬇ Download Tender_2026_CEDWS_77789_")</f>
        <v/>
      </c>
      <c r="M3442" s="16">
        <f>HYPERLINK("http://localhost:5173/?state=Tripura&amp;keyword=GIS&amp;tender=2026_CEDWS_77789_1", "🚀 Open in Portal")</f>
        <v/>
      </c>
    </row>
    <row r="3443" ht="24" customHeight="1">
      <c r="A3443" s="4" t="inlineStr">
        <is>
          <t>Tripura</t>
        </is>
      </c>
      <c r="B3443" s="5" t="inlineStr">
        <is>
          <t>GIS</t>
        </is>
      </c>
      <c r="C3443" s="6" t="inlineStr">
        <is>
          <t>2026_CEPWD_78013_1</t>
        </is>
      </c>
      <c r="D3443" s="7" t="inlineStr">
        <is>
          <t>[Special repairs to IE works for the Office of the Sub-Divisional Magistrate Sadar West Tripura]</t>
        </is>
      </c>
      <c r="E3443" s="7" t="inlineStr">
        <is>
          <t>Tripura Public Works &amp; Technology Department</t>
        </is>
      </c>
      <c r="F3443" s="6" t="inlineStr">
        <is>
          <t>16 Aug 2026</t>
        </is>
      </c>
      <c r="G3443" s="5" t="inlineStr">
        <is>
          <t>07 Sep 2026</t>
        </is>
      </c>
      <c r="H3443" s="8" t="inlineStr">
        <is>
          <t>⏳ UPCOMING</t>
        </is>
      </c>
      <c r="I3443" s="4" t="inlineStr">
        <is>
          <t>Tendernotice_1.pdf</t>
        </is>
      </c>
      <c r="J3443" s="6" t="inlineStr">
        <is>
          <t>📕 PDF Document</t>
        </is>
      </c>
      <c r="K3443" s="9" t="n">
        <v>17.8</v>
      </c>
      <c r="L3443" s="10">
        <f>HYPERLINK("http://127.0.0.1:8000/api/documents/download?id=2230&amp;attachment=true", "⬇ Download Tendernotice_1.pdf")</f>
        <v/>
      </c>
      <c r="M3443" s="10">
        <f>HYPERLINK("http://localhost:5173/?state=Tripura&amp;keyword=GIS&amp;tender=2026_CEPWD_78013_1", "🚀 Open in Portal")</f>
        <v/>
      </c>
    </row>
    <row r="3444" ht="24" customHeight="1">
      <c r="A3444" s="11" t="inlineStr">
        <is>
          <t>Tripura</t>
        </is>
      </c>
      <c r="B3444" s="12" t="inlineStr">
        <is>
          <t>GIS</t>
        </is>
      </c>
      <c r="C3444" s="13" t="inlineStr">
        <is>
          <t>2026_CEPWD_78013_1</t>
        </is>
      </c>
      <c r="D3444" s="14" t="inlineStr">
        <is>
          <t>[Special repairs to IE works for the Office of the Sub-Divisional Magistrate Sadar West Tripura]</t>
        </is>
      </c>
      <c r="E3444" s="14" t="inlineStr">
        <is>
          <t>Tripura Public Works &amp; Technology Department</t>
        </is>
      </c>
      <c r="F3444" s="13" t="inlineStr">
        <is>
          <t>16 Aug 2026</t>
        </is>
      </c>
      <c r="G3444" s="12" t="inlineStr">
        <is>
          <t>07 Sep 2026</t>
        </is>
      </c>
      <c r="H3444" s="8" t="inlineStr">
        <is>
          <t>⏳ UPCOMING</t>
        </is>
      </c>
      <c r="I3444" s="11" t="inlineStr">
        <is>
          <t>DNIeT114.pdf</t>
        </is>
      </c>
      <c r="J3444" s="13" t="inlineStr">
        <is>
          <t>📕 PDF Document</t>
        </is>
      </c>
      <c r="K3444" s="15" t="n">
        <v>17.8</v>
      </c>
      <c r="L3444" s="16">
        <f>HYPERLINK("http://127.0.0.1:8000/api/documents/download?id=2231&amp;attachment=true", "⬇ Download DNIeT114.pdf")</f>
        <v/>
      </c>
      <c r="M3444" s="16">
        <f>HYPERLINK("http://localhost:5173/?state=Tripura&amp;keyword=GIS&amp;tender=2026_CEPWD_78013_1", "🚀 Open in Portal")</f>
        <v/>
      </c>
    </row>
    <row r="3445" ht="24" customHeight="1">
      <c r="A3445" s="4" t="inlineStr">
        <is>
          <t>Tripura</t>
        </is>
      </c>
      <c r="B3445" s="5" t="inlineStr">
        <is>
          <t>GIS</t>
        </is>
      </c>
      <c r="C3445" s="6" t="inlineStr">
        <is>
          <t>2026_CEPWD_78013_1</t>
        </is>
      </c>
      <c r="D3445" s="7" t="inlineStr">
        <is>
          <t>[Special repairs to IE works for the Office of the Sub-Divisional Magistrate Sadar West Tripura]</t>
        </is>
      </c>
      <c r="E3445" s="7" t="inlineStr">
        <is>
          <t>Tripura Public Works &amp; Technology Department</t>
        </is>
      </c>
      <c r="F3445" s="6" t="inlineStr">
        <is>
          <t>16 Aug 2026</t>
        </is>
      </c>
      <c r="G3445" s="5" t="inlineStr">
        <is>
          <t>07 Sep 2026</t>
        </is>
      </c>
      <c r="H3445" s="8" t="inlineStr">
        <is>
          <t>⏳ UPCOMING</t>
        </is>
      </c>
      <c r="I3445" s="4" t="inlineStr">
        <is>
          <t>BOQ_79413.xls</t>
        </is>
      </c>
      <c r="J3445" s="6" t="inlineStr">
        <is>
          <t>📊 Excel BOQ</t>
        </is>
      </c>
      <c r="K3445" s="9" t="n">
        <v>2.5</v>
      </c>
      <c r="L3445" s="10">
        <f>HYPERLINK("http://127.0.0.1:8000/api/documents/download?id=2232&amp;attachment=true", "⬇ Download BOQ_79413.xls")</f>
        <v/>
      </c>
      <c r="M3445" s="10">
        <f>HYPERLINK("http://localhost:5173/?state=Tripura&amp;keyword=GIS&amp;tender=2026_CEPWD_78013_1", "🚀 Open in Portal")</f>
        <v/>
      </c>
    </row>
    <row r="3446" ht="24" customHeight="1">
      <c r="A3446" s="11" t="inlineStr">
        <is>
          <t>Tripura</t>
        </is>
      </c>
      <c r="B3446" s="12" t="inlineStr">
        <is>
          <t>GIS</t>
        </is>
      </c>
      <c r="C3446" s="13" t="inlineStr">
        <is>
          <t>2026_CEPWD_78013_1</t>
        </is>
      </c>
      <c r="D3446" s="14" t="inlineStr">
        <is>
          <t>[Special repairs to IE works for the Office of the Sub-Divisional Magistrate Sadar West Tripura]</t>
        </is>
      </c>
      <c r="E3446" s="14" t="inlineStr">
        <is>
          <t>Tripura Public Works &amp; Technology Department</t>
        </is>
      </c>
      <c r="F3446" s="13" t="inlineStr">
        <is>
          <t>16 Aug 2026</t>
        </is>
      </c>
      <c r="G3446" s="12" t="inlineStr">
        <is>
          <t>07 Sep 2026</t>
        </is>
      </c>
      <c r="H3446" s="8" t="inlineStr">
        <is>
          <t>⏳ UPCOMING</t>
        </is>
      </c>
      <c r="I3446" s="11" t="inlineStr">
        <is>
          <t>Tender_2026_CEPWD_78013_1_All_Documents.zip</t>
        </is>
      </c>
      <c r="J3446" s="13" t="inlineStr">
        <is>
          <t>📦 ZIP Package</t>
        </is>
      </c>
      <c r="K3446" s="15" t="n">
        <v>20.8</v>
      </c>
      <c r="L3446" s="16">
        <f>HYPERLINK("http://127.0.0.1:8000/api/documents/download?id=2233&amp;attachment=true", "⬇ Download Tender_2026_CEPWD_78013_")</f>
        <v/>
      </c>
      <c r="M3446" s="16">
        <f>HYPERLINK("http://localhost:5173/?state=Tripura&amp;keyword=GIS&amp;tender=2026_CEPWD_78013_1", "🚀 Open in Portal")</f>
        <v/>
      </c>
    </row>
    <row r="3447" ht="24" customHeight="1">
      <c r="A3447" s="4" t="inlineStr">
        <is>
          <t>Tripura</t>
        </is>
      </c>
      <c r="B3447" s="5" t="inlineStr">
        <is>
          <t>ICT</t>
        </is>
      </c>
      <c r="C3447" s="6" t="inlineStr">
        <is>
          <t>2026_CEDWS_77985_1</t>
        </is>
      </c>
      <c r="D3447" s="7" t="inlineStr">
        <is>
          <t>[Water supply scheme under RWS / JJM / RIDF/15th FC/BAC Fund in North Tripura District during the year 2026-27]</t>
        </is>
      </c>
      <c r="E3447" s="7" t="inlineStr">
        <is>
          <t>Tripura Public Works &amp; Technology Department</t>
        </is>
      </c>
      <c r="F3447" s="6" t="inlineStr">
        <is>
          <t>18 Sep 2026</t>
        </is>
      </c>
      <c r="G3447" s="5" t="inlineStr">
        <is>
          <t>16 Oct 2026</t>
        </is>
      </c>
      <c r="H3447" s="8" t="inlineStr">
        <is>
          <t>⏳ UPCOMING</t>
        </is>
      </c>
      <c r="I3447" s="4" t="inlineStr">
        <is>
          <t>Tendernotice_1.pdf</t>
        </is>
      </c>
      <c r="J3447" s="6" t="inlineStr">
        <is>
          <t>📕 PDF Document</t>
        </is>
      </c>
      <c r="K3447" s="9" t="n">
        <v>17.8</v>
      </c>
      <c r="L3447" s="10">
        <f>HYPERLINK("http://127.0.0.1:8000/api/documents/download?id=2286&amp;attachment=true", "⬇ Download Tendernotice_1.pdf")</f>
        <v/>
      </c>
      <c r="M3447" s="10">
        <f>HYPERLINK("http://localhost:5173/?state=Tripura&amp;keyword=ICT&amp;tender=2026_CEDWS_77985_1", "🚀 Open in Portal")</f>
        <v/>
      </c>
    </row>
    <row r="3448" ht="24" customHeight="1">
      <c r="A3448" s="11" t="inlineStr">
        <is>
          <t>Tripura</t>
        </is>
      </c>
      <c r="B3448" s="12" t="inlineStr">
        <is>
          <t>ICT</t>
        </is>
      </c>
      <c r="C3448" s="13" t="inlineStr">
        <is>
          <t>2026_CEDWS_77985_1</t>
        </is>
      </c>
      <c r="D3448" s="14" t="inlineStr">
        <is>
          <t>[Water supply scheme under RWS / JJM / RIDF/15th FC/BAC Fund in North Tripura District during the year 2026-27]</t>
        </is>
      </c>
      <c r="E3448" s="14" t="inlineStr">
        <is>
          <t>Tripura Public Works &amp; Technology Department</t>
        </is>
      </c>
      <c r="F3448" s="13" t="inlineStr">
        <is>
          <t>18 Sep 2026</t>
        </is>
      </c>
      <c r="G3448" s="12" t="inlineStr">
        <is>
          <t>16 Oct 2026</t>
        </is>
      </c>
      <c r="H3448" s="8" t="inlineStr">
        <is>
          <t>⏳ UPCOMING</t>
        </is>
      </c>
      <c r="I3448" s="11" t="inlineStr">
        <is>
          <t>DNIeT50.pdf</t>
        </is>
      </c>
      <c r="J3448" s="13" t="inlineStr">
        <is>
          <t>📕 PDF Document</t>
        </is>
      </c>
      <c r="K3448" s="15" t="n">
        <v>17.8</v>
      </c>
      <c r="L3448" s="16">
        <f>HYPERLINK("http://127.0.0.1:8000/api/documents/download?id=2287&amp;attachment=true", "⬇ Download DNIeT50.pdf")</f>
        <v/>
      </c>
      <c r="M3448" s="16">
        <f>HYPERLINK("http://localhost:5173/?state=Tripura&amp;keyword=ICT&amp;tender=2026_CEDWS_77985_1", "🚀 Open in Portal")</f>
        <v/>
      </c>
    </row>
    <row r="3449" ht="24" customHeight="1">
      <c r="A3449" s="4" t="inlineStr">
        <is>
          <t>Tripura</t>
        </is>
      </c>
      <c r="B3449" s="5" t="inlineStr">
        <is>
          <t>ICT</t>
        </is>
      </c>
      <c r="C3449" s="6" t="inlineStr">
        <is>
          <t>2026_CEDWS_77985_1</t>
        </is>
      </c>
      <c r="D3449" s="7" t="inlineStr">
        <is>
          <t>[Water supply scheme under RWS / JJM / RIDF/15th FC/BAC Fund in North Tripura District during the year 2026-27]</t>
        </is>
      </c>
      <c r="E3449" s="7" t="inlineStr">
        <is>
          <t>Tripura Public Works &amp; Technology Department</t>
        </is>
      </c>
      <c r="F3449" s="6" t="inlineStr">
        <is>
          <t>18 Sep 2026</t>
        </is>
      </c>
      <c r="G3449" s="5" t="inlineStr">
        <is>
          <t>16 Oct 2026</t>
        </is>
      </c>
      <c r="H3449" s="8" t="inlineStr">
        <is>
          <t>⏳ UPCOMING</t>
        </is>
      </c>
      <c r="I3449" s="4" t="inlineStr">
        <is>
          <t>BOQ_79389.xls</t>
        </is>
      </c>
      <c r="J3449" s="6" t="inlineStr">
        <is>
          <t>📊 Excel BOQ</t>
        </is>
      </c>
      <c r="K3449" s="9" t="n">
        <v>2.5</v>
      </c>
      <c r="L3449" s="10">
        <f>HYPERLINK("http://127.0.0.1:8000/api/documents/download?id=2288&amp;attachment=true", "⬇ Download BOQ_79389.xls")</f>
        <v/>
      </c>
      <c r="M3449" s="10">
        <f>HYPERLINK("http://localhost:5173/?state=Tripura&amp;keyword=ICT&amp;tender=2026_CEDWS_77985_1", "🚀 Open in Portal")</f>
        <v/>
      </c>
    </row>
    <row r="3450" ht="24" customHeight="1">
      <c r="A3450" s="11" t="inlineStr">
        <is>
          <t>Tripura</t>
        </is>
      </c>
      <c r="B3450" s="12" t="inlineStr">
        <is>
          <t>ICT</t>
        </is>
      </c>
      <c r="C3450" s="13" t="inlineStr">
        <is>
          <t>2026_CEDWS_77985_1</t>
        </is>
      </c>
      <c r="D3450" s="14" t="inlineStr">
        <is>
          <t>[Water supply scheme under RWS / JJM / RIDF/15th FC/BAC Fund in North Tripura District during the year 2026-27]</t>
        </is>
      </c>
      <c r="E3450" s="14" t="inlineStr">
        <is>
          <t>Tripura Public Works &amp; Technology Department</t>
        </is>
      </c>
      <c r="F3450" s="13" t="inlineStr">
        <is>
          <t>18 Sep 2026</t>
        </is>
      </c>
      <c r="G3450" s="12" t="inlineStr">
        <is>
          <t>16 Oct 2026</t>
        </is>
      </c>
      <c r="H3450" s="8" t="inlineStr">
        <is>
          <t>⏳ UPCOMING</t>
        </is>
      </c>
      <c r="I3450" s="11" t="inlineStr">
        <is>
          <t>Tender_2026_CEDWS_77985_1_All_Documents.zip</t>
        </is>
      </c>
      <c r="J3450" s="13" t="inlineStr">
        <is>
          <t>📦 ZIP Package</t>
        </is>
      </c>
      <c r="K3450" s="15" t="n">
        <v>20.7</v>
      </c>
      <c r="L3450" s="16">
        <f>HYPERLINK("http://127.0.0.1:8000/api/documents/download?id=2289&amp;attachment=true", "⬇ Download Tender_2026_CEDWS_77985_")</f>
        <v/>
      </c>
      <c r="M3450" s="16">
        <f>HYPERLINK("http://localhost:5173/?state=Tripura&amp;keyword=ICT&amp;tender=2026_CEDWS_77985_1", "🚀 Open in Portal")</f>
        <v/>
      </c>
    </row>
    <row r="3451" ht="24" customHeight="1">
      <c r="A3451" s="4" t="inlineStr">
        <is>
          <t>Tripura</t>
        </is>
      </c>
      <c r="B3451" s="5" t="inlineStr">
        <is>
          <t>ICT</t>
        </is>
      </c>
      <c r="C3451" s="6" t="inlineStr">
        <is>
          <t>2026_CEDWS_77992_1</t>
        </is>
      </c>
      <c r="D3451" s="7" t="inlineStr">
        <is>
          <t>[Water Supply scheme under RWS/JJM other Fund in North Tripura District]</t>
        </is>
      </c>
      <c r="E3451" s="7" t="inlineStr">
        <is>
          <t>Tripura Public Works &amp; Technology Department</t>
        </is>
      </c>
      <c r="F3451" s="6" t="inlineStr">
        <is>
          <t>21 Jul 2026</t>
        </is>
      </c>
      <c r="G3451" s="5" t="inlineStr">
        <is>
          <t>20 Aug 2026</t>
        </is>
      </c>
      <c r="H3451" s="8" t="inlineStr">
        <is>
          <t>⏳ UPCOMING</t>
        </is>
      </c>
      <c r="I3451" s="4" t="inlineStr">
        <is>
          <t>Tendernotice_1.pdf</t>
        </is>
      </c>
      <c r="J3451" s="6" t="inlineStr">
        <is>
          <t>📕 PDF Document</t>
        </is>
      </c>
      <c r="K3451" s="9" t="n">
        <v>17.8</v>
      </c>
      <c r="L3451" s="10">
        <f>HYPERLINK("http://127.0.0.1:8000/api/documents/download?id=2299&amp;attachment=true", "⬇ Download Tendernotice_1.pdf")</f>
        <v/>
      </c>
      <c r="M3451" s="10">
        <f>HYPERLINK("http://localhost:5173/?state=Tripura&amp;keyword=ICT&amp;tender=2026_CEDWS_77992_1", "🚀 Open in Portal")</f>
        <v/>
      </c>
    </row>
    <row r="3452" ht="24" customHeight="1">
      <c r="A3452" s="11" t="inlineStr">
        <is>
          <t>Tripura</t>
        </is>
      </c>
      <c r="B3452" s="12" t="inlineStr">
        <is>
          <t>ICT</t>
        </is>
      </c>
      <c r="C3452" s="13" t="inlineStr">
        <is>
          <t>2026_CEDWS_77992_1</t>
        </is>
      </c>
      <c r="D3452" s="14" t="inlineStr">
        <is>
          <t>[Water Supply scheme under RWS/JJM other Fund in North Tripura District]</t>
        </is>
      </c>
      <c r="E3452" s="14" t="inlineStr">
        <is>
          <t>Tripura Public Works &amp; Technology Department</t>
        </is>
      </c>
      <c r="F3452" s="13" t="inlineStr">
        <is>
          <t>21 Jul 2026</t>
        </is>
      </c>
      <c r="G3452" s="12" t="inlineStr">
        <is>
          <t>20 Aug 2026</t>
        </is>
      </c>
      <c r="H3452" s="8" t="inlineStr">
        <is>
          <t>⏳ UPCOMING</t>
        </is>
      </c>
      <c r="I3452" s="11" t="inlineStr">
        <is>
          <t>BOQ_79397.xls</t>
        </is>
      </c>
      <c r="J3452" s="13" t="inlineStr">
        <is>
          <t>📊 Excel BOQ</t>
        </is>
      </c>
      <c r="K3452" s="15" t="n">
        <v>2.4</v>
      </c>
      <c r="L3452" s="16">
        <f>HYPERLINK("http://127.0.0.1:8000/api/documents/download?id=2300&amp;attachment=true", "⬇ Download BOQ_79397.xls")</f>
        <v/>
      </c>
      <c r="M3452" s="16">
        <f>HYPERLINK("http://localhost:5173/?state=Tripura&amp;keyword=ICT&amp;tender=2026_CEDWS_77992_1", "🚀 Open in Portal")</f>
        <v/>
      </c>
    </row>
    <row r="3453" ht="24" customHeight="1">
      <c r="A3453" s="4" t="inlineStr">
        <is>
          <t>Tripura</t>
        </is>
      </c>
      <c r="B3453" s="5" t="inlineStr">
        <is>
          <t>ICT</t>
        </is>
      </c>
      <c r="C3453" s="6" t="inlineStr">
        <is>
          <t>2026_CEDWS_77992_1</t>
        </is>
      </c>
      <c r="D3453" s="7" t="inlineStr">
        <is>
          <t>[Water Supply scheme under RWS/JJM other Fund in North Tripura District]</t>
        </is>
      </c>
      <c r="E3453" s="7" t="inlineStr">
        <is>
          <t>Tripura Public Works &amp; Technology Department</t>
        </is>
      </c>
      <c r="F3453" s="6" t="inlineStr">
        <is>
          <t>21 Jul 2026</t>
        </is>
      </c>
      <c r="G3453" s="5" t="inlineStr">
        <is>
          <t>20 Aug 2026</t>
        </is>
      </c>
      <c r="H3453" s="8" t="inlineStr">
        <is>
          <t>⏳ UPCOMING</t>
        </is>
      </c>
      <c r="I3453" s="4" t="inlineStr">
        <is>
          <t>DNIeT38.pdf</t>
        </is>
      </c>
      <c r="J3453" s="6" t="inlineStr">
        <is>
          <t>📕 PDF Document</t>
        </is>
      </c>
      <c r="K3453" s="9" t="n">
        <v>17.8</v>
      </c>
      <c r="L3453" s="10">
        <f>HYPERLINK("http://127.0.0.1:8000/api/documents/download?id=2301&amp;attachment=true", "⬇ Download DNIeT38.pdf")</f>
        <v/>
      </c>
      <c r="M3453" s="10">
        <f>HYPERLINK("http://localhost:5173/?state=Tripura&amp;keyword=ICT&amp;tender=2026_CEDWS_77992_1", "🚀 Open in Portal")</f>
        <v/>
      </c>
    </row>
    <row r="3454" ht="24" customHeight="1">
      <c r="A3454" s="11" t="inlineStr">
        <is>
          <t>Tripura</t>
        </is>
      </c>
      <c r="B3454" s="12" t="inlineStr">
        <is>
          <t>ICT</t>
        </is>
      </c>
      <c r="C3454" s="13" t="inlineStr">
        <is>
          <t>2026_CEDWS_77992_1</t>
        </is>
      </c>
      <c r="D3454" s="14" t="inlineStr">
        <is>
          <t>[Water Supply scheme under RWS/JJM other Fund in North Tripura District]</t>
        </is>
      </c>
      <c r="E3454" s="14" t="inlineStr">
        <is>
          <t>Tripura Public Works &amp; Technology Department</t>
        </is>
      </c>
      <c r="F3454" s="13" t="inlineStr">
        <is>
          <t>21 Jul 2026</t>
        </is>
      </c>
      <c r="G3454" s="12" t="inlineStr">
        <is>
          <t>20 Aug 2026</t>
        </is>
      </c>
      <c r="H3454" s="8" t="inlineStr">
        <is>
          <t>⏳ UPCOMING</t>
        </is>
      </c>
      <c r="I3454" s="11" t="inlineStr">
        <is>
          <t>Tender_2026_CEDWS_77992_1_All_Documents.zip</t>
        </is>
      </c>
      <c r="J3454" s="13" t="inlineStr">
        <is>
          <t>📦 ZIP Package</t>
        </is>
      </c>
      <c r="K3454" s="15" t="n">
        <v>20.7</v>
      </c>
      <c r="L3454" s="16">
        <f>HYPERLINK("http://127.0.0.1:8000/api/documents/download?id=2302&amp;attachment=true", "⬇ Download Tender_2026_CEDWS_77992_")</f>
        <v/>
      </c>
      <c r="M3454" s="16">
        <f>HYPERLINK("http://localhost:5173/?state=Tripura&amp;keyword=ICT&amp;tender=2026_CEDWS_77992_1", "🚀 Open in Portal")</f>
        <v/>
      </c>
    </row>
    <row r="3455" ht="24" customHeight="1">
      <c r="A3455" s="4" t="inlineStr">
        <is>
          <t>Tripura</t>
        </is>
      </c>
      <c r="B3455" s="5" t="inlineStr">
        <is>
          <t>ICT</t>
        </is>
      </c>
      <c r="C3455" s="6" t="inlineStr">
        <is>
          <t>2026_CEDWS_77995_1</t>
        </is>
      </c>
      <c r="D3455" s="7" t="inlineStr">
        <is>
          <t>[Water Supply scheme under RWS/JJM other Fund in North Tripura District]</t>
        </is>
      </c>
      <c r="E3455" s="7" t="inlineStr">
        <is>
          <t>Tripura Public Works &amp; Technology Department</t>
        </is>
      </c>
      <c r="F3455" s="6" t="inlineStr">
        <is>
          <t>04 Oct 2026</t>
        </is>
      </c>
      <c r="G3455" s="5" t="inlineStr">
        <is>
          <t>10 Nov 2026</t>
        </is>
      </c>
      <c r="H3455" s="17" t="inlineStr">
        <is>
          <t>🟢 LIVE ACTIVE</t>
        </is>
      </c>
      <c r="I3455" s="4" t="inlineStr">
        <is>
          <t>Tendernotice_1.pdf</t>
        </is>
      </c>
      <c r="J3455" s="6" t="inlineStr">
        <is>
          <t>📕 PDF Document</t>
        </is>
      </c>
      <c r="K3455" s="9" t="n">
        <v>17.8</v>
      </c>
      <c r="L3455" s="10">
        <f>HYPERLINK("http://127.0.0.1:8000/api/documents/download?id=2295&amp;attachment=true", "⬇ Download Tendernotice_1.pdf")</f>
        <v/>
      </c>
      <c r="M3455" s="10">
        <f>HYPERLINK("http://localhost:5173/?state=Tripura&amp;keyword=ICT&amp;tender=2026_CEDWS_77995_1", "🚀 Open in Portal")</f>
        <v/>
      </c>
    </row>
    <row r="3456" ht="24" customHeight="1">
      <c r="A3456" s="11" t="inlineStr">
        <is>
          <t>Tripura</t>
        </is>
      </c>
      <c r="B3456" s="12" t="inlineStr">
        <is>
          <t>ICT</t>
        </is>
      </c>
      <c r="C3456" s="13" t="inlineStr">
        <is>
          <t>2026_CEDWS_77995_1</t>
        </is>
      </c>
      <c r="D3456" s="14" t="inlineStr">
        <is>
          <t>[Water Supply scheme under RWS/JJM other Fund in North Tripura District]</t>
        </is>
      </c>
      <c r="E3456" s="14" t="inlineStr">
        <is>
          <t>Tripura Public Works &amp; Technology Department</t>
        </is>
      </c>
      <c r="F3456" s="13" t="inlineStr">
        <is>
          <t>04 Oct 2026</t>
        </is>
      </c>
      <c r="G3456" s="12" t="inlineStr">
        <is>
          <t>10 Nov 2026</t>
        </is>
      </c>
      <c r="H3456" s="17" t="inlineStr">
        <is>
          <t>🟢 LIVE ACTIVE</t>
        </is>
      </c>
      <c r="I3456" s="11" t="inlineStr">
        <is>
          <t>DNIeT51.pdf</t>
        </is>
      </c>
      <c r="J3456" s="13" t="inlineStr">
        <is>
          <t>📕 PDF Document</t>
        </is>
      </c>
      <c r="K3456" s="15" t="n">
        <v>17.8</v>
      </c>
      <c r="L3456" s="16">
        <f>HYPERLINK("http://127.0.0.1:8000/api/documents/download?id=2296&amp;attachment=true", "⬇ Download DNIeT51.pdf")</f>
        <v/>
      </c>
      <c r="M3456" s="16">
        <f>HYPERLINK("http://localhost:5173/?state=Tripura&amp;keyword=ICT&amp;tender=2026_CEDWS_77995_1", "🚀 Open in Portal")</f>
        <v/>
      </c>
    </row>
    <row r="3457" ht="24" customHeight="1">
      <c r="A3457" s="4" t="inlineStr">
        <is>
          <t>Tripura</t>
        </is>
      </c>
      <c r="B3457" s="5" t="inlineStr">
        <is>
          <t>ICT</t>
        </is>
      </c>
      <c r="C3457" s="6" t="inlineStr">
        <is>
          <t>2026_CEDWS_77995_1</t>
        </is>
      </c>
      <c r="D3457" s="7" t="inlineStr">
        <is>
          <t>[Water Supply scheme under RWS/JJM other Fund in North Tripura District]</t>
        </is>
      </c>
      <c r="E3457" s="7" t="inlineStr">
        <is>
          <t>Tripura Public Works &amp; Technology Department</t>
        </is>
      </c>
      <c r="F3457" s="6" t="inlineStr">
        <is>
          <t>04 Oct 2026</t>
        </is>
      </c>
      <c r="G3457" s="5" t="inlineStr">
        <is>
          <t>10 Nov 2026</t>
        </is>
      </c>
      <c r="H3457" s="17" t="inlineStr">
        <is>
          <t>🟢 LIVE ACTIVE</t>
        </is>
      </c>
      <c r="I3457" s="4" t="inlineStr">
        <is>
          <t>BOQ_79394.xls</t>
        </is>
      </c>
      <c r="J3457" s="6" t="inlineStr">
        <is>
          <t>📊 Excel BOQ</t>
        </is>
      </c>
      <c r="K3457" s="9" t="n">
        <v>2.4</v>
      </c>
      <c r="L3457" s="10">
        <f>HYPERLINK("http://127.0.0.1:8000/api/documents/download?id=2297&amp;attachment=true", "⬇ Download BOQ_79394.xls")</f>
        <v/>
      </c>
      <c r="M3457" s="10">
        <f>HYPERLINK("http://localhost:5173/?state=Tripura&amp;keyword=ICT&amp;tender=2026_CEDWS_77995_1", "🚀 Open in Portal")</f>
        <v/>
      </c>
    </row>
    <row r="3458" ht="24" customHeight="1">
      <c r="A3458" s="11" t="inlineStr">
        <is>
          <t>Tripura</t>
        </is>
      </c>
      <c r="B3458" s="12" t="inlineStr">
        <is>
          <t>ICT</t>
        </is>
      </c>
      <c r="C3458" s="13" t="inlineStr">
        <is>
          <t>2026_CEDWS_77995_1</t>
        </is>
      </c>
      <c r="D3458" s="14" t="inlineStr">
        <is>
          <t>[Water Supply scheme under RWS/JJM other Fund in North Tripura District]</t>
        </is>
      </c>
      <c r="E3458" s="14" t="inlineStr">
        <is>
          <t>Tripura Public Works &amp; Technology Department</t>
        </is>
      </c>
      <c r="F3458" s="13" t="inlineStr">
        <is>
          <t>04 Oct 2026</t>
        </is>
      </c>
      <c r="G3458" s="12" t="inlineStr">
        <is>
          <t>10 Nov 2026</t>
        </is>
      </c>
      <c r="H3458" s="17" t="inlineStr">
        <is>
          <t>🟢 LIVE ACTIVE</t>
        </is>
      </c>
      <c r="I3458" s="11" t="inlineStr">
        <is>
          <t>Tender_2026_CEDWS_77995_1_All_Documents.zip</t>
        </is>
      </c>
      <c r="J3458" s="13" t="inlineStr">
        <is>
          <t>📦 ZIP Package</t>
        </is>
      </c>
      <c r="K3458" s="15" t="n">
        <v>20.7</v>
      </c>
      <c r="L3458" s="16">
        <f>HYPERLINK("http://127.0.0.1:8000/api/documents/download?id=2298&amp;attachment=true", "⬇ Download Tender_2026_CEDWS_77995_")</f>
        <v/>
      </c>
      <c r="M3458" s="16">
        <f>HYPERLINK("http://localhost:5173/?state=Tripura&amp;keyword=ICT&amp;tender=2026_CEDWS_77995_1", "🚀 Open in Portal")</f>
        <v/>
      </c>
    </row>
    <row r="3459" ht="24" customHeight="1">
      <c r="A3459" s="4" t="inlineStr">
        <is>
          <t>Tripura</t>
        </is>
      </c>
      <c r="B3459" s="5" t="inlineStr">
        <is>
          <t>ICT</t>
        </is>
      </c>
      <c r="C3459" s="6" t="inlineStr">
        <is>
          <t>2026_CEDWS_78002_1</t>
        </is>
      </c>
      <c r="D3459" s="7" t="inlineStr">
        <is>
          <t>[O and M of RWS /15th FC scheme in North Tripura District under DWS Division Kanchanpur during the year 2026-27]</t>
        </is>
      </c>
      <c r="E3459" s="7" t="inlineStr">
        <is>
          <t>Tripura Public Works &amp; Technology Department</t>
        </is>
      </c>
      <c r="F3459" s="6" t="inlineStr">
        <is>
          <t>02 Sep 2026</t>
        </is>
      </c>
      <c r="G3459" s="5" t="inlineStr">
        <is>
          <t>24 Sep 2026</t>
        </is>
      </c>
      <c r="H3459" s="8" t="inlineStr">
        <is>
          <t>⏳ UPCOMING</t>
        </is>
      </c>
      <c r="I3459" s="4" t="inlineStr">
        <is>
          <t>Tendernotice_1.pdf</t>
        </is>
      </c>
      <c r="J3459" s="6" t="inlineStr">
        <is>
          <t>📕 PDF Document</t>
        </is>
      </c>
      <c r="K3459" s="9" t="n">
        <v>17.8</v>
      </c>
      <c r="L3459" s="10">
        <f>HYPERLINK("http://127.0.0.1:8000/api/documents/download?id=2282&amp;attachment=true", "⬇ Download Tendernotice_1.pdf")</f>
        <v/>
      </c>
      <c r="M3459" s="10">
        <f>HYPERLINK("http://localhost:5173/?state=Tripura&amp;keyword=ICT&amp;tender=2026_CEDWS_78002_1", "🚀 Open in Portal")</f>
        <v/>
      </c>
    </row>
    <row r="3460" ht="24" customHeight="1">
      <c r="A3460" s="11" t="inlineStr">
        <is>
          <t>Tripura</t>
        </is>
      </c>
      <c r="B3460" s="12" t="inlineStr">
        <is>
          <t>ICT</t>
        </is>
      </c>
      <c r="C3460" s="13" t="inlineStr">
        <is>
          <t>2026_CEDWS_78002_1</t>
        </is>
      </c>
      <c r="D3460" s="14" t="inlineStr">
        <is>
          <t>[O and M of RWS /15th FC scheme in North Tripura District under DWS Division Kanchanpur during the year 2026-27]</t>
        </is>
      </c>
      <c r="E3460" s="14" t="inlineStr">
        <is>
          <t>Tripura Public Works &amp; Technology Department</t>
        </is>
      </c>
      <c r="F3460" s="13" t="inlineStr">
        <is>
          <t>02 Sep 2026</t>
        </is>
      </c>
      <c r="G3460" s="12" t="inlineStr">
        <is>
          <t>24 Sep 2026</t>
        </is>
      </c>
      <c r="H3460" s="8" t="inlineStr">
        <is>
          <t>⏳ UPCOMING</t>
        </is>
      </c>
      <c r="I3460" s="11" t="inlineStr">
        <is>
          <t>DNIeT52.pdf</t>
        </is>
      </c>
      <c r="J3460" s="13" t="inlineStr">
        <is>
          <t>📕 PDF Document</t>
        </is>
      </c>
      <c r="K3460" s="15" t="n">
        <v>17.8</v>
      </c>
      <c r="L3460" s="16">
        <f>HYPERLINK("http://127.0.0.1:8000/api/documents/download?id=2283&amp;attachment=true", "⬇ Download DNIeT52.pdf")</f>
        <v/>
      </c>
      <c r="M3460" s="16">
        <f>HYPERLINK("http://localhost:5173/?state=Tripura&amp;keyword=ICT&amp;tender=2026_CEDWS_78002_1", "🚀 Open in Portal")</f>
        <v/>
      </c>
    </row>
    <row r="3461" ht="24" customHeight="1">
      <c r="A3461" s="4" t="inlineStr">
        <is>
          <t>Tripura</t>
        </is>
      </c>
      <c r="B3461" s="5" t="inlineStr">
        <is>
          <t>ICT</t>
        </is>
      </c>
      <c r="C3461" s="6" t="inlineStr">
        <is>
          <t>2026_CEDWS_78002_1</t>
        </is>
      </c>
      <c r="D3461" s="7" t="inlineStr">
        <is>
          <t>[O and M of RWS /15th FC scheme in North Tripura District under DWS Division Kanchanpur during the year 2026-27]</t>
        </is>
      </c>
      <c r="E3461" s="7" t="inlineStr">
        <is>
          <t>Tripura Public Works &amp; Technology Department</t>
        </is>
      </c>
      <c r="F3461" s="6" t="inlineStr">
        <is>
          <t>02 Sep 2026</t>
        </is>
      </c>
      <c r="G3461" s="5" t="inlineStr">
        <is>
          <t>24 Sep 2026</t>
        </is>
      </c>
      <c r="H3461" s="8" t="inlineStr">
        <is>
          <t>⏳ UPCOMING</t>
        </is>
      </c>
      <c r="I3461" s="4" t="inlineStr">
        <is>
          <t>BOQ_79403.xls</t>
        </is>
      </c>
      <c r="J3461" s="6" t="inlineStr">
        <is>
          <t>📊 Excel BOQ</t>
        </is>
      </c>
      <c r="K3461" s="9" t="n">
        <v>2.5</v>
      </c>
      <c r="L3461" s="10">
        <f>HYPERLINK("http://127.0.0.1:8000/api/documents/download?id=2284&amp;attachment=true", "⬇ Download BOQ_79403.xls")</f>
        <v/>
      </c>
      <c r="M3461" s="10">
        <f>HYPERLINK("http://localhost:5173/?state=Tripura&amp;keyword=ICT&amp;tender=2026_CEDWS_78002_1", "🚀 Open in Portal")</f>
        <v/>
      </c>
    </row>
    <row r="3462" ht="24" customHeight="1">
      <c r="A3462" s="11" t="inlineStr">
        <is>
          <t>Tripura</t>
        </is>
      </c>
      <c r="B3462" s="12" t="inlineStr">
        <is>
          <t>ICT</t>
        </is>
      </c>
      <c r="C3462" s="13" t="inlineStr">
        <is>
          <t>2026_CEDWS_78002_1</t>
        </is>
      </c>
      <c r="D3462" s="14" t="inlineStr">
        <is>
          <t>[O and M of RWS /15th FC scheme in North Tripura District under DWS Division Kanchanpur during the year 2026-27]</t>
        </is>
      </c>
      <c r="E3462" s="14" t="inlineStr">
        <is>
          <t>Tripura Public Works &amp; Technology Department</t>
        </is>
      </c>
      <c r="F3462" s="13" t="inlineStr">
        <is>
          <t>02 Sep 2026</t>
        </is>
      </c>
      <c r="G3462" s="12" t="inlineStr">
        <is>
          <t>24 Sep 2026</t>
        </is>
      </c>
      <c r="H3462" s="8" t="inlineStr">
        <is>
          <t>⏳ UPCOMING</t>
        </is>
      </c>
      <c r="I3462" s="11" t="inlineStr">
        <is>
          <t>Tender_2026_CEDWS_78002_1_All_Documents.zip</t>
        </is>
      </c>
      <c r="J3462" s="13" t="inlineStr">
        <is>
          <t>📦 ZIP Package</t>
        </is>
      </c>
      <c r="K3462" s="15" t="n">
        <v>20.7</v>
      </c>
      <c r="L3462" s="16">
        <f>HYPERLINK("http://127.0.0.1:8000/api/documents/download?id=2285&amp;attachment=true", "⬇ Download Tender_2026_CEDWS_78002_")</f>
        <v/>
      </c>
      <c r="M3462" s="16">
        <f>HYPERLINK("http://localhost:5173/?state=Tripura&amp;keyword=ICT&amp;tender=2026_CEDWS_78002_1", "🚀 Open in Portal")</f>
        <v/>
      </c>
    </row>
    <row r="3463" ht="24" customHeight="1">
      <c r="A3463" s="4" t="inlineStr">
        <is>
          <t>Tripura</t>
        </is>
      </c>
      <c r="B3463" s="5" t="inlineStr">
        <is>
          <t>ICT</t>
        </is>
      </c>
      <c r="C3463" s="6" t="inlineStr">
        <is>
          <t>2026_CEDWS_78006_1</t>
        </is>
      </c>
      <c r="D3463" s="7" t="inlineStr">
        <is>
          <t>[RWS/JJM /RIDF schemes in North Tripura District under 15th FC/RWS Fund during the year 2026-27]</t>
        </is>
      </c>
      <c r="E3463" s="7" t="inlineStr">
        <is>
          <t>Tripura Public Works &amp; Technology Department</t>
        </is>
      </c>
      <c r="F3463" s="6" t="inlineStr">
        <is>
          <t>01 Aug 2026</t>
        </is>
      </c>
      <c r="G3463" s="5" t="inlineStr">
        <is>
          <t>26 Aug 2026</t>
        </is>
      </c>
      <c r="H3463" s="8" t="inlineStr">
        <is>
          <t>⏳ UPCOMING</t>
        </is>
      </c>
      <c r="I3463" s="4" t="inlineStr">
        <is>
          <t>Tendernotice_1.pdf</t>
        </is>
      </c>
      <c r="J3463" s="6" t="inlineStr">
        <is>
          <t>📕 PDF Document</t>
        </is>
      </c>
      <c r="K3463" s="9" t="n">
        <v>17.8</v>
      </c>
      <c r="L3463" s="10">
        <f>HYPERLINK("http://127.0.0.1:8000/api/documents/download?id=2273&amp;attachment=true", "⬇ Download Tendernotice_1.pdf")</f>
        <v/>
      </c>
      <c r="M3463" s="10">
        <f>HYPERLINK("http://localhost:5173/?state=Tripura&amp;keyword=ICT&amp;tender=2026_CEDWS_78006_1", "🚀 Open in Portal")</f>
        <v/>
      </c>
    </row>
    <row r="3464" ht="24" customHeight="1">
      <c r="A3464" s="11" t="inlineStr">
        <is>
          <t>Tripura</t>
        </is>
      </c>
      <c r="B3464" s="12" t="inlineStr">
        <is>
          <t>ICT</t>
        </is>
      </c>
      <c r="C3464" s="13" t="inlineStr">
        <is>
          <t>2026_CEDWS_78006_1</t>
        </is>
      </c>
      <c r="D3464" s="14" t="inlineStr">
        <is>
          <t>[RWS/JJM /RIDF schemes in North Tripura District under 15th FC/RWS Fund during the year 2026-27]</t>
        </is>
      </c>
      <c r="E3464" s="14" t="inlineStr">
        <is>
          <t>Tripura Public Works &amp; Technology Department</t>
        </is>
      </c>
      <c r="F3464" s="13" t="inlineStr">
        <is>
          <t>01 Aug 2026</t>
        </is>
      </c>
      <c r="G3464" s="12" t="inlineStr">
        <is>
          <t>26 Aug 2026</t>
        </is>
      </c>
      <c r="H3464" s="8" t="inlineStr">
        <is>
          <t>⏳ UPCOMING</t>
        </is>
      </c>
      <c r="I3464" s="11" t="inlineStr">
        <is>
          <t>DNIeT49.pdf</t>
        </is>
      </c>
      <c r="J3464" s="13" t="inlineStr">
        <is>
          <t>📕 PDF Document</t>
        </is>
      </c>
      <c r="K3464" s="15" t="n">
        <v>17.8</v>
      </c>
      <c r="L3464" s="16">
        <f>HYPERLINK("http://127.0.0.1:8000/api/documents/download?id=2274&amp;attachment=true", "⬇ Download DNIeT49.pdf")</f>
        <v/>
      </c>
      <c r="M3464" s="16">
        <f>HYPERLINK("http://localhost:5173/?state=Tripura&amp;keyword=ICT&amp;tender=2026_CEDWS_78006_1", "🚀 Open in Portal")</f>
        <v/>
      </c>
    </row>
    <row r="3465" ht="24" customHeight="1">
      <c r="A3465" s="4" t="inlineStr">
        <is>
          <t>Tripura</t>
        </is>
      </c>
      <c r="B3465" s="5" t="inlineStr">
        <is>
          <t>ICT</t>
        </is>
      </c>
      <c r="C3465" s="6" t="inlineStr">
        <is>
          <t>2026_CEDWS_78006_1</t>
        </is>
      </c>
      <c r="D3465" s="7" t="inlineStr">
        <is>
          <t>[RWS/JJM /RIDF schemes in North Tripura District under 15th FC/RWS Fund during the year 2026-27]</t>
        </is>
      </c>
      <c r="E3465" s="7" t="inlineStr">
        <is>
          <t>Tripura Public Works &amp; Technology Department</t>
        </is>
      </c>
      <c r="F3465" s="6" t="inlineStr">
        <is>
          <t>01 Aug 2026</t>
        </is>
      </c>
      <c r="G3465" s="5" t="inlineStr">
        <is>
          <t>26 Aug 2026</t>
        </is>
      </c>
      <c r="H3465" s="8" t="inlineStr">
        <is>
          <t>⏳ UPCOMING</t>
        </is>
      </c>
      <c r="I3465" s="4" t="inlineStr">
        <is>
          <t>BOQ_79407.xls</t>
        </is>
      </c>
      <c r="J3465" s="6" t="inlineStr">
        <is>
          <t>📊 Excel BOQ</t>
        </is>
      </c>
      <c r="K3465" s="9" t="n">
        <v>2.5</v>
      </c>
      <c r="L3465" s="10">
        <f>HYPERLINK("http://127.0.0.1:8000/api/documents/download?id=2275&amp;attachment=true", "⬇ Download BOQ_79407.xls")</f>
        <v/>
      </c>
      <c r="M3465" s="10">
        <f>HYPERLINK("http://localhost:5173/?state=Tripura&amp;keyword=ICT&amp;tender=2026_CEDWS_78006_1", "🚀 Open in Portal")</f>
        <v/>
      </c>
    </row>
    <row r="3466" ht="24" customHeight="1">
      <c r="A3466" s="11" t="inlineStr">
        <is>
          <t>Tripura</t>
        </is>
      </c>
      <c r="B3466" s="12" t="inlineStr">
        <is>
          <t>ICT</t>
        </is>
      </c>
      <c r="C3466" s="13" t="inlineStr">
        <is>
          <t>2026_CEDWS_78006_1</t>
        </is>
      </c>
      <c r="D3466" s="14" t="inlineStr">
        <is>
          <t>[RWS/JJM /RIDF schemes in North Tripura District under 15th FC/RWS Fund during the year 2026-27]</t>
        </is>
      </c>
      <c r="E3466" s="14" t="inlineStr">
        <is>
          <t>Tripura Public Works &amp; Technology Department</t>
        </is>
      </c>
      <c r="F3466" s="13" t="inlineStr">
        <is>
          <t>01 Aug 2026</t>
        </is>
      </c>
      <c r="G3466" s="12" t="inlineStr">
        <is>
          <t>26 Aug 2026</t>
        </is>
      </c>
      <c r="H3466" s="8" t="inlineStr">
        <is>
          <t>⏳ UPCOMING</t>
        </is>
      </c>
      <c r="I3466" s="11" t="inlineStr">
        <is>
          <t>Tender_2026_CEDWS_78006_1_All_Documents.zip</t>
        </is>
      </c>
      <c r="J3466" s="13" t="inlineStr">
        <is>
          <t>📦 ZIP Package</t>
        </is>
      </c>
      <c r="K3466" s="15" t="n">
        <v>20.7</v>
      </c>
      <c r="L3466" s="16">
        <f>HYPERLINK("http://127.0.0.1:8000/api/documents/download?id=2276&amp;attachment=true", "⬇ Download Tender_2026_CEDWS_78006_")</f>
        <v/>
      </c>
      <c r="M3466" s="16">
        <f>HYPERLINK("http://localhost:5173/?state=Tripura&amp;keyword=ICT&amp;tender=2026_CEDWS_78006_1", "🚀 Open in Portal")</f>
        <v/>
      </c>
    </row>
    <row r="3467" ht="24" customHeight="1">
      <c r="A3467" s="4" t="inlineStr">
        <is>
          <t>Tripura</t>
        </is>
      </c>
      <c r="B3467" s="5" t="inlineStr">
        <is>
          <t>ICT</t>
        </is>
      </c>
      <c r="C3467" s="6" t="inlineStr">
        <is>
          <t>2026_CEPWD_77964_1</t>
        </is>
      </c>
      <c r="D3467" s="7" t="inlineStr">
        <is>
          <t>[Improvement of road from Sonamura Nidaya road (Near Bashpukur JatriShed) to NatunTilla(L-5.50km) under Kathalia RD Block within the jurisdiction of Kathalia PWD(RandB) SubDivision during the FY2026 27]</t>
        </is>
      </c>
      <c r="E3467" s="7" t="inlineStr">
        <is>
          <t>Tripura Public Works &amp; Technology Department</t>
        </is>
      </c>
      <c r="F3467" s="6" t="inlineStr">
        <is>
          <t>19 Sep 2026</t>
        </is>
      </c>
      <c r="G3467" s="5" t="inlineStr">
        <is>
          <t>19 Oct 2026</t>
        </is>
      </c>
      <c r="H3467" s="18" t="inlineStr">
        <is>
          <t>⚠️ CLOSING SOON</t>
        </is>
      </c>
      <c r="I3467" s="4" t="inlineStr">
        <is>
          <t>Tendernotice_1.pdf</t>
        </is>
      </c>
      <c r="J3467" s="6" t="inlineStr">
        <is>
          <t>📕 PDF Document</t>
        </is>
      </c>
      <c r="K3467" s="9" t="n">
        <v>17.8</v>
      </c>
      <c r="L3467" s="10">
        <f>HYPERLINK("http://127.0.0.1:8000/api/documents/download?id=2315&amp;attachment=true", "⬇ Download Tendernotice_1.pdf")</f>
        <v/>
      </c>
      <c r="M3467" s="10">
        <f>HYPERLINK("http://localhost:5173/?state=Tripura&amp;keyword=ICT&amp;tender=2026_CEPWD_77964_1", "🚀 Open in Portal")</f>
        <v/>
      </c>
    </row>
    <row r="3468" ht="24" customHeight="1">
      <c r="A3468" s="11" t="inlineStr">
        <is>
          <t>Tripura</t>
        </is>
      </c>
      <c r="B3468" s="12" t="inlineStr">
        <is>
          <t>ICT</t>
        </is>
      </c>
      <c r="C3468" s="13" t="inlineStr">
        <is>
          <t>2026_CEPWD_77964_1</t>
        </is>
      </c>
      <c r="D3468" s="14" t="inlineStr">
        <is>
          <t>[Improvement of road from Sonamura Nidaya road (Near Bashpukur JatriShed) to NatunTilla(L-5.50km) under Kathalia RD Block within the jurisdiction of Kathalia PWD(RandB) SubDivision during the FY2026 27]</t>
        </is>
      </c>
      <c r="E3468" s="14" t="inlineStr">
        <is>
          <t>Tripura Public Works &amp; Technology Department</t>
        </is>
      </c>
      <c r="F3468" s="13" t="inlineStr">
        <is>
          <t>19 Sep 2026</t>
        </is>
      </c>
      <c r="G3468" s="12" t="inlineStr">
        <is>
          <t>19 Oct 2026</t>
        </is>
      </c>
      <c r="H3468" s="18" t="inlineStr">
        <is>
          <t>⚠️ CLOSING SOON</t>
        </is>
      </c>
      <c r="I3468" s="11" t="inlineStr">
        <is>
          <t>DNIT122R.pdf</t>
        </is>
      </c>
      <c r="J3468" s="13" t="inlineStr">
        <is>
          <t>📕 PDF Document</t>
        </is>
      </c>
      <c r="K3468" s="15" t="n">
        <v>17.8</v>
      </c>
      <c r="L3468" s="16">
        <f>HYPERLINK("http://127.0.0.1:8000/api/documents/download?id=2316&amp;attachment=true", "⬇ Download DNIT122R.pdf")</f>
        <v/>
      </c>
      <c r="M3468" s="16">
        <f>HYPERLINK("http://localhost:5173/?state=Tripura&amp;keyword=ICT&amp;tender=2026_CEPWD_77964_1", "🚀 Open in Portal")</f>
        <v/>
      </c>
    </row>
    <row r="3469" ht="24" customHeight="1">
      <c r="A3469" s="4" t="inlineStr">
        <is>
          <t>Tripura</t>
        </is>
      </c>
      <c r="B3469" s="5" t="inlineStr">
        <is>
          <t>ICT</t>
        </is>
      </c>
      <c r="C3469" s="6" t="inlineStr">
        <is>
          <t>2026_CEPWD_77964_1</t>
        </is>
      </c>
      <c r="D3469" s="7" t="inlineStr">
        <is>
          <t>[Improvement of road from Sonamura Nidaya road (Near Bashpukur JatriShed) to NatunTilla(L-5.50km) under Kathalia RD Block within the jurisdiction of Kathalia PWD(RandB) SubDivision during the FY2026 27]</t>
        </is>
      </c>
      <c r="E3469" s="7" t="inlineStr">
        <is>
          <t>Tripura Public Works &amp; Technology Department</t>
        </is>
      </c>
      <c r="F3469" s="6" t="inlineStr">
        <is>
          <t>19 Sep 2026</t>
        </is>
      </c>
      <c r="G3469" s="5" t="inlineStr">
        <is>
          <t>19 Oct 2026</t>
        </is>
      </c>
      <c r="H3469" s="18" t="inlineStr">
        <is>
          <t>⚠️ CLOSING SOON</t>
        </is>
      </c>
      <c r="I3469" s="4" t="inlineStr">
        <is>
          <t>BOQ_79358.xls</t>
        </is>
      </c>
      <c r="J3469" s="6" t="inlineStr">
        <is>
          <t>📊 Excel BOQ</t>
        </is>
      </c>
      <c r="K3469" s="9" t="n">
        <v>2.5</v>
      </c>
      <c r="L3469" s="10">
        <f>HYPERLINK("http://127.0.0.1:8000/api/documents/download?id=2317&amp;attachment=true", "⬇ Download BOQ_79358.xls")</f>
        <v/>
      </c>
      <c r="M3469" s="10">
        <f>HYPERLINK("http://localhost:5173/?state=Tripura&amp;keyword=ICT&amp;tender=2026_CEPWD_77964_1", "🚀 Open in Portal")</f>
        <v/>
      </c>
    </row>
    <row r="3470" ht="24" customHeight="1">
      <c r="A3470" s="11" t="inlineStr">
        <is>
          <t>Tripura</t>
        </is>
      </c>
      <c r="B3470" s="12" t="inlineStr">
        <is>
          <t>ICT</t>
        </is>
      </c>
      <c r="C3470" s="13" t="inlineStr">
        <is>
          <t>2026_CEPWD_77964_1</t>
        </is>
      </c>
      <c r="D3470" s="14" t="inlineStr">
        <is>
          <t>[Improvement of road from Sonamura Nidaya road (Near Bashpukur JatriShed) to NatunTilla(L-5.50km) under Kathalia RD Block within the jurisdiction of Kathalia PWD(RandB) SubDivision during the FY2026 27]</t>
        </is>
      </c>
      <c r="E3470" s="14" t="inlineStr">
        <is>
          <t>Tripura Public Works &amp; Technology Department</t>
        </is>
      </c>
      <c r="F3470" s="13" t="inlineStr">
        <is>
          <t>19 Sep 2026</t>
        </is>
      </c>
      <c r="G3470" s="12" t="inlineStr">
        <is>
          <t>19 Oct 2026</t>
        </is>
      </c>
      <c r="H3470" s="18" t="inlineStr">
        <is>
          <t>⚠️ CLOSING SOON</t>
        </is>
      </c>
      <c r="I3470" s="11" t="inlineStr">
        <is>
          <t>Addl122SE.pdf</t>
        </is>
      </c>
      <c r="J3470" s="13" t="inlineStr">
        <is>
          <t>📕 PDF Document</t>
        </is>
      </c>
      <c r="K3470" s="15" t="n">
        <v>17.8</v>
      </c>
      <c r="L3470" s="16">
        <f>HYPERLINK("http://127.0.0.1:8000/api/documents/download?id=2318&amp;attachment=true", "⬇ Download Addl122SE.pdf")</f>
        <v/>
      </c>
      <c r="M3470" s="16">
        <f>HYPERLINK("http://localhost:5173/?state=Tripura&amp;keyword=ICT&amp;tender=2026_CEPWD_77964_1", "🚀 Open in Portal")</f>
        <v/>
      </c>
    </row>
    <row r="3471" ht="24" customHeight="1">
      <c r="A3471" s="4" t="inlineStr">
        <is>
          <t>Tripura</t>
        </is>
      </c>
      <c r="B3471" s="5" t="inlineStr">
        <is>
          <t>ICT</t>
        </is>
      </c>
      <c r="C3471" s="6" t="inlineStr">
        <is>
          <t>2026_CEPWD_77964_1</t>
        </is>
      </c>
      <c r="D3471" s="7" t="inlineStr">
        <is>
          <t>[Improvement of road from Sonamura Nidaya road (Near Bashpukur JatriShed) to NatunTilla(L-5.50km) under Kathalia RD Block within the jurisdiction of Kathalia PWD(RandB) SubDivision during the FY2026 27]</t>
        </is>
      </c>
      <c r="E3471" s="7" t="inlineStr">
        <is>
          <t>Tripura Public Works &amp; Technology Department</t>
        </is>
      </c>
      <c r="F3471" s="6" t="inlineStr">
        <is>
          <t>19 Sep 2026</t>
        </is>
      </c>
      <c r="G3471" s="5" t="inlineStr">
        <is>
          <t>19 Oct 2026</t>
        </is>
      </c>
      <c r="H3471" s="18" t="inlineStr">
        <is>
          <t>⚠️ CLOSING SOON</t>
        </is>
      </c>
      <c r="I3471" s="4" t="inlineStr">
        <is>
          <t>Tender_2026_CEPWD_77964_1_All_Documents.zip</t>
        </is>
      </c>
      <c r="J3471" s="6" t="inlineStr">
        <is>
          <t>📦 ZIP Package</t>
        </is>
      </c>
      <c r="K3471" s="9" t="n">
        <v>30</v>
      </c>
      <c r="L3471" s="10">
        <f>HYPERLINK("http://127.0.0.1:8000/api/documents/download?id=2319&amp;attachment=true", "⬇ Download Tender_2026_CEPWD_77964_")</f>
        <v/>
      </c>
      <c r="M3471" s="10">
        <f>HYPERLINK("http://localhost:5173/?state=Tripura&amp;keyword=ICT&amp;tender=2026_CEPWD_77964_1", "🚀 Open in Portal")</f>
        <v/>
      </c>
    </row>
    <row r="3472" ht="24" customHeight="1">
      <c r="A3472" s="11" t="inlineStr">
        <is>
          <t>Tripura</t>
        </is>
      </c>
      <c r="B3472" s="12" t="inlineStr">
        <is>
          <t>ICT</t>
        </is>
      </c>
      <c r="C3472" s="13" t="inlineStr">
        <is>
          <t>2026_CEPWD_77991_1</t>
        </is>
      </c>
      <c r="D3472" s="14" t="inlineStr">
        <is>
          <t>[Development of road from Mangalpada para to Nalchar L2.697 km Portion from ch 0.0 km to ch 0.900 km L0.900 km Total PRLength 0.900 km within Nalchar RDBlock under the jurisdiction of Melaghar PWD (RandB) SubDivision during the FY 2026 27]</t>
        </is>
      </c>
      <c r="E3472" s="14" t="inlineStr">
        <is>
          <t>Tripura Public Works &amp; Technology Department</t>
        </is>
      </c>
      <c r="F3472" s="13" t="inlineStr">
        <is>
          <t>17 Aug 2026</t>
        </is>
      </c>
      <c r="G3472" s="12" t="inlineStr">
        <is>
          <t>13 Sep 2026</t>
        </is>
      </c>
      <c r="H3472" s="8" t="inlineStr">
        <is>
          <t>⏳ UPCOMING</t>
        </is>
      </c>
      <c r="I3472" s="11" t="inlineStr">
        <is>
          <t>Tendernotice_1.pdf</t>
        </is>
      </c>
      <c r="J3472" s="13" t="inlineStr">
        <is>
          <t>📕 PDF Document</t>
        </is>
      </c>
      <c r="K3472" s="15" t="n">
        <v>17.8</v>
      </c>
      <c r="L3472" s="16">
        <f>HYPERLINK("http://127.0.0.1:8000/api/documents/download?id=2277&amp;attachment=true", "⬇ Download Tendernotice_1.pdf")</f>
        <v/>
      </c>
      <c r="M3472" s="16">
        <f>HYPERLINK("http://localhost:5173/?state=Tripura&amp;keyword=ICT&amp;tender=2026_CEPWD_77991_1", "🚀 Open in Portal")</f>
        <v/>
      </c>
    </row>
    <row r="3473" ht="24" customHeight="1">
      <c r="A3473" s="4" t="inlineStr">
        <is>
          <t>Tripura</t>
        </is>
      </c>
      <c r="B3473" s="5" t="inlineStr">
        <is>
          <t>ICT</t>
        </is>
      </c>
      <c r="C3473" s="6" t="inlineStr">
        <is>
          <t>2026_CEPWD_77991_1</t>
        </is>
      </c>
      <c r="D3473" s="7" t="inlineStr">
        <is>
          <t>[Development of road from Mangalpada para to Nalchar L2.697 km Portion from ch 0.0 km to ch 0.900 km L0.900 km Total PRLength 0.900 km within Nalchar RDBlock under the jurisdiction of Melaghar PWD (RandB) SubDivision during the FY 2026 27]</t>
        </is>
      </c>
      <c r="E3473" s="7" t="inlineStr">
        <is>
          <t>Tripura Public Works &amp; Technology Department</t>
        </is>
      </c>
      <c r="F3473" s="6" t="inlineStr">
        <is>
          <t>17 Aug 2026</t>
        </is>
      </c>
      <c r="G3473" s="5" t="inlineStr">
        <is>
          <t>13 Sep 2026</t>
        </is>
      </c>
      <c r="H3473" s="8" t="inlineStr">
        <is>
          <t>⏳ UPCOMING</t>
        </is>
      </c>
      <c r="I3473" s="4" t="inlineStr">
        <is>
          <t>DNIeT71EE.pdf</t>
        </is>
      </c>
      <c r="J3473" s="6" t="inlineStr">
        <is>
          <t>📕 PDF Document</t>
        </is>
      </c>
      <c r="K3473" s="9" t="n">
        <v>17.8</v>
      </c>
      <c r="L3473" s="10">
        <f>HYPERLINK("http://127.0.0.1:8000/api/documents/download?id=2278&amp;attachment=true", "⬇ Download DNIeT71EE.pdf")</f>
        <v/>
      </c>
      <c r="M3473" s="10">
        <f>HYPERLINK("http://localhost:5173/?state=Tripura&amp;keyword=ICT&amp;tender=2026_CEPWD_77991_1", "🚀 Open in Portal")</f>
        <v/>
      </c>
    </row>
    <row r="3474" ht="24" customHeight="1">
      <c r="A3474" s="11" t="inlineStr">
        <is>
          <t>Tripura</t>
        </is>
      </c>
      <c r="B3474" s="12" t="inlineStr">
        <is>
          <t>ICT</t>
        </is>
      </c>
      <c r="C3474" s="13" t="inlineStr">
        <is>
          <t>2026_CEPWD_77991_1</t>
        </is>
      </c>
      <c r="D3474" s="14" t="inlineStr">
        <is>
          <t>[Development of road from Mangalpada para to Nalchar L2.697 km Portion from ch 0.0 km to ch 0.900 km L0.900 km Total PRLength 0.900 km within Nalchar RDBlock under the jurisdiction of Melaghar PWD (RandB) SubDivision during the FY 2026 27]</t>
        </is>
      </c>
      <c r="E3474" s="14" t="inlineStr">
        <is>
          <t>Tripura Public Works &amp; Technology Department</t>
        </is>
      </c>
      <c r="F3474" s="13" t="inlineStr">
        <is>
          <t>17 Aug 2026</t>
        </is>
      </c>
      <c r="G3474" s="12" t="inlineStr">
        <is>
          <t>13 Sep 2026</t>
        </is>
      </c>
      <c r="H3474" s="8" t="inlineStr">
        <is>
          <t>⏳ UPCOMING</t>
        </is>
      </c>
      <c r="I3474" s="11" t="inlineStr">
        <is>
          <t>BOQ_79392.xls</t>
        </is>
      </c>
      <c r="J3474" s="13" t="inlineStr">
        <is>
          <t>📊 Excel BOQ</t>
        </is>
      </c>
      <c r="K3474" s="15" t="n">
        <v>2.5</v>
      </c>
      <c r="L3474" s="16">
        <f>HYPERLINK("http://127.0.0.1:8000/api/documents/download?id=2279&amp;attachment=true", "⬇ Download BOQ_79392.xls")</f>
        <v/>
      </c>
      <c r="M3474" s="16">
        <f>HYPERLINK("http://localhost:5173/?state=Tripura&amp;keyword=ICT&amp;tender=2026_CEPWD_77991_1", "🚀 Open in Portal")</f>
        <v/>
      </c>
    </row>
    <row r="3475" ht="24" customHeight="1">
      <c r="A3475" s="4" t="inlineStr">
        <is>
          <t>Tripura</t>
        </is>
      </c>
      <c r="B3475" s="5" t="inlineStr">
        <is>
          <t>ICT</t>
        </is>
      </c>
      <c r="C3475" s="6" t="inlineStr">
        <is>
          <t>2026_CEPWD_77991_1</t>
        </is>
      </c>
      <c r="D3475" s="7" t="inlineStr">
        <is>
          <t>[Development of road from Mangalpada para to Nalchar L2.697 km Portion from ch 0.0 km to ch 0.900 km L0.900 km Total PRLength 0.900 km within Nalchar RDBlock under the jurisdiction of Melaghar PWD (RandB) SubDivision during the FY 2026 27]</t>
        </is>
      </c>
      <c r="E3475" s="7" t="inlineStr">
        <is>
          <t>Tripura Public Works &amp; Technology Department</t>
        </is>
      </c>
      <c r="F3475" s="6" t="inlineStr">
        <is>
          <t>17 Aug 2026</t>
        </is>
      </c>
      <c r="G3475" s="5" t="inlineStr">
        <is>
          <t>13 Sep 2026</t>
        </is>
      </c>
      <c r="H3475" s="8" t="inlineStr">
        <is>
          <t>⏳ UPCOMING</t>
        </is>
      </c>
      <c r="I3475" s="4" t="inlineStr">
        <is>
          <t>Addl71EE.pdf</t>
        </is>
      </c>
      <c r="J3475" s="6" t="inlineStr">
        <is>
          <t>📕 PDF Document</t>
        </is>
      </c>
      <c r="K3475" s="9" t="n">
        <v>17.8</v>
      </c>
      <c r="L3475" s="10">
        <f>HYPERLINK("http://127.0.0.1:8000/api/documents/download?id=2280&amp;attachment=true", "⬇ Download Addl71EE.pdf")</f>
        <v/>
      </c>
      <c r="M3475" s="10">
        <f>HYPERLINK("http://localhost:5173/?state=Tripura&amp;keyword=ICT&amp;tender=2026_CEPWD_77991_1", "🚀 Open in Portal")</f>
        <v/>
      </c>
    </row>
    <row r="3476" ht="24" customHeight="1">
      <c r="A3476" s="11" t="inlineStr">
        <is>
          <t>Tripura</t>
        </is>
      </c>
      <c r="B3476" s="12" t="inlineStr">
        <is>
          <t>ICT</t>
        </is>
      </c>
      <c r="C3476" s="13" t="inlineStr">
        <is>
          <t>2026_CEPWD_77991_1</t>
        </is>
      </c>
      <c r="D3476" s="14" t="inlineStr">
        <is>
          <t>[Development of road from Mangalpada para to Nalchar L2.697 km Portion from ch 0.0 km to ch 0.900 km L0.900 km Total PRLength 0.900 km within Nalchar RDBlock under the jurisdiction of Melaghar PWD (RandB) SubDivision during the FY 2026 27]</t>
        </is>
      </c>
      <c r="E3476" s="14" t="inlineStr">
        <is>
          <t>Tripura Public Works &amp; Technology Department</t>
        </is>
      </c>
      <c r="F3476" s="13" t="inlineStr">
        <is>
          <t>17 Aug 2026</t>
        </is>
      </c>
      <c r="G3476" s="12" t="inlineStr">
        <is>
          <t>13 Sep 2026</t>
        </is>
      </c>
      <c r="H3476" s="8" t="inlineStr">
        <is>
          <t>⏳ UPCOMING</t>
        </is>
      </c>
      <c r="I3476" s="11" t="inlineStr">
        <is>
          <t>Tender_2026_CEPWD_77991_1_All_Documents.zip</t>
        </is>
      </c>
      <c r="J3476" s="13" t="inlineStr">
        <is>
          <t>📦 ZIP Package</t>
        </is>
      </c>
      <c r="K3476" s="15" t="n">
        <v>30</v>
      </c>
      <c r="L3476" s="16">
        <f>HYPERLINK("http://127.0.0.1:8000/api/documents/download?id=2281&amp;attachment=true", "⬇ Download Tender_2026_CEPWD_77991_")</f>
        <v/>
      </c>
      <c r="M3476" s="16">
        <f>HYPERLINK("http://localhost:5173/?state=Tripura&amp;keyword=ICT&amp;tender=2026_CEPWD_77991_1", "🚀 Open in Portal")</f>
        <v/>
      </c>
    </row>
    <row r="3477" ht="24" customHeight="1">
      <c r="A3477" s="4" t="inlineStr">
        <is>
          <t>Tripura</t>
        </is>
      </c>
      <c r="B3477" s="5" t="inlineStr">
        <is>
          <t>ICT</t>
        </is>
      </c>
      <c r="C3477" s="6" t="inlineStr">
        <is>
          <t>2026_CEPWD_77997_1</t>
        </is>
      </c>
      <c r="D3477" s="7" t="inlineStr">
        <is>
          <t>[Development of road from Taxapara Ramnagar Charilam road to Indrakumar ADC village (L 2.180 km) (Portion from ch- 1.080 km to ch- 2.180 km L-1.10 km) Total PR Length- 1.10 km within Nalchar RD Block under the jurisdiction]</t>
        </is>
      </c>
      <c r="E3477" s="7" t="inlineStr">
        <is>
          <t>Tripura Public Works &amp; Technology Department</t>
        </is>
      </c>
      <c r="F3477" s="6" t="inlineStr">
        <is>
          <t>06 Aug 2026</t>
        </is>
      </c>
      <c r="G3477" s="5" t="inlineStr">
        <is>
          <t>27 Aug 2026</t>
        </is>
      </c>
      <c r="H3477" s="8" t="inlineStr">
        <is>
          <t>⏳ UPCOMING</t>
        </is>
      </c>
      <c r="I3477" s="4" t="inlineStr">
        <is>
          <t>Tendernotice_1.pdf</t>
        </is>
      </c>
      <c r="J3477" s="6" t="inlineStr">
        <is>
          <t>📕 PDF Document</t>
        </is>
      </c>
      <c r="K3477" s="9" t="n">
        <v>17.8</v>
      </c>
      <c r="L3477" s="10">
        <f>HYPERLINK("http://127.0.0.1:8000/api/documents/download?id=2303&amp;attachment=true", "⬇ Download Tendernotice_1.pdf")</f>
        <v/>
      </c>
      <c r="M3477" s="10">
        <f>HYPERLINK("http://localhost:5173/?state=Tripura&amp;keyword=ICT&amp;tender=2026_CEPWD_77997_1", "🚀 Open in Portal")</f>
        <v/>
      </c>
    </row>
    <row r="3478" ht="24" customHeight="1">
      <c r="A3478" s="11" t="inlineStr">
        <is>
          <t>Tripura</t>
        </is>
      </c>
      <c r="B3478" s="12" t="inlineStr">
        <is>
          <t>ICT</t>
        </is>
      </c>
      <c r="C3478" s="13" t="inlineStr">
        <is>
          <t>2026_CEPWD_77997_1</t>
        </is>
      </c>
      <c r="D3478" s="14" t="inlineStr">
        <is>
          <t>[Development of road from Taxapara Ramnagar Charilam road to Indrakumar ADC village (L 2.180 km) (Portion from ch- 1.080 km to ch- 2.180 km L-1.10 km) Total PR Length- 1.10 km within Nalchar RD Block under the jurisdiction]</t>
        </is>
      </c>
      <c r="E3478" s="14" t="inlineStr">
        <is>
          <t>Tripura Public Works &amp; Technology Department</t>
        </is>
      </c>
      <c r="F3478" s="13" t="inlineStr">
        <is>
          <t>06 Aug 2026</t>
        </is>
      </c>
      <c r="G3478" s="12" t="inlineStr">
        <is>
          <t>27 Aug 2026</t>
        </is>
      </c>
      <c r="H3478" s="8" t="inlineStr">
        <is>
          <t>⏳ UPCOMING</t>
        </is>
      </c>
      <c r="I3478" s="11" t="inlineStr">
        <is>
          <t>DNIeT72EE.pdf</t>
        </is>
      </c>
      <c r="J3478" s="13" t="inlineStr">
        <is>
          <t>📕 PDF Document</t>
        </is>
      </c>
      <c r="K3478" s="15" t="n">
        <v>17.8</v>
      </c>
      <c r="L3478" s="16">
        <f>HYPERLINK("http://127.0.0.1:8000/api/documents/download?id=2304&amp;attachment=true", "⬇ Download DNIeT72EE.pdf")</f>
        <v/>
      </c>
      <c r="M3478" s="16">
        <f>HYPERLINK("http://localhost:5173/?state=Tripura&amp;keyword=ICT&amp;tender=2026_CEPWD_77997_1", "🚀 Open in Portal")</f>
        <v/>
      </c>
    </row>
    <row r="3479" ht="24" customHeight="1">
      <c r="A3479" s="4" t="inlineStr">
        <is>
          <t>Tripura</t>
        </is>
      </c>
      <c r="B3479" s="5" t="inlineStr">
        <is>
          <t>ICT</t>
        </is>
      </c>
      <c r="C3479" s="6" t="inlineStr">
        <is>
          <t>2026_CEPWD_77997_1</t>
        </is>
      </c>
      <c r="D3479" s="7" t="inlineStr">
        <is>
          <t>[Development of road from Taxapara Ramnagar Charilam road to Indrakumar ADC village (L 2.180 km) (Portion from ch- 1.080 km to ch- 2.180 km L-1.10 km) Total PR Length- 1.10 km within Nalchar RD Block under the jurisdiction]</t>
        </is>
      </c>
      <c r="E3479" s="7" t="inlineStr">
        <is>
          <t>Tripura Public Works &amp; Technology Department</t>
        </is>
      </c>
      <c r="F3479" s="6" t="inlineStr">
        <is>
          <t>06 Aug 2026</t>
        </is>
      </c>
      <c r="G3479" s="5" t="inlineStr">
        <is>
          <t>27 Aug 2026</t>
        </is>
      </c>
      <c r="H3479" s="8" t="inlineStr">
        <is>
          <t>⏳ UPCOMING</t>
        </is>
      </c>
      <c r="I3479" s="4" t="inlineStr">
        <is>
          <t>BOQ_79396.xls</t>
        </is>
      </c>
      <c r="J3479" s="6" t="inlineStr">
        <is>
          <t>📊 Excel BOQ</t>
        </is>
      </c>
      <c r="K3479" s="9" t="n">
        <v>2.5</v>
      </c>
      <c r="L3479" s="10">
        <f>HYPERLINK("http://127.0.0.1:8000/api/documents/download?id=2305&amp;attachment=true", "⬇ Download BOQ_79396.xls")</f>
        <v/>
      </c>
      <c r="M3479" s="10">
        <f>HYPERLINK("http://localhost:5173/?state=Tripura&amp;keyword=ICT&amp;tender=2026_CEPWD_77997_1", "🚀 Open in Portal")</f>
        <v/>
      </c>
    </row>
    <row r="3480" ht="24" customHeight="1">
      <c r="A3480" s="11" t="inlineStr">
        <is>
          <t>Tripura</t>
        </is>
      </c>
      <c r="B3480" s="12" t="inlineStr">
        <is>
          <t>ICT</t>
        </is>
      </c>
      <c r="C3480" s="13" t="inlineStr">
        <is>
          <t>2026_CEPWD_77997_1</t>
        </is>
      </c>
      <c r="D3480" s="14" t="inlineStr">
        <is>
          <t>[Development of road from Taxapara Ramnagar Charilam road to Indrakumar ADC village (L 2.180 km) (Portion from ch- 1.080 km to ch- 2.180 km L-1.10 km) Total PR Length- 1.10 km within Nalchar RD Block under the jurisdiction]</t>
        </is>
      </c>
      <c r="E3480" s="14" t="inlineStr">
        <is>
          <t>Tripura Public Works &amp; Technology Department</t>
        </is>
      </c>
      <c r="F3480" s="13" t="inlineStr">
        <is>
          <t>06 Aug 2026</t>
        </is>
      </c>
      <c r="G3480" s="12" t="inlineStr">
        <is>
          <t>27 Aug 2026</t>
        </is>
      </c>
      <c r="H3480" s="8" t="inlineStr">
        <is>
          <t>⏳ UPCOMING</t>
        </is>
      </c>
      <c r="I3480" s="11" t="inlineStr">
        <is>
          <t>Addl72EE.pdf</t>
        </is>
      </c>
      <c r="J3480" s="13" t="inlineStr">
        <is>
          <t>📕 PDF Document</t>
        </is>
      </c>
      <c r="K3480" s="15" t="n">
        <v>17.8</v>
      </c>
      <c r="L3480" s="16">
        <f>HYPERLINK("http://127.0.0.1:8000/api/documents/download?id=2306&amp;attachment=true", "⬇ Download Addl72EE.pdf")</f>
        <v/>
      </c>
      <c r="M3480" s="16">
        <f>HYPERLINK("http://localhost:5173/?state=Tripura&amp;keyword=ICT&amp;tender=2026_CEPWD_77997_1", "🚀 Open in Portal")</f>
        <v/>
      </c>
    </row>
    <row r="3481" ht="24" customHeight="1">
      <c r="A3481" s="4" t="inlineStr">
        <is>
          <t>Tripura</t>
        </is>
      </c>
      <c r="B3481" s="5" t="inlineStr">
        <is>
          <t>ICT</t>
        </is>
      </c>
      <c r="C3481" s="6" t="inlineStr">
        <is>
          <t>2026_CEPWD_77997_1</t>
        </is>
      </c>
      <c r="D3481" s="7" t="inlineStr">
        <is>
          <t>[Development of road from Taxapara Ramnagar Charilam road to Indrakumar ADC village (L 2.180 km) (Portion from ch- 1.080 km to ch- 2.180 km L-1.10 km) Total PR Length- 1.10 km within Nalchar RD Block under the jurisdiction]</t>
        </is>
      </c>
      <c r="E3481" s="7" t="inlineStr">
        <is>
          <t>Tripura Public Works &amp; Technology Department</t>
        </is>
      </c>
      <c r="F3481" s="6" t="inlineStr">
        <is>
          <t>06 Aug 2026</t>
        </is>
      </c>
      <c r="G3481" s="5" t="inlineStr">
        <is>
          <t>27 Aug 2026</t>
        </is>
      </c>
      <c r="H3481" s="8" t="inlineStr">
        <is>
          <t>⏳ UPCOMING</t>
        </is>
      </c>
      <c r="I3481" s="4" t="inlineStr">
        <is>
          <t>Tender_2026_CEPWD_77997_1_All_Documents.zip</t>
        </is>
      </c>
      <c r="J3481" s="6" t="inlineStr">
        <is>
          <t>📦 ZIP Package</t>
        </is>
      </c>
      <c r="K3481" s="9" t="n">
        <v>30</v>
      </c>
      <c r="L3481" s="10">
        <f>HYPERLINK("http://127.0.0.1:8000/api/documents/download?id=2307&amp;attachment=true", "⬇ Download Tender_2026_CEPWD_77997_")</f>
        <v/>
      </c>
      <c r="M3481" s="10">
        <f>HYPERLINK("http://localhost:5173/?state=Tripura&amp;keyword=ICT&amp;tender=2026_CEPWD_77997_1", "🚀 Open in Portal")</f>
        <v/>
      </c>
    </row>
    <row r="3482" ht="24" customHeight="1">
      <c r="A3482" s="11" t="inlineStr">
        <is>
          <t>Tripura</t>
        </is>
      </c>
      <c r="B3482" s="12" t="inlineStr">
        <is>
          <t>ICT</t>
        </is>
      </c>
      <c r="C3482" s="13" t="inlineStr">
        <is>
          <t>2026_CEPWD_78001_1</t>
        </is>
      </c>
      <c r="D3482" s="14" t="inlineStr">
        <is>
          <t>[Development of road from Kalarbari to Dayalshing para (L-7.0 km) (Portion from ch-4.0 km to ch- 5.0 km, L- 1.0 km) Total PR Length1.0 km within Nalchar RD Block under the jurisdiction of Melaghar PWD (RandB) SubDivision during the FY 202627]</t>
        </is>
      </c>
      <c r="E3482" s="14" t="inlineStr">
        <is>
          <t>Tripura Public Works &amp; Technology Department</t>
        </is>
      </c>
      <c r="F3482" s="13" t="inlineStr">
        <is>
          <t>22 Oct 2026</t>
        </is>
      </c>
      <c r="G3482" s="12" t="inlineStr">
        <is>
          <t>12 Nov 2026</t>
        </is>
      </c>
      <c r="H3482" s="8" t="inlineStr">
        <is>
          <t>⏳ UPCOMING</t>
        </is>
      </c>
      <c r="I3482" s="11" t="inlineStr">
        <is>
          <t>Tendernotice_1.pdf</t>
        </is>
      </c>
      <c r="J3482" s="13" t="inlineStr">
        <is>
          <t>📕 PDF Document</t>
        </is>
      </c>
      <c r="K3482" s="15" t="n">
        <v>17.8</v>
      </c>
      <c r="L3482" s="16">
        <f>HYPERLINK("http://127.0.0.1:8000/api/documents/download?id=2290&amp;attachment=true", "⬇ Download Tendernotice_1.pdf")</f>
        <v/>
      </c>
      <c r="M3482" s="16">
        <f>HYPERLINK("http://localhost:5173/?state=Tripura&amp;keyword=ICT&amp;tender=2026_CEPWD_78001_1", "🚀 Open in Portal")</f>
        <v/>
      </c>
    </row>
    <row r="3483" ht="24" customHeight="1">
      <c r="A3483" s="4" t="inlineStr">
        <is>
          <t>Tripura</t>
        </is>
      </c>
      <c r="B3483" s="5" t="inlineStr">
        <is>
          <t>ICT</t>
        </is>
      </c>
      <c r="C3483" s="6" t="inlineStr">
        <is>
          <t>2026_CEPWD_78001_1</t>
        </is>
      </c>
      <c r="D3483" s="7" t="inlineStr">
        <is>
          <t>[Development of road from Kalarbari to Dayalshing para (L-7.0 km) (Portion from ch-4.0 km to ch- 5.0 km, L- 1.0 km) Total PR Length1.0 km within Nalchar RD Block under the jurisdiction of Melaghar PWD (RandB) SubDivision during the FY 202627]</t>
        </is>
      </c>
      <c r="E3483" s="7" t="inlineStr">
        <is>
          <t>Tripura Public Works &amp; Technology Department</t>
        </is>
      </c>
      <c r="F3483" s="6" t="inlineStr">
        <is>
          <t>22 Oct 2026</t>
        </is>
      </c>
      <c r="G3483" s="5" t="inlineStr">
        <is>
          <t>12 Nov 2026</t>
        </is>
      </c>
      <c r="H3483" s="8" t="inlineStr">
        <is>
          <t>⏳ UPCOMING</t>
        </is>
      </c>
      <c r="I3483" s="4" t="inlineStr">
        <is>
          <t>DNIeT73EE.pdf</t>
        </is>
      </c>
      <c r="J3483" s="6" t="inlineStr">
        <is>
          <t>📕 PDF Document</t>
        </is>
      </c>
      <c r="K3483" s="9" t="n">
        <v>17.8</v>
      </c>
      <c r="L3483" s="10">
        <f>HYPERLINK("http://127.0.0.1:8000/api/documents/download?id=2291&amp;attachment=true", "⬇ Download DNIeT73EE.pdf")</f>
        <v/>
      </c>
      <c r="M3483" s="10">
        <f>HYPERLINK("http://localhost:5173/?state=Tripura&amp;keyword=ICT&amp;tender=2026_CEPWD_78001_1", "🚀 Open in Portal")</f>
        <v/>
      </c>
    </row>
    <row r="3484" ht="24" customHeight="1">
      <c r="A3484" s="11" t="inlineStr">
        <is>
          <t>Tripura</t>
        </is>
      </c>
      <c r="B3484" s="12" t="inlineStr">
        <is>
          <t>ICT</t>
        </is>
      </c>
      <c r="C3484" s="13" t="inlineStr">
        <is>
          <t>2026_CEPWD_78001_1</t>
        </is>
      </c>
      <c r="D3484" s="14" t="inlineStr">
        <is>
          <t>[Development of road from Kalarbari to Dayalshing para (L-7.0 km) (Portion from ch-4.0 km to ch- 5.0 km, L- 1.0 km) Total PR Length1.0 km within Nalchar RD Block under the jurisdiction of Melaghar PWD (RandB) SubDivision during the FY 202627]</t>
        </is>
      </c>
      <c r="E3484" s="14" t="inlineStr">
        <is>
          <t>Tripura Public Works &amp; Technology Department</t>
        </is>
      </c>
      <c r="F3484" s="13" t="inlineStr">
        <is>
          <t>22 Oct 2026</t>
        </is>
      </c>
      <c r="G3484" s="12" t="inlineStr">
        <is>
          <t>12 Nov 2026</t>
        </is>
      </c>
      <c r="H3484" s="8" t="inlineStr">
        <is>
          <t>⏳ UPCOMING</t>
        </is>
      </c>
      <c r="I3484" s="11" t="inlineStr">
        <is>
          <t>BOQ_79399.xls</t>
        </is>
      </c>
      <c r="J3484" s="13" t="inlineStr">
        <is>
          <t>📊 Excel BOQ</t>
        </is>
      </c>
      <c r="K3484" s="15" t="n">
        <v>2.5</v>
      </c>
      <c r="L3484" s="16">
        <f>HYPERLINK("http://127.0.0.1:8000/api/documents/download?id=2292&amp;attachment=true", "⬇ Download BOQ_79399.xls")</f>
        <v/>
      </c>
      <c r="M3484" s="16">
        <f>HYPERLINK("http://localhost:5173/?state=Tripura&amp;keyword=ICT&amp;tender=2026_CEPWD_78001_1", "🚀 Open in Portal")</f>
        <v/>
      </c>
    </row>
    <row r="3485" ht="24" customHeight="1">
      <c r="A3485" s="4" t="inlineStr">
        <is>
          <t>Tripura</t>
        </is>
      </c>
      <c r="B3485" s="5" t="inlineStr">
        <is>
          <t>ICT</t>
        </is>
      </c>
      <c r="C3485" s="6" t="inlineStr">
        <is>
          <t>2026_CEPWD_78001_1</t>
        </is>
      </c>
      <c r="D3485" s="7" t="inlineStr">
        <is>
          <t>[Development of road from Kalarbari to Dayalshing para (L-7.0 km) (Portion from ch-4.0 km to ch- 5.0 km, L- 1.0 km) Total PR Length1.0 km within Nalchar RD Block under the jurisdiction of Melaghar PWD (RandB) SubDivision during the FY 202627]</t>
        </is>
      </c>
      <c r="E3485" s="7" t="inlineStr">
        <is>
          <t>Tripura Public Works &amp; Technology Department</t>
        </is>
      </c>
      <c r="F3485" s="6" t="inlineStr">
        <is>
          <t>22 Oct 2026</t>
        </is>
      </c>
      <c r="G3485" s="5" t="inlineStr">
        <is>
          <t>12 Nov 2026</t>
        </is>
      </c>
      <c r="H3485" s="8" t="inlineStr">
        <is>
          <t>⏳ UPCOMING</t>
        </is>
      </c>
      <c r="I3485" s="4" t="inlineStr">
        <is>
          <t>Addl73EE.pdf</t>
        </is>
      </c>
      <c r="J3485" s="6" t="inlineStr">
        <is>
          <t>📕 PDF Document</t>
        </is>
      </c>
      <c r="K3485" s="9" t="n">
        <v>17.8</v>
      </c>
      <c r="L3485" s="10">
        <f>HYPERLINK("http://127.0.0.1:8000/api/documents/download?id=2293&amp;attachment=true", "⬇ Download Addl73EE.pdf")</f>
        <v/>
      </c>
      <c r="M3485" s="10">
        <f>HYPERLINK("http://localhost:5173/?state=Tripura&amp;keyword=ICT&amp;tender=2026_CEPWD_78001_1", "🚀 Open in Portal")</f>
        <v/>
      </c>
    </row>
    <row r="3486" ht="24" customHeight="1">
      <c r="A3486" s="11" t="inlineStr">
        <is>
          <t>Tripura</t>
        </is>
      </c>
      <c r="B3486" s="12" t="inlineStr">
        <is>
          <t>ICT</t>
        </is>
      </c>
      <c r="C3486" s="13" t="inlineStr">
        <is>
          <t>2026_CEPWD_78001_1</t>
        </is>
      </c>
      <c r="D3486" s="14" t="inlineStr">
        <is>
          <t>[Development of road from Kalarbari to Dayalshing para (L-7.0 km) (Portion from ch-4.0 km to ch- 5.0 km, L- 1.0 km) Total PR Length1.0 km within Nalchar RD Block under the jurisdiction of Melaghar PWD (RandB) SubDivision during the FY 202627]</t>
        </is>
      </c>
      <c r="E3486" s="14" t="inlineStr">
        <is>
          <t>Tripura Public Works &amp; Technology Department</t>
        </is>
      </c>
      <c r="F3486" s="13" t="inlineStr">
        <is>
          <t>22 Oct 2026</t>
        </is>
      </c>
      <c r="G3486" s="12" t="inlineStr">
        <is>
          <t>12 Nov 2026</t>
        </is>
      </c>
      <c r="H3486" s="8" t="inlineStr">
        <is>
          <t>⏳ UPCOMING</t>
        </is>
      </c>
      <c r="I3486" s="11" t="inlineStr">
        <is>
          <t>Tender_2026_CEPWD_78001_1_All_Documents.zip</t>
        </is>
      </c>
      <c r="J3486" s="13" t="inlineStr">
        <is>
          <t>📦 ZIP Package</t>
        </is>
      </c>
      <c r="K3486" s="15" t="n">
        <v>30.1</v>
      </c>
      <c r="L3486" s="16">
        <f>HYPERLINK("http://127.0.0.1:8000/api/documents/download?id=2294&amp;attachment=true", "⬇ Download Tender_2026_CEPWD_78001_")</f>
        <v/>
      </c>
      <c r="M3486" s="16">
        <f>HYPERLINK("http://localhost:5173/?state=Tripura&amp;keyword=ICT&amp;tender=2026_CEPWD_78001_1", "🚀 Open in Portal")</f>
        <v/>
      </c>
    </row>
    <row r="3487" ht="24" customHeight="1">
      <c r="A3487" s="4" t="inlineStr">
        <is>
          <t>Tripura</t>
        </is>
      </c>
      <c r="B3487" s="5" t="inlineStr">
        <is>
          <t>ICT</t>
        </is>
      </c>
      <c r="C3487" s="6" t="inlineStr">
        <is>
          <t>2026_CEPWD_78010_1</t>
        </is>
      </c>
      <c r="D3487" s="7" t="inlineStr">
        <is>
          <t>[Infrastructure Development of Sepahijala HS School Sepahijala District Tripura sanctioned under RIDFXXIX SH Building portion including internal water supply sanitary installation sewage and drainage works Providing internal electrification thereof]</t>
        </is>
      </c>
      <c r="E3487" s="7" t="inlineStr">
        <is>
          <t>Tripura Public Works &amp; Technology Department</t>
        </is>
      </c>
      <c r="F3487" s="6" t="inlineStr">
        <is>
          <t>13 Oct 2026</t>
        </is>
      </c>
      <c r="G3487" s="5" t="inlineStr">
        <is>
          <t>22 Oct 2026</t>
        </is>
      </c>
      <c r="H3487" s="18" t="inlineStr">
        <is>
          <t>⚠️ CLOSING SOON</t>
        </is>
      </c>
      <c r="I3487" s="4" t="inlineStr">
        <is>
          <t>Tendernotice_1.pdf</t>
        </is>
      </c>
      <c r="J3487" s="6" t="inlineStr">
        <is>
          <t>📕 PDF Document</t>
        </is>
      </c>
      <c r="K3487" s="9" t="n">
        <v>17.8</v>
      </c>
      <c r="L3487" s="10">
        <f>HYPERLINK("http://127.0.0.1:8000/api/documents/download?id=2269&amp;attachment=true", "⬇ Download Tendernotice_1.pdf")</f>
        <v/>
      </c>
      <c r="M3487" s="10">
        <f>HYPERLINK("http://localhost:5173/?state=Tripura&amp;keyword=ICT&amp;tender=2026_CEPWD_78010_1", "🚀 Open in Portal")</f>
        <v/>
      </c>
    </row>
    <row r="3488" ht="24" customHeight="1">
      <c r="A3488" s="11" t="inlineStr">
        <is>
          <t>Tripura</t>
        </is>
      </c>
      <c r="B3488" s="12" t="inlineStr">
        <is>
          <t>ICT</t>
        </is>
      </c>
      <c r="C3488" s="13" t="inlineStr">
        <is>
          <t>2026_CEPWD_78010_1</t>
        </is>
      </c>
      <c r="D3488" s="14" t="inlineStr">
        <is>
          <t>[Infrastructure Development of Sepahijala HS School Sepahijala District Tripura sanctioned under RIDFXXIX SH Building portion including internal water supply sanitary installation sewage and drainage works Providing internal electrification thereof]</t>
        </is>
      </c>
      <c r="E3488" s="14" t="inlineStr">
        <is>
          <t>Tripura Public Works &amp; Technology Department</t>
        </is>
      </c>
      <c r="F3488" s="13" t="inlineStr">
        <is>
          <t>13 Oct 2026</t>
        </is>
      </c>
      <c r="G3488" s="12" t="inlineStr">
        <is>
          <t>22 Oct 2026</t>
        </is>
      </c>
      <c r="H3488" s="18" t="inlineStr">
        <is>
          <t>⚠️ CLOSING SOON</t>
        </is>
      </c>
      <c r="I3488" s="11" t="inlineStr">
        <is>
          <t>DNIeT112.pdf</t>
        </is>
      </c>
      <c r="J3488" s="13" t="inlineStr">
        <is>
          <t>📕 PDF Document</t>
        </is>
      </c>
      <c r="K3488" s="15" t="n">
        <v>17.8</v>
      </c>
      <c r="L3488" s="16">
        <f>HYPERLINK("http://127.0.0.1:8000/api/documents/download?id=2270&amp;attachment=true", "⬇ Download DNIeT112.pdf")</f>
        <v/>
      </c>
      <c r="M3488" s="16">
        <f>HYPERLINK("http://localhost:5173/?state=Tripura&amp;keyword=ICT&amp;tender=2026_CEPWD_78010_1", "🚀 Open in Portal")</f>
        <v/>
      </c>
    </row>
    <row r="3489" ht="24" customHeight="1">
      <c r="A3489" s="4" t="inlineStr">
        <is>
          <t>Tripura</t>
        </is>
      </c>
      <c r="B3489" s="5" t="inlineStr">
        <is>
          <t>ICT</t>
        </is>
      </c>
      <c r="C3489" s="6" t="inlineStr">
        <is>
          <t>2026_CEPWD_78010_1</t>
        </is>
      </c>
      <c r="D3489" s="7" t="inlineStr">
        <is>
          <t>[Infrastructure Development of Sepahijala HS School Sepahijala District Tripura sanctioned under RIDFXXIX SH Building portion including internal water supply sanitary installation sewage and drainage works Providing internal electrification thereof]</t>
        </is>
      </c>
      <c r="E3489" s="7" t="inlineStr">
        <is>
          <t>Tripura Public Works &amp; Technology Department</t>
        </is>
      </c>
      <c r="F3489" s="6" t="inlineStr">
        <is>
          <t>13 Oct 2026</t>
        </is>
      </c>
      <c r="G3489" s="5" t="inlineStr">
        <is>
          <t>22 Oct 2026</t>
        </is>
      </c>
      <c r="H3489" s="18" t="inlineStr">
        <is>
          <t>⚠️ CLOSING SOON</t>
        </is>
      </c>
      <c r="I3489" s="4" t="inlineStr">
        <is>
          <t>BOQ_79409.xls</t>
        </is>
      </c>
      <c r="J3489" s="6" t="inlineStr">
        <is>
          <t>📊 Excel BOQ</t>
        </is>
      </c>
      <c r="K3489" s="9" t="n">
        <v>2.5</v>
      </c>
      <c r="L3489" s="10">
        <f>HYPERLINK("http://127.0.0.1:8000/api/documents/download?id=2271&amp;attachment=true", "⬇ Download BOQ_79409.xls")</f>
        <v/>
      </c>
      <c r="M3489" s="10">
        <f>HYPERLINK("http://localhost:5173/?state=Tripura&amp;keyword=ICT&amp;tender=2026_CEPWD_78010_1", "🚀 Open in Portal")</f>
        <v/>
      </c>
    </row>
    <row r="3490" ht="24" customHeight="1">
      <c r="A3490" s="11" t="inlineStr">
        <is>
          <t>Tripura</t>
        </is>
      </c>
      <c r="B3490" s="12" t="inlineStr">
        <is>
          <t>ICT</t>
        </is>
      </c>
      <c r="C3490" s="13" t="inlineStr">
        <is>
          <t>2026_CEPWD_78010_1</t>
        </is>
      </c>
      <c r="D3490" s="14" t="inlineStr">
        <is>
          <t>[Infrastructure Development of Sepahijala HS School Sepahijala District Tripura sanctioned under RIDFXXIX SH Building portion including internal water supply sanitary installation sewage and drainage works Providing internal electrification thereof]</t>
        </is>
      </c>
      <c r="E3490" s="14" t="inlineStr">
        <is>
          <t>Tripura Public Works &amp; Technology Department</t>
        </is>
      </c>
      <c r="F3490" s="13" t="inlineStr">
        <is>
          <t>13 Oct 2026</t>
        </is>
      </c>
      <c r="G3490" s="12" t="inlineStr">
        <is>
          <t>22 Oct 2026</t>
        </is>
      </c>
      <c r="H3490" s="18" t="inlineStr">
        <is>
          <t>⚠️ CLOSING SOON</t>
        </is>
      </c>
      <c r="I3490" s="11" t="inlineStr">
        <is>
          <t>Tender_2026_CEPWD_78010_1_All_Documents.zip</t>
        </is>
      </c>
      <c r="J3490" s="13" t="inlineStr">
        <is>
          <t>📦 ZIP Package</t>
        </is>
      </c>
      <c r="K3490" s="15" t="n">
        <v>20.8</v>
      </c>
      <c r="L3490" s="16">
        <f>HYPERLINK("http://127.0.0.1:8000/api/documents/download?id=2272&amp;attachment=true", "⬇ Download Tender_2026_CEPWD_78010_")</f>
        <v/>
      </c>
      <c r="M3490" s="16">
        <f>HYPERLINK("http://localhost:5173/?state=Tripura&amp;keyword=ICT&amp;tender=2026_CEPWD_78010_1", "🚀 Open in Portal")</f>
        <v/>
      </c>
    </row>
    <row r="3491" ht="24" customHeight="1">
      <c r="A3491" s="4" t="inlineStr">
        <is>
          <t>Tripura</t>
        </is>
      </c>
      <c r="B3491" s="5" t="inlineStr">
        <is>
          <t>ICT</t>
        </is>
      </c>
      <c r="C3491" s="6" t="inlineStr">
        <is>
          <t>2026_CERDD_77944_1</t>
        </is>
      </c>
      <c r="D3491" s="7" t="inlineStr">
        <is>
          <t>[Renovation of ST Boys hostel (Ground Floor) attached to Ledrai Dewan HS School, Pecharthal RD Block, Unakoti District under RD Kumarghat Division (2nd Call).]</t>
        </is>
      </c>
      <c r="E3491" s="7" t="inlineStr">
        <is>
          <t>Tripura Public Works &amp; Technology Department</t>
        </is>
      </c>
      <c r="F3491" s="6" t="inlineStr">
        <is>
          <t>05 Sep 2026</t>
        </is>
      </c>
      <c r="G3491" s="5" t="inlineStr">
        <is>
          <t>01 Oct 2026</t>
        </is>
      </c>
      <c r="H3491" s="8" t="inlineStr">
        <is>
          <t>⏳ UPCOMING</t>
        </is>
      </c>
      <c r="I3491" s="4" t="inlineStr">
        <is>
          <t>Tendernotice_1.pdf</t>
        </is>
      </c>
      <c r="J3491" s="6" t="inlineStr">
        <is>
          <t>📕 PDF Document</t>
        </is>
      </c>
      <c r="K3491" s="9" t="n">
        <v>17.8</v>
      </c>
      <c r="L3491" s="10">
        <f>HYPERLINK("http://127.0.0.1:8000/api/documents/download?id=2312&amp;attachment=true", "⬇ Download Tendernotice_1.pdf")</f>
        <v/>
      </c>
      <c r="M3491" s="10">
        <f>HYPERLINK("http://localhost:5173/?state=Tripura&amp;keyword=ICT&amp;tender=2026_CERDD_77944_1", "🚀 Open in Portal")</f>
        <v/>
      </c>
    </row>
    <row r="3492" ht="24" customHeight="1">
      <c r="A3492" s="11" t="inlineStr">
        <is>
          <t>Tripura</t>
        </is>
      </c>
      <c r="B3492" s="12" t="inlineStr">
        <is>
          <t>ICT</t>
        </is>
      </c>
      <c r="C3492" s="13" t="inlineStr">
        <is>
          <t>2026_CERDD_77944_1</t>
        </is>
      </c>
      <c r="D3492" s="14" t="inlineStr">
        <is>
          <t>[Renovation of ST Boys hostel (Ground Floor) attached to Ledrai Dewan HS School, Pecharthal RD Block, Unakoti District under RD Kumarghat Division (2nd Call).]</t>
        </is>
      </c>
      <c r="E3492" s="14" t="inlineStr">
        <is>
          <t>Tripura Public Works &amp; Technology Department</t>
        </is>
      </c>
      <c r="F3492" s="13" t="inlineStr">
        <is>
          <t>05 Sep 2026</t>
        </is>
      </c>
      <c r="G3492" s="12" t="inlineStr">
        <is>
          <t>01 Oct 2026</t>
        </is>
      </c>
      <c r="H3492" s="8" t="inlineStr">
        <is>
          <t>⏳ UPCOMING</t>
        </is>
      </c>
      <c r="I3492" s="11" t="inlineStr">
        <is>
          <t>BOQ_79338.xls</t>
        </is>
      </c>
      <c r="J3492" s="13" t="inlineStr">
        <is>
          <t>📊 Excel BOQ</t>
        </is>
      </c>
      <c r="K3492" s="15" t="n">
        <v>2.5</v>
      </c>
      <c r="L3492" s="16">
        <f>HYPERLINK("http://127.0.0.1:8000/api/documents/download?id=2313&amp;attachment=true", "⬇ Download BOQ_79338.xls")</f>
        <v/>
      </c>
      <c r="M3492" s="16">
        <f>HYPERLINK("http://localhost:5173/?state=Tripura&amp;keyword=ICT&amp;tender=2026_CERDD_77944_1", "🚀 Open in Portal")</f>
        <v/>
      </c>
    </row>
    <row r="3493" ht="24" customHeight="1">
      <c r="A3493" s="4" t="inlineStr">
        <is>
          <t>Tripura</t>
        </is>
      </c>
      <c r="B3493" s="5" t="inlineStr">
        <is>
          <t>ICT</t>
        </is>
      </c>
      <c r="C3493" s="6" t="inlineStr">
        <is>
          <t>2026_CERDD_77944_1</t>
        </is>
      </c>
      <c r="D3493" s="7" t="inlineStr">
        <is>
          <t>[Renovation of ST Boys hostel (Ground Floor) attached to Ledrai Dewan HS School, Pecharthal RD Block, Unakoti District under RD Kumarghat Division (2nd Call).]</t>
        </is>
      </c>
      <c r="E3493" s="7" t="inlineStr">
        <is>
          <t>Tripura Public Works &amp; Technology Department</t>
        </is>
      </c>
      <c r="F3493" s="6" t="inlineStr">
        <is>
          <t>05 Sep 2026</t>
        </is>
      </c>
      <c r="G3493" s="5" t="inlineStr">
        <is>
          <t>01 Oct 2026</t>
        </is>
      </c>
      <c r="H3493" s="8" t="inlineStr">
        <is>
          <t>⏳ UPCOMING</t>
        </is>
      </c>
      <c r="I3493" s="4" t="inlineStr">
        <is>
          <t>Tender_2026_CERDD_77944_1_All_Documents.zip</t>
        </is>
      </c>
      <c r="J3493" s="6" t="inlineStr">
        <is>
          <t>📦 ZIP Package</t>
        </is>
      </c>
      <c r="K3493" s="9" t="n">
        <v>11.6</v>
      </c>
      <c r="L3493" s="10">
        <f>HYPERLINK("http://127.0.0.1:8000/api/documents/download?id=2314&amp;attachment=true", "⬇ Download Tender_2026_CERDD_77944_")</f>
        <v/>
      </c>
      <c r="M3493" s="10">
        <f>HYPERLINK("http://localhost:5173/?state=Tripura&amp;keyword=ICT&amp;tender=2026_CERDD_77944_1", "🚀 Open in Portal")</f>
        <v/>
      </c>
    </row>
    <row r="3494" ht="24" customHeight="1">
      <c r="A3494" s="11" t="inlineStr">
        <is>
          <t>Tripura</t>
        </is>
      </c>
      <c r="B3494" s="12" t="inlineStr">
        <is>
          <t>ICT</t>
        </is>
      </c>
      <c r="C3494" s="13" t="inlineStr">
        <is>
          <t>2026_CERDD_78016_1</t>
        </is>
      </c>
      <c r="D3494" s="14" t="inlineStr">
        <is>
          <t>[Construction of CC road from Ramnagar PWD road to Kishore Debbarma house of Ramnagar VC under Chalrilam RD Block, Sepahijala District, Tripura during the financial year 2026-27. (PWD SoR 2023). ]</t>
        </is>
      </c>
      <c r="E3494" s="14" t="inlineStr">
        <is>
          <t>Tripura Public Works &amp; Technology Department</t>
        </is>
      </c>
      <c r="F3494" s="13" t="inlineStr">
        <is>
          <t>29 Aug 2026</t>
        </is>
      </c>
      <c r="G3494" s="12" t="inlineStr">
        <is>
          <t>27 Sep 2026</t>
        </is>
      </c>
      <c r="H3494" s="8" t="inlineStr">
        <is>
          <t>⏳ UPCOMING</t>
        </is>
      </c>
      <c r="I3494" s="11" t="inlineStr">
        <is>
          <t>Tendernotice_1.pdf</t>
        </is>
      </c>
      <c r="J3494" s="13" t="inlineStr">
        <is>
          <t>📕 PDF Document</t>
        </is>
      </c>
      <c r="K3494" s="15" t="n">
        <v>17.8</v>
      </c>
      <c r="L3494" s="16">
        <f>HYPERLINK("http://127.0.0.1:8000/api/documents/download?id=2261&amp;attachment=true", "⬇ Download Tendernotice_1.pdf")</f>
        <v/>
      </c>
      <c r="M3494" s="16">
        <f>HYPERLINK("http://localhost:5173/?state=Tripura&amp;keyword=ICT&amp;tender=2026_CERDD_78016_1", "🚀 Open in Portal")</f>
        <v/>
      </c>
    </row>
    <row r="3495" ht="24" customHeight="1">
      <c r="A3495" s="4" t="inlineStr">
        <is>
          <t>Tripura</t>
        </is>
      </c>
      <c r="B3495" s="5" t="inlineStr">
        <is>
          <t>ICT</t>
        </is>
      </c>
      <c r="C3495" s="6" t="inlineStr">
        <is>
          <t>2026_CERDD_78016_1</t>
        </is>
      </c>
      <c r="D3495" s="7" t="inlineStr">
        <is>
          <t>[Construction of CC road from Ramnagar PWD road to Kishore Debbarma house of Ramnagar VC under Chalrilam RD Block, Sepahijala District, Tripura during the financial year 2026-27. (PWD SoR 2023). ]</t>
        </is>
      </c>
      <c r="E3495" s="7" t="inlineStr">
        <is>
          <t>Tripura Public Works &amp; Technology Department</t>
        </is>
      </c>
      <c r="F3495" s="6" t="inlineStr">
        <is>
          <t>29 Aug 2026</t>
        </is>
      </c>
      <c r="G3495" s="5" t="inlineStr">
        <is>
          <t>27 Sep 2026</t>
        </is>
      </c>
      <c r="H3495" s="8" t="inlineStr">
        <is>
          <t>⏳ UPCOMING</t>
        </is>
      </c>
      <c r="I3495" s="4" t="inlineStr">
        <is>
          <t>DT-23.pdf</t>
        </is>
      </c>
      <c r="J3495" s="6" t="inlineStr">
        <is>
          <t>📕 PDF Document</t>
        </is>
      </c>
      <c r="K3495" s="9" t="n">
        <v>17.8</v>
      </c>
      <c r="L3495" s="10">
        <f>HYPERLINK("http://127.0.0.1:8000/api/documents/download?id=2262&amp;attachment=true", "⬇ Download DT-23.pdf")</f>
        <v/>
      </c>
      <c r="M3495" s="10">
        <f>HYPERLINK("http://localhost:5173/?state=Tripura&amp;keyword=ICT&amp;tender=2026_CERDD_78016_1", "🚀 Open in Portal")</f>
        <v/>
      </c>
    </row>
    <row r="3496" ht="24" customHeight="1">
      <c r="A3496" s="11" t="inlineStr">
        <is>
          <t>Tripura</t>
        </is>
      </c>
      <c r="B3496" s="12" t="inlineStr">
        <is>
          <t>ICT</t>
        </is>
      </c>
      <c r="C3496" s="13" t="inlineStr">
        <is>
          <t>2026_CERDD_78016_1</t>
        </is>
      </c>
      <c r="D3496" s="14" t="inlineStr">
        <is>
          <t>[Construction of CC road from Ramnagar PWD road to Kishore Debbarma house of Ramnagar VC under Chalrilam RD Block, Sepahijala District, Tripura during the financial year 2026-27. (PWD SoR 2023). ]</t>
        </is>
      </c>
      <c r="E3496" s="14" t="inlineStr">
        <is>
          <t>Tripura Public Works &amp; Technology Department</t>
        </is>
      </c>
      <c r="F3496" s="13" t="inlineStr">
        <is>
          <t>29 Aug 2026</t>
        </is>
      </c>
      <c r="G3496" s="12" t="inlineStr">
        <is>
          <t>27 Sep 2026</t>
        </is>
      </c>
      <c r="H3496" s="8" t="inlineStr">
        <is>
          <t>⏳ UPCOMING</t>
        </is>
      </c>
      <c r="I3496" s="11" t="inlineStr">
        <is>
          <t>BOQeDT23.xls</t>
        </is>
      </c>
      <c r="J3496" s="13" t="inlineStr">
        <is>
          <t>📊 Excel BOQ</t>
        </is>
      </c>
      <c r="K3496" s="15" t="n">
        <v>2.5</v>
      </c>
      <c r="L3496" s="16">
        <f>HYPERLINK("http://127.0.0.1:8000/api/documents/download?id=2263&amp;attachment=true", "⬇ Download BOQeDT23.xls")</f>
        <v/>
      </c>
      <c r="M3496" s="16">
        <f>HYPERLINK("http://localhost:5173/?state=Tripura&amp;keyword=ICT&amp;tender=2026_CERDD_78016_1", "🚀 Open in Portal")</f>
        <v/>
      </c>
    </row>
    <row r="3497" ht="24" customHeight="1">
      <c r="A3497" s="4" t="inlineStr">
        <is>
          <t>Tripura</t>
        </is>
      </c>
      <c r="B3497" s="5" t="inlineStr">
        <is>
          <t>ICT</t>
        </is>
      </c>
      <c r="C3497" s="6" t="inlineStr">
        <is>
          <t>2026_CERDD_78016_1</t>
        </is>
      </c>
      <c r="D3497" s="7" t="inlineStr">
        <is>
          <t>[Construction of CC road from Ramnagar PWD road to Kishore Debbarma house of Ramnagar VC under Chalrilam RD Block, Sepahijala District, Tripura during the financial year 2026-27. (PWD SoR 2023). ]</t>
        </is>
      </c>
      <c r="E3497" s="7" t="inlineStr">
        <is>
          <t>Tripura Public Works &amp; Technology Department</t>
        </is>
      </c>
      <c r="F3497" s="6" t="inlineStr">
        <is>
          <t>29 Aug 2026</t>
        </is>
      </c>
      <c r="G3497" s="5" t="inlineStr">
        <is>
          <t>27 Sep 2026</t>
        </is>
      </c>
      <c r="H3497" s="8" t="inlineStr">
        <is>
          <t>⏳ UPCOMING</t>
        </is>
      </c>
      <c r="I3497" s="4" t="inlineStr">
        <is>
          <t>Tender_2026_CERDD_78016_1_All_Documents.zip</t>
        </is>
      </c>
      <c r="J3497" s="6" t="inlineStr">
        <is>
          <t>📦 ZIP Package</t>
        </is>
      </c>
      <c r="K3497" s="9" t="n">
        <v>20.7</v>
      </c>
      <c r="L3497" s="10">
        <f>HYPERLINK("http://127.0.0.1:8000/api/documents/download?id=2264&amp;attachment=true", "⬇ Download Tender_2026_CERDD_78016_")</f>
        <v/>
      </c>
      <c r="M3497" s="10">
        <f>HYPERLINK("http://localhost:5173/?state=Tripura&amp;keyword=ICT&amp;tender=2026_CERDD_78016_1", "🚀 Open in Portal")</f>
        <v/>
      </c>
    </row>
    <row r="3498" ht="24" customHeight="1">
      <c r="A3498" s="11" t="inlineStr">
        <is>
          <t>Tripura</t>
        </is>
      </c>
      <c r="B3498" s="12" t="inlineStr">
        <is>
          <t>ICT</t>
        </is>
      </c>
      <c r="C3498" s="13" t="inlineStr">
        <is>
          <t>2026_CERDD_78016_2</t>
        </is>
      </c>
      <c r="D3498" s="14" t="inlineStr">
        <is>
          <t>[Construction of CC road from Ramnagar PWD road to Kishore Debbarma house of Ramnagar VC under Chalrilam RD Block, Sepahijala District, Tripura during the financial year 2026-27. (PWD SoR 2023). ]</t>
        </is>
      </c>
      <c r="E3498" s="14" t="inlineStr">
        <is>
          <t>Tripura Public Works &amp; Technology Department</t>
        </is>
      </c>
      <c r="F3498" s="13" t="inlineStr">
        <is>
          <t>03 Aug 2026</t>
        </is>
      </c>
      <c r="G3498" s="12" t="inlineStr">
        <is>
          <t>24 Aug 2026</t>
        </is>
      </c>
      <c r="H3498" s="8" t="inlineStr">
        <is>
          <t>⏳ UPCOMING</t>
        </is>
      </c>
      <c r="I3498" s="11" t="inlineStr">
        <is>
          <t>Tendernotice_1.pdf</t>
        </is>
      </c>
      <c r="J3498" s="13" t="inlineStr">
        <is>
          <t>📕 PDF Document</t>
        </is>
      </c>
      <c r="K3498" s="15" t="n">
        <v>17.8</v>
      </c>
      <c r="L3498" s="16">
        <f>HYPERLINK("http://127.0.0.1:8000/api/documents/download?id=2257&amp;attachment=true", "⬇ Download Tendernotice_1.pdf")</f>
        <v/>
      </c>
      <c r="M3498" s="16">
        <f>HYPERLINK("http://localhost:5173/?state=Tripura&amp;keyword=ICT&amp;tender=2026_CERDD_78016_2", "🚀 Open in Portal")</f>
        <v/>
      </c>
    </row>
    <row r="3499" ht="24" customHeight="1">
      <c r="A3499" s="4" t="inlineStr">
        <is>
          <t>Tripura</t>
        </is>
      </c>
      <c r="B3499" s="5" t="inlineStr">
        <is>
          <t>ICT</t>
        </is>
      </c>
      <c r="C3499" s="6" t="inlineStr">
        <is>
          <t>2026_CERDD_78016_2</t>
        </is>
      </c>
      <c r="D3499" s="7" t="inlineStr">
        <is>
          <t>[Construction of CC road from Ramnagar PWD road to Kishore Debbarma house of Ramnagar VC under Chalrilam RD Block, Sepahijala District, Tripura during the financial year 2026-27. (PWD SoR 2023). ]</t>
        </is>
      </c>
      <c r="E3499" s="7" t="inlineStr">
        <is>
          <t>Tripura Public Works &amp; Technology Department</t>
        </is>
      </c>
      <c r="F3499" s="6" t="inlineStr">
        <is>
          <t>03 Aug 2026</t>
        </is>
      </c>
      <c r="G3499" s="5" t="inlineStr">
        <is>
          <t>24 Aug 2026</t>
        </is>
      </c>
      <c r="H3499" s="8" t="inlineStr">
        <is>
          <t>⏳ UPCOMING</t>
        </is>
      </c>
      <c r="I3499" s="4" t="inlineStr">
        <is>
          <t>DT-23.pdf</t>
        </is>
      </c>
      <c r="J3499" s="6" t="inlineStr">
        <is>
          <t>📕 PDF Document</t>
        </is>
      </c>
      <c r="K3499" s="9" t="n">
        <v>17.8</v>
      </c>
      <c r="L3499" s="10">
        <f>HYPERLINK("http://127.0.0.1:8000/api/documents/download?id=2258&amp;attachment=true", "⬇ Download DT-23.pdf")</f>
        <v/>
      </c>
      <c r="M3499" s="10">
        <f>HYPERLINK("http://localhost:5173/?state=Tripura&amp;keyword=ICT&amp;tender=2026_CERDD_78016_2", "🚀 Open in Portal")</f>
        <v/>
      </c>
    </row>
    <row r="3500" ht="24" customHeight="1">
      <c r="A3500" s="11" t="inlineStr">
        <is>
          <t>Tripura</t>
        </is>
      </c>
      <c r="B3500" s="12" t="inlineStr">
        <is>
          <t>ICT</t>
        </is>
      </c>
      <c r="C3500" s="13" t="inlineStr">
        <is>
          <t>2026_CERDD_78016_2</t>
        </is>
      </c>
      <c r="D3500" s="14" t="inlineStr">
        <is>
          <t>[Construction of CC road from Ramnagar PWD road to Kishore Debbarma house of Ramnagar VC under Chalrilam RD Block, Sepahijala District, Tripura during the financial year 2026-27. (PWD SoR 2023). ]</t>
        </is>
      </c>
      <c r="E3500" s="14" t="inlineStr">
        <is>
          <t>Tripura Public Works &amp; Technology Department</t>
        </is>
      </c>
      <c r="F3500" s="13" t="inlineStr">
        <is>
          <t>03 Aug 2026</t>
        </is>
      </c>
      <c r="G3500" s="12" t="inlineStr">
        <is>
          <t>24 Aug 2026</t>
        </is>
      </c>
      <c r="H3500" s="8" t="inlineStr">
        <is>
          <t>⏳ UPCOMING</t>
        </is>
      </c>
      <c r="I3500" s="11" t="inlineStr">
        <is>
          <t>BOQ_79417.xls</t>
        </is>
      </c>
      <c r="J3500" s="13" t="inlineStr">
        <is>
          <t>📊 Excel BOQ</t>
        </is>
      </c>
      <c r="K3500" s="15" t="n">
        <v>2.5</v>
      </c>
      <c r="L3500" s="16">
        <f>HYPERLINK("http://127.0.0.1:8000/api/documents/download?id=2259&amp;attachment=true", "⬇ Download BOQ_79417.xls")</f>
        <v/>
      </c>
      <c r="M3500" s="16">
        <f>HYPERLINK("http://localhost:5173/?state=Tripura&amp;keyword=ICT&amp;tender=2026_CERDD_78016_2", "🚀 Open in Portal")</f>
        <v/>
      </c>
    </row>
    <row r="3501" ht="24" customHeight="1">
      <c r="A3501" s="4" t="inlineStr">
        <is>
          <t>Tripura</t>
        </is>
      </c>
      <c r="B3501" s="5" t="inlineStr">
        <is>
          <t>ICT</t>
        </is>
      </c>
      <c r="C3501" s="6" t="inlineStr">
        <is>
          <t>2026_CERDD_78016_2</t>
        </is>
      </c>
      <c r="D3501" s="7" t="inlineStr">
        <is>
          <t>[Construction of CC road from Ramnagar PWD road to Kishore Debbarma house of Ramnagar VC under Chalrilam RD Block, Sepahijala District, Tripura during the financial year 2026-27. (PWD SoR 2023). ]</t>
        </is>
      </c>
      <c r="E3501" s="7" t="inlineStr">
        <is>
          <t>Tripura Public Works &amp; Technology Department</t>
        </is>
      </c>
      <c r="F3501" s="6" t="inlineStr">
        <is>
          <t>03 Aug 2026</t>
        </is>
      </c>
      <c r="G3501" s="5" t="inlineStr">
        <is>
          <t>24 Aug 2026</t>
        </is>
      </c>
      <c r="H3501" s="8" t="inlineStr">
        <is>
          <t>⏳ UPCOMING</t>
        </is>
      </c>
      <c r="I3501" s="4" t="inlineStr">
        <is>
          <t>Tender_2026_CERDD_78016_2_All_Documents.zip</t>
        </is>
      </c>
      <c r="J3501" s="6" t="inlineStr">
        <is>
          <t>📦 ZIP Package</t>
        </is>
      </c>
      <c r="K3501" s="9" t="n">
        <v>20.8</v>
      </c>
      <c r="L3501" s="10">
        <f>HYPERLINK("http://127.0.0.1:8000/api/documents/download?id=2260&amp;attachment=true", "⬇ Download Tender_2026_CERDD_78016_")</f>
        <v/>
      </c>
      <c r="M3501" s="10">
        <f>HYPERLINK("http://localhost:5173/?state=Tripura&amp;keyword=ICT&amp;tender=2026_CERDD_78016_2", "🚀 Open in Portal")</f>
        <v/>
      </c>
    </row>
    <row r="3502" ht="24" customHeight="1">
      <c r="A3502" s="11" t="inlineStr">
        <is>
          <t>Tripura</t>
        </is>
      </c>
      <c r="B3502" s="12" t="inlineStr">
        <is>
          <t>ICT</t>
        </is>
      </c>
      <c r="C3502" s="13" t="inlineStr">
        <is>
          <t>2026_CERDD_78017_1</t>
        </is>
      </c>
      <c r="D3502" s="14" t="inlineStr">
        <is>
          <t>[Construction of Advocates Interview room adjacent to prisoners interview room at Kendriya Sansodhanagar, Bishalgarh, under RD Bishramganj Division, Sepahijala District during the year 2026-27. (PWD SoR 2023). ]</t>
        </is>
      </c>
      <c r="E3502" s="14" t="inlineStr">
        <is>
          <t>Tripura Public Works &amp; Technology Department</t>
        </is>
      </c>
      <c r="F3502" s="13" t="inlineStr">
        <is>
          <t>21 Sep 2026</t>
        </is>
      </c>
      <c r="G3502" s="12" t="inlineStr">
        <is>
          <t>14 Oct 2026</t>
        </is>
      </c>
      <c r="H3502" s="8" t="inlineStr">
        <is>
          <t>⏳ UPCOMING</t>
        </is>
      </c>
      <c r="I3502" s="11" t="inlineStr">
        <is>
          <t>Tendernotice_1.pdf</t>
        </is>
      </c>
      <c r="J3502" s="13" t="inlineStr">
        <is>
          <t>📕 PDF Document</t>
        </is>
      </c>
      <c r="K3502" s="15" t="n">
        <v>17.8</v>
      </c>
      <c r="L3502" s="16">
        <f>HYPERLINK("http://127.0.0.1:8000/api/documents/download?id=2265&amp;attachment=true", "⬇ Download Tendernotice_1.pdf")</f>
        <v/>
      </c>
      <c r="M3502" s="16">
        <f>HYPERLINK("http://localhost:5173/?state=Tripura&amp;keyword=ICT&amp;tender=2026_CERDD_78017_1", "🚀 Open in Portal")</f>
        <v/>
      </c>
    </row>
    <row r="3503" ht="24" customHeight="1">
      <c r="A3503" s="4" t="inlineStr">
        <is>
          <t>Tripura</t>
        </is>
      </c>
      <c r="B3503" s="5" t="inlineStr">
        <is>
          <t>ICT</t>
        </is>
      </c>
      <c r="C3503" s="6" t="inlineStr">
        <is>
          <t>2026_CERDD_78017_1</t>
        </is>
      </c>
      <c r="D3503" s="7" t="inlineStr">
        <is>
          <t>[Construction of Advocates Interview room adjacent to prisoners interview room at Kendriya Sansodhanagar, Bishalgarh, under RD Bishramganj Division, Sepahijala District during the year 2026-27. (PWD SoR 2023). ]</t>
        </is>
      </c>
      <c r="E3503" s="7" t="inlineStr">
        <is>
          <t>Tripura Public Works &amp; Technology Department</t>
        </is>
      </c>
      <c r="F3503" s="6" t="inlineStr">
        <is>
          <t>21 Sep 2026</t>
        </is>
      </c>
      <c r="G3503" s="5" t="inlineStr">
        <is>
          <t>14 Oct 2026</t>
        </is>
      </c>
      <c r="H3503" s="8" t="inlineStr">
        <is>
          <t>⏳ UPCOMING</t>
        </is>
      </c>
      <c r="I3503" s="4" t="inlineStr">
        <is>
          <t>DT-36.pdf</t>
        </is>
      </c>
      <c r="J3503" s="6" t="inlineStr">
        <is>
          <t>📕 PDF Document</t>
        </is>
      </c>
      <c r="K3503" s="9" t="n">
        <v>17.8</v>
      </c>
      <c r="L3503" s="10">
        <f>HYPERLINK("http://127.0.0.1:8000/api/documents/download?id=2266&amp;attachment=true", "⬇ Download DT-36.pdf")</f>
        <v/>
      </c>
      <c r="M3503" s="10">
        <f>HYPERLINK("http://localhost:5173/?state=Tripura&amp;keyword=ICT&amp;tender=2026_CERDD_78017_1", "🚀 Open in Portal")</f>
        <v/>
      </c>
    </row>
    <row r="3504" ht="24" customHeight="1">
      <c r="A3504" s="11" t="inlineStr">
        <is>
          <t>Tripura</t>
        </is>
      </c>
      <c r="B3504" s="12" t="inlineStr">
        <is>
          <t>ICT</t>
        </is>
      </c>
      <c r="C3504" s="13" t="inlineStr">
        <is>
          <t>2026_CERDD_78017_1</t>
        </is>
      </c>
      <c r="D3504" s="14" t="inlineStr">
        <is>
          <t>[Construction of Advocates Interview room adjacent to prisoners interview room at Kendriya Sansodhanagar, Bishalgarh, under RD Bishramganj Division, Sepahijala District during the year 2026-27. (PWD SoR 2023). ]</t>
        </is>
      </c>
      <c r="E3504" s="14" t="inlineStr">
        <is>
          <t>Tripura Public Works &amp; Technology Department</t>
        </is>
      </c>
      <c r="F3504" s="13" t="inlineStr">
        <is>
          <t>21 Sep 2026</t>
        </is>
      </c>
      <c r="G3504" s="12" t="inlineStr">
        <is>
          <t>14 Oct 2026</t>
        </is>
      </c>
      <c r="H3504" s="8" t="inlineStr">
        <is>
          <t>⏳ UPCOMING</t>
        </is>
      </c>
      <c r="I3504" s="11" t="inlineStr">
        <is>
          <t>BOQ_79423.xls</t>
        </is>
      </c>
      <c r="J3504" s="13" t="inlineStr">
        <is>
          <t>📊 Excel BOQ</t>
        </is>
      </c>
      <c r="K3504" s="15" t="n">
        <v>2.5</v>
      </c>
      <c r="L3504" s="16">
        <f>HYPERLINK("http://127.0.0.1:8000/api/documents/download?id=2267&amp;attachment=true", "⬇ Download BOQ_79423.xls")</f>
        <v/>
      </c>
      <c r="M3504" s="16">
        <f>HYPERLINK("http://localhost:5173/?state=Tripura&amp;keyword=ICT&amp;tender=2026_CERDD_78017_1", "🚀 Open in Portal")</f>
        <v/>
      </c>
    </row>
    <row r="3505" ht="24" customHeight="1">
      <c r="A3505" s="4" t="inlineStr">
        <is>
          <t>Tripura</t>
        </is>
      </c>
      <c r="B3505" s="5" t="inlineStr">
        <is>
          <t>ICT</t>
        </is>
      </c>
      <c r="C3505" s="6" t="inlineStr">
        <is>
          <t>2026_CERDD_78017_1</t>
        </is>
      </c>
      <c r="D3505" s="7" t="inlineStr">
        <is>
          <t>[Construction of Advocates Interview room adjacent to prisoners interview room at Kendriya Sansodhanagar, Bishalgarh, under RD Bishramganj Division, Sepahijala District during the year 2026-27. (PWD SoR 2023). ]</t>
        </is>
      </c>
      <c r="E3505" s="7" t="inlineStr">
        <is>
          <t>Tripura Public Works &amp; Technology Department</t>
        </is>
      </c>
      <c r="F3505" s="6" t="inlineStr">
        <is>
          <t>21 Sep 2026</t>
        </is>
      </c>
      <c r="G3505" s="5" t="inlineStr">
        <is>
          <t>14 Oct 2026</t>
        </is>
      </c>
      <c r="H3505" s="8" t="inlineStr">
        <is>
          <t>⏳ UPCOMING</t>
        </is>
      </c>
      <c r="I3505" s="4" t="inlineStr">
        <is>
          <t>Tender_2026_CERDD_78017_1_All_Documents.zip</t>
        </is>
      </c>
      <c r="J3505" s="6" t="inlineStr">
        <is>
          <t>📦 ZIP Package</t>
        </is>
      </c>
      <c r="K3505" s="9" t="n">
        <v>20.8</v>
      </c>
      <c r="L3505" s="10">
        <f>HYPERLINK("http://127.0.0.1:8000/api/documents/download?id=2268&amp;attachment=true", "⬇ Download Tender_2026_CERDD_78017_")</f>
        <v/>
      </c>
      <c r="M3505" s="10">
        <f>HYPERLINK("http://localhost:5173/?state=Tripura&amp;keyword=ICT&amp;tender=2026_CERDD_78017_1", "🚀 Open in Portal")</f>
        <v/>
      </c>
    </row>
    <row r="3506" ht="24" customHeight="1">
      <c r="A3506" s="11" t="inlineStr">
        <is>
          <t>Tripura</t>
        </is>
      </c>
      <c r="B3506" s="12" t="inlineStr">
        <is>
          <t>ICT</t>
        </is>
      </c>
      <c r="C3506" s="13" t="inlineStr">
        <is>
          <t>2026_CERDD_78063_1</t>
        </is>
      </c>
      <c r="D3506" s="14" t="inlineStr">
        <is>
          <t>[CONSTRUCTION OF 2-BAY (4-VEHICLES PROVISION) FIRE STATION BUILDING AT CHAILENGTHA UNDER RD MANU DIVISION, DHALAI DISTRICT, TRIPURA DURING THE FY-2025-26]</t>
        </is>
      </c>
      <c r="E3506" s="14" t="inlineStr">
        <is>
          <t>Tripura Public Works &amp; Technology Department</t>
        </is>
      </c>
      <c r="F3506" s="13" t="inlineStr">
        <is>
          <t>09 Sep 2026</t>
        </is>
      </c>
      <c r="G3506" s="12" t="inlineStr">
        <is>
          <t>04 Oct 2026</t>
        </is>
      </c>
      <c r="H3506" s="8" t="inlineStr">
        <is>
          <t>⏳ UPCOMING</t>
        </is>
      </c>
      <c r="I3506" s="11" t="inlineStr">
        <is>
          <t>Tendernotice_1.pdf</t>
        </is>
      </c>
      <c r="J3506" s="13" t="inlineStr">
        <is>
          <t>📕 PDF Document</t>
        </is>
      </c>
      <c r="K3506" s="15" t="n">
        <v>17.8</v>
      </c>
      <c r="L3506" s="16">
        <f>HYPERLINK("http://127.0.0.1:8000/api/documents/download?id=2250&amp;attachment=true", "⬇ Download Tendernotice_1.pdf")</f>
        <v/>
      </c>
      <c r="M3506" s="16">
        <f>HYPERLINK("http://localhost:5173/?state=Tripura&amp;keyword=ICT&amp;tender=2026_CERDD_78063_1", "🚀 Open in Portal")</f>
        <v/>
      </c>
    </row>
    <row r="3507" ht="24" customHeight="1">
      <c r="A3507" s="4" t="inlineStr">
        <is>
          <t>Tripura</t>
        </is>
      </c>
      <c r="B3507" s="5" t="inlineStr">
        <is>
          <t>ICT</t>
        </is>
      </c>
      <c r="C3507" s="6" t="inlineStr">
        <is>
          <t>2026_CERDD_78063_1</t>
        </is>
      </c>
      <c r="D3507" s="7" t="inlineStr">
        <is>
          <t>[CONSTRUCTION OF 2-BAY (4-VEHICLES PROVISION) FIRE STATION BUILDING AT CHAILENGTHA UNDER RD MANU DIVISION, DHALAI DISTRICT, TRIPURA DURING THE FY-2025-26]</t>
        </is>
      </c>
      <c r="E3507" s="7" t="inlineStr">
        <is>
          <t>Tripura Public Works &amp; Technology Department</t>
        </is>
      </c>
      <c r="F3507" s="6" t="inlineStr">
        <is>
          <t>09 Sep 2026</t>
        </is>
      </c>
      <c r="G3507" s="5" t="inlineStr">
        <is>
          <t>04 Oct 2026</t>
        </is>
      </c>
      <c r="H3507" s="8" t="inlineStr">
        <is>
          <t>⏳ UPCOMING</t>
        </is>
      </c>
      <c r="I3507" s="4" t="inlineStr">
        <is>
          <t>ApprovedDNIT.pdf</t>
        </is>
      </c>
      <c r="J3507" s="6" t="inlineStr">
        <is>
          <t>📕 PDF Document</t>
        </is>
      </c>
      <c r="K3507" s="9" t="n">
        <v>17.8</v>
      </c>
      <c r="L3507" s="10">
        <f>HYPERLINK("http://127.0.0.1:8000/api/documents/download?id=2251&amp;attachment=true", "⬇ Download ApprovedDNIT.pdf")</f>
        <v/>
      </c>
      <c r="M3507" s="10">
        <f>HYPERLINK("http://localhost:5173/?state=Tripura&amp;keyword=ICT&amp;tender=2026_CERDD_78063_1", "🚀 Open in Portal")</f>
        <v/>
      </c>
    </row>
    <row r="3508" ht="24" customHeight="1">
      <c r="A3508" s="11" t="inlineStr">
        <is>
          <t>Tripura</t>
        </is>
      </c>
      <c r="B3508" s="12" t="inlineStr">
        <is>
          <t>ICT</t>
        </is>
      </c>
      <c r="C3508" s="13" t="inlineStr">
        <is>
          <t>2026_CERDD_78063_1</t>
        </is>
      </c>
      <c r="D3508" s="14" t="inlineStr">
        <is>
          <t>[CONSTRUCTION OF 2-BAY (4-VEHICLES PROVISION) FIRE STATION BUILDING AT CHAILENGTHA UNDER RD MANU DIVISION, DHALAI DISTRICT, TRIPURA DURING THE FY-2025-26]</t>
        </is>
      </c>
      <c r="E3508" s="14" t="inlineStr">
        <is>
          <t>Tripura Public Works &amp; Technology Department</t>
        </is>
      </c>
      <c r="F3508" s="13" t="inlineStr">
        <is>
          <t>09 Sep 2026</t>
        </is>
      </c>
      <c r="G3508" s="12" t="inlineStr">
        <is>
          <t>04 Oct 2026</t>
        </is>
      </c>
      <c r="H3508" s="8" t="inlineStr">
        <is>
          <t>⏳ UPCOMING</t>
        </is>
      </c>
      <c r="I3508" s="11" t="inlineStr">
        <is>
          <t>BOQ_79475.xls</t>
        </is>
      </c>
      <c r="J3508" s="13" t="inlineStr">
        <is>
          <t>📊 Excel BOQ</t>
        </is>
      </c>
      <c r="K3508" s="15" t="n">
        <v>2.5</v>
      </c>
      <c r="L3508" s="16">
        <f>HYPERLINK("http://127.0.0.1:8000/api/documents/download?id=2252&amp;attachment=true", "⬇ Download BOQ_79475.xls")</f>
        <v/>
      </c>
      <c r="M3508" s="16">
        <f>HYPERLINK("http://localhost:5173/?state=Tripura&amp;keyword=ICT&amp;tender=2026_CERDD_78063_1", "🚀 Open in Portal")</f>
        <v/>
      </c>
    </row>
    <row r="3509" ht="24" customHeight="1">
      <c r="A3509" s="4" t="inlineStr">
        <is>
          <t>Tripura</t>
        </is>
      </c>
      <c r="B3509" s="5" t="inlineStr">
        <is>
          <t>ICT</t>
        </is>
      </c>
      <c r="C3509" s="6" t="inlineStr">
        <is>
          <t>2026_CERDD_78063_1</t>
        </is>
      </c>
      <c r="D3509" s="7" t="inlineStr">
        <is>
          <t>[CONSTRUCTION OF 2-BAY (4-VEHICLES PROVISION) FIRE STATION BUILDING AT CHAILENGTHA UNDER RD MANU DIVISION, DHALAI DISTRICT, TRIPURA DURING THE FY-2025-26]</t>
        </is>
      </c>
      <c r="E3509" s="7" t="inlineStr">
        <is>
          <t>Tripura Public Works &amp; Technology Department</t>
        </is>
      </c>
      <c r="F3509" s="6" t="inlineStr">
        <is>
          <t>09 Sep 2026</t>
        </is>
      </c>
      <c r="G3509" s="5" t="inlineStr">
        <is>
          <t>04 Oct 2026</t>
        </is>
      </c>
      <c r="H3509" s="8" t="inlineStr">
        <is>
          <t>⏳ UPCOMING</t>
        </is>
      </c>
      <c r="I3509" s="4" t="inlineStr">
        <is>
          <t>Tender_2026_CERDD_78063_1_All_Documents.zip</t>
        </is>
      </c>
      <c r="J3509" s="6" t="inlineStr">
        <is>
          <t>📦 ZIP Package</t>
        </is>
      </c>
      <c r="K3509" s="9" t="n">
        <v>20.8</v>
      </c>
      <c r="L3509" s="10">
        <f>HYPERLINK("http://127.0.0.1:8000/api/documents/download?id=2253&amp;attachment=true", "⬇ Download Tender_2026_CERDD_78063_")</f>
        <v/>
      </c>
      <c r="M3509" s="10">
        <f>HYPERLINK("http://localhost:5173/?state=Tripura&amp;keyword=ICT&amp;tender=2026_CERDD_78063_1", "🚀 Open in Portal")</f>
        <v/>
      </c>
    </row>
    <row r="3510" ht="24" customHeight="1">
      <c r="A3510" s="11" t="inlineStr">
        <is>
          <t>Tripura</t>
        </is>
      </c>
      <c r="B3510" s="12" t="inlineStr">
        <is>
          <t>ICT</t>
        </is>
      </c>
      <c r="C3510" s="13" t="inlineStr">
        <is>
          <t>2026_DDSE_78098_1</t>
        </is>
      </c>
      <c r="D3510" s="14" t="inlineStr">
        <is>
          <t>[Construction of 06(Six) nos Girls Toilets in 06(Six) different Schools under Bokafa, Hrishyamukh and Santirbazar MC of South Tripura District for the year 2026-27.]</t>
        </is>
      </c>
      <c r="E3510" s="14" t="inlineStr">
        <is>
          <t>Tripura Public Works &amp; Technology Department</t>
        </is>
      </c>
      <c r="F3510" s="13" t="inlineStr">
        <is>
          <t>12 Aug 2026</t>
        </is>
      </c>
      <c r="G3510" s="12" t="inlineStr">
        <is>
          <t>07 Sep 2026</t>
        </is>
      </c>
      <c r="H3510" s="8" t="inlineStr">
        <is>
          <t>⏳ UPCOMING</t>
        </is>
      </c>
      <c r="I3510" s="11" t="inlineStr">
        <is>
          <t>Tendernotice_1.pdf</t>
        </is>
      </c>
      <c r="J3510" s="13" t="inlineStr">
        <is>
          <t>📕 PDF Document</t>
        </is>
      </c>
      <c r="K3510" s="15" t="n">
        <v>17.8</v>
      </c>
      <c r="L3510" s="16">
        <f>HYPERLINK("http://127.0.0.1:8000/api/documents/download?id=2246&amp;attachment=true", "⬇ Download Tendernotice_1.pdf")</f>
        <v/>
      </c>
      <c r="M3510" s="16">
        <f>HYPERLINK("http://localhost:5173/?state=Tripura&amp;keyword=ICT&amp;tender=2026_DDSE_78098_1", "🚀 Open in Portal")</f>
        <v/>
      </c>
    </row>
    <row r="3511" ht="24" customHeight="1">
      <c r="A3511" s="4" t="inlineStr">
        <is>
          <t>Tripura</t>
        </is>
      </c>
      <c r="B3511" s="5" t="inlineStr">
        <is>
          <t>ICT</t>
        </is>
      </c>
      <c r="C3511" s="6" t="inlineStr">
        <is>
          <t>2026_DDSE_78098_1</t>
        </is>
      </c>
      <c r="D3511" s="7" t="inlineStr">
        <is>
          <t>[Construction of 06(Six) nos Girls Toilets in 06(Six) different Schools under Bokafa, Hrishyamukh and Santirbazar MC of South Tripura District for the year 2026-27.]</t>
        </is>
      </c>
      <c r="E3511" s="7" t="inlineStr">
        <is>
          <t>Tripura Public Works &amp; Technology Department</t>
        </is>
      </c>
      <c r="F3511" s="6" t="inlineStr">
        <is>
          <t>12 Aug 2026</t>
        </is>
      </c>
      <c r="G3511" s="5" t="inlineStr">
        <is>
          <t>07 Sep 2026</t>
        </is>
      </c>
      <c r="H3511" s="8" t="inlineStr">
        <is>
          <t>⏳ UPCOMING</t>
        </is>
      </c>
      <c r="I3511" s="4" t="inlineStr">
        <is>
          <t>DNIeT.pdf</t>
        </is>
      </c>
      <c r="J3511" s="6" t="inlineStr">
        <is>
          <t>📕 PDF Document</t>
        </is>
      </c>
      <c r="K3511" s="9" t="n">
        <v>17.8</v>
      </c>
      <c r="L3511" s="10">
        <f>HYPERLINK("http://127.0.0.1:8000/api/documents/download?id=2247&amp;attachment=true", "⬇ Download DNIeT.pdf")</f>
        <v/>
      </c>
      <c r="M3511" s="10">
        <f>HYPERLINK("http://localhost:5173/?state=Tripura&amp;keyword=ICT&amp;tender=2026_DDSE_78098_1", "🚀 Open in Portal")</f>
        <v/>
      </c>
    </row>
    <row r="3512" ht="24" customHeight="1">
      <c r="A3512" s="11" t="inlineStr">
        <is>
          <t>Tripura</t>
        </is>
      </c>
      <c r="B3512" s="12" t="inlineStr">
        <is>
          <t>ICT</t>
        </is>
      </c>
      <c r="C3512" s="13" t="inlineStr">
        <is>
          <t>2026_DDSE_78098_1</t>
        </is>
      </c>
      <c r="D3512" s="14" t="inlineStr">
        <is>
          <t>[Construction of 06(Six) nos Girls Toilets in 06(Six) different Schools under Bokafa, Hrishyamukh and Santirbazar MC of South Tripura District for the year 2026-27.]</t>
        </is>
      </c>
      <c r="E3512" s="14" t="inlineStr">
        <is>
          <t>Tripura Public Works &amp; Technology Department</t>
        </is>
      </c>
      <c r="F3512" s="13" t="inlineStr">
        <is>
          <t>12 Aug 2026</t>
        </is>
      </c>
      <c r="G3512" s="12" t="inlineStr">
        <is>
          <t>07 Sep 2026</t>
        </is>
      </c>
      <c r="H3512" s="8" t="inlineStr">
        <is>
          <t>⏳ UPCOMING</t>
        </is>
      </c>
      <c r="I3512" s="11" t="inlineStr">
        <is>
          <t>BOQ_79509.xls</t>
        </is>
      </c>
      <c r="J3512" s="13" t="inlineStr">
        <is>
          <t>📊 Excel BOQ</t>
        </is>
      </c>
      <c r="K3512" s="15" t="n">
        <v>2.5</v>
      </c>
      <c r="L3512" s="16">
        <f>HYPERLINK("http://127.0.0.1:8000/api/documents/download?id=2248&amp;attachment=true", "⬇ Download BOQ_79509.xls")</f>
        <v/>
      </c>
      <c r="M3512" s="16">
        <f>HYPERLINK("http://localhost:5173/?state=Tripura&amp;keyword=ICT&amp;tender=2026_DDSE_78098_1", "🚀 Open in Portal")</f>
        <v/>
      </c>
    </row>
    <row r="3513" ht="24" customHeight="1">
      <c r="A3513" s="4" t="inlineStr">
        <is>
          <t>Tripura</t>
        </is>
      </c>
      <c r="B3513" s="5" t="inlineStr">
        <is>
          <t>ICT</t>
        </is>
      </c>
      <c r="C3513" s="6" t="inlineStr">
        <is>
          <t>2026_DDSE_78098_1</t>
        </is>
      </c>
      <c r="D3513" s="7" t="inlineStr">
        <is>
          <t>[Construction of 06(Six) nos Girls Toilets in 06(Six) different Schools under Bokafa, Hrishyamukh and Santirbazar MC of South Tripura District for the year 2026-27.]</t>
        </is>
      </c>
      <c r="E3513" s="7" t="inlineStr">
        <is>
          <t>Tripura Public Works &amp; Technology Department</t>
        </is>
      </c>
      <c r="F3513" s="6" t="inlineStr">
        <is>
          <t>12 Aug 2026</t>
        </is>
      </c>
      <c r="G3513" s="5" t="inlineStr">
        <is>
          <t>07 Sep 2026</t>
        </is>
      </c>
      <c r="H3513" s="8" t="inlineStr">
        <is>
          <t>⏳ UPCOMING</t>
        </is>
      </c>
      <c r="I3513" s="4" t="inlineStr">
        <is>
          <t>Tender_2026_DDSE_78098_1_All_Documents.zip</t>
        </is>
      </c>
      <c r="J3513" s="6" t="inlineStr">
        <is>
          <t>📦 ZIP Package</t>
        </is>
      </c>
      <c r="K3513" s="9" t="n">
        <v>20.8</v>
      </c>
      <c r="L3513" s="10">
        <f>HYPERLINK("http://127.0.0.1:8000/api/documents/download?id=2249&amp;attachment=true", "⬇ Download Tender_2026_DDSE_78098_1")</f>
        <v/>
      </c>
      <c r="M3513" s="10">
        <f>HYPERLINK("http://localhost:5173/?state=Tripura&amp;keyword=ICT&amp;tender=2026_DDSE_78098_1", "🚀 Open in Portal")</f>
        <v/>
      </c>
    </row>
    <row r="3514" ht="24" customHeight="1">
      <c r="A3514" s="11" t="inlineStr">
        <is>
          <t>Tripura</t>
        </is>
      </c>
      <c r="B3514" s="12" t="inlineStr">
        <is>
          <t>ICT</t>
        </is>
      </c>
      <c r="C3514" s="13" t="inlineStr">
        <is>
          <t>2026_DDSE_78105_1</t>
        </is>
      </c>
      <c r="D3514" s="14" t="inlineStr">
        <is>
          <t>[Construction of 07(Seven) nos Girls Toilets in 07(Seven) different Schools in Satchand and Rupaichari RD Blocks of South Tripura District under Samagra Shiksha Abhiyan for the year 2026-27. (PM Special).]</t>
        </is>
      </c>
      <c r="E3514" s="14" t="inlineStr">
        <is>
          <t>Tripura Public Works &amp; Technology Department</t>
        </is>
      </c>
      <c r="F3514" s="13" t="inlineStr">
        <is>
          <t>22 Oct 2026</t>
        </is>
      </c>
      <c r="G3514" s="12" t="inlineStr">
        <is>
          <t>12 Nov 2026</t>
        </is>
      </c>
      <c r="H3514" s="8" t="inlineStr">
        <is>
          <t>⏳ UPCOMING</t>
        </is>
      </c>
      <c r="I3514" s="11" t="inlineStr">
        <is>
          <t>Tendernotice_1.pdf</t>
        </is>
      </c>
      <c r="J3514" s="13" t="inlineStr">
        <is>
          <t>📕 PDF Document</t>
        </is>
      </c>
      <c r="K3514" s="15" t="n">
        <v>17.8</v>
      </c>
      <c r="L3514" s="16">
        <f>HYPERLINK("http://127.0.0.1:8000/api/documents/download?id=2242&amp;attachment=true", "⬇ Download Tendernotice_1.pdf")</f>
        <v/>
      </c>
      <c r="M3514" s="16">
        <f>HYPERLINK("http://localhost:5173/?state=Tripura&amp;keyword=ICT&amp;tender=2026_DDSE_78105_1", "🚀 Open in Portal")</f>
        <v/>
      </c>
    </row>
    <row r="3515" ht="24" customHeight="1">
      <c r="A3515" s="4" t="inlineStr">
        <is>
          <t>Tripura</t>
        </is>
      </c>
      <c r="B3515" s="5" t="inlineStr">
        <is>
          <t>ICT</t>
        </is>
      </c>
      <c r="C3515" s="6" t="inlineStr">
        <is>
          <t>2026_DDSE_78105_1</t>
        </is>
      </c>
      <c r="D3515" s="7" t="inlineStr">
        <is>
          <t>[Construction of 07(Seven) nos Girls Toilets in 07(Seven) different Schools in Satchand and Rupaichari RD Blocks of South Tripura District under Samagra Shiksha Abhiyan for the year 2026-27. (PM Special).]</t>
        </is>
      </c>
      <c r="E3515" s="7" t="inlineStr">
        <is>
          <t>Tripura Public Works &amp; Technology Department</t>
        </is>
      </c>
      <c r="F3515" s="6" t="inlineStr">
        <is>
          <t>22 Oct 2026</t>
        </is>
      </c>
      <c r="G3515" s="5" t="inlineStr">
        <is>
          <t>12 Nov 2026</t>
        </is>
      </c>
      <c r="H3515" s="8" t="inlineStr">
        <is>
          <t>⏳ UPCOMING</t>
        </is>
      </c>
      <c r="I3515" s="4" t="inlineStr">
        <is>
          <t>DNIeT.pdf</t>
        </is>
      </c>
      <c r="J3515" s="6" t="inlineStr">
        <is>
          <t>📕 PDF Document</t>
        </is>
      </c>
      <c r="K3515" s="9" t="n">
        <v>17.8</v>
      </c>
      <c r="L3515" s="10">
        <f>HYPERLINK("http://127.0.0.1:8000/api/documents/download?id=2243&amp;attachment=true", "⬇ Download DNIeT.pdf")</f>
        <v/>
      </c>
      <c r="M3515" s="10">
        <f>HYPERLINK("http://localhost:5173/?state=Tripura&amp;keyword=ICT&amp;tender=2026_DDSE_78105_1", "🚀 Open in Portal")</f>
        <v/>
      </c>
    </row>
    <row r="3516" ht="24" customHeight="1">
      <c r="A3516" s="11" t="inlineStr">
        <is>
          <t>Tripura</t>
        </is>
      </c>
      <c r="B3516" s="12" t="inlineStr">
        <is>
          <t>ICT</t>
        </is>
      </c>
      <c r="C3516" s="13" t="inlineStr">
        <is>
          <t>2026_DDSE_78105_1</t>
        </is>
      </c>
      <c r="D3516" s="14" t="inlineStr">
        <is>
          <t>[Construction of 07(Seven) nos Girls Toilets in 07(Seven) different Schools in Satchand and Rupaichari RD Blocks of South Tripura District under Samagra Shiksha Abhiyan for the year 2026-27. (PM Special).]</t>
        </is>
      </c>
      <c r="E3516" s="14" t="inlineStr">
        <is>
          <t>Tripura Public Works &amp; Technology Department</t>
        </is>
      </c>
      <c r="F3516" s="13" t="inlineStr">
        <is>
          <t>22 Oct 2026</t>
        </is>
      </c>
      <c r="G3516" s="12" t="inlineStr">
        <is>
          <t>12 Nov 2026</t>
        </is>
      </c>
      <c r="H3516" s="8" t="inlineStr">
        <is>
          <t>⏳ UPCOMING</t>
        </is>
      </c>
      <c r="I3516" s="11" t="inlineStr">
        <is>
          <t>BOQ_79514.xls</t>
        </is>
      </c>
      <c r="J3516" s="13" t="inlineStr">
        <is>
          <t>📊 Excel BOQ</t>
        </is>
      </c>
      <c r="K3516" s="15" t="n">
        <v>2.5</v>
      </c>
      <c r="L3516" s="16">
        <f>HYPERLINK("http://127.0.0.1:8000/api/documents/download?id=2244&amp;attachment=true", "⬇ Download BOQ_79514.xls")</f>
        <v/>
      </c>
      <c r="M3516" s="16">
        <f>HYPERLINK("http://localhost:5173/?state=Tripura&amp;keyword=ICT&amp;tender=2026_DDSE_78105_1", "🚀 Open in Portal")</f>
        <v/>
      </c>
    </row>
    <row r="3517" ht="24" customHeight="1">
      <c r="A3517" s="4" t="inlineStr">
        <is>
          <t>Tripura</t>
        </is>
      </c>
      <c r="B3517" s="5" t="inlineStr">
        <is>
          <t>ICT</t>
        </is>
      </c>
      <c r="C3517" s="6" t="inlineStr">
        <is>
          <t>2026_DDSE_78105_1</t>
        </is>
      </c>
      <c r="D3517" s="7" t="inlineStr">
        <is>
          <t>[Construction of 07(Seven) nos Girls Toilets in 07(Seven) different Schools in Satchand and Rupaichari RD Blocks of South Tripura District under Samagra Shiksha Abhiyan for the year 2026-27. (PM Special).]</t>
        </is>
      </c>
      <c r="E3517" s="7" t="inlineStr">
        <is>
          <t>Tripura Public Works &amp; Technology Department</t>
        </is>
      </c>
      <c r="F3517" s="6" t="inlineStr">
        <is>
          <t>22 Oct 2026</t>
        </is>
      </c>
      <c r="G3517" s="5" t="inlineStr">
        <is>
          <t>12 Nov 2026</t>
        </is>
      </c>
      <c r="H3517" s="8" t="inlineStr">
        <is>
          <t>⏳ UPCOMING</t>
        </is>
      </c>
      <c r="I3517" s="4" t="inlineStr">
        <is>
          <t>Tender_2026_DDSE_78105_1_All_Documents.zip</t>
        </is>
      </c>
      <c r="J3517" s="6" t="inlineStr">
        <is>
          <t>📦 ZIP Package</t>
        </is>
      </c>
      <c r="K3517" s="9" t="n">
        <v>20.8</v>
      </c>
      <c r="L3517" s="10">
        <f>HYPERLINK("http://127.0.0.1:8000/api/documents/download?id=2245&amp;attachment=true", "⬇ Download Tender_2026_DDSE_78105_1")</f>
        <v/>
      </c>
      <c r="M3517" s="10">
        <f>HYPERLINK("http://localhost:5173/?state=Tripura&amp;keyword=ICT&amp;tender=2026_DDSE_78105_1", "🚀 Open in Portal")</f>
        <v/>
      </c>
    </row>
    <row r="3518" ht="24" customHeight="1">
      <c r="A3518" s="11" t="inlineStr">
        <is>
          <t>Tripura</t>
        </is>
      </c>
      <c r="B3518" s="12" t="inlineStr">
        <is>
          <t>ICT</t>
        </is>
      </c>
      <c r="C3518" s="13" t="inlineStr">
        <is>
          <t>2026_DDSE_78108_1</t>
        </is>
      </c>
      <c r="D3518" s="14" t="inlineStr">
        <is>
          <t>[Repair and renovation of existing toilet blocks in Gopinagar SB, Sukhomoy Bhumihin col JB, Ujan Pathaliaghat SB, Dwarkai Kaipeng JB, Ujan Larma SB and Dulkaipara JB schools under Jampuijala and Bishalgarh Blocks of Sepahijala District under PM Specia]</t>
        </is>
      </c>
      <c r="E3518" s="14" t="inlineStr">
        <is>
          <t>Tripura Public Works &amp; Technology Department</t>
        </is>
      </c>
      <c r="F3518" s="13" t="inlineStr">
        <is>
          <t>13 Oct 2026</t>
        </is>
      </c>
      <c r="G3518" s="12" t="inlineStr">
        <is>
          <t>22 Oct 2026</t>
        </is>
      </c>
      <c r="H3518" s="18" t="inlineStr">
        <is>
          <t>⚠️ CLOSING SOON</t>
        </is>
      </c>
      <c r="I3518" s="11" t="inlineStr">
        <is>
          <t>Tendernotice_1.pdf</t>
        </is>
      </c>
      <c r="J3518" s="13" t="inlineStr">
        <is>
          <t>📕 PDF Document</t>
        </is>
      </c>
      <c r="K3518" s="15" t="n">
        <v>17.8</v>
      </c>
      <c r="L3518" s="16">
        <f>HYPERLINK("http://127.0.0.1:8000/api/documents/download?id=2238&amp;attachment=true", "⬇ Download Tendernotice_1.pdf")</f>
        <v/>
      </c>
      <c r="M3518" s="16">
        <f>HYPERLINK("http://localhost:5173/?state=Tripura&amp;keyword=ICT&amp;tender=2026_DDSE_78108_1", "🚀 Open in Portal")</f>
        <v/>
      </c>
    </row>
    <row r="3519" ht="24" customHeight="1">
      <c r="A3519" s="4" t="inlineStr">
        <is>
          <t>Tripura</t>
        </is>
      </c>
      <c r="B3519" s="5" t="inlineStr">
        <is>
          <t>ICT</t>
        </is>
      </c>
      <c r="C3519" s="6" t="inlineStr">
        <is>
          <t>2026_DDSE_78108_1</t>
        </is>
      </c>
      <c r="D3519" s="7" t="inlineStr">
        <is>
          <t>[Repair and renovation of existing toilet blocks in Gopinagar SB, Sukhomoy Bhumihin col JB, Ujan Pathaliaghat SB, Dwarkai Kaipeng JB, Ujan Larma SB and Dulkaipara JB schools under Jampuijala and Bishalgarh Blocks of Sepahijala District under PM Specia]</t>
        </is>
      </c>
      <c r="E3519" s="7" t="inlineStr">
        <is>
          <t>Tripura Public Works &amp; Technology Department</t>
        </is>
      </c>
      <c r="F3519" s="6" t="inlineStr">
        <is>
          <t>13 Oct 2026</t>
        </is>
      </c>
      <c r="G3519" s="5" t="inlineStr">
        <is>
          <t>22 Oct 2026</t>
        </is>
      </c>
      <c r="H3519" s="18" t="inlineStr">
        <is>
          <t>⚠️ CLOSING SOON</t>
        </is>
      </c>
      <c r="I3519" s="4" t="inlineStr">
        <is>
          <t>DNIeT.pdf</t>
        </is>
      </c>
      <c r="J3519" s="6" t="inlineStr">
        <is>
          <t>📕 PDF Document</t>
        </is>
      </c>
      <c r="K3519" s="9" t="n">
        <v>17.8</v>
      </c>
      <c r="L3519" s="10">
        <f>HYPERLINK("http://127.0.0.1:8000/api/documents/download?id=2239&amp;attachment=true", "⬇ Download DNIeT.pdf")</f>
        <v/>
      </c>
      <c r="M3519" s="10">
        <f>HYPERLINK("http://localhost:5173/?state=Tripura&amp;keyword=ICT&amp;tender=2026_DDSE_78108_1", "🚀 Open in Portal")</f>
        <v/>
      </c>
    </row>
    <row r="3520" ht="24" customHeight="1">
      <c r="A3520" s="11" t="inlineStr">
        <is>
          <t>Tripura</t>
        </is>
      </c>
      <c r="B3520" s="12" t="inlineStr">
        <is>
          <t>ICT</t>
        </is>
      </c>
      <c r="C3520" s="13" t="inlineStr">
        <is>
          <t>2026_DDSE_78108_1</t>
        </is>
      </c>
      <c r="D3520" s="14" t="inlineStr">
        <is>
          <t>[Repair and renovation of existing toilet blocks in Gopinagar SB, Sukhomoy Bhumihin col JB, Ujan Pathaliaghat SB, Dwarkai Kaipeng JB, Ujan Larma SB and Dulkaipara JB schools under Jampuijala and Bishalgarh Blocks of Sepahijala District under PM Specia]</t>
        </is>
      </c>
      <c r="E3520" s="14" t="inlineStr">
        <is>
          <t>Tripura Public Works &amp; Technology Department</t>
        </is>
      </c>
      <c r="F3520" s="13" t="inlineStr">
        <is>
          <t>13 Oct 2026</t>
        </is>
      </c>
      <c r="G3520" s="12" t="inlineStr">
        <is>
          <t>22 Oct 2026</t>
        </is>
      </c>
      <c r="H3520" s="18" t="inlineStr">
        <is>
          <t>⚠️ CLOSING SOON</t>
        </is>
      </c>
      <c r="I3520" s="11" t="inlineStr">
        <is>
          <t>BOQ_79518.xls</t>
        </is>
      </c>
      <c r="J3520" s="13" t="inlineStr">
        <is>
          <t>📊 Excel BOQ</t>
        </is>
      </c>
      <c r="K3520" s="15" t="n">
        <v>2.6</v>
      </c>
      <c r="L3520" s="16">
        <f>HYPERLINK("http://127.0.0.1:8000/api/documents/download?id=2240&amp;attachment=true", "⬇ Download BOQ_79518.xls")</f>
        <v/>
      </c>
      <c r="M3520" s="16">
        <f>HYPERLINK("http://localhost:5173/?state=Tripura&amp;keyword=ICT&amp;tender=2026_DDSE_78108_1", "🚀 Open in Portal")</f>
        <v/>
      </c>
    </row>
    <row r="3521" ht="24" customHeight="1">
      <c r="A3521" s="4" t="inlineStr">
        <is>
          <t>Tripura</t>
        </is>
      </c>
      <c r="B3521" s="5" t="inlineStr">
        <is>
          <t>ICT</t>
        </is>
      </c>
      <c r="C3521" s="6" t="inlineStr">
        <is>
          <t>2026_DDSE_78108_1</t>
        </is>
      </c>
      <c r="D3521" s="7" t="inlineStr">
        <is>
          <t>[Repair and renovation of existing toilet blocks in Gopinagar SB, Sukhomoy Bhumihin col JB, Ujan Pathaliaghat SB, Dwarkai Kaipeng JB, Ujan Larma SB and Dulkaipara JB schools under Jampuijala and Bishalgarh Blocks of Sepahijala District under PM Specia]</t>
        </is>
      </c>
      <c r="E3521" s="7" t="inlineStr">
        <is>
          <t>Tripura Public Works &amp; Technology Department</t>
        </is>
      </c>
      <c r="F3521" s="6" t="inlineStr">
        <is>
          <t>13 Oct 2026</t>
        </is>
      </c>
      <c r="G3521" s="5" t="inlineStr">
        <is>
          <t>22 Oct 2026</t>
        </is>
      </c>
      <c r="H3521" s="18" t="inlineStr">
        <is>
          <t>⚠️ CLOSING SOON</t>
        </is>
      </c>
      <c r="I3521" s="4" t="inlineStr">
        <is>
          <t>Tender_2026_DDSE_78108_1_All_Documents.zip</t>
        </is>
      </c>
      <c r="J3521" s="6" t="inlineStr">
        <is>
          <t>📦 ZIP Package</t>
        </is>
      </c>
      <c r="K3521" s="9" t="n">
        <v>20.8</v>
      </c>
      <c r="L3521" s="10">
        <f>HYPERLINK("http://127.0.0.1:8000/api/documents/download?id=2241&amp;attachment=true", "⬇ Download Tender_2026_DDSE_78108_1")</f>
        <v/>
      </c>
      <c r="M3521" s="10">
        <f>HYPERLINK("http://localhost:5173/?state=Tripura&amp;keyword=ICT&amp;tender=2026_DDSE_78108_1", "🚀 Open in Portal")</f>
        <v/>
      </c>
    </row>
    <row r="3522" ht="24" customHeight="1">
      <c r="A3522" s="11" t="inlineStr">
        <is>
          <t>Tripura</t>
        </is>
      </c>
      <c r="B3522" s="12" t="inlineStr">
        <is>
          <t>ICT</t>
        </is>
      </c>
      <c r="C3522" s="13" t="inlineStr">
        <is>
          <t>2026_POWER_77987_1</t>
        </is>
      </c>
      <c r="D3522" s="14" t="inlineStr">
        <is>
          <t>[Providing 78 Seventy Eight nos casual labour for revenue management Service connection Operation and maintenance of HT LT line Sub Station etc to be engaged under ESD Mohanpur ESD Bamutia ESD Hezamara ESD Lefunga within jurisdiction of ED Mohanpur]</t>
        </is>
      </c>
      <c r="E3522" s="14" t="inlineStr">
        <is>
          <t>Tripura Public Works &amp; Technology Department</t>
        </is>
      </c>
      <c r="F3522" s="13" t="inlineStr">
        <is>
          <t>07 Oct 2026</t>
        </is>
      </c>
      <c r="G3522" s="12" t="inlineStr">
        <is>
          <t>28 Oct 2026</t>
        </is>
      </c>
      <c r="H3522" s="17" t="inlineStr">
        <is>
          <t>🟢 LIVE ACTIVE</t>
        </is>
      </c>
      <c r="I3522" s="11" t="inlineStr">
        <is>
          <t>Tendernotice_1.pdf</t>
        </is>
      </c>
      <c r="J3522" s="13" t="inlineStr">
        <is>
          <t>📕 PDF Document</t>
        </is>
      </c>
      <c r="K3522" s="15" t="n">
        <v>17.8</v>
      </c>
      <c r="L3522" s="16">
        <f>HYPERLINK("http://127.0.0.1:8000/api/documents/download?id=2254&amp;attachment=true", "⬇ Download Tendernotice_1.pdf")</f>
        <v/>
      </c>
      <c r="M3522" s="16">
        <f>HYPERLINK("http://localhost:5173/?state=Tripura&amp;keyword=ICT&amp;tender=2026_POWER_77987_1", "🚀 Open in Portal")</f>
        <v/>
      </c>
    </row>
    <row r="3523" ht="24" customHeight="1">
      <c r="A3523" s="4" t="inlineStr">
        <is>
          <t>Tripura</t>
        </is>
      </c>
      <c r="B3523" s="5" t="inlineStr">
        <is>
          <t>ICT</t>
        </is>
      </c>
      <c r="C3523" s="6" t="inlineStr">
        <is>
          <t>2026_POWER_77987_1</t>
        </is>
      </c>
      <c r="D3523" s="7" t="inlineStr">
        <is>
          <t>[Providing 78 Seventy Eight nos casual labour for revenue management Service connection Operation and maintenance of HT LT line Sub Station etc to be engaged under ESD Mohanpur ESD Bamutia ESD Hezamara ESD Lefunga within jurisdiction of ED Mohanpur]</t>
        </is>
      </c>
      <c r="E3523" s="7" t="inlineStr">
        <is>
          <t>Tripura Public Works &amp; Technology Department</t>
        </is>
      </c>
      <c r="F3523" s="6" t="inlineStr">
        <is>
          <t>07 Oct 2026</t>
        </is>
      </c>
      <c r="G3523" s="5" t="inlineStr">
        <is>
          <t>28 Oct 2026</t>
        </is>
      </c>
      <c r="H3523" s="17" t="inlineStr">
        <is>
          <t>🟢 LIVE ACTIVE</t>
        </is>
      </c>
      <c r="I3523" s="4" t="inlineStr">
        <is>
          <t>BOQ_79390.xls</t>
        </is>
      </c>
      <c r="J3523" s="6" t="inlineStr">
        <is>
          <t>📊 Excel BOQ</t>
        </is>
      </c>
      <c r="K3523" s="9" t="n">
        <v>2.5</v>
      </c>
      <c r="L3523" s="10">
        <f>HYPERLINK("http://127.0.0.1:8000/api/documents/download?id=2255&amp;attachment=true", "⬇ Download BOQ_79390.xls")</f>
        <v/>
      </c>
      <c r="M3523" s="10">
        <f>HYPERLINK("http://localhost:5173/?state=Tripura&amp;keyword=ICT&amp;tender=2026_POWER_77987_1", "🚀 Open in Portal")</f>
        <v/>
      </c>
    </row>
    <row r="3524" ht="24" customHeight="1">
      <c r="A3524" s="11" t="inlineStr">
        <is>
          <t>Tripura</t>
        </is>
      </c>
      <c r="B3524" s="12" t="inlineStr">
        <is>
          <t>ICT</t>
        </is>
      </c>
      <c r="C3524" s="13" t="inlineStr">
        <is>
          <t>2026_POWER_77987_1</t>
        </is>
      </c>
      <c r="D3524" s="14" t="inlineStr">
        <is>
          <t>[Providing 78 Seventy Eight nos casual labour for revenue management Service connection Operation and maintenance of HT LT line Sub Station etc to be engaged under ESD Mohanpur ESD Bamutia ESD Hezamara ESD Lefunga within jurisdiction of ED Mohanpur]</t>
        </is>
      </c>
      <c r="E3524" s="14" t="inlineStr">
        <is>
          <t>Tripura Public Works &amp; Technology Department</t>
        </is>
      </c>
      <c r="F3524" s="13" t="inlineStr">
        <is>
          <t>07 Oct 2026</t>
        </is>
      </c>
      <c r="G3524" s="12" t="inlineStr">
        <is>
          <t>28 Oct 2026</t>
        </is>
      </c>
      <c r="H3524" s="17" t="inlineStr">
        <is>
          <t>🟢 LIVE ACTIVE</t>
        </is>
      </c>
      <c r="I3524" s="11" t="inlineStr">
        <is>
          <t>Tender_2026_POWER_77987_1_All_Documents.zip</t>
        </is>
      </c>
      <c r="J3524" s="13" t="inlineStr">
        <is>
          <t>📦 ZIP Package</t>
        </is>
      </c>
      <c r="K3524" s="15" t="n">
        <v>11.6</v>
      </c>
      <c r="L3524" s="16">
        <f>HYPERLINK("http://127.0.0.1:8000/api/documents/download?id=2256&amp;attachment=true", "⬇ Download Tender_2026_POWER_77987_")</f>
        <v/>
      </c>
      <c r="M3524" s="16">
        <f>HYPERLINK("http://localhost:5173/?state=Tripura&amp;keyword=ICT&amp;tender=2026_POWER_77987_1", "🚀 Open in Portal")</f>
        <v/>
      </c>
    </row>
    <row r="3525" ht="24" customHeight="1">
      <c r="A3525" s="4" t="inlineStr">
        <is>
          <t>Tripura</t>
        </is>
      </c>
      <c r="B3525" s="5" t="inlineStr">
        <is>
          <t>ICT</t>
        </is>
      </c>
      <c r="C3525" s="6" t="inlineStr">
        <is>
          <t>2026_Urban_77927_1</t>
        </is>
      </c>
      <c r="D3525" s="7" t="inlineStr">
        <is>
          <t>[R Mtc of Agartala Water Supply scheme within the jurisdiction of TJB Division I during the year 2026 27 ]</t>
        </is>
      </c>
      <c r="E3525" s="7" t="inlineStr">
        <is>
          <t>Tripura Public Works &amp; Technology Department</t>
        </is>
      </c>
      <c r="F3525" s="6" t="inlineStr">
        <is>
          <t>21 Aug 2026</t>
        </is>
      </c>
      <c r="G3525" s="5" t="inlineStr">
        <is>
          <t>16 Sep 2026</t>
        </is>
      </c>
      <c r="H3525" s="8" t="inlineStr">
        <is>
          <t>⏳ UPCOMING</t>
        </is>
      </c>
      <c r="I3525" s="4" t="inlineStr">
        <is>
          <t>Tendernotice_1.pdf</t>
        </is>
      </c>
      <c r="J3525" s="6" t="inlineStr">
        <is>
          <t>📕 PDF Document</t>
        </is>
      </c>
      <c r="K3525" s="9" t="n">
        <v>17.8</v>
      </c>
      <c r="L3525" s="10">
        <f>HYPERLINK("http://127.0.0.1:8000/api/documents/download?id=2308&amp;attachment=true", "⬇ Download Tendernotice_1.pdf")</f>
        <v/>
      </c>
      <c r="M3525" s="10">
        <f>HYPERLINK("http://localhost:5173/?state=Tripura&amp;keyword=ICT&amp;tender=2026_Urban_77927_1", "🚀 Open in Portal")</f>
        <v/>
      </c>
    </row>
    <row r="3526" ht="24" customHeight="1">
      <c r="A3526" s="11" t="inlineStr">
        <is>
          <t>Tripura</t>
        </is>
      </c>
      <c r="B3526" s="12" t="inlineStr">
        <is>
          <t>ICT</t>
        </is>
      </c>
      <c r="C3526" s="13" t="inlineStr">
        <is>
          <t>2026_Urban_77927_1</t>
        </is>
      </c>
      <c r="D3526" s="14" t="inlineStr">
        <is>
          <t>[R Mtc of Agartala Water Supply scheme within the jurisdiction of TJB Division I during the year 2026 27 ]</t>
        </is>
      </c>
      <c r="E3526" s="14" t="inlineStr">
        <is>
          <t>Tripura Public Works &amp; Technology Department</t>
        </is>
      </c>
      <c r="F3526" s="13" t="inlineStr">
        <is>
          <t>21 Aug 2026</t>
        </is>
      </c>
      <c r="G3526" s="12" t="inlineStr">
        <is>
          <t>16 Sep 2026</t>
        </is>
      </c>
      <c r="H3526" s="8" t="inlineStr">
        <is>
          <t>⏳ UPCOMING</t>
        </is>
      </c>
      <c r="I3526" s="11" t="inlineStr">
        <is>
          <t>BOQ_79324.xls</t>
        </is>
      </c>
      <c r="J3526" s="13" t="inlineStr">
        <is>
          <t>📊 Excel BOQ</t>
        </is>
      </c>
      <c r="K3526" s="15" t="n">
        <v>2.5</v>
      </c>
      <c r="L3526" s="16">
        <f>HYPERLINK("http://127.0.0.1:8000/api/documents/download?id=2309&amp;attachment=true", "⬇ Download BOQ_79324.xls")</f>
        <v/>
      </c>
      <c r="M3526" s="16">
        <f>HYPERLINK("http://localhost:5173/?state=Tripura&amp;keyword=ICT&amp;tender=2026_Urban_77927_1", "🚀 Open in Portal")</f>
        <v/>
      </c>
    </row>
    <row r="3527" ht="24" customHeight="1">
      <c r="A3527" s="4" t="inlineStr">
        <is>
          <t>Tripura</t>
        </is>
      </c>
      <c r="B3527" s="5" t="inlineStr">
        <is>
          <t>ICT</t>
        </is>
      </c>
      <c r="C3527" s="6" t="inlineStr">
        <is>
          <t>2026_Urban_77927_1</t>
        </is>
      </c>
      <c r="D3527" s="7" t="inlineStr">
        <is>
          <t>[R Mtc of Agartala Water Supply scheme within the jurisdiction of TJB Division I during the year 2026 27 ]</t>
        </is>
      </c>
      <c r="E3527" s="7" t="inlineStr">
        <is>
          <t>Tripura Public Works &amp; Technology Department</t>
        </is>
      </c>
      <c r="F3527" s="6" t="inlineStr">
        <is>
          <t>21 Aug 2026</t>
        </is>
      </c>
      <c r="G3527" s="5" t="inlineStr">
        <is>
          <t>16 Sep 2026</t>
        </is>
      </c>
      <c r="H3527" s="8" t="inlineStr">
        <is>
          <t>⏳ UPCOMING</t>
        </is>
      </c>
      <c r="I3527" s="4" t="inlineStr">
        <is>
          <t>dnit.pdf</t>
        </is>
      </c>
      <c r="J3527" s="6" t="inlineStr">
        <is>
          <t>📕 PDF Document</t>
        </is>
      </c>
      <c r="K3527" s="9" t="n">
        <v>17.8</v>
      </c>
      <c r="L3527" s="10">
        <f>HYPERLINK("http://127.0.0.1:8000/api/documents/download?id=2310&amp;attachment=true", "⬇ Download dnit.pdf")</f>
        <v/>
      </c>
      <c r="M3527" s="10">
        <f>HYPERLINK("http://localhost:5173/?state=Tripura&amp;keyword=ICT&amp;tender=2026_Urban_77927_1", "🚀 Open in Portal")</f>
        <v/>
      </c>
    </row>
    <row r="3528" ht="24" customHeight="1">
      <c r="A3528" s="11" t="inlineStr">
        <is>
          <t>Tripura</t>
        </is>
      </c>
      <c r="B3528" s="12" t="inlineStr">
        <is>
          <t>ICT</t>
        </is>
      </c>
      <c r="C3528" s="13" t="inlineStr">
        <is>
          <t>2026_Urban_77927_1</t>
        </is>
      </c>
      <c r="D3528" s="14" t="inlineStr">
        <is>
          <t>[R Mtc of Agartala Water Supply scheme within the jurisdiction of TJB Division I during the year 2026 27 ]</t>
        </is>
      </c>
      <c r="E3528" s="14" t="inlineStr">
        <is>
          <t>Tripura Public Works &amp; Technology Department</t>
        </is>
      </c>
      <c r="F3528" s="13" t="inlineStr">
        <is>
          <t>21 Aug 2026</t>
        </is>
      </c>
      <c r="G3528" s="12" t="inlineStr">
        <is>
          <t>16 Sep 2026</t>
        </is>
      </c>
      <c r="H3528" s="8" t="inlineStr">
        <is>
          <t>⏳ UPCOMING</t>
        </is>
      </c>
      <c r="I3528" s="11" t="inlineStr">
        <is>
          <t>Tender_2026_Urban_77927_1_All_Documents.zip</t>
        </is>
      </c>
      <c r="J3528" s="13" t="inlineStr">
        <is>
          <t>📦 ZIP Package</t>
        </is>
      </c>
      <c r="K3528" s="15" t="n">
        <v>20.7</v>
      </c>
      <c r="L3528" s="16">
        <f>HYPERLINK("http://127.0.0.1:8000/api/documents/download?id=2311&amp;attachment=true", "⬇ Download Tender_2026_Urban_77927_")</f>
        <v/>
      </c>
      <c r="M3528" s="16">
        <f>HYPERLINK("http://localhost:5173/?state=Tripura&amp;keyword=ICT&amp;tender=2026_Urban_77927_1", "🚀 Open in Portal")</f>
        <v/>
      </c>
    </row>
    <row r="3529" ht="24" customHeight="1">
      <c r="A3529" s="4" t="inlineStr">
        <is>
          <t>Tripura</t>
        </is>
      </c>
      <c r="B3529" s="5" t="inlineStr">
        <is>
          <t>Water Resources</t>
        </is>
      </c>
      <c r="C3529" s="6" t="inlineStr">
        <is>
          <t>2026_TRI_2535503_48</t>
        </is>
      </c>
      <c r="D3529" s="7" t="inlineStr">
        <is>
          <t>Water Resources-Based River Basin Hydro-Meteorological Sensor Network &amp; GIS Flood Simulation</t>
        </is>
      </c>
      <c r="E3529" s="7" t="inlineStr">
        <is>
          <t>WATER RESOURCES &amp; IRRIGATION DEPARTMENT</t>
        </is>
      </c>
      <c r="F3529" s="6" t="inlineStr">
        <is>
          <t>03 Oct 2026</t>
        </is>
      </c>
      <c r="G3529" s="5" t="inlineStr">
        <is>
          <t>01 Nov 2026</t>
        </is>
      </c>
      <c r="H3529" s="17" t="inlineStr">
        <is>
          <t>🟢 LIVE ACTIVE</t>
        </is>
      </c>
      <c r="I3529" s="4" t="inlineStr">
        <is>
          <t>Tendernotice_2026_TRI_2535503_48.pdf</t>
        </is>
      </c>
      <c r="J3529" s="6" t="inlineStr">
        <is>
          <t>📕 PDF Document</t>
        </is>
      </c>
      <c r="K3529" s="9" t="n">
        <v>17.9</v>
      </c>
      <c r="L3529" s="10">
        <f>HYPERLINK("http://127.0.0.1:8000/api/documents/download?id=3041&amp;attachment=true", "⬇ Download Tendernotice_2026_TRI_25")</f>
        <v/>
      </c>
      <c r="M3529" s="10">
        <f>HYPERLINK("http://localhost:5173/?state=Tripura&amp;keyword=Water%20Resources&amp;tender=2026_TRI_2535503_48", "🚀 Open in Portal")</f>
        <v/>
      </c>
    </row>
    <row r="3530" ht="24" customHeight="1">
      <c r="A3530" s="11" t="inlineStr">
        <is>
          <t>Tripura</t>
        </is>
      </c>
      <c r="B3530" s="12" t="inlineStr">
        <is>
          <t>Water Resources</t>
        </is>
      </c>
      <c r="C3530" s="13" t="inlineStr">
        <is>
          <t>2026_TRI_2535503_48</t>
        </is>
      </c>
      <c r="D3530" s="14" t="inlineStr">
        <is>
          <t>Water Resources-Based River Basin Hydro-Meteorological Sensor Network &amp; GIS Flood Simulation</t>
        </is>
      </c>
      <c r="E3530" s="14" t="inlineStr">
        <is>
          <t>WATER RESOURCES &amp; IRRIGATION DEPARTMENT</t>
        </is>
      </c>
      <c r="F3530" s="13" t="inlineStr">
        <is>
          <t>03 Oct 2026</t>
        </is>
      </c>
      <c r="G3530" s="12" t="inlineStr">
        <is>
          <t>01 Nov 2026</t>
        </is>
      </c>
      <c r="H3530" s="17" t="inlineStr">
        <is>
          <t>🟢 LIVE ACTIVE</t>
        </is>
      </c>
      <c r="I3530" s="11" t="inlineStr">
        <is>
          <t>Technical_RFP_Specification_Water Resources.pdf</t>
        </is>
      </c>
      <c r="J3530" s="13" t="inlineStr">
        <is>
          <t>📕 PDF Document</t>
        </is>
      </c>
      <c r="K3530" s="15" t="n">
        <v>17.9</v>
      </c>
      <c r="L3530" s="16">
        <f>HYPERLINK("http://127.0.0.1:8000/api/documents/download?id=3042&amp;attachment=true", "⬇ Download Technical_RFP_Specificat")</f>
        <v/>
      </c>
      <c r="M3530" s="16">
        <f>HYPERLINK("http://localhost:5173/?state=Tripura&amp;keyword=Water%20Resources&amp;tender=2026_TRI_2535503_48", "🚀 Open in Portal")</f>
        <v/>
      </c>
    </row>
    <row r="3531" ht="24" customHeight="1">
      <c r="A3531" s="4" t="inlineStr">
        <is>
          <t>Tripura</t>
        </is>
      </c>
      <c r="B3531" s="5" t="inlineStr">
        <is>
          <t>Water Resources</t>
        </is>
      </c>
      <c r="C3531" s="6" t="inlineStr">
        <is>
          <t>2026_TRI_2535503_48</t>
        </is>
      </c>
      <c r="D3531" s="7" t="inlineStr">
        <is>
          <t>Water Resources-Based River Basin Hydro-Meteorological Sensor Network &amp; GIS Flood Simulation</t>
        </is>
      </c>
      <c r="E3531" s="7" t="inlineStr">
        <is>
          <t>WATER RESOURCES &amp; IRRIGATION DEPARTMENT</t>
        </is>
      </c>
      <c r="F3531" s="6" t="inlineStr">
        <is>
          <t>03 Oct 2026</t>
        </is>
      </c>
      <c r="G3531" s="5" t="inlineStr">
        <is>
          <t>01 Nov 2026</t>
        </is>
      </c>
      <c r="H3531" s="17" t="inlineStr">
        <is>
          <t>🟢 LIVE ACTIVE</t>
        </is>
      </c>
      <c r="I3531" s="4" t="inlineStr">
        <is>
          <t>BOQ_Financial_Schedule_2026_TRI_2535503_48.xlsx</t>
        </is>
      </c>
      <c r="J3531" s="6" t="inlineStr">
        <is>
          <t>📊 Excel BOQ</t>
        </is>
      </c>
      <c r="K3531" s="9" t="n">
        <v>2.5</v>
      </c>
      <c r="L3531" s="10">
        <f>HYPERLINK("http://127.0.0.1:8000/api/documents/download?id=3043&amp;attachment=true", "⬇ Download BOQ_Financial_Schedule_2")</f>
        <v/>
      </c>
      <c r="M3531" s="10">
        <f>HYPERLINK("http://localhost:5173/?state=Tripura&amp;keyword=Water%20Resources&amp;tender=2026_TRI_2535503_48", "🚀 Open in Portal")</f>
        <v/>
      </c>
    </row>
    <row r="3532" ht="24" customHeight="1">
      <c r="A3532" s="11" t="inlineStr">
        <is>
          <t>Tripura</t>
        </is>
      </c>
      <c r="B3532" s="12" t="inlineStr">
        <is>
          <t>Water Resources</t>
        </is>
      </c>
      <c r="C3532" s="13" t="inlineStr">
        <is>
          <t>2026_TRI_2535503_48</t>
        </is>
      </c>
      <c r="D3532" s="14" t="inlineStr">
        <is>
          <t>Water Resources-Based River Basin Hydro-Meteorological Sensor Network &amp; GIS Flood Simulation</t>
        </is>
      </c>
      <c r="E3532" s="14" t="inlineStr">
        <is>
          <t>WATER RESOURCES &amp; IRRIGATION DEPARTMENT</t>
        </is>
      </c>
      <c r="F3532" s="13" t="inlineStr">
        <is>
          <t>03 Oct 2026</t>
        </is>
      </c>
      <c r="G3532" s="12" t="inlineStr">
        <is>
          <t>01 Nov 2026</t>
        </is>
      </c>
      <c r="H3532" s="17" t="inlineStr">
        <is>
          <t>🟢 LIVE ACTIVE</t>
        </is>
      </c>
      <c r="I3532" s="11" t="inlineStr">
        <is>
          <t>Tender_2026_TRI_2535503_48_All_Documents.zip</t>
        </is>
      </c>
      <c r="J3532" s="13" t="inlineStr">
        <is>
          <t>📦 ZIP Package</t>
        </is>
      </c>
      <c r="K3532" s="15" t="n">
        <v>45</v>
      </c>
      <c r="L3532" s="16">
        <f>HYPERLINK("https://tripuratenders.gov.in/tender/2026_TRI_2535503_48", "⬇ Download Tender_2026_TRI_2535503_")</f>
        <v/>
      </c>
      <c r="M3532" s="16">
        <f>HYPERLINK("http://localhost:5173/?state=Tripura&amp;keyword=Water%20Resources&amp;tender=2026_TRI_2535503_48", "🚀 Open in Portal")</f>
        <v/>
      </c>
    </row>
    <row r="3533" ht="24" customHeight="1">
      <c r="A3533" s="4" t="inlineStr">
        <is>
          <t>Tripura</t>
        </is>
      </c>
      <c r="B3533" s="5" t="inlineStr">
        <is>
          <t>Water Resources</t>
        </is>
      </c>
      <c r="C3533" s="6" t="inlineStr">
        <is>
          <t>2026_TRI_2801185_82</t>
        </is>
      </c>
      <c r="D3533" s="7" t="inlineStr">
        <is>
          <t>Water Resources-Based River Basin Hydro-Meteorological Sensor Network &amp; GIS Flood Simulation</t>
        </is>
      </c>
      <c r="E3533" s="7" t="inlineStr">
        <is>
          <t>WATER RESOURCES &amp; IRRIGATION DEPARTMENT</t>
        </is>
      </c>
      <c r="F3533" s="6" t="inlineStr">
        <is>
          <t>16 Oct 2026</t>
        </is>
      </c>
      <c r="G3533" s="5" t="inlineStr">
        <is>
          <t>15 Nov 2026</t>
        </is>
      </c>
      <c r="H3533" s="17" t="inlineStr">
        <is>
          <t>🟢 LIVE ACTIVE</t>
        </is>
      </c>
      <c r="I3533" s="4" t="inlineStr">
        <is>
          <t>Tendernotice_2026_TRI_2801185_82.pdf</t>
        </is>
      </c>
      <c r="J3533" s="6" t="inlineStr">
        <is>
          <t>📕 PDF Document</t>
        </is>
      </c>
      <c r="K3533" s="9" t="n">
        <v>17.9</v>
      </c>
      <c r="L3533" s="10">
        <f>HYPERLINK("http://127.0.0.1:8000/api/documents/download?id=3273&amp;attachment=true", "⬇ Download Tendernotice_2026_TRI_28")</f>
        <v/>
      </c>
      <c r="M3533" s="10">
        <f>HYPERLINK("http://localhost:5173/?state=Tripura&amp;keyword=Water%20Resources&amp;tender=2026_TRI_2801185_82", "🚀 Open in Portal")</f>
        <v/>
      </c>
    </row>
    <row r="3534" ht="24" customHeight="1">
      <c r="A3534" s="11" t="inlineStr">
        <is>
          <t>Tripura</t>
        </is>
      </c>
      <c r="B3534" s="12" t="inlineStr">
        <is>
          <t>Water Resources</t>
        </is>
      </c>
      <c r="C3534" s="13" t="inlineStr">
        <is>
          <t>2026_TRI_2801185_82</t>
        </is>
      </c>
      <c r="D3534" s="14" t="inlineStr">
        <is>
          <t>Water Resources-Based River Basin Hydro-Meteorological Sensor Network &amp; GIS Flood Simulation</t>
        </is>
      </c>
      <c r="E3534" s="14" t="inlineStr">
        <is>
          <t>WATER RESOURCES &amp; IRRIGATION DEPARTMENT</t>
        </is>
      </c>
      <c r="F3534" s="13" t="inlineStr">
        <is>
          <t>16 Oct 2026</t>
        </is>
      </c>
      <c r="G3534" s="12" t="inlineStr">
        <is>
          <t>15 Nov 2026</t>
        </is>
      </c>
      <c r="H3534" s="17" t="inlineStr">
        <is>
          <t>🟢 LIVE ACTIVE</t>
        </is>
      </c>
      <c r="I3534" s="11" t="inlineStr">
        <is>
          <t>Technical_RFP_Specification_Water Resources.pdf</t>
        </is>
      </c>
      <c r="J3534" s="13" t="inlineStr">
        <is>
          <t>📕 PDF Document</t>
        </is>
      </c>
      <c r="K3534" s="15" t="n">
        <v>17.9</v>
      </c>
      <c r="L3534" s="16">
        <f>HYPERLINK("http://127.0.0.1:8000/api/documents/download?id=3274&amp;attachment=true", "⬇ Download Technical_RFP_Specificat")</f>
        <v/>
      </c>
      <c r="M3534" s="16">
        <f>HYPERLINK("http://localhost:5173/?state=Tripura&amp;keyword=Water%20Resources&amp;tender=2026_TRI_2801185_82", "🚀 Open in Portal")</f>
        <v/>
      </c>
    </row>
    <row r="3535" ht="24" customHeight="1">
      <c r="A3535" s="4" t="inlineStr">
        <is>
          <t>Tripura</t>
        </is>
      </c>
      <c r="B3535" s="5" t="inlineStr">
        <is>
          <t>Water Resources</t>
        </is>
      </c>
      <c r="C3535" s="6" t="inlineStr">
        <is>
          <t>2026_TRI_2801185_82</t>
        </is>
      </c>
      <c r="D3535" s="7" t="inlineStr">
        <is>
          <t>Water Resources-Based River Basin Hydro-Meteorological Sensor Network &amp; GIS Flood Simulation</t>
        </is>
      </c>
      <c r="E3535" s="7" t="inlineStr">
        <is>
          <t>WATER RESOURCES &amp; IRRIGATION DEPARTMENT</t>
        </is>
      </c>
      <c r="F3535" s="6" t="inlineStr">
        <is>
          <t>16 Oct 2026</t>
        </is>
      </c>
      <c r="G3535" s="5" t="inlineStr">
        <is>
          <t>15 Nov 2026</t>
        </is>
      </c>
      <c r="H3535" s="17" t="inlineStr">
        <is>
          <t>🟢 LIVE ACTIVE</t>
        </is>
      </c>
      <c r="I3535" s="4" t="inlineStr">
        <is>
          <t>BOQ_Financial_Schedule_2026_TRI_2801185_82.xlsx</t>
        </is>
      </c>
      <c r="J3535" s="6" t="inlineStr">
        <is>
          <t>📊 Excel BOQ</t>
        </is>
      </c>
      <c r="K3535" s="9" t="n">
        <v>2.5</v>
      </c>
      <c r="L3535" s="10">
        <f>HYPERLINK("http://127.0.0.1:8000/api/documents/download?id=3275&amp;attachment=true", "⬇ Download BOQ_Financial_Schedule_2")</f>
        <v/>
      </c>
      <c r="M3535" s="10">
        <f>HYPERLINK("http://localhost:5173/?state=Tripura&amp;keyword=Water%20Resources&amp;tender=2026_TRI_2801185_82", "🚀 Open in Portal")</f>
        <v/>
      </c>
    </row>
    <row r="3536" ht="24" customHeight="1">
      <c r="A3536" s="11" t="inlineStr">
        <is>
          <t>Tripura</t>
        </is>
      </c>
      <c r="B3536" s="12" t="inlineStr">
        <is>
          <t>Water Resources</t>
        </is>
      </c>
      <c r="C3536" s="13" t="inlineStr">
        <is>
          <t>2026_TRI_2801185_82</t>
        </is>
      </c>
      <c r="D3536" s="14" t="inlineStr">
        <is>
          <t>Water Resources-Based River Basin Hydro-Meteorological Sensor Network &amp; GIS Flood Simulation</t>
        </is>
      </c>
      <c r="E3536" s="14" t="inlineStr">
        <is>
          <t>WATER RESOURCES &amp; IRRIGATION DEPARTMENT</t>
        </is>
      </c>
      <c r="F3536" s="13" t="inlineStr">
        <is>
          <t>16 Oct 2026</t>
        </is>
      </c>
      <c r="G3536" s="12" t="inlineStr">
        <is>
          <t>15 Nov 2026</t>
        </is>
      </c>
      <c r="H3536" s="17" t="inlineStr">
        <is>
          <t>🟢 LIVE ACTIVE</t>
        </is>
      </c>
      <c r="I3536" s="11" t="inlineStr">
        <is>
          <t>Tender_2026_TRI_2801185_82_All_Documents.zip</t>
        </is>
      </c>
      <c r="J3536" s="13" t="inlineStr">
        <is>
          <t>📦 ZIP Package</t>
        </is>
      </c>
      <c r="K3536" s="15" t="n">
        <v>45</v>
      </c>
      <c r="L3536" s="16">
        <f>HYPERLINK("https://tripuratenders.gov.in/tender/2026_TRI_2801185_82", "⬇ Download Tender_2026_TRI_2801185_")</f>
        <v/>
      </c>
      <c r="M3536" s="16">
        <f>HYPERLINK("http://localhost:5173/?state=Tripura&amp;keyword=Water%20Resources&amp;tender=2026_TRI_2801185_82", "🚀 Open in Portal")</f>
        <v/>
      </c>
    </row>
    <row r="3537" ht="24" customHeight="1">
      <c r="A3537" s="4" t="inlineStr">
        <is>
          <t>Tripura</t>
        </is>
      </c>
      <c r="B3537" s="5" t="inlineStr">
        <is>
          <t>Development</t>
        </is>
      </c>
      <c r="C3537" s="6" t="inlineStr">
        <is>
          <t>2026_CEPWD_77991_1</t>
        </is>
      </c>
      <c r="D3537" s="7" t="inlineStr">
        <is>
          <t>[Development of road from Mangalpada para to Nalchar L2.697 km Portion from ch 0.0 km to ch 0.900 km L0.900 km Total PRLength 0.900 km within Nalchar RDBlock under the jurisdiction of Melaghar PWD (RandB) SubDivision during the FY 2026 27]</t>
        </is>
      </c>
      <c r="E3537" s="7" t="inlineStr">
        <is>
          <t>Tripura Public Works &amp; Technology Department</t>
        </is>
      </c>
      <c r="F3537" s="6" t="inlineStr">
        <is>
          <t>17 Aug 2026</t>
        </is>
      </c>
      <c r="G3537" s="5" t="inlineStr">
        <is>
          <t>13 Sep 2026</t>
        </is>
      </c>
      <c r="H3537" s="8" t="inlineStr">
        <is>
          <t>⏳ UPCOMING</t>
        </is>
      </c>
      <c r="I3537" s="4" t="inlineStr">
        <is>
          <t>Tendernotice_1.pdf</t>
        </is>
      </c>
      <c r="J3537" s="6" t="inlineStr">
        <is>
          <t>📕 PDF Document</t>
        </is>
      </c>
      <c r="K3537" s="9" t="n">
        <v>17.8</v>
      </c>
      <c r="L3537" s="10">
        <f>HYPERLINK("http://127.0.0.1:8000/api/documents/download?id=2277&amp;attachment=true", "⬇ Download Tendernotice_1.pdf")</f>
        <v/>
      </c>
      <c r="M3537" s="10">
        <f>HYPERLINK("http://localhost:5173/?state=Tripura&amp;keyword=Development&amp;tender=2026_CEPWD_77991_1", "🚀 Open in Portal")</f>
        <v/>
      </c>
    </row>
    <row r="3538" ht="24" customHeight="1">
      <c r="A3538" s="11" t="inlineStr">
        <is>
          <t>Tripura</t>
        </is>
      </c>
      <c r="B3538" s="12" t="inlineStr">
        <is>
          <t>Development</t>
        </is>
      </c>
      <c r="C3538" s="13" t="inlineStr">
        <is>
          <t>2026_CEPWD_77991_1</t>
        </is>
      </c>
      <c r="D3538" s="14" t="inlineStr">
        <is>
          <t>[Development of road from Mangalpada para to Nalchar L2.697 km Portion from ch 0.0 km to ch 0.900 km L0.900 km Total PRLength 0.900 km within Nalchar RDBlock under the jurisdiction of Melaghar PWD (RandB) SubDivision during the FY 2026 27]</t>
        </is>
      </c>
      <c r="E3538" s="14" t="inlineStr">
        <is>
          <t>Tripura Public Works &amp; Technology Department</t>
        </is>
      </c>
      <c r="F3538" s="13" t="inlineStr">
        <is>
          <t>17 Aug 2026</t>
        </is>
      </c>
      <c r="G3538" s="12" t="inlineStr">
        <is>
          <t>13 Sep 2026</t>
        </is>
      </c>
      <c r="H3538" s="8" t="inlineStr">
        <is>
          <t>⏳ UPCOMING</t>
        </is>
      </c>
      <c r="I3538" s="11" t="inlineStr">
        <is>
          <t>DNIeT71EE.pdf</t>
        </is>
      </c>
      <c r="J3538" s="13" t="inlineStr">
        <is>
          <t>📕 PDF Document</t>
        </is>
      </c>
      <c r="K3538" s="15" t="n">
        <v>17.8</v>
      </c>
      <c r="L3538" s="16">
        <f>HYPERLINK("http://127.0.0.1:8000/api/documents/download?id=2278&amp;attachment=true", "⬇ Download DNIeT71EE.pdf")</f>
        <v/>
      </c>
      <c r="M3538" s="16">
        <f>HYPERLINK("http://localhost:5173/?state=Tripura&amp;keyword=Development&amp;tender=2026_CEPWD_77991_1", "🚀 Open in Portal")</f>
        <v/>
      </c>
    </row>
    <row r="3539" ht="24" customHeight="1">
      <c r="A3539" s="4" t="inlineStr">
        <is>
          <t>Tripura</t>
        </is>
      </c>
      <c r="B3539" s="5" t="inlineStr">
        <is>
          <t>Development</t>
        </is>
      </c>
      <c r="C3539" s="6" t="inlineStr">
        <is>
          <t>2026_CEPWD_77991_1</t>
        </is>
      </c>
      <c r="D3539" s="7" t="inlineStr">
        <is>
          <t>[Development of road from Mangalpada para to Nalchar L2.697 km Portion from ch 0.0 km to ch 0.900 km L0.900 km Total PRLength 0.900 km within Nalchar RDBlock under the jurisdiction of Melaghar PWD (RandB) SubDivision during the FY 2026 27]</t>
        </is>
      </c>
      <c r="E3539" s="7" t="inlineStr">
        <is>
          <t>Tripura Public Works &amp; Technology Department</t>
        </is>
      </c>
      <c r="F3539" s="6" t="inlineStr">
        <is>
          <t>17 Aug 2026</t>
        </is>
      </c>
      <c r="G3539" s="5" t="inlineStr">
        <is>
          <t>13 Sep 2026</t>
        </is>
      </c>
      <c r="H3539" s="8" t="inlineStr">
        <is>
          <t>⏳ UPCOMING</t>
        </is>
      </c>
      <c r="I3539" s="4" t="inlineStr">
        <is>
          <t>BOQ_79392.xls</t>
        </is>
      </c>
      <c r="J3539" s="6" t="inlineStr">
        <is>
          <t>📊 Excel BOQ</t>
        </is>
      </c>
      <c r="K3539" s="9" t="n">
        <v>2.5</v>
      </c>
      <c r="L3539" s="10">
        <f>HYPERLINK("http://127.0.0.1:8000/api/documents/download?id=2279&amp;attachment=true", "⬇ Download BOQ_79392.xls")</f>
        <v/>
      </c>
      <c r="M3539" s="10">
        <f>HYPERLINK("http://localhost:5173/?state=Tripura&amp;keyword=Development&amp;tender=2026_CEPWD_77991_1", "🚀 Open in Portal")</f>
        <v/>
      </c>
    </row>
    <row r="3540" ht="24" customHeight="1">
      <c r="A3540" s="11" t="inlineStr">
        <is>
          <t>Tripura</t>
        </is>
      </c>
      <c r="B3540" s="12" t="inlineStr">
        <is>
          <t>Development</t>
        </is>
      </c>
      <c r="C3540" s="13" t="inlineStr">
        <is>
          <t>2026_CEPWD_77991_1</t>
        </is>
      </c>
      <c r="D3540" s="14" t="inlineStr">
        <is>
          <t>[Development of road from Mangalpada para to Nalchar L2.697 km Portion from ch 0.0 km to ch 0.900 km L0.900 km Total PRLength 0.900 km within Nalchar RDBlock under the jurisdiction of Melaghar PWD (RandB) SubDivision during the FY 2026 27]</t>
        </is>
      </c>
      <c r="E3540" s="14" t="inlineStr">
        <is>
          <t>Tripura Public Works &amp; Technology Department</t>
        </is>
      </c>
      <c r="F3540" s="13" t="inlineStr">
        <is>
          <t>17 Aug 2026</t>
        </is>
      </c>
      <c r="G3540" s="12" t="inlineStr">
        <is>
          <t>13 Sep 2026</t>
        </is>
      </c>
      <c r="H3540" s="8" t="inlineStr">
        <is>
          <t>⏳ UPCOMING</t>
        </is>
      </c>
      <c r="I3540" s="11" t="inlineStr">
        <is>
          <t>Addl71EE.pdf</t>
        </is>
      </c>
      <c r="J3540" s="13" t="inlineStr">
        <is>
          <t>📕 PDF Document</t>
        </is>
      </c>
      <c r="K3540" s="15" t="n">
        <v>17.8</v>
      </c>
      <c r="L3540" s="16">
        <f>HYPERLINK("http://127.0.0.1:8000/api/documents/download?id=2280&amp;attachment=true", "⬇ Download Addl71EE.pdf")</f>
        <v/>
      </c>
      <c r="M3540" s="16">
        <f>HYPERLINK("http://localhost:5173/?state=Tripura&amp;keyword=Development&amp;tender=2026_CEPWD_77991_1", "🚀 Open in Portal")</f>
        <v/>
      </c>
    </row>
    <row r="3541" ht="24" customHeight="1">
      <c r="A3541" s="4" t="inlineStr">
        <is>
          <t>Tripura</t>
        </is>
      </c>
      <c r="B3541" s="5" t="inlineStr">
        <is>
          <t>Development</t>
        </is>
      </c>
      <c r="C3541" s="6" t="inlineStr">
        <is>
          <t>2026_CEPWD_77991_1</t>
        </is>
      </c>
      <c r="D3541" s="7" t="inlineStr">
        <is>
          <t>[Development of road from Mangalpada para to Nalchar L2.697 km Portion from ch 0.0 km to ch 0.900 km L0.900 km Total PRLength 0.900 km within Nalchar RDBlock under the jurisdiction of Melaghar PWD (RandB) SubDivision during the FY 2026 27]</t>
        </is>
      </c>
      <c r="E3541" s="7" t="inlineStr">
        <is>
          <t>Tripura Public Works &amp; Technology Department</t>
        </is>
      </c>
      <c r="F3541" s="6" t="inlineStr">
        <is>
          <t>17 Aug 2026</t>
        </is>
      </c>
      <c r="G3541" s="5" t="inlineStr">
        <is>
          <t>13 Sep 2026</t>
        </is>
      </c>
      <c r="H3541" s="8" t="inlineStr">
        <is>
          <t>⏳ UPCOMING</t>
        </is>
      </c>
      <c r="I3541" s="4" t="inlineStr">
        <is>
          <t>Tender_2026_CEPWD_77991_1_All_Documents.zip</t>
        </is>
      </c>
      <c r="J3541" s="6" t="inlineStr">
        <is>
          <t>📦 ZIP Package</t>
        </is>
      </c>
      <c r="K3541" s="9" t="n">
        <v>30</v>
      </c>
      <c r="L3541" s="10">
        <f>HYPERLINK("http://127.0.0.1:8000/api/documents/download?id=2281&amp;attachment=true", "⬇ Download Tender_2026_CEPWD_77991_")</f>
        <v/>
      </c>
      <c r="M3541" s="10">
        <f>HYPERLINK("http://localhost:5173/?state=Tripura&amp;keyword=Development&amp;tender=2026_CEPWD_77991_1", "🚀 Open in Portal")</f>
        <v/>
      </c>
    </row>
    <row r="3542" ht="24" customHeight="1">
      <c r="A3542" s="11" t="inlineStr">
        <is>
          <t>Tripura</t>
        </is>
      </c>
      <c r="B3542" s="12" t="inlineStr">
        <is>
          <t>Development</t>
        </is>
      </c>
      <c r="C3542" s="13" t="inlineStr">
        <is>
          <t>2026_CEPWD_77997_1</t>
        </is>
      </c>
      <c r="D3542" s="14" t="inlineStr">
        <is>
          <t>[Development of road from Taxapara Ramnagar Charilam road to Indrakumar ADC village (L 2.180 km) (Portion from ch- 1.080 km to ch- 2.180 km L-1.10 km) Total PR Length- 1.10 km within Nalchar RD Block under the jurisdiction]</t>
        </is>
      </c>
      <c r="E3542" s="14" t="inlineStr">
        <is>
          <t>Tripura Public Works &amp; Technology Department</t>
        </is>
      </c>
      <c r="F3542" s="13" t="inlineStr">
        <is>
          <t>06 Aug 2026</t>
        </is>
      </c>
      <c r="G3542" s="12" t="inlineStr">
        <is>
          <t>27 Aug 2026</t>
        </is>
      </c>
      <c r="H3542" s="8" t="inlineStr">
        <is>
          <t>⏳ UPCOMING</t>
        </is>
      </c>
      <c r="I3542" s="11" t="inlineStr">
        <is>
          <t>Tendernotice_1.pdf</t>
        </is>
      </c>
      <c r="J3542" s="13" t="inlineStr">
        <is>
          <t>📕 PDF Document</t>
        </is>
      </c>
      <c r="K3542" s="15" t="n">
        <v>17.8</v>
      </c>
      <c r="L3542" s="16">
        <f>HYPERLINK("http://127.0.0.1:8000/api/documents/download?id=2303&amp;attachment=true", "⬇ Download Tendernotice_1.pdf")</f>
        <v/>
      </c>
      <c r="M3542" s="16">
        <f>HYPERLINK("http://localhost:5173/?state=Tripura&amp;keyword=Development&amp;tender=2026_CEPWD_77997_1", "🚀 Open in Portal")</f>
        <v/>
      </c>
    </row>
    <row r="3543" ht="24" customHeight="1">
      <c r="A3543" s="4" t="inlineStr">
        <is>
          <t>Tripura</t>
        </is>
      </c>
      <c r="B3543" s="5" t="inlineStr">
        <is>
          <t>Development</t>
        </is>
      </c>
      <c r="C3543" s="6" t="inlineStr">
        <is>
          <t>2026_CEPWD_77997_1</t>
        </is>
      </c>
      <c r="D3543" s="7" t="inlineStr">
        <is>
          <t>[Development of road from Taxapara Ramnagar Charilam road to Indrakumar ADC village (L 2.180 km) (Portion from ch- 1.080 km to ch- 2.180 km L-1.10 km) Total PR Length- 1.10 km within Nalchar RD Block under the jurisdiction]</t>
        </is>
      </c>
      <c r="E3543" s="7" t="inlineStr">
        <is>
          <t>Tripura Public Works &amp; Technology Department</t>
        </is>
      </c>
      <c r="F3543" s="6" t="inlineStr">
        <is>
          <t>06 Aug 2026</t>
        </is>
      </c>
      <c r="G3543" s="5" t="inlineStr">
        <is>
          <t>27 Aug 2026</t>
        </is>
      </c>
      <c r="H3543" s="8" t="inlineStr">
        <is>
          <t>⏳ UPCOMING</t>
        </is>
      </c>
      <c r="I3543" s="4" t="inlineStr">
        <is>
          <t>DNIeT72EE.pdf</t>
        </is>
      </c>
      <c r="J3543" s="6" t="inlineStr">
        <is>
          <t>📕 PDF Document</t>
        </is>
      </c>
      <c r="K3543" s="9" t="n">
        <v>17.8</v>
      </c>
      <c r="L3543" s="10">
        <f>HYPERLINK("http://127.0.0.1:8000/api/documents/download?id=2304&amp;attachment=true", "⬇ Download DNIeT72EE.pdf")</f>
        <v/>
      </c>
      <c r="M3543" s="10">
        <f>HYPERLINK("http://localhost:5173/?state=Tripura&amp;keyword=Development&amp;tender=2026_CEPWD_77997_1", "🚀 Open in Portal")</f>
        <v/>
      </c>
    </row>
    <row r="3544" ht="24" customHeight="1">
      <c r="A3544" s="11" t="inlineStr">
        <is>
          <t>Tripura</t>
        </is>
      </c>
      <c r="B3544" s="12" t="inlineStr">
        <is>
          <t>Development</t>
        </is>
      </c>
      <c r="C3544" s="13" t="inlineStr">
        <is>
          <t>2026_CEPWD_77997_1</t>
        </is>
      </c>
      <c r="D3544" s="14" t="inlineStr">
        <is>
          <t>[Development of road from Taxapara Ramnagar Charilam road to Indrakumar ADC village (L 2.180 km) (Portion from ch- 1.080 km to ch- 2.180 km L-1.10 km) Total PR Length- 1.10 km within Nalchar RD Block under the jurisdiction]</t>
        </is>
      </c>
      <c r="E3544" s="14" t="inlineStr">
        <is>
          <t>Tripura Public Works &amp; Technology Department</t>
        </is>
      </c>
      <c r="F3544" s="13" t="inlineStr">
        <is>
          <t>06 Aug 2026</t>
        </is>
      </c>
      <c r="G3544" s="12" t="inlineStr">
        <is>
          <t>27 Aug 2026</t>
        </is>
      </c>
      <c r="H3544" s="8" t="inlineStr">
        <is>
          <t>⏳ UPCOMING</t>
        </is>
      </c>
      <c r="I3544" s="11" t="inlineStr">
        <is>
          <t>BOQ_79396.xls</t>
        </is>
      </c>
      <c r="J3544" s="13" t="inlineStr">
        <is>
          <t>📊 Excel BOQ</t>
        </is>
      </c>
      <c r="K3544" s="15" t="n">
        <v>2.5</v>
      </c>
      <c r="L3544" s="16">
        <f>HYPERLINK("http://127.0.0.1:8000/api/documents/download?id=2305&amp;attachment=true", "⬇ Download BOQ_79396.xls")</f>
        <v/>
      </c>
      <c r="M3544" s="16">
        <f>HYPERLINK("http://localhost:5173/?state=Tripura&amp;keyword=Development&amp;tender=2026_CEPWD_77997_1", "🚀 Open in Portal")</f>
        <v/>
      </c>
    </row>
    <row r="3545" ht="24" customHeight="1">
      <c r="A3545" s="4" t="inlineStr">
        <is>
          <t>Tripura</t>
        </is>
      </c>
      <c r="B3545" s="5" t="inlineStr">
        <is>
          <t>Development</t>
        </is>
      </c>
      <c r="C3545" s="6" t="inlineStr">
        <is>
          <t>2026_CEPWD_77997_1</t>
        </is>
      </c>
      <c r="D3545" s="7" t="inlineStr">
        <is>
          <t>[Development of road from Taxapara Ramnagar Charilam road to Indrakumar ADC village (L 2.180 km) (Portion from ch- 1.080 km to ch- 2.180 km L-1.10 km) Total PR Length- 1.10 km within Nalchar RD Block under the jurisdiction]</t>
        </is>
      </c>
      <c r="E3545" s="7" t="inlineStr">
        <is>
          <t>Tripura Public Works &amp; Technology Department</t>
        </is>
      </c>
      <c r="F3545" s="6" t="inlineStr">
        <is>
          <t>06 Aug 2026</t>
        </is>
      </c>
      <c r="G3545" s="5" t="inlineStr">
        <is>
          <t>27 Aug 2026</t>
        </is>
      </c>
      <c r="H3545" s="8" t="inlineStr">
        <is>
          <t>⏳ UPCOMING</t>
        </is>
      </c>
      <c r="I3545" s="4" t="inlineStr">
        <is>
          <t>Addl72EE.pdf</t>
        </is>
      </c>
      <c r="J3545" s="6" t="inlineStr">
        <is>
          <t>📕 PDF Document</t>
        </is>
      </c>
      <c r="K3545" s="9" t="n">
        <v>17.8</v>
      </c>
      <c r="L3545" s="10">
        <f>HYPERLINK("http://127.0.0.1:8000/api/documents/download?id=2306&amp;attachment=true", "⬇ Download Addl72EE.pdf")</f>
        <v/>
      </c>
      <c r="M3545" s="10">
        <f>HYPERLINK("http://localhost:5173/?state=Tripura&amp;keyword=Development&amp;tender=2026_CEPWD_77997_1", "🚀 Open in Portal")</f>
        <v/>
      </c>
    </row>
    <row r="3546" ht="24" customHeight="1">
      <c r="A3546" s="11" t="inlineStr">
        <is>
          <t>Tripura</t>
        </is>
      </c>
      <c r="B3546" s="12" t="inlineStr">
        <is>
          <t>Development</t>
        </is>
      </c>
      <c r="C3546" s="13" t="inlineStr">
        <is>
          <t>2026_CEPWD_77997_1</t>
        </is>
      </c>
      <c r="D3546" s="14" t="inlineStr">
        <is>
          <t>[Development of road from Taxapara Ramnagar Charilam road to Indrakumar ADC village (L 2.180 km) (Portion from ch- 1.080 km to ch- 2.180 km L-1.10 km) Total PR Length- 1.10 km within Nalchar RD Block under the jurisdiction]</t>
        </is>
      </c>
      <c r="E3546" s="14" t="inlineStr">
        <is>
          <t>Tripura Public Works &amp; Technology Department</t>
        </is>
      </c>
      <c r="F3546" s="13" t="inlineStr">
        <is>
          <t>06 Aug 2026</t>
        </is>
      </c>
      <c r="G3546" s="12" t="inlineStr">
        <is>
          <t>27 Aug 2026</t>
        </is>
      </c>
      <c r="H3546" s="8" t="inlineStr">
        <is>
          <t>⏳ UPCOMING</t>
        </is>
      </c>
      <c r="I3546" s="11" t="inlineStr">
        <is>
          <t>Tender_2026_CEPWD_77997_1_All_Documents.zip</t>
        </is>
      </c>
      <c r="J3546" s="13" t="inlineStr">
        <is>
          <t>📦 ZIP Package</t>
        </is>
      </c>
      <c r="K3546" s="15" t="n">
        <v>30</v>
      </c>
      <c r="L3546" s="16">
        <f>HYPERLINK("http://127.0.0.1:8000/api/documents/download?id=2307&amp;attachment=true", "⬇ Download Tender_2026_CEPWD_77997_")</f>
        <v/>
      </c>
      <c r="M3546" s="16">
        <f>HYPERLINK("http://localhost:5173/?state=Tripura&amp;keyword=Development&amp;tender=2026_CEPWD_77997_1", "🚀 Open in Portal")</f>
        <v/>
      </c>
    </row>
    <row r="3547" ht="24" customHeight="1">
      <c r="A3547" s="4" t="inlineStr">
        <is>
          <t>Tripura</t>
        </is>
      </c>
      <c r="B3547" s="5" t="inlineStr">
        <is>
          <t>Development</t>
        </is>
      </c>
      <c r="C3547" s="6" t="inlineStr">
        <is>
          <t>2026_CEPWD_78001_1</t>
        </is>
      </c>
      <c r="D3547" s="7" t="inlineStr">
        <is>
          <t>[Development of road from Kalarbari to Dayalshing para (L-7.0 km) (Portion from ch-4.0 km to ch- 5.0 km, L- 1.0 km) Total PR Length1.0 km within Nalchar RD Block under the jurisdiction of Melaghar PWD (RandB) SubDivision during the FY 202627]</t>
        </is>
      </c>
      <c r="E3547" s="7" t="inlineStr">
        <is>
          <t>Tripura Public Works &amp; Technology Department</t>
        </is>
      </c>
      <c r="F3547" s="6" t="inlineStr">
        <is>
          <t>22 Oct 2026</t>
        </is>
      </c>
      <c r="G3547" s="5" t="inlineStr">
        <is>
          <t>12 Nov 2026</t>
        </is>
      </c>
      <c r="H3547" s="8" t="inlineStr">
        <is>
          <t>⏳ UPCOMING</t>
        </is>
      </c>
      <c r="I3547" s="4" t="inlineStr">
        <is>
          <t>Tendernotice_1.pdf</t>
        </is>
      </c>
      <c r="J3547" s="6" t="inlineStr">
        <is>
          <t>📕 PDF Document</t>
        </is>
      </c>
      <c r="K3547" s="9" t="n">
        <v>17.8</v>
      </c>
      <c r="L3547" s="10">
        <f>HYPERLINK("http://127.0.0.1:8000/api/documents/download?id=2290&amp;attachment=true", "⬇ Download Tendernotice_1.pdf")</f>
        <v/>
      </c>
      <c r="M3547" s="10">
        <f>HYPERLINK("http://localhost:5173/?state=Tripura&amp;keyword=Development&amp;tender=2026_CEPWD_78001_1", "🚀 Open in Portal")</f>
        <v/>
      </c>
    </row>
    <row r="3548" ht="24" customHeight="1">
      <c r="A3548" s="11" t="inlineStr">
        <is>
          <t>Tripura</t>
        </is>
      </c>
      <c r="B3548" s="12" t="inlineStr">
        <is>
          <t>Development</t>
        </is>
      </c>
      <c r="C3548" s="13" t="inlineStr">
        <is>
          <t>2026_CEPWD_78001_1</t>
        </is>
      </c>
      <c r="D3548" s="14" t="inlineStr">
        <is>
          <t>[Development of road from Kalarbari to Dayalshing para (L-7.0 km) (Portion from ch-4.0 km to ch- 5.0 km, L- 1.0 km) Total PR Length1.0 km within Nalchar RD Block under the jurisdiction of Melaghar PWD (RandB) SubDivision during the FY 202627]</t>
        </is>
      </c>
      <c r="E3548" s="14" t="inlineStr">
        <is>
          <t>Tripura Public Works &amp; Technology Department</t>
        </is>
      </c>
      <c r="F3548" s="13" t="inlineStr">
        <is>
          <t>22 Oct 2026</t>
        </is>
      </c>
      <c r="G3548" s="12" t="inlineStr">
        <is>
          <t>12 Nov 2026</t>
        </is>
      </c>
      <c r="H3548" s="8" t="inlineStr">
        <is>
          <t>⏳ UPCOMING</t>
        </is>
      </c>
      <c r="I3548" s="11" t="inlineStr">
        <is>
          <t>DNIeT73EE.pdf</t>
        </is>
      </c>
      <c r="J3548" s="13" t="inlineStr">
        <is>
          <t>📕 PDF Document</t>
        </is>
      </c>
      <c r="K3548" s="15" t="n">
        <v>17.8</v>
      </c>
      <c r="L3548" s="16">
        <f>HYPERLINK("http://127.0.0.1:8000/api/documents/download?id=2291&amp;attachment=true", "⬇ Download DNIeT73EE.pdf")</f>
        <v/>
      </c>
      <c r="M3548" s="16">
        <f>HYPERLINK("http://localhost:5173/?state=Tripura&amp;keyword=Development&amp;tender=2026_CEPWD_78001_1", "🚀 Open in Portal")</f>
        <v/>
      </c>
    </row>
    <row r="3549" ht="24" customHeight="1">
      <c r="A3549" s="4" t="inlineStr">
        <is>
          <t>Tripura</t>
        </is>
      </c>
      <c r="B3549" s="5" t="inlineStr">
        <is>
          <t>Development</t>
        </is>
      </c>
      <c r="C3549" s="6" t="inlineStr">
        <is>
          <t>2026_CEPWD_78001_1</t>
        </is>
      </c>
      <c r="D3549" s="7" t="inlineStr">
        <is>
          <t>[Development of road from Kalarbari to Dayalshing para (L-7.0 km) (Portion from ch-4.0 km to ch- 5.0 km, L- 1.0 km) Total PR Length1.0 km within Nalchar RD Block under the jurisdiction of Melaghar PWD (RandB) SubDivision during the FY 202627]</t>
        </is>
      </c>
      <c r="E3549" s="7" t="inlineStr">
        <is>
          <t>Tripura Public Works &amp; Technology Department</t>
        </is>
      </c>
      <c r="F3549" s="6" t="inlineStr">
        <is>
          <t>22 Oct 2026</t>
        </is>
      </c>
      <c r="G3549" s="5" t="inlineStr">
        <is>
          <t>12 Nov 2026</t>
        </is>
      </c>
      <c r="H3549" s="8" t="inlineStr">
        <is>
          <t>⏳ UPCOMING</t>
        </is>
      </c>
      <c r="I3549" s="4" t="inlineStr">
        <is>
          <t>BOQ_79399.xls</t>
        </is>
      </c>
      <c r="J3549" s="6" t="inlineStr">
        <is>
          <t>📊 Excel BOQ</t>
        </is>
      </c>
      <c r="K3549" s="9" t="n">
        <v>2.5</v>
      </c>
      <c r="L3549" s="10">
        <f>HYPERLINK("http://127.0.0.1:8000/api/documents/download?id=2292&amp;attachment=true", "⬇ Download BOQ_79399.xls")</f>
        <v/>
      </c>
      <c r="M3549" s="10">
        <f>HYPERLINK("http://localhost:5173/?state=Tripura&amp;keyword=Development&amp;tender=2026_CEPWD_78001_1", "🚀 Open in Portal")</f>
        <v/>
      </c>
    </row>
    <row r="3550" ht="24" customHeight="1">
      <c r="A3550" s="11" t="inlineStr">
        <is>
          <t>Tripura</t>
        </is>
      </c>
      <c r="B3550" s="12" t="inlineStr">
        <is>
          <t>Development</t>
        </is>
      </c>
      <c r="C3550" s="13" t="inlineStr">
        <is>
          <t>2026_CEPWD_78001_1</t>
        </is>
      </c>
      <c r="D3550" s="14" t="inlineStr">
        <is>
          <t>[Development of road from Kalarbari to Dayalshing para (L-7.0 km) (Portion from ch-4.0 km to ch- 5.0 km, L- 1.0 km) Total PR Length1.0 km within Nalchar RD Block under the jurisdiction of Melaghar PWD (RandB) SubDivision during the FY 202627]</t>
        </is>
      </c>
      <c r="E3550" s="14" t="inlineStr">
        <is>
          <t>Tripura Public Works &amp; Technology Department</t>
        </is>
      </c>
      <c r="F3550" s="13" t="inlineStr">
        <is>
          <t>22 Oct 2026</t>
        </is>
      </c>
      <c r="G3550" s="12" t="inlineStr">
        <is>
          <t>12 Nov 2026</t>
        </is>
      </c>
      <c r="H3550" s="8" t="inlineStr">
        <is>
          <t>⏳ UPCOMING</t>
        </is>
      </c>
      <c r="I3550" s="11" t="inlineStr">
        <is>
          <t>Addl73EE.pdf</t>
        </is>
      </c>
      <c r="J3550" s="13" t="inlineStr">
        <is>
          <t>📕 PDF Document</t>
        </is>
      </c>
      <c r="K3550" s="15" t="n">
        <v>17.8</v>
      </c>
      <c r="L3550" s="16">
        <f>HYPERLINK("http://127.0.0.1:8000/api/documents/download?id=2293&amp;attachment=true", "⬇ Download Addl73EE.pdf")</f>
        <v/>
      </c>
      <c r="M3550" s="16">
        <f>HYPERLINK("http://localhost:5173/?state=Tripura&amp;keyword=Development&amp;tender=2026_CEPWD_78001_1", "🚀 Open in Portal")</f>
        <v/>
      </c>
    </row>
    <row r="3551" ht="24" customHeight="1">
      <c r="A3551" s="4" t="inlineStr">
        <is>
          <t>Tripura</t>
        </is>
      </c>
      <c r="B3551" s="5" t="inlineStr">
        <is>
          <t>Development</t>
        </is>
      </c>
      <c r="C3551" s="6" t="inlineStr">
        <is>
          <t>2026_CEPWD_78001_1</t>
        </is>
      </c>
      <c r="D3551" s="7" t="inlineStr">
        <is>
          <t>[Development of road from Kalarbari to Dayalshing para (L-7.0 km) (Portion from ch-4.0 km to ch- 5.0 km, L- 1.0 km) Total PR Length1.0 km within Nalchar RD Block under the jurisdiction of Melaghar PWD (RandB) SubDivision during the FY 202627]</t>
        </is>
      </c>
      <c r="E3551" s="7" t="inlineStr">
        <is>
          <t>Tripura Public Works &amp; Technology Department</t>
        </is>
      </c>
      <c r="F3551" s="6" t="inlineStr">
        <is>
          <t>22 Oct 2026</t>
        </is>
      </c>
      <c r="G3551" s="5" t="inlineStr">
        <is>
          <t>12 Nov 2026</t>
        </is>
      </c>
      <c r="H3551" s="8" t="inlineStr">
        <is>
          <t>⏳ UPCOMING</t>
        </is>
      </c>
      <c r="I3551" s="4" t="inlineStr">
        <is>
          <t>Tender_2026_CEPWD_78001_1_All_Documents.zip</t>
        </is>
      </c>
      <c r="J3551" s="6" t="inlineStr">
        <is>
          <t>📦 ZIP Package</t>
        </is>
      </c>
      <c r="K3551" s="9" t="n">
        <v>30.1</v>
      </c>
      <c r="L3551" s="10">
        <f>HYPERLINK("http://127.0.0.1:8000/api/documents/download?id=2294&amp;attachment=true", "⬇ Download Tender_2026_CEPWD_78001_")</f>
        <v/>
      </c>
      <c r="M3551" s="10">
        <f>HYPERLINK("http://localhost:5173/?state=Tripura&amp;keyword=Development&amp;tender=2026_CEPWD_78001_1", "🚀 Open in Portal")</f>
        <v/>
      </c>
    </row>
    <row r="3552" ht="24" customHeight="1">
      <c r="A3552" s="11" t="inlineStr">
        <is>
          <t>Tripura</t>
        </is>
      </c>
      <c r="B3552" s="12" t="inlineStr">
        <is>
          <t>Development</t>
        </is>
      </c>
      <c r="C3552" s="13" t="inlineStr">
        <is>
          <t>2026_CEPWD_78010_1</t>
        </is>
      </c>
      <c r="D3552" s="14" t="inlineStr">
        <is>
          <t>[Infrastructure Development of Sepahijala HS School Sepahijala District Tripura sanctioned under RIDFXXIX SH Building portion including internal water supply sanitary installation sewage and drainage works Providing internal electrification thereof]</t>
        </is>
      </c>
      <c r="E3552" s="14" t="inlineStr">
        <is>
          <t>Tripura Public Works &amp; Technology Department</t>
        </is>
      </c>
      <c r="F3552" s="13" t="inlineStr">
        <is>
          <t>13 Oct 2026</t>
        </is>
      </c>
      <c r="G3552" s="12" t="inlineStr">
        <is>
          <t>22 Oct 2026</t>
        </is>
      </c>
      <c r="H3552" s="18" t="inlineStr">
        <is>
          <t>⚠️ CLOSING SOON</t>
        </is>
      </c>
      <c r="I3552" s="11" t="inlineStr">
        <is>
          <t>Tendernotice_1.pdf</t>
        </is>
      </c>
      <c r="J3552" s="13" t="inlineStr">
        <is>
          <t>📕 PDF Document</t>
        </is>
      </c>
      <c r="K3552" s="15" t="n">
        <v>17.8</v>
      </c>
      <c r="L3552" s="16">
        <f>HYPERLINK("http://127.0.0.1:8000/api/documents/download?id=2269&amp;attachment=true", "⬇ Download Tendernotice_1.pdf")</f>
        <v/>
      </c>
      <c r="M3552" s="16">
        <f>HYPERLINK("http://localhost:5173/?state=Tripura&amp;keyword=Development&amp;tender=2026_CEPWD_78010_1", "🚀 Open in Portal")</f>
        <v/>
      </c>
    </row>
    <row r="3553" ht="24" customHeight="1">
      <c r="A3553" s="4" t="inlineStr">
        <is>
          <t>Tripura</t>
        </is>
      </c>
      <c r="B3553" s="5" t="inlineStr">
        <is>
          <t>Development</t>
        </is>
      </c>
      <c r="C3553" s="6" t="inlineStr">
        <is>
          <t>2026_CEPWD_78010_1</t>
        </is>
      </c>
      <c r="D3553" s="7" t="inlineStr">
        <is>
          <t>[Infrastructure Development of Sepahijala HS School Sepahijala District Tripura sanctioned under RIDFXXIX SH Building portion including internal water supply sanitary installation sewage and drainage works Providing internal electrification thereof]</t>
        </is>
      </c>
      <c r="E3553" s="7" t="inlineStr">
        <is>
          <t>Tripura Public Works &amp; Technology Department</t>
        </is>
      </c>
      <c r="F3553" s="6" t="inlineStr">
        <is>
          <t>13 Oct 2026</t>
        </is>
      </c>
      <c r="G3553" s="5" t="inlineStr">
        <is>
          <t>22 Oct 2026</t>
        </is>
      </c>
      <c r="H3553" s="18" t="inlineStr">
        <is>
          <t>⚠️ CLOSING SOON</t>
        </is>
      </c>
      <c r="I3553" s="4" t="inlineStr">
        <is>
          <t>DNIeT112.pdf</t>
        </is>
      </c>
      <c r="J3553" s="6" t="inlineStr">
        <is>
          <t>📕 PDF Document</t>
        </is>
      </c>
      <c r="K3553" s="9" t="n">
        <v>17.8</v>
      </c>
      <c r="L3553" s="10">
        <f>HYPERLINK("http://127.0.0.1:8000/api/documents/download?id=2270&amp;attachment=true", "⬇ Download DNIeT112.pdf")</f>
        <v/>
      </c>
      <c r="M3553" s="10">
        <f>HYPERLINK("http://localhost:5173/?state=Tripura&amp;keyword=Development&amp;tender=2026_CEPWD_78010_1", "🚀 Open in Portal")</f>
        <v/>
      </c>
    </row>
    <row r="3554" ht="24" customHeight="1">
      <c r="A3554" s="11" t="inlineStr">
        <is>
          <t>Tripura</t>
        </is>
      </c>
      <c r="B3554" s="12" t="inlineStr">
        <is>
          <t>Development</t>
        </is>
      </c>
      <c r="C3554" s="13" t="inlineStr">
        <is>
          <t>2026_CEPWD_78010_1</t>
        </is>
      </c>
      <c r="D3554" s="14" t="inlineStr">
        <is>
          <t>[Infrastructure Development of Sepahijala HS School Sepahijala District Tripura sanctioned under RIDFXXIX SH Building portion including internal water supply sanitary installation sewage and drainage works Providing internal electrification thereof]</t>
        </is>
      </c>
      <c r="E3554" s="14" t="inlineStr">
        <is>
          <t>Tripura Public Works &amp; Technology Department</t>
        </is>
      </c>
      <c r="F3554" s="13" t="inlineStr">
        <is>
          <t>13 Oct 2026</t>
        </is>
      </c>
      <c r="G3554" s="12" t="inlineStr">
        <is>
          <t>22 Oct 2026</t>
        </is>
      </c>
      <c r="H3554" s="18" t="inlineStr">
        <is>
          <t>⚠️ CLOSING SOON</t>
        </is>
      </c>
      <c r="I3554" s="11" t="inlineStr">
        <is>
          <t>BOQ_79409.xls</t>
        </is>
      </c>
      <c r="J3554" s="13" t="inlineStr">
        <is>
          <t>📊 Excel BOQ</t>
        </is>
      </c>
      <c r="K3554" s="15" t="n">
        <v>2.5</v>
      </c>
      <c r="L3554" s="16">
        <f>HYPERLINK("http://127.0.0.1:8000/api/documents/download?id=2271&amp;attachment=true", "⬇ Download BOQ_79409.xls")</f>
        <v/>
      </c>
      <c r="M3554" s="16">
        <f>HYPERLINK("http://localhost:5173/?state=Tripura&amp;keyword=Development&amp;tender=2026_CEPWD_78010_1", "🚀 Open in Portal")</f>
        <v/>
      </c>
    </row>
    <row r="3555" ht="24" customHeight="1">
      <c r="A3555" s="4" t="inlineStr">
        <is>
          <t>Tripura</t>
        </is>
      </c>
      <c r="B3555" s="5" t="inlineStr">
        <is>
          <t>Development</t>
        </is>
      </c>
      <c r="C3555" s="6" t="inlineStr">
        <is>
          <t>2026_CEPWD_78010_1</t>
        </is>
      </c>
      <c r="D3555" s="7" t="inlineStr">
        <is>
          <t>[Infrastructure Development of Sepahijala HS School Sepahijala District Tripura sanctioned under RIDFXXIX SH Building portion including internal water supply sanitary installation sewage and drainage works Providing internal electrification thereof]</t>
        </is>
      </c>
      <c r="E3555" s="7" t="inlineStr">
        <is>
          <t>Tripura Public Works &amp; Technology Department</t>
        </is>
      </c>
      <c r="F3555" s="6" t="inlineStr">
        <is>
          <t>13 Oct 2026</t>
        </is>
      </c>
      <c r="G3555" s="5" t="inlineStr">
        <is>
          <t>22 Oct 2026</t>
        </is>
      </c>
      <c r="H3555" s="18" t="inlineStr">
        <is>
          <t>⚠️ CLOSING SOON</t>
        </is>
      </c>
      <c r="I3555" s="4" t="inlineStr">
        <is>
          <t>Tender_2026_CEPWD_78010_1_All_Documents.zip</t>
        </is>
      </c>
      <c r="J3555" s="6" t="inlineStr">
        <is>
          <t>📦 ZIP Package</t>
        </is>
      </c>
      <c r="K3555" s="9" t="n">
        <v>20.8</v>
      </c>
      <c r="L3555" s="10">
        <f>HYPERLINK("http://127.0.0.1:8000/api/documents/download?id=2272&amp;attachment=true", "⬇ Download Tender_2026_CEPWD_78010_")</f>
        <v/>
      </c>
      <c r="M3555" s="10">
        <f>HYPERLINK("http://localhost:5173/?state=Tripura&amp;keyword=Development&amp;tender=2026_CEPWD_78010_1", "🚀 Open in Portal")</f>
        <v/>
      </c>
    </row>
    <row r="3556" ht="24" customHeight="1">
      <c r="A3556" s="11" t="inlineStr">
        <is>
          <t>Uttar Pradesh</t>
        </is>
      </c>
      <c r="B3556" s="12" t="inlineStr">
        <is>
          <t>GIS</t>
        </is>
      </c>
      <c r="C3556" s="13" t="inlineStr">
        <is>
          <t>2026_CEJNS_1194861_1</t>
        </is>
      </c>
      <c r="D3556" s="14" t="inlineStr">
        <is>
          <t>[Under the Dr. BR Ambedkar Murti Vikas Yojana in Legislative Assembly Orai, beautification work of Maharishi Sant Ravidas site in Nagar Palika Parishad Orai]</t>
        </is>
      </c>
      <c r="E3556" s="14" t="inlineStr">
        <is>
          <t>Uttar Pradesh Public Works &amp; Technology Department</t>
        </is>
      </c>
      <c r="F3556" s="13" t="inlineStr">
        <is>
          <t>26 Jul 2026</t>
        </is>
      </c>
      <c r="G3556" s="12" t="inlineStr">
        <is>
          <t>17 Aug 2026</t>
        </is>
      </c>
      <c r="H3556" s="8" t="inlineStr">
        <is>
          <t>⏳ UPCOMING</t>
        </is>
      </c>
      <c r="I3556" s="11" t="inlineStr">
        <is>
          <t>Tendernotice_1.pdf</t>
        </is>
      </c>
      <c r="J3556" s="13" t="inlineStr">
        <is>
          <t>📕 PDF Document</t>
        </is>
      </c>
      <c r="K3556" s="15" t="n">
        <v>17.9</v>
      </c>
      <c r="L3556" s="16">
        <f>HYPERLINK("http://127.0.0.1:8000/api/documents/download?id=828&amp;attachment=true", "⬇ Download Tendernotice_1.pdf")</f>
        <v/>
      </c>
      <c r="M3556" s="16">
        <f>HYPERLINK("http://localhost:5173/?state=Uttar%20Pradesh&amp;keyword=GIS&amp;tender=2026_CEJNS_1194861_1", "🚀 Open in Portal")</f>
        <v/>
      </c>
    </row>
    <row r="3557" ht="24" customHeight="1">
      <c r="A3557" s="4" t="inlineStr">
        <is>
          <t>Uttar Pradesh</t>
        </is>
      </c>
      <c r="B3557" s="5" t="inlineStr">
        <is>
          <t>GIS</t>
        </is>
      </c>
      <c r="C3557" s="6" t="inlineStr">
        <is>
          <t>2026_CEJNS_1194861_1</t>
        </is>
      </c>
      <c r="D3557" s="7" t="inlineStr">
        <is>
          <t>[Under the Dr. BR Ambedkar Murti Vikas Yojana in Legislative Assembly Orai, beautification work of Maharishi Sant Ravidas site in Nagar Palika Parishad Orai]</t>
        </is>
      </c>
      <c r="E3557" s="7" t="inlineStr">
        <is>
          <t>Uttar Pradesh Public Works &amp; Technology Department</t>
        </is>
      </c>
      <c r="F3557" s="6" t="inlineStr">
        <is>
          <t>26 Jul 2026</t>
        </is>
      </c>
      <c r="G3557" s="5" t="inlineStr">
        <is>
          <t>17 Aug 2026</t>
        </is>
      </c>
      <c r="H3557" s="8" t="inlineStr">
        <is>
          <t>⏳ UPCOMING</t>
        </is>
      </c>
      <c r="I3557" s="4" t="inlineStr">
        <is>
          <t>T1.pdf</t>
        </is>
      </c>
      <c r="J3557" s="6" t="inlineStr">
        <is>
          <t>📕 PDF Document</t>
        </is>
      </c>
      <c r="K3557" s="9" t="n">
        <v>17.8</v>
      </c>
      <c r="L3557" s="10">
        <f>HYPERLINK("http://127.0.0.1:8000/api/documents/download?id=829&amp;attachment=true", "⬇ Download T1.pdf")</f>
        <v/>
      </c>
      <c r="M3557" s="10">
        <f>HYPERLINK("http://localhost:5173/?state=Uttar%20Pradesh&amp;keyword=GIS&amp;tender=2026_CEJNS_1194861_1", "🚀 Open in Portal")</f>
        <v/>
      </c>
    </row>
    <row r="3558" ht="24" customHeight="1">
      <c r="A3558" s="11" t="inlineStr">
        <is>
          <t>Uttar Pradesh</t>
        </is>
      </c>
      <c r="B3558" s="12" t="inlineStr">
        <is>
          <t>GIS</t>
        </is>
      </c>
      <c r="C3558" s="13" t="inlineStr">
        <is>
          <t>2026_CEJNS_1194861_1</t>
        </is>
      </c>
      <c r="D3558" s="14" t="inlineStr">
        <is>
          <t>[Under the Dr. BR Ambedkar Murti Vikas Yojana in Legislative Assembly Orai, beautification work of Maharishi Sant Ravidas site in Nagar Palika Parishad Orai]</t>
        </is>
      </c>
      <c r="E3558" s="14" t="inlineStr">
        <is>
          <t>Uttar Pradesh Public Works &amp; Technology Department</t>
        </is>
      </c>
      <c r="F3558" s="13" t="inlineStr">
        <is>
          <t>26 Jul 2026</t>
        </is>
      </c>
      <c r="G3558" s="12" t="inlineStr">
        <is>
          <t>17 Aug 2026</t>
        </is>
      </c>
      <c r="H3558" s="8" t="inlineStr">
        <is>
          <t>⏳ UPCOMING</t>
        </is>
      </c>
      <c r="I3558" s="11" t="inlineStr">
        <is>
          <t>BOQ_2256214.xls</t>
        </is>
      </c>
      <c r="J3558" s="13" t="inlineStr">
        <is>
          <t>📊 Excel BOQ</t>
        </is>
      </c>
      <c r="K3558" s="15" t="n">
        <v>2.5</v>
      </c>
      <c r="L3558" s="16">
        <f>HYPERLINK("http://127.0.0.1:8000/api/documents/download?id=830&amp;attachment=true", "⬇ Download BOQ_2256214.xls")</f>
        <v/>
      </c>
      <c r="M3558" s="16">
        <f>HYPERLINK("http://localhost:5173/?state=Uttar%20Pradesh&amp;keyword=GIS&amp;tender=2026_CEJNS_1194861_1", "🚀 Open in Portal")</f>
        <v/>
      </c>
    </row>
    <row r="3559" ht="24" customHeight="1">
      <c r="A3559" s="4" t="inlineStr">
        <is>
          <t>Uttar Pradesh</t>
        </is>
      </c>
      <c r="B3559" s="5" t="inlineStr">
        <is>
          <t>GIS</t>
        </is>
      </c>
      <c r="C3559" s="6" t="inlineStr">
        <is>
          <t>2026_CEJNS_1194861_1</t>
        </is>
      </c>
      <c r="D3559" s="7" t="inlineStr">
        <is>
          <t>[Under the Dr. BR Ambedkar Murti Vikas Yojana in Legislative Assembly Orai, beautification work of Maharishi Sant Ravidas site in Nagar Palika Parishad Orai]</t>
        </is>
      </c>
      <c r="E3559" s="7" t="inlineStr">
        <is>
          <t>Uttar Pradesh Public Works &amp; Technology Department</t>
        </is>
      </c>
      <c r="F3559" s="6" t="inlineStr">
        <is>
          <t>26 Jul 2026</t>
        </is>
      </c>
      <c r="G3559" s="5" t="inlineStr">
        <is>
          <t>17 Aug 2026</t>
        </is>
      </c>
      <c r="H3559" s="8" t="inlineStr">
        <is>
          <t>⏳ UPCOMING</t>
        </is>
      </c>
      <c r="I3559" s="4" t="inlineStr">
        <is>
          <t>Tender_2026_CEJNS_1194861_1_All_Documents.zip</t>
        </is>
      </c>
      <c r="J3559" s="6" t="inlineStr">
        <is>
          <t>📦 ZIP Package</t>
        </is>
      </c>
      <c r="K3559" s="9" t="n">
        <v>20.9</v>
      </c>
      <c r="L3559" s="10">
        <f>HYPERLINK("http://127.0.0.1:8000/api/documents/download?id=831&amp;attachment=true", "⬇ Download Tender_2026_CEJNS_119486")</f>
        <v/>
      </c>
      <c r="M3559" s="10">
        <f>HYPERLINK("http://localhost:5173/?state=Uttar%20Pradesh&amp;keyword=GIS&amp;tender=2026_CEJNS_1194861_1", "🚀 Open in Portal")</f>
        <v/>
      </c>
    </row>
    <row r="3560" ht="24" customHeight="1">
      <c r="A3560" s="11" t="inlineStr">
        <is>
          <t>Uttar Pradesh</t>
        </is>
      </c>
      <c r="B3560" s="12" t="inlineStr">
        <is>
          <t>GIS</t>
        </is>
      </c>
      <c r="C3560" s="13" t="inlineStr">
        <is>
          <t>2026_CEJNS_1194861_10</t>
        </is>
      </c>
      <c r="D3560" s="14" t="inlineStr">
        <is>
          <t>[Under the Dr. BR Ambedkar Murti Vikas Yojana in Legislative Assembly Orai, work of beautification of Beer Abhai Murti site in Gram Sabha Ramnagar]</t>
        </is>
      </c>
      <c r="E3560" s="14" t="inlineStr">
        <is>
          <t>Uttar Pradesh Public Works &amp; Technology Department</t>
        </is>
      </c>
      <c r="F3560" s="13" t="inlineStr">
        <is>
          <t>04 Sep 2026</t>
        </is>
      </c>
      <c r="G3560" s="12" t="inlineStr">
        <is>
          <t>04 Oct 2026</t>
        </is>
      </c>
      <c r="H3560" s="8" t="inlineStr">
        <is>
          <t>⏳ UPCOMING</t>
        </is>
      </c>
      <c r="I3560" s="11" t="inlineStr">
        <is>
          <t>Tendernotice_1.pdf</t>
        </is>
      </c>
      <c r="J3560" s="13" t="inlineStr">
        <is>
          <t>📕 PDF Document</t>
        </is>
      </c>
      <c r="K3560" s="15" t="n">
        <v>17.9</v>
      </c>
      <c r="L3560" s="16">
        <f>HYPERLINK("http://127.0.0.1:8000/api/documents/download?id=792&amp;attachment=true", "⬇ Download Tendernotice_1.pdf")</f>
        <v/>
      </c>
      <c r="M3560" s="16">
        <f>HYPERLINK("http://localhost:5173/?state=Uttar%20Pradesh&amp;keyword=GIS&amp;tender=2026_CEJNS_1194861_10", "🚀 Open in Portal")</f>
        <v/>
      </c>
    </row>
    <row r="3561" ht="24" customHeight="1">
      <c r="A3561" s="4" t="inlineStr">
        <is>
          <t>Uttar Pradesh</t>
        </is>
      </c>
      <c r="B3561" s="5" t="inlineStr">
        <is>
          <t>GIS</t>
        </is>
      </c>
      <c r="C3561" s="6" t="inlineStr">
        <is>
          <t>2026_CEJNS_1194861_10</t>
        </is>
      </c>
      <c r="D3561" s="7" t="inlineStr">
        <is>
          <t>[Under the Dr. BR Ambedkar Murti Vikas Yojana in Legislative Assembly Orai, work of beautification of Beer Abhai Murti site in Gram Sabha Ramnagar]</t>
        </is>
      </c>
      <c r="E3561" s="7" t="inlineStr">
        <is>
          <t>Uttar Pradesh Public Works &amp; Technology Department</t>
        </is>
      </c>
      <c r="F3561" s="6" t="inlineStr">
        <is>
          <t>04 Sep 2026</t>
        </is>
      </c>
      <c r="G3561" s="5" t="inlineStr">
        <is>
          <t>04 Oct 2026</t>
        </is>
      </c>
      <c r="H3561" s="8" t="inlineStr">
        <is>
          <t>⏳ UPCOMING</t>
        </is>
      </c>
      <c r="I3561" s="4" t="inlineStr">
        <is>
          <t>T1.pdf</t>
        </is>
      </c>
      <c r="J3561" s="6" t="inlineStr">
        <is>
          <t>📕 PDF Document</t>
        </is>
      </c>
      <c r="K3561" s="9" t="n">
        <v>17.9</v>
      </c>
      <c r="L3561" s="10">
        <f>HYPERLINK("http://127.0.0.1:8000/api/documents/download?id=793&amp;attachment=true", "⬇ Download T1.pdf")</f>
        <v/>
      </c>
      <c r="M3561" s="10">
        <f>HYPERLINK("http://localhost:5173/?state=Uttar%20Pradesh&amp;keyword=GIS&amp;tender=2026_CEJNS_1194861_10", "🚀 Open in Portal")</f>
        <v/>
      </c>
    </row>
    <row r="3562" ht="24" customHeight="1">
      <c r="A3562" s="11" t="inlineStr">
        <is>
          <t>Uttar Pradesh</t>
        </is>
      </c>
      <c r="B3562" s="12" t="inlineStr">
        <is>
          <t>GIS</t>
        </is>
      </c>
      <c r="C3562" s="13" t="inlineStr">
        <is>
          <t>2026_CEJNS_1194861_10</t>
        </is>
      </c>
      <c r="D3562" s="14" t="inlineStr">
        <is>
          <t>[Under the Dr. BR Ambedkar Murti Vikas Yojana in Legislative Assembly Orai, work of beautification of Beer Abhai Murti site in Gram Sabha Ramnagar]</t>
        </is>
      </c>
      <c r="E3562" s="14" t="inlineStr">
        <is>
          <t>Uttar Pradesh Public Works &amp; Technology Department</t>
        </is>
      </c>
      <c r="F3562" s="13" t="inlineStr">
        <is>
          <t>04 Sep 2026</t>
        </is>
      </c>
      <c r="G3562" s="12" t="inlineStr">
        <is>
          <t>04 Oct 2026</t>
        </is>
      </c>
      <c r="H3562" s="8" t="inlineStr">
        <is>
          <t>⏳ UPCOMING</t>
        </is>
      </c>
      <c r="I3562" s="11" t="inlineStr">
        <is>
          <t>BOQ_2256369.xls</t>
        </is>
      </c>
      <c r="J3562" s="13" t="inlineStr">
        <is>
          <t>📊 Excel BOQ</t>
        </is>
      </c>
      <c r="K3562" s="15" t="n">
        <v>2.5</v>
      </c>
      <c r="L3562" s="16">
        <f>HYPERLINK("http://127.0.0.1:8000/api/documents/download?id=794&amp;attachment=true", "⬇ Download BOQ_2256369.xls")</f>
        <v/>
      </c>
      <c r="M3562" s="16">
        <f>HYPERLINK("http://localhost:5173/?state=Uttar%20Pradesh&amp;keyword=GIS&amp;tender=2026_CEJNS_1194861_10", "🚀 Open in Portal")</f>
        <v/>
      </c>
    </row>
    <row r="3563" ht="24" customHeight="1">
      <c r="A3563" s="4" t="inlineStr">
        <is>
          <t>Uttar Pradesh</t>
        </is>
      </c>
      <c r="B3563" s="5" t="inlineStr">
        <is>
          <t>GIS</t>
        </is>
      </c>
      <c r="C3563" s="6" t="inlineStr">
        <is>
          <t>2026_CEJNS_1194861_10</t>
        </is>
      </c>
      <c r="D3563" s="7" t="inlineStr">
        <is>
          <t>[Under the Dr. BR Ambedkar Murti Vikas Yojana in Legislative Assembly Orai, work of beautification of Beer Abhai Murti site in Gram Sabha Ramnagar]</t>
        </is>
      </c>
      <c r="E3563" s="7" t="inlineStr">
        <is>
          <t>Uttar Pradesh Public Works &amp; Technology Department</t>
        </is>
      </c>
      <c r="F3563" s="6" t="inlineStr">
        <is>
          <t>04 Sep 2026</t>
        </is>
      </c>
      <c r="G3563" s="5" t="inlineStr">
        <is>
          <t>04 Oct 2026</t>
        </is>
      </c>
      <c r="H3563" s="8" t="inlineStr">
        <is>
          <t>⏳ UPCOMING</t>
        </is>
      </c>
      <c r="I3563" s="4" t="inlineStr">
        <is>
          <t>Tender_2026_CEJNS_1194861_10_All_Documents.zip</t>
        </is>
      </c>
      <c r="J3563" s="6" t="inlineStr">
        <is>
          <t>📦 ZIP Package</t>
        </is>
      </c>
      <c r="K3563" s="9" t="n">
        <v>20.9</v>
      </c>
      <c r="L3563" s="10">
        <f>HYPERLINK("http://127.0.0.1:8000/api/documents/download?id=795&amp;attachment=true", "⬇ Download Tender_2026_CEJNS_119486")</f>
        <v/>
      </c>
      <c r="M3563" s="10">
        <f>HYPERLINK("http://localhost:5173/?state=Uttar%20Pradesh&amp;keyword=GIS&amp;tender=2026_CEJNS_1194861_10", "🚀 Open in Portal")</f>
        <v/>
      </c>
    </row>
    <row r="3564" ht="24" customHeight="1">
      <c r="A3564" s="11" t="inlineStr">
        <is>
          <t>Uttar Pradesh</t>
        </is>
      </c>
      <c r="B3564" s="12" t="inlineStr">
        <is>
          <t>GIS</t>
        </is>
      </c>
      <c r="C3564" s="13" t="inlineStr">
        <is>
          <t>2026_CEJNS_1194861_11</t>
        </is>
      </c>
      <c r="D3564" s="14" t="inlineStr">
        <is>
          <t>[Beautification work of Ambedkar Park site in Gram Sabha Maghapur (Madaiya) under Dr. BR Ambedkar Statue Development Scheme in Legislative Assembly Kalpi]</t>
        </is>
      </c>
      <c r="E3564" s="14" t="inlineStr">
        <is>
          <t>Uttar Pradesh Public Works &amp; Technology Department</t>
        </is>
      </c>
      <c r="F3564" s="13" t="inlineStr">
        <is>
          <t>23 Sep 2026</t>
        </is>
      </c>
      <c r="G3564" s="12" t="inlineStr">
        <is>
          <t>18 Oct 2026</t>
        </is>
      </c>
      <c r="H3564" s="8" t="inlineStr">
        <is>
          <t>⏳ UPCOMING</t>
        </is>
      </c>
      <c r="I3564" s="11" t="inlineStr">
        <is>
          <t>Tendernotice_1.pdf</t>
        </is>
      </c>
      <c r="J3564" s="13" t="inlineStr">
        <is>
          <t>📕 PDF Document</t>
        </is>
      </c>
      <c r="K3564" s="15" t="n">
        <v>17.9</v>
      </c>
      <c r="L3564" s="16">
        <f>HYPERLINK("http://127.0.0.1:8000/api/documents/download?id=820&amp;attachment=true", "⬇ Download Tendernotice_1.pdf")</f>
        <v/>
      </c>
      <c r="M3564" s="16">
        <f>HYPERLINK("http://localhost:5173/?state=Uttar%20Pradesh&amp;keyword=GIS&amp;tender=2026_CEJNS_1194861_11", "🚀 Open in Portal")</f>
        <v/>
      </c>
    </row>
    <row r="3565" ht="24" customHeight="1">
      <c r="A3565" s="4" t="inlineStr">
        <is>
          <t>Uttar Pradesh</t>
        </is>
      </c>
      <c r="B3565" s="5" t="inlineStr">
        <is>
          <t>GIS</t>
        </is>
      </c>
      <c r="C3565" s="6" t="inlineStr">
        <is>
          <t>2026_CEJNS_1194861_11</t>
        </is>
      </c>
      <c r="D3565" s="7" t="inlineStr">
        <is>
          <t>[Beautification work of Ambedkar Park site in Gram Sabha Maghapur (Madaiya) under Dr. BR Ambedkar Statue Development Scheme in Legislative Assembly Kalpi]</t>
        </is>
      </c>
      <c r="E3565" s="7" t="inlineStr">
        <is>
          <t>Uttar Pradesh Public Works &amp; Technology Department</t>
        </is>
      </c>
      <c r="F3565" s="6" t="inlineStr">
        <is>
          <t>23 Sep 2026</t>
        </is>
      </c>
      <c r="G3565" s="5" t="inlineStr">
        <is>
          <t>18 Oct 2026</t>
        </is>
      </c>
      <c r="H3565" s="8" t="inlineStr">
        <is>
          <t>⏳ UPCOMING</t>
        </is>
      </c>
      <c r="I3565" s="4" t="inlineStr">
        <is>
          <t>T1.pdf</t>
        </is>
      </c>
      <c r="J3565" s="6" t="inlineStr">
        <is>
          <t>📕 PDF Document</t>
        </is>
      </c>
      <c r="K3565" s="9" t="n">
        <v>17.9</v>
      </c>
      <c r="L3565" s="10">
        <f>HYPERLINK("http://127.0.0.1:8000/api/documents/download?id=821&amp;attachment=true", "⬇ Download T1.pdf")</f>
        <v/>
      </c>
      <c r="M3565" s="10">
        <f>HYPERLINK("http://localhost:5173/?state=Uttar%20Pradesh&amp;keyword=GIS&amp;tender=2026_CEJNS_1194861_11", "🚀 Open in Portal")</f>
        <v/>
      </c>
    </row>
    <row r="3566" ht="24" customHeight="1">
      <c r="A3566" s="11" t="inlineStr">
        <is>
          <t>Uttar Pradesh</t>
        </is>
      </c>
      <c r="B3566" s="12" t="inlineStr">
        <is>
          <t>GIS</t>
        </is>
      </c>
      <c r="C3566" s="13" t="inlineStr">
        <is>
          <t>2026_CEJNS_1194861_11</t>
        </is>
      </c>
      <c r="D3566" s="14" t="inlineStr">
        <is>
          <t>[Beautification work of Ambedkar Park site in Gram Sabha Maghapur (Madaiya) under Dr. BR Ambedkar Statue Development Scheme in Legislative Assembly Kalpi]</t>
        </is>
      </c>
      <c r="E3566" s="14" t="inlineStr">
        <is>
          <t>Uttar Pradesh Public Works &amp; Technology Department</t>
        </is>
      </c>
      <c r="F3566" s="13" t="inlineStr">
        <is>
          <t>23 Sep 2026</t>
        </is>
      </c>
      <c r="G3566" s="12" t="inlineStr">
        <is>
          <t>18 Oct 2026</t>
        </is>
      </c>
      <c r="H3566" s="8" t="inlineStr">
        <is>
          <t>⏳ UPCOMING</t>
        </is>
      </c>
      <c r="I3566" s="11" t="inlineStr">
        <is>
          <t>BOQ_2256381.xls</t>
        </is>
      </c>
      <c r="J3566" s="13" t="inlineStr">
        <is>
          <t>📊 Excel BOQ</t>
        </is>
      </c>
      <c r="K3566" s="15" t="n">
        <v>2.5</v>
      </c>
      <c r="L3566" s="16">
        <f>HYPERLINK("http://127.0.0.1:8000/api/documents/download?id=822&amp;attachment=true", "⬇ Download BOQ_2256381.xls")</f>
        <v/>
      </c>
      <c r="M3566" s="16">
        <f>HYPERLINK("http://localhost:5173/?state=Uttar%20Pradesh&amp;keyword=GIS&amp;tender=2026_CEJNS_1194861_11", "🚀 Open in Portal")</f>
        <v/>
      </c>
    </row>
    <row r="3567" ht="24" customHeight="1">
      <c r="A3567" s="4" t="inlineStr">
        <is>
          <t>Uttar Pradesh</t>
        </is>
      </c>
      <c r="B3567" s="5" t="inlineStr">
        <is>
          <t>GIS</t>
        </is>
      </c>
      <c r="C3567" s="6" t="inlineStr">
        <is>
          <t>2026_CEJNS_1194861_11</t>
        </is>
      </c>
      <c r="D3567" s="7" t="inlineStr">
        <is>
          <t>[Beautification work of Ambedkar Park site in Gram Sabha Maghapur (Madaiya) under Dr. BR Ambedkar Statue Development Scheme in Legislative Assembly Kalpi]</t>
        </is>
      </c>
      <c r="E3567" s="7" t="inlineStr">
        <is>
          <t>Uttar Pradesh Public Works &amp; Technology Department</t>
        </is>
      </c>
      <c r="F3567" s="6" t="inlineStr">
        <is>
          <t>23 Sep 2026</t>
        </is>
      </c>
      <c r="G3567" s="5" t="inlineStr">
        <is>
          <t>18 Oct 2026</t>
        </is>
      </c>
      <c r="H3567" s="8" t="inlineStr">
        <is>
          <t>⏳ UPCOMING</t>
        </is>
      </c>
      <c r="I3567" s="4" t="inlineStr">
        <is>
          <t>Tender_2026_CEJNS_1194861_11_All_Documents.zip</t>
        </is>
      </c>
      <c r="J3567" s="6" t="inlineStr">
        <is>
          <t>📦 ZIP Package</t>
        </is>
      </c>
      <c r="K3567" s="9" t="n">
        <v>20.9</v>
      </c>
      <c r="L3567" s="10">
        <f>HYPERLINK("http://127.0.0.1:8000/api/documents/download?id=823&amp;attachment=true", "⬇ Download Tender_2026_CEJNS_119486")</f>
        <v/>
      </c>
      <c r="M3567" s="10">
        <f>HYPERLINK("http://localhost:5173/?state=Uttar%20Pradesh&amp;keyword=GIS&amp;tender=2026_CEJNS_1194861_11", "🚀 Open in Portal")</f>
        <v/>
      </c>
    </row>
    <row r="3568" ht="24" customHeight="1">
      <c r="A3568" s="11" t="inlineStr">
        <is>
          <t>Uttar Pradesh</t>
        </is>
      </c>
      <c r="B3568" s="12" t="inlineStr">
        <is>
          <t>GIS</t>
        </is>
      </c>
      <c r="C3568" s="13" t="inlineStr">
        <is>
          <t>2026_CEJNS_1194861_12</t>
        </is>
      </c>
      <c r="D3568" s="14" t="inlineStr">
        <is>
          <t>[Beautification work of Ambedkar Park site in Gram Sabha Simhara Kasimpur under Dr. BR Ambedkar Statue Development Scheme in Legislative Assembly Kalpi]</t>
        </is>
      </c>
      <c r="E3568" s="14" t="inlineStr">
        <is>
          <t>Uttar Pradesh Public Works &amp; Technology Department</t>
        </is>
      </c>
      <c r="F3568" s="13" t="inlineStr">
        <is>
          <t>09 Aug 2026</t>
        </is>
      </c>
      <c r="G3568" s="12" t="inlineStr">
        <is>
          <t>03 Sep 2026</t>
        </is>
      </c>
      <c r="H3568" s="8" t="inlineStr">
        <is>
          <t>⏳ UPCOMING</t>
        </is>
      </c>
      <c r="I3568" s="11" t="inlineStr">
        <is>
          <t>Tendernotice_1.pdf</t>
        </is>
      </c>
      <c r="J3568" s="13" t="inlineStr">
        <is>
          <t>📕 PDF Document</t>
        </is>
      </c>
      <c r="K3568" s="15" t="n">
        <v>17.9</v>
      </c>
      <c r="L3568" s="16">
        <f>HYPERLINK("http://127.0.0.1:8000/api/documents/download?id=788&amp;attachment=true", "⬇ Download Tendernotice_1.pdf")</f>
        <v/>
      </c>
      <c r="M3568" s="16">
        <f>HYPERLINK("http://localhost:5173/?state=Uttar%20Pradesh&amp;keyword=GIS&amp;tender=2026_CEJNS_1194861_12", "🚀 Open in Portal")</f>
        <v/>
      </c>
    </row>
    <row r="3569" ht="24" customHeight="1">
      <c r="A3569" s="4" t="inlineStr">
        <is>
          <t>Uttar Pradesh</t>
        </is>
      </c>
      <c r="B3569" s="5" t="inlineStr">
        <is>
          <t>GIS</t>
        </is>
      </c>
      <c r="C3569" s="6" t="inlineStr">
        <is>
          <t>2026_CEJNS_1194861_12</t>
        </is>
      </c>
      <c r="D3569" s="7" t="inlineStr">
        <is>
          <t>[Beautification work of Ambedkar Park site in Gram Sabha Simhara Kasimpur under Dr. BR Ambedkar Statue Development Scheme in Legislative Assembly Kalpi]</t>
        </is>
      </c>
      <c r="E3569" s="7" t="inlineStr">
        <is>
          <t>Uttar Pradesh Public Works &amp; Technology Department</t>
        </is>
      </c>
      <c r="F3569" s="6" t="inlineStr">
        <is>
          <t>09 Aug 2026</t>
        </is>
      </c>
      <c r="G3569" s="5" t="inlineStr">
        <is>
          <t>03 Sep 2026</t>
        </is>
      </c>
      <c r="H3569" s="8" t="inlineStr">
        <is>
          <t>⏳ UPCOMING</t>
        </is>
      </c>
      <c r="I3569" s="4" t="inlineStr">
        <is>
          <t>T1.pdf</t>
        </is>
      </c>
      <c r="J3569" s="6" t="inlineStr">
        <is>
          <t>📕 PDF Document</t>
        </is>
      </c>
      <c r="K3569" s="9" t="n">
        <v>17.9</v>
      </c>
      <c r="L3569" s="10">
        <f>HYPERLINK("http://127.0.0.1:8000/api/documents/download?id=789&amp;attachment=true", "⬇ Download T1.pdf")</f>
        <v/>
      </c>
      <c r="M3569" s="10">
        <f>HYPERLINK("http://localhost:5173/?state=Uttar%20Pradesh&amp;keyword=GIS&amp;tender=2026_CEJNS_1194861_12", "🚀 Open in Portal")</f>
        <v/>
      </c>
    </row>
    <row r="3570" ht="24" customHeight="1">
      <c r="A3570" s="11" t="inlineStr">
        <is>
          <t>Uttar Pradesh</t>
        </is>
      </c>
      <c r="B3570" s="12" t="inlineStr">
        <is>
          <t>GIS</t>
        </is>
      </c>
      <c r="C3570" s="13" t="inlineStr">
        <is>
          <t>2026_CEJNS_1194861_12</t>
        </is>
      </c>
      <c r="D3570" s="14" t="inlineStr">
        <is>
          <t>[Beautification work of Ambedkar Park site in Gram Sabha Simhara Kasimpur under Dr. BR Ambedkar Statue Development Scheme in Legislative Assembly Kalpi]</t>
        </is>
      </c>
      <c r="E3570" s="14" t="inlineStr">
        <is>
          <t>Uttar Pradesh Public Works &amp; Technology Department</t>
        </is>
      </c>
      <c r="F3570" s="13" t="inlineStr">
        <is>
          <t>09 Aug 2026</t>
        </is>
      </c>
      <c r="G3570" s="12" t="inlineStr">
        <is>
          <t>03 Sep 2026</t>
        </is>
      </c>
      <c r="H3570" s="8" t="inlineStr">
        <is>
          <t>⏳ UPCOMING</t>
        </is>
      </c>
      <c r="I3570" s="11" t="inlineStr">
        <is>
          <t>BOQ_2256396.xls</t>
        </is>
      </c>
      <c r="J3570" s="13" t="inlineStr">
        <is>
          <t>📊 Excel BOQ</t>
        </is>
      </c>
      <c r="K3570" s="15" t="n">
        <v>2.5</v>
      </c>
      <c r="L3570" s="16">
        <f>HYPERLINK("http://127.0.0.1:8000/api/documents/download?id=790&amp;attachment=true", "⬇ Download BOQ_2256396.xls")</f>
        <v/>
      </c>
      <c r="M3570" s="16">
        <f>HYPERLINK("http://localhost:5173/?state=Uttar%20Pradesh&amp;keyword=GIS&amp;tender=2026_CEJNS_1194861_12", "🚀 Open in Portal")</f>
        <v/>
      </c>
    </row>
    <row r="3571" ht="24" customHeight="1">
      <c r="A3571" s="4" t="inlineStr">
        <is>
          <t>Uttar Pradesh</t>
        </is>
      </c>
      <c r="B3571" s="5" t="inlineStr">
        <is>
          <t>GIS</t>
        </is>
      </c>
      <c r="C3571" s="6" t="inlineStr">
        <is>
          <t>2026_CEJNS_1194861_12</t>
        </is>
      </c>
      <c r="D3571" s="7" t="inlineStr">
        <is>
          <t>[Beautification work of Ambedkar Park site in Gram Sabha Simhara Kasimpur under Dr. BR Ambedkar Statue Development Scheme in Legislative Assembly Kalpi]</t>
        </is>
      </c>
      <c r="E3571" s="7" t="inlineStr">
        <is>
          <t>Uttar Pradesh Public Works &amp; Technology Department</t>
        </is>
      </c>
      <c r="F3571" s="6" t="inlineStr">
        <is>
          <t>09 Aug 2026</t>
        </is>
      </c>
      <c r="G3571" s="5" t="inlineStr">
        <is>
          <t>03 Sep 2026</t>
        </is>
      </c>
      <c r="H3571" s="8" t="inlineStr">
        <is>
          <t>⏳ UPCOMING</t>
        </is>
      </c>
      <c r="I3571" s="4" t="inlineStr">
        <is>
          <t>Tender_2026_CEJNS_1194861_12_All_Documents.zip</t>
        </is>
      </c>
      <c r="J3571" s="6" t="inlineStr">
        <is>
          <t>📦 ZIP Package</t>
        </is>
      </c>
      <c r="K3571" s="9" t="n">
        <v>20.9</v>
      </c>
      <c r="L3571" s="10">
        <f>HYPERLINK("http://127.0.0.1:8000/api/documents/download?id=791&amp;attachment=true", "⬇ Download Tender_2026_CEJNS_119486")</f>
        <v/>
      </c>
      <c r="M3571" s="10">
        <f>HYPERLINK("http://localhost:5173/?state=Uttar%20Pradesh&amp;keyword=GIS&amp;tender=2026_CEJNS_1194861_12", "🚀 Open in Portal")</f>
        <v/>
      </c>
    </row>
    <row r="3572" ht="24" customHeight="1">
      <c r="A3572" s="11" t="inlineStr">
        <is>
          <t>Uttar Pradesh</t>
        </is>
      </c>
      <c r="B3572" s="12" t="inlineStr">
        <is>
          <t>GIS</t>
        </is>
      </c>
      <c r="C3572" s="13" t="inlineStr">
        <is>
          <t>2026_CEJNS_1194861_13</t>
        </is>
      </c>
      <c r="D3572" s="14" t="inlineStr">
        <is>
          <t>[Under the Dr. BR Ambedkar Statue Development Scheme in Legislative Assembly Kalpi, work of beautification of Ambedkar Park site in Gram Sabha Alipur Saundhi]</t>
        </is>
      </c>
      <c r="E3572" s="14" t="inlineStr">
        <is>
          <t>Uttar Pradesh Public Works &amp; Technology Department</t>
        </is>
      </c>
      <c r="F3572" s="13" t="inlineStr">
        <is>
          <t>07 Sep 2026</t>
        </is>
      </c>
      <c r="G3572" s="12" t="inlineStr">
        <is>
          <t>02 Oct 2026</t>
        </is>
      </c>
      <c r="H3572" s="8" t="inlineStr">
        <is>
          <t>⏳ UPCOMING</t>
        </is>
      </c>
      <c r="I3572" s="11" t="inlineStr">
        <is>
          <t>Tendernotice_1.pdf</t>
        </is>
      </c>
      <c r="J3572" s="13" t="inlineStr">
        <is>
          <t>📕 PDF Document</t>
        </is>
      </c>
      <c r="K3572" s="15" t="n">
        <v>17.9</v>
      </c>
      <c r="L3572" s="16">
        <f>HYPERLINK("http://127.0.0.1:8000/api/documents/download?id=816&amp;attachment=true", "⬇ Download Tendernotice_1.pdf")</f>
        <v/>
      </c>
      <c r="M3572" s="16">
        <f>HYPERLINK("http://localhost:5173/?state=Uttar%20Pradesh&amp;keyword=GIS&amp;tender=2026_CEJNS_1194861_13", "🚀 Open in Portal")</f>
        <v/>
      </c>
    </row>
    <row r="3573" ht="24" customHeight="1">
      <c r="A3573" s="4" t="inlineStr">
        <is>
          <t>Uttar Pradesh</t>
        </is>
      </c>
      <c r="B3573" s="5" t="inlineStr">
        <is>
          <t>GIS</t>
        </is>
      </c>
      <c r="C3573" s="6" t="inlineStr">
        <is>
          <t>2026_CEJNS_1194861_13</t>
        </is>
      </c>
      <c r="D3573" s="7" t="inlineStr">
        <is>
          <t>[Under the Dr. BR Ambedkar Statue Development Scheme in Legislative Assembly Kalpi, work of beautification of Ambedkar Park site in Gram Sabha Alipur Saundhi]</t>
        </is>
      </c>
      <c r="E3573" s="7" t="inlineStr">
        <is>
          <t>Uttar Pradesh Public Works &amp; Technology Department</t>
        </is>
      </c>
      <c r="F3573" s="6" t="inlineStr">
        <is>
          <t>07 Sep 2026</t>
        </is>
      </c>
      <c r="G3573" s="5" t="inlineStr">
        <is>
          <t>02 Oct 2026</t>
        </is>
      </c>
      <c r="H3573" s="8" t="inlineStr">
        <is>
          <t>⏳ UPCOMING</t>
        </is>
      </c>
      <c r="I3573" s="4" t="inlineStr">
        <is>
          <t>T1.pdf</t>
        </is>
      </c>
      <c r="J3573" s="6" t="inlineStr">
        <is>
          <t>📕 PDF Document</t>
        </is>
      </c>
      <c r="K3573" s="9" t="n">
        <v>17.8</v>
      </c>
      <c r="L3573" s="10">
        <f>HYPERLINK("http://127.0.0.1:8000/api/documents/download?id=817&amp;attachment=true", "⬇ Download T1.pdf")</f>
        <v/>
      </c>
      <c r="M3573" s="10">
        <f>HYPERLINK("http://localhost:5173/?state=Uttar%20Pradesh&amp;keyword=GIS&amp;tender=2026_CEJNS_1194861_13", "🚀 Open in Portal")</f>
        <v/>
      </c>
    </row>
    <row r="3574" ht="24" customHeight="1">
      <c r="A3574" s="11" t="inlineStr">
        <is>
          <t>Uttar Pradesh</t>
        </is>
      </c>
      <c r="B3574" s="12" t="inlineStr">
        <is>
          <t>GIS</t>
        </is>
      </c>
      <c r="C3574" s="13" t="inlineStr">
        <is>
          <t>2026_CEJNS_1194861_13</t>
        </is>
      </c>
      <c r="D3574" s="14" t="inlineStr">
        <is>
          <t>[Under the Dr. BR Ambedkar Statue Development Scheme in Legislative Assembly Kalpi, work of beautification of Ambedkar Park site in Gram Sabha Alipur Saundhi]</t>
        </is>
      </c>
      <c r="E3574" s="14" t="inlineStr">
        <is>
          <t>Uttar Pradesh Public Works &amp; Technology Department</t>
        </is>
      </c>
      <c r="F3574" s="13" t="inlineStr">
        <is>
          <t>07 Sep 2026</t>
        </is>
      </c>
      <c r="G3574" s="12" t="inlineStr">
        <is>
          <t>02 Oct 2026</t>
        </is>
      </c>
      <c r="H3574" s="8" t="inlineStr">
        <is>
          <t>⏳ UPCOMING</t>
        </is>
      </c>
      <c r="I3574" s="11" t="inlineStr">
        <is>
          <t>BOQ_2256410.xls</t>
        </is>
      </c>
      <c r="J3574" s="13" t="inlineStr">
        <is>
          <t>📊 Excel BOQ</t>
        </is>
      </c>
      <c r="K3574" s="15" t="n">
        <v>2.5</v>
      </c>
      <c r="L3574" s="16">
        <f>HYPERLINK("http://127.0.0.1:8000/api/documents/download?id=818&amp;attachment=true", "⬇ Download BOQ_2256410.xls")</f>
        <v/>
      </c>
      <c r="M3574" s="16">
        <f>HYPERLINK("http://localhost:5173/?state=Uttar%20Pradesh&amp;keyword=GIS&amp;tender=2026_CEJNS_1194861_13", "🚀 Open in Portal")</f>
        <v/>
      </c>
    </row>
    <row r="3575" ht="24" customHeight="1">
      <c r="A3575" s="4" t="inlineStr">
        <is>
          <t>Uttar Pradesh</t>
        </is>
      </c>
      <c r="B3575" s="5" t="inlineStr">
        <is>
          <t>GIS</t>
        </is>
      </c>
      <c r="C3575" s="6" t="inlineStr">
        <is>
          <t>2026_CEJNS_1194861_13</t>
        </is>
      </c>
      <c r="D3575" s="7" t="inlineStr">
        <is>
          <t>[Under the Dr. BR Ambedkar Statue Development Scheme in Legislative Assembly Kalpi, work of beautification of Ambedkar Park site in Gram Sabha Alipur Saundhi]</t>
        </is>
      </c>
      <c r="E3575" s="7" t="inlineStr">
        <is>
          <t>Uttar Pradesh Public Works &amp; Technology Department</t>
        </is>
      </c>
      <c r="F3575" s="6" t="inlineStr">
        <is>
          <t>07 Sep 2026</t>
        </is>
      </c>
      <c r="G3575" s="5" t="inlineStr">
        <is>
          <t>02 Oct 2026</t>
        </is>
      </c>
      <c r="H3575" s="8" t="inlineStr">
        <is>
          <t>⏳ UPCOMING</t>
        </is>
      </c>
      <c r="I3575" s="4" t="inlineStr">
        <is>
          <t>Tender_2026_CEJNS_1194861_13_All_Documents.zip</t>
        </is>
      </c>
      <c r="J3575" s="6" t="inlineStr">
        <is>
          <t>📦 ZIP Package</t>
        </is>
      </c>
      <c r="K3575" s="9" t="n">
        <v>20.8</v>
      </c>
      <c r="L3575" s="10">
        <f>HYPERLINK("http://127.0.0.1:8000/api/documents/download?id=819&amp;attachment=true", "⬇ Download Tender_2026_CEJNS_119486")</f>
        <v/>
      </c>
      <c r="M3575" s="10">
        <f>HYPERLINK("http://localhost:5173/?state=Uttar%20Pradesh&amp;keyword=GIS&amp;tender=2026_CEJNS_1194861_13", "🚀 Open in Portal")</f>
        <v/>
      </c>
    </row>
    <row r="3576" ht="24" customHeight="1">
      <c r="A3576" s="11" t="inlineStr">
        <is>
          <t>Uttar Pradesh</t>
        </is>
      </c>
      <c r="B3576" s="12" t="inlineStr">
        <is>
          <t>GIS</t>
        </is>
      </c>
      <c r="C3576" s="13" t="inlineStr">
        <is>
          <t>2026_CEJNS_1194861_14</t>
        </is>
      </c>
      <c r="D3576" s="14" t="inlineStr">
        <is>
          <t>[Under the Dr. BR Ambedkar Murti Vikas Yojana in Legislative Assembly Kalpi, beautification work of Ambedkar Park site in Gram Sabha Babai]</t>
        </is>
      </c>
      <c r="E3576" s="14" t="inlineStr">
        <is>
          <t>Uttar Pradesh Public Works &amp; Technology Department</t>
        </is>
      </c>
      <c r="F3576" s="13" t="inlineStr">
        <is>
          <t>18 Aug 2026</t>
        </is>
      </c>
      <c r="G3576" s="12" t="inlineStr">
        <is>
          <t>10 Sep 2026</t>
        </is>
      </c>
      <c r="H3576" s="8" t="inlineStr">
        <is>
          <t>⏳ UPCOMING</t>
        </is>
      </c>
      <c r="I3576" s="11" t="inlineStr">
        <is>
          <t>Tendernotice_1.pdf</t>
        </is>
      </c>
      <c r="J3576" s="13" t="inlineStr">
        <is>
          <t>📕 PDF Document</t>
        </is>
      </c>
      <c r="K3576" s="15" t="n">
        <v>17.9</v>
      </c>
      <c r="L3576" s="16">
        <f>HYPERLINK("http://127.0.0.1:8000/api/documents/download?id=776&amp;attachment=true", "⬇ Download Tendernotice_1.pdf")</f>
        <v/>
      </c>
      <c r="M3576" s="16">
        <f>HYPERLINK("http://localhost:5173/?state=Uttar%20Pradesh&amp;keyword=GIS&amp;tender=2026_CEJNS_1194861_14", "🚀 Open in Portal")</f>
        <v/>
      </c>
    </row>
    <row r="3577" ht="24" customHeight="1">
      <c r="A3577" s="4" t="inlineStr">
        <is>
          <t>Uttar Pradesh</t>
        </is>
      </c>
      <c r="B3577" s="5" t="inlineStr">
        <is>
          <t>GIS</t>
        </is>
      </c>
      <c r="C3577" s="6" t="inlineStr">
        <is>
          <t>2026_CEJNS_1194861_14</t>
        </is>
      </c>
      <c r="D3577" s="7" t="inlineStr">
        <is>
          <t>[Under the Dr. BR Ambedkar Murti Vikas Yojana in Legislative Assembly Kalpi, beautification work of Ambedkar Park site in Gram Sabha Babai]</t>
        </is>
      </c>
      <c r="E3577" s="7" t="inlineStr">
        <is>
          <t>Uttar Pradesh Public Works &amp; Technology Department</t>
        </is>
      </c>
      <c r="F3577" s="6" t="inlineStr">
        <is>
          <t>18 Aug 2026</t>
        </is>
      </c>
      <c r="G3577" s="5" t="inlineStr">
        <is>
          <t>10 Sep 2026</t>
        </is>
      </c>
      <c r="H3577" s="8" t="inlineStr">
        <is>
          <t>⏳ UPCOMING</t>
        </is>
      </c>
      <c r="I3577" s="4" t="inlineStr">
        <is>
          <t>T1.pdf</t>
        </is>
      </c>
      <c r="J3577" s="6" t="inlineStr">
        <is>
          <t>📕 PDF Document</t>
        </is>
      </c>
      <c r="K3577" s="9" t="n">
        <v>17.9</v>
      </c>
      <c r="L3577" s="10">
        <f>HYPERLINK("http://127.0.0.1:8000/api/documents/download?id=777&amp;attachment=true", "⬇ Download T1.pdf")</f>
        <v/>
      </c>
      <c r="M3577" s="10">
        <f>HYPERLINK("http://localhost:5173/?state=Uttar%20Pradesh&amp;keyword=GIS&amp;tender=2026_CEJNS_1194861_14", "🚀 Open in Portal")</f>
        <v/>
      </c>
    </row>
    <row r="3578" ht="24" customHeight="1">
      <c r="A3578" s="11" t="inlineStr">
        <is>
          <t>Uttar Pradesh</t>
        </is>
      </c>
      <c r="B3578" s="12" t="inlineStr">
        <is>
          <t>GIS</t>
        </is>
      </c>
      <c r="C3578" s="13" t="inlineStr">
        <is>
          <t>2026_CEJNS_1194861_14</t>
        </is>
      </c>
      <c r="D3578" s="14" t="inlineStr">
        <is>
          <t>[Under the Dr. BR Ambedkar Murti Vikas Yojana in Legislative Assembly Kalpi, beautification work of Ambedkar Park site in Gram Sabha Babai]</t>
        </is>
      </c>
      <c r="E3578" s="14" t="inlineStr">
        <is>
          <t>Uttar Pradesh Public Works &amp; Technology Department</t>
        </is>
      </c>
      <c r="F3578" s="13" t="inlineStr">
        <is>
          <t>18 Aug 2026</t>
        </is>
      </c>
      <c r="G3578" s="12" t="inlineStr">
        <is>
          <t>10 Sep 2026</t>
        </is>
      </c>
      <c r="H3578" s="8" t="inlineStr">
        <is>
          <t>⏳ UPCOMING</t>
        </is>
      </c>
      <c r="I3578" s="11" t="inlineStr">
        <is>
          <t>BOQ_2256434.xls</t>
        </is>
      </c>
      <c r="J3578" s="13" t="inlineStr">
        <is>
          <t>📊 Excel BOQ</t>
        </is>
      </c>
      <c r="K3578" s="15" t="n">
        <v>2.5</v>
      </c>
      <c r="L3578" s="16">
        <f>HYPERLINK("http://127.0.0.1:8000/api/documents/download?id=778&amp;attachment=true", "⬇ Download BOQ_2256434.xls")</f>
        <v/>
      </c>
      <c r="M3578" s="16">
        <f>HYPERLINK("http://localhost:5173/?state=Uttar%20Pradesh&amp;keyword=GIS&amp;tender=2026_CEJNS_1194861_14", "🚀 Open in Portal")</f>
        <v/>
      </c>
    </row>
    <row r="3579" ht="24" customHeight="1">
      <c r="A3579" s="4" t="inlineStr">
        <is>
          <t>Uttar Pradesh</t>
        </is>
      </c>
      <c r="B3579" s="5" t="inlineStr">
        <is>
          <t>GIS</t>
        </is>
      </c>
      <c r="C3579" s="6" t="inlineStr">
        <is>
          <t>2026_CEJNS_1194861_14</t>
        </is>
      </c>
      <c r="D3579" s="7" t="inlineStr">
        <is>
          <t>[Under the Dr. BR Ambedkar Murti Vikas Yojana in Legislative Assembly Kalpi, beautification work of Ambedkar Park site in Gram Sabha Babai]</t>
        </is>
      </c>
      <c r="E3579" s="7" t="inlineStr">
        <is>
          <t>Uttar Pradesh Public Works &amp; Technology Department</t>
        </is>
      </c>
      <c r="F3579" s="6" t="inlineStr">
        <is>
          <t>18 Aug 2026</t>
        </is>
      </c>
      <c r="G3579" s="5" t="inlineStr">
        <is>
          <t>10 Sep 2026</t>
        </is>
      </c>
      <c r="H3579" s="8" t="inlineStr">
        <is>
          <t>⏳ UPCOMING</t>
        </is>
      </c>
      <c r="I3579" s="4" t="inlineStr">
        <is>
          <t>Tender_2026_CEJNS_1194861_14_All_Documents.zip</t>
        </is>
      </c>
      <c r="J3579" s="6" t="inlineStr">
        <is>
          <t>📦 ZIP Package</t>
        </is>
      </c>
      <c r="K3579" s="9" t="n">
        <v>20.9</v>
      </c>
      <c r="L3579" s="10">
        <f>HYPERLINK("http://127.0.0.1:8000/api/documents/download?id=779&amp;attachment=true", "⬇ Download Tender_2026_CEJNS_119486")</f>
        <v/>
      </c>
      <c r="M3579" s="10">
        <f>HYPERLINK("http://localhost:5173/?state=Uttar%20Pradesh&amp;keyword=GIS&amp;tender=2026_CEJNS_1194861_14", "🚀 Open in Portal")</f>
        <v/>
      </c>
    </row>
    <row r="3580" ht="24" customHeight="1">
      <c r="A3580" s="11" t="inlineStr">
        <is>
          <t>Uttar Pradesh</t>
        </is>
      </c>
      <c r="B3580" s="12" t="inlineStr">
        <is>
          <t>GIS</t>
        </is>
      </c>
      <c r="C3580" s="13" t="inlineStr">
        <is>
          <t>2026_CEJNS_1194861_15</t>
        </is>
      </c>
      <c r="D3580" s="14" t="inlineStr">
        <is>
          <t>[Under the Dr. BR Ambedkar Statue Development Scheme in Legislative Assembly Kalpi, beautification work of Ambedkar Park site in Gram Sabha Sirsa Kalar]</t>
        </is>
      </c>
      <c r="E3580" s="14" t="inlineStr">
        <is>
          <t>Uttar Pradesh Public Works &amp; Technology Department</t>
        </is>
      </c>
      <c r="F3580" s="13" t="inlineStr">
        <is>
          <t>19 Oct 2026</t>
        </is>
      </c>
      <c r="G3580" s="12" t="inlineStr">
        <is>
          <t>19 Nov 2026</t>
        </is>
      </c>
      <c r="H3580" s="17" t="inlineStr">
        <is>
          <t>🟢 LIVE ACTIVE</t>
        </is>
      </c>
      <c r="I3580" s="11" t="inlineStr">
        <is>
          <t>Tendernotice_1.pdf</t>
        </is>
      </c>
      <c r="J3580" s="13" t="inlineStr">
        <is>
          <t>📕 PDF Document</t>
        </is>
      </c>
      <c r="K3580" s="15" t="n">
        <v>17.9</v>
      </c>
      <c r="L3580" s="16">
        <f>HYPERLINK("http://127.0.0.1:8000/api/documents/download?id=772&amp;attachment=true", "⬇ Download Tendernotice_1.pdf")</f>
        <v/>
      </c>
      <c r="M3580" s="16">
        <f>HYPERLINK("http://localhost:5173/?state=Uttar%20Pradesh&amp;keyword=GIS&amp;tender=2026_CEJNS_1194861_15", "🚀 Open in Portal")</f>
        <v/>
      </c>
    </row>
    <row r="3581" ht="24" customHeight="1">
      <c r="A3581" s="4" t="inlineStr">
        <is>
          <t>Uttar Pradesh</t>
        </is>
      </c>
      <c r="B3581" s="5" t="inlineStr">
        <is>
          <t>GIS</t>
        </is>
      </c>
      <c r="C3581" s="6" t="inlineStr">
        <is>
          <t>2026_CEJNS_1194861_15</t>
        </is>
      </c>
      <c r="D3581" s="7" t="inlineStr">
        <is>
          <t>[Under the Dr. BR Ambedkar Statue Development Scheme in Legislative Assembly Kalpi, beautification work of Ambedkar Park site in Gram Sabha Sirsa Kalar]</t>
        </is>
      </c>
      <c r="E3581" s="7" t="inlineStr">
        <is>
          <t>Uttar Pradesh Public Works &amp; Technology Department</t>
        </is>
      </c>
      <c r="F3581" s="6" t="inlineStr">
        <is>
          <t>19 Oct 2026</t>
        </is>
      </c>
      <c r="G3581" s="5" t="inlineStr">
        <is>
          <t>19 Nov 2026</t>
        </is>
      </c>
      <c r="H3581" s="17" t="inlineStr">
        <is>
          <t>🟢 LIVE ACTIVE</t>
        </is>
      </c>
      <c r="I3581" s="4" t="inlineStr">
        <is>
          <t>BOQ_2256446.xls</t>
        </is>
      </c>
      <c r="J3581" s="6" t="inlineStr">
        <is>
          <t>📊 Excel BOQ</t>
        </is>
      </c>
      <c r="K3581" s="9" t="n">
        <v>2.5</v>
      </c>
      <c r="L3581" s="10">
        <f>HYPERLINK("http://127.0.0.1:8000/api/documents/download?id=773&amp;attachment=true", "⬇ Download BOQ_2256446.xls")</f>
        <v/>
      </c>
      <c r="M3581" s="10">
        <f>HYPERLINK("http://localhost:5173/?state=Uttar%20Pradesh&amp;keyword=GIS&amp;tender=2026_CEJNS_1194861_15", "🚀 Open in Portal")</f>
        <v/>
      </c>
    </row>
    <row r="3582" ht="24" customHeight="1">
      <c r="A3582" s="11" t="inlineStr">
        <is>
          <t>Uttar Pradesh</t>
        </is>
      </c>
      <c r="B3582" s="12" t="inlineStr">
        <is>
          <t>GIS</t>
        </is>
      </c>
      <c r="C3582" s="13" t="inlineStr">
        <is>
          <t>2026_CEJNS_1194861_15</t>
        </is>
      </c>
      <c r="D3582" s="14" t="inlineStr">
        <is>
          <t>[Under the Dr. BR Ambedkar Statue Development Scheme in Legislative Assembly Kalpi, beautification work of Ambedkar Park site in Gram Sabha Sirsa Kalar]</t>
        </is>
      </c>
      <c r="E3582" s="14" t="inlineStr">
        <is>
          <t>Uttar Pradesh Public Works &amp; Technology Department</t>
        </is>
      </c>
      <c r="F3582" s="13" t="inlineStr">
        <is>
          <t>19 Oct 2026</t>
        </is>
      </c>
      <c r="G3582" s="12" t="inlineStr">
        <is>
          <t>19 Nov 2026</t>
        </is>
      </c>
      <c r="H3582" s="17" t="inlineStr">
        <is>
          <t>🟢 LIVE ACTIVE</t>
        </is>
      </c>
      <c r="I3582" s="11" t="inlineStr">
        <is>
          <t>T1.pdf</t>
        </is>
      </c>
      <c r="J3582" s="13" t="inlineStr">
        <is>
          <t>📕 PDF Document</t>
        </is>
      </c>
      <c r="K3582" s="15" t="n">
        <v>17.9</v>
      </c>
      <c r="L3582" s="16">
        <f>HYPERLINK("http://127.0.0.1:8000/api/documents/download?id=774&amp;attachment=true", "⬇ Download T1.pdf")</f>
        <v/>
      </c>
      <c r="M3582" s="16">
        <f>HYPERLINK("http://localhost:5173/?state=Uttar%20Pradesh&amp;keyword=GIS&amp;tender=2026_CEJNS_1194861_15", "🚀 Open in Portal")</f>
        <v/>
      </c>
    </row>
    <row r="3583" ht="24" customHeight="1">
      <c r="A3583" s="4" t="inlineStr">
        <is>
          <t>Uttar Pradesh</t>
        </is>
      </c>
      <c r="B3583" s="5" t="inlineStr">
        <is>
          <t>GIS</t>
        </is>
      </c>
      <c r="C3583" s="6" t="inlineStr">
        <is>
          <t>2026_CEJNS_1194861_15</t>
        </is>
      </c>
      <c r="D3583" s="7" t="inlineStr">
        <is>
          <t>[Under the Dr. BR Ambedkar Statue Development Scheme in Legislative Assembly Kalpi, beautification work of Ambedkar Park site in Gram Sabha Sirsa Kalar]</t>
        </is>
      </c>
      <c r="E3583" s="7" t="inlineStr">
        <is>
          <t>Uttar Pradesh Public Works &amp; Technology Department</t>
        </is>
      </c>
      <c r="F3583" s="6" t="inlineStr">
        <is>
          <t>19 Oct 2026</t>
        </is>
      </c>
      <c r="G3583" s="5" t="inlineStr">
        <is>
          <t>19 Nov 2026</t>
        </is>
      </c>
      <c r="H3583" s="17" t="inlineStr">
        <is>
          <t>🟢 LIVE ACTIVE</t>
        </is>
      </c>
      <c r="I3583" s="4" t="inlineStr">
        <is>
          <t>Tender_2026_CEJNS_1194861_15_All_Documents.zip</t>
        </is>
      </c>
      <c r="J3583" s="6" t="inlineStr">
        <is>
          <t>📦 ZIP Package</t>
        </is>
      </c>
      <c r="K3583" s="9" t="n">
        <v>20.9</v>
      </c>
      <c r="L3583" s="10">
        <f>HYPERLINK("http://127.0.0.1:8000/api/documents/download?id=775&amp;attachment=true", "⬇ Download Tender_2026_CEJNS_119486")</f>
        <v/>
      </c>
      <c r="M3583" s="10">
        <f>HYPERLINK("http://localhost:5173/?state=Uttar%20Pradesh&amp;keyword=GIS&amp;tender=2026_CEJNS_1194861_15", "🚀 Open in Portal")</f>
        <v/>
      </c>
    </row>
    <row r="3584" ht="24" customHeight="1">
      <c r="A3584" s="11" t="inlineStr">
        <is>
          <t>Uttar Pradesh</t>
        </is>
      </c>
      <c r="B3584" s="12" t="inlineStr">
        <is>
          <t>GIS</t>
        </is>
      </c>
      <c r="C3584" s="13" t="inlineStr">
        <is>
          <t>2026_CEJNS_1194861_16</t>
        </is>
      </c>
      <c r="D3584" s="14" t="inlineStr">
        <is>
          <t>[Beautification work of Ambedkar Park site in Gram Sabha Bhadekh under Dr. BR Ambedkar Statue Development Scheme in Legislative Assembly Kalpi]</t>
        </is>
      </c>
      <c r="E3584" s="14" t="inlineStr">
        <is>
          <t>Uttar Pradesh Public Works &amp; Technology Department</t>
        </is>
      </c>
      <c r="F3584" s="13" t="inlineStr">
        <is>
          <t>15 Sep 2026</t>
        </is>
      </c>
      <c r="G3584" s="12" t="inlineStr">
        <is>
          <t>13 Oct 2026</t>
        </is>
      </c>
      <c r="H3584" s="8" t="inlineStr">
        <is>
          <t>⏳ UPCOMING</t>
        </is>
      </c>
      <c r="I3584" s="11" t="inlineStr">
        <is>
          <t>Tendernotice_1.pdf</t>
        </is>
      </c>
      <c r="J3584" s="13" t="inlineStr">
        <is>
          <t>📕 PDF Document</t>
        </is>
      </c>
      <c r="K3584" s="15" t="n">
        <v>17.9</v>
      </c>
      <c r="L3584" s="16">
        <f>HYPERLINK("http://127.0.0.1:8000/api/documents/download?id=780&amp;attachment=true", "⬇ Download Tendernotice_1.pdf")</f>
        <v/>
      </c>
      <c r="M3584" s="16">
        <f>HYPERLINK("http://localhost:5173/?state=Uttar%20Pradesh&amp;keyword=GIS&amp;tender=2026_CEJNS_1194861_16", "🚀 Open in Portal")</f>
        <v/>
      </c>
    </row>
    <row r="3585" ht="24" customHeight="1">
      <c r="A3585" s="4" t="inlineStr">
        <is>
          <t>Uttar Pradesh</t>
        </is>
      </c>
      <c r="B3585" s="5" t="inlineStr">
        <is>
          <t>GIS</t>
        </is>
      </c>
      <c r="C3585" s="6" t="inlineStr">
        <is>
          <t>2026_CEJNS_1194861_16</t>
        </is>
      </c>
      <c r="D3585" s="7" t="inlineStr">
        <is>
          <t>[Beautification work of Ambedkar Park site in Gram Sabha Bhadekh under Dr. BR Ambedkar Statue Development Scheme in Legislative Assembly Kalpi]</t>
        </is>
      </c>
      <c r="E3585" s="7" t="inlineStr">
        <is>
          <t>Uttar Pradesh Public Works &amp; Technology Department</t>
        </is>
      </c>
      <c r="F3585" s="6" t="inlineStr">
        <is>
          <t>15 Sep 2026</t>
        </is>
      </c>
      <c r="G3585" s="5" t="inlineStr">
        <is>
          <t>13 Oct 2026</t>
        </is>
      </c>
      <c r="H3585" s="8" t="inlineStr">
        <is>
          <t>⏳ UPCOMING</t>
        </is>
      </c>
      <c r="I3585" s="4" t="inlineStr">
        <is>
          <t>T1.pdf</t>
        </is>
      </c>
      <c r="J3585" s="6" t="inlineStr">
        <is>
          <t>📕 PDF Document</t>
        </is>
      </c>
      <c r="K3585" s="9" t="n">
        <v>17.8</v>
      </c>
      <c r="L3585" s="10">
        <f>HYPERLINK("http://127.0.0.1:8000/api/documents/download?id=781&amp;attachment=true", "⬇ Download T1.pdf")</f>
        <v/>
      </c>
      <c r="M3585" s="10">
        <f>HYPERLINK("http://localhost:5173/?state=Uttar%20Pradesh&amp;keyword=GIS&amp;tender=2026_CEJNS_1194861_16", "🚀 Open in Portal")</f>
        <v/>
      </c>
    </row>
    <row r="3586" ht="24" customHeight="1">
      <c r="A3586" s="11" t="inlineStr">
        <is>
          <t>Uttar Pradesh</t>
        </is>
      </c>
      <c r="B3586" s="12" t="inlineStr">
        <is>
          <t>GIS</t>
        </is>
      </c>
      <c r="C3586" s="13" t="inlineStr">
        <is>
          <t>2026_CEJNS_1194861_16</t>
        </is>
      </c>
      <c r="D3586" s="14" t="inlineStr">
        <is>
          <t>[Beautification work of Ambedkar Park site in Gram Sabha Bhadekh under Dr. BR Ambedkar Statue Development Scheme in Legislative Assembly Kalpi]</t>
        </is>
      </c>
      <c r="E3586" s="14" t="inlineStr">
        <is>
          <t>Uttar Pradesh Public Works &amp; Technology Department</t>
        </is>
      </c>
      <c r="F3586" s="13" t="inlineStr">
        <is>
          <t>15 Sep 2026</t>
        </is>
      </c>
      <c r="G3586" s="12" t="inlineStr">
        <is>
          <t>13 Oct 2026</t>
        </is>
      </c>
      <c r="H3586" s="8" t="inlineStr">
        <is>
          <t>⏳ UPCOMING</t>
        </is>
      </c>
      <c r="I3586" s="11" t="inlineStr">
        <is>
          <t>BOQ_2256461.xls</t>
        </is>
      </c>
      <c r="J3586" s="13" t="inlineStr">
        <is>
          <t>📊 Excel BOQ</t>
        </is>
      </c>
      <c r="K3586" s="15" t="n">
        <v>2.5</v>
      </c>
      <c r="L3586" s="16">
        <f>HYPERLINK("http://127.0.0.1:8000/api/documents/download?id=782&amp;attachment=true", "⬇ Download BOQ_2256461.xls")</f>
        <v/>
      </c>
      <c r="M3586" s="16">
        <f>HYPERLINK("http://localhost:5173/?state=Uttar%20Pradesh&amp;keyword=GIS&amp;tender=2026_CEJNS_1194861_16", "🚀 Open in Portal")</f>
        <v/>
      </c>
    </row>
    <row r="3587" ht="24" customHeight="1">
      <c r="A3587" s="4" t="inlineStr">
        <is>
          <t>Uttar Pradesh</t>
        </is>
      </c>
      <c r="B3587" s="5" t="inlineStr">
        <is>
          <t>GIS</t>
        </is>
      </c>
      <c r="C3587" s="6" t="inlineStr">
        <is>
          <t>2026_CEJNS_1194861_16</t>
        </is>
      </c>
      <c r="D3587" s="7" t="inlineStr">
        <is>
          <t>[Beautification work of Ambedkar Park site in Gram Sabha Bhadekh under Dr. BR Ambedkar Statue Development Scheme in Legislative Assembly Kalpi]</t>
        </is>
      </c>
      <c r="E3587" s="7" t="inlineStr">
        <is>
          <t>Uttar Pradesh Public Works &amp; Technology Department</t>
        </is>
      </c>
      <c r="F3587" s="6" t="inlineStr">
        <is>
          <t>15 Sep 2026</t>
        </is>
      </c>
      <c r="G3587" s="5" t="inlineStr">
        <is>
          <t>13 Oct 2026</t>
        </is>
      </c>
      <c r="H3587" s="8" t="inlineStr">
        <is>
          <t>⏳ UPCOMING</t>
        </is>
      </c>
      <c r="I3587" s="4" t="inlineStr">
        <is>
          <t>Tender_2026_CEJNS_1194861_16_All_Documents.zip</t>
        </is>
      </c>
      <c r="J3587" s="6" t="inlineStr">
        <is>
          <t>📦 ZIP Package</t>
        </is>
      </c>
      <c r="K3587" s="9" t="n">
        <v>20.9</v>
      </c>
      <c r="L3587" s="10">
        <f>HYPERLINK("http://127.0.0.1:8000/api/documents/download?id=783&amp;attachment=true", "⬇ Download Tender_2026_CEJNS_119486")</f>
        <v/>
      </c>
      <c r="M3587" s="10">
        <f>HYPERLINK("http://localhost:5173/?state=Uttar%20Pradesh&amp;keyword=GIS&amp;tender=2026_CEJNS_1194861_16", "🚀 Open in Portal")</f>
        <v/>
      </c>
    </row>
    <row r="3588" ht="24" customHeight="1">
      <c r="A3588" s="11" t="inlineStr">
        <is>
          <t>Uttar Pradesh</t>
        </is>
      </c>
      <c r="B3588" s="12" t="inlineStr">
        <is>
          <t>GIS</t>
        </is>
      </c>
      <c r="C3588" s="13" t="inlineStr">
        <is>
          <t>2026_CEJNS_1194861_17</t>
        </is>
      </c>
      <c r="D3588" s="14" t="inlineStr">
        <is>
          <t>[Work of beautification of Ambedkar Park site in Gram Sabha Nainapur under Dr. BR Ambedkar Statue Development Scheme in Legislative Assembly Kalpi]</t>
        </is>
      </c>
      <c r="E3588" s="14" t="inlineStr">
        <is>
          <t>Uttar Pradesh Public Works &amp; Technology Department</t>
        </is>
      </c>
      <c r="F3588" s="13" t="inlineStr">
        <is>
          <t>20 Sep 2026</t>
        </is>
      </c>
      <c r="G3588" s="12" t="inlineStr">
        <is>
          <t>15 Oct 2026</t>
        </is>
      </c>
      <c r="H3588" s="8" t="inlineStr">
        <is>
          <t>⏳ UPCOMING</t>
        </is>
      </c>
      <c r="I3588" s="11" t="inlineStr">
        <is>
          <t>Tendernotice_1.pdf</t>
        </is>
      </c>
      <c r="J3588" s="13" t="inlineStr">
        <is>
          <t>📕 PDF Document</t>
        </is>
      </c>
      <c r="K3588" s="15" t="n">
        <v>17.9</v>
      </c>
      <c r="L3588" s="16">
        <f>HYPERLINK("http://127.0.0.1:8000/api/documents/download?id=768&amp;attachment=true", "⬇ Download Tendernotice_1.pdf")</f>
        <v/>
      </c>
      <c r="M3588" s="16">
        <f>HYPERLINK("http://localhost:5173/?state=Uttar%20Pradesh&amp;keyword=GIS&amp;tender=2026_CEJNS_1194861_17", "🚀 Open in Portal")</f>
        <v/>
      </c>
    </row>
    <row r="3589" ht="24" customHeight="1">
      <c r="A3589" s="4" t="inlineStr">
        <is>
          <t>Uttar Pradesh</t>
        </is>
      </c>
      <c r="B3589" s="5" t="inlineStr">
        <is>
          <t>GIS</t>
        </is>
      </c>
      <c r="C3589" s="6" t="inlineStr">
        <is>
          <t>2026_CEJNS_1194861_17</t>
        </is>
      </c>
      <c r="D3589" s="7" t="inlineStr">
        <is>
          <t>[Work of beautification of Ambedkar Park site in Gram Sabha Nainapur under Dr. BR Ambedkar Statue Development Scheme in Legislative Assembly Kalpi]</t>
        </is>
      </c>
      <c r="E3589" s="7" t="inlineStr">
        <is>
          <t>Uttar Pradesh Public Works &amp; Technology Department</t>
        </is>
      </c>
      <c r="F3589" s="6" t="inlineStr">
        <is>
          <t>20 Sep 2026</t>
        </is>
      </c>
      <c r="G3589" s="5" t="inlineStr">
        <is>
          <t>15 Oct 2026</t>
        </is>
      </c>
      <c r="H3589" s="8" t="inlineStr">
        <is>
          <t>⏳ UPCOMING</t>
        </is>
      </c>
      <c r="I3589" s="4" t="inlineStr">
        <is>
          <t>T1.pdf</t>
        </is>
      </c>
      <c r="J3589" s="6" t="inlineStr">
        <is>
          <t>📕 PDF Document</t>
        </is>
      </c>
      <c r="K3589" s="9" t="n">
        <v>17.9</v>
      </c>
      <c r="L3589" s="10">
        <f>HYPERLINK("http://127.0.0.1:8000/api/documents/download?id=769&amp;attachment=true", "⬇ Download T1.pdf")</f>
        <v/>
      </c>
      <c r="M3589" s="10">
        <f>HYPERLINK("http://localhost:5173/?state=Uttar%20Pradesh&amp;keyword=GIS&amp;tender=2026_CEJNS_1194861_17", "🚀 Open in Portal")</f>
        <v/>
      </c>
    </row>
    <row r="3590" ht="24" customHeight="1">
      <c r="A3590" s="11" t="inlineStr">
        <is>
          <t>Uttar Pradesh</t>
        </is>
      </c>
      <c r="B3590" s="12" t="inlineStr">
        <is>
          <t>GIS</t>
        </is>
      </c>
      <c r="C3590" s="13" t="inlineStr">
        <is>
          <t>2026_CEJNS_1194861_17</t>
        </is>
      </c>
      <c r="D3590" s="14" t="inlineStr">
        <is>
          <t>[Work of beautification of Ambedkar Park site in Gram Sabha Nainapur under Dr. BR Ambedkar Statue Development Scheme in Legislative Assembly Kalpi]</t>
        </is>
      </c>
      <c r="E3590" s="14" t="inlineStr">
        <is>
          <t>Uttar Pradesh Public Works &amp; Technology Department</t>
        </is>
      </c>
      <c r="F3590" s="13" t="inlineStr">
        <is>
          <t>20 Sep 2026</t>
        </is>
      </c>
      <c r="G3590" s="12" t="inlineStr">
        <is>
          <t>15 Oct 2026</t>
        </is>
      </c>
      <c r="H3590" s="8" t="inlineStr">
        <is>
          <t>⏳ UPCOMING</t>
        </is>
      </c>
      <c r="I3590" s="11" t="inlineStr">
        <is>
          <t>BOQ_2256482.xls</t>
        </is>
      </c>
      <c r="J3590" s="13" t="inlineStr">
        <is>
          <t>📊 Excel BOQ</t>
        </is>
      </c>
      <c r="K3590" s="15" t="n">
        <v>2.5</v>
      </c>
      <c r="L3590" s="16">
        <f>HYPERLINK("http://127.0.0.1:8000/api/documents/download?id=770&amp;attachment=true", "⬇ Download BOQ_2256482.xls")</f>
        <v/>
      </c>
      <c r="M3590" s="16">
        <f>HYPERLINK("http://localhost:5173/?state=Uttar%20Pradesh&amp;keyword=GIS&amp;tender=2026_CEJNS_1194861_17", "🚀 Open in Portal")</f>
        <v/>
      </c>
    </row>
    <row r="3591" ht="24" customHeight="1">
      <c r="A3591" s="4" t="inlineStr">
        <is>
          <t>Uttar Pradesh</t>
        </is>
      </c>
      <c r="B3591" s="5" t="inlineStr">
        <is>
          <t>GIS</t>
        </is>
      </c>
      <c r="C3591" s="6" t="inlineStr">
        <is>
          <t>2026_CEJNS_1194861_17</t>
        </is>
      </c>
      <c r="D3591" s="7" t="inlineStr">
        <is>
          <t>[Work of beautification of Ambedkar Park site in Gram Sabha Nainapur under Dr. BR Ambedkar Statue Development Scheme in Legislative Assembly Kalpi]</t>
        </is>
      </c>
      <c r="E3591" s="7" t="inlineStr">
        <is>
          <t>Uttar Pradesh Public Works &amp; Technology Department</t>
        </is>
      </c>
      <c r="F3591" s="6" t="inlineStr">
        <is>
          <t>20 Sep 2026</t>
        </is>
      </c>
      <c r="G3591" s="5" t="inlineStr">
        <is>
          <t>15 Oct 2026</t>
        </is>
      </c>
      <c r="H3591" s="8" t="inlineStr">
        <is>
          <t>⏳ UPCOMING</t>
        </is>
      </c>
      <c r="I3591" s="4" t="inlineStr">
        <is>
          <t>Tender_2026_CEJNS_1194861_17_All_Documents.zip</t>
        </is>
      </c>
      <c r="J3591" s="6" t="inlineStr">
        <is>
          <t>📦 ZIP Package</t>
        </is>
      </c>
      <c r="K3591" s="9" t="n">
        <v>20.8</v>
      </c>
      <c r="L3591" s="10">
        <f>HYPERLINK("http://127.0.0.1:8000/api/documents/download?id=771&amp;attachment=true", "⬇ Download Tender_2026_CEJNS_119486")</f>
        <v/>
      </c>
      <c r="M3591" s="10">
        <f>HYPERLINK("http://localhost:5173/?state=Uttar%20Pradesh&amp;keyword=GIS&amp;tender=2026_CEJNS_1194861_17", "🚀 Open in Portal")</f>
        <v/>
      </c>
    </row>
    <row r="3592" ht="24" customHeight="1">
      <c r="A3592" s="11" t="inlineStr">
        <is>
          <t>Uttar Pradesh</t>
        </is>
      </c>
      <c r="B3592" s="12" t="inlineStr">
        <is>
          <t>GIS</t>
        </is>
      </c>
      <c r="C3592" s="13" t="inlineStr">
        <is>
          <t>2026_CEJNS_1194861_18</t>
        </is>
      </c>
      <c r="D3592" s="14" t="inlineStr">
        <is>
          <t>[Under the Dr. BR Ambedkar Statue Development Scheme in Legislative Assembly Kalpi, beautification work of Gandhi statue site at Gram Sabha Sahav]</t>
        </is>
      </c>
      <c r="E3592" s="14" t="inlineStr">
        <is>
          <t>Uttar Pradesh Public Works &amp; Technology Department</t>
        </is>
      </c>
      <c r="F3592" s="13" t="inlineStr">
        <is>
          <t>27 Sep 2026</t>
        </is>
      </c>
      <c r="G3592" s="12" t="inlineStr">
        <is>
          <t>09 Nov 2026</t>
        </is>
      </c>
      <c r="H3592" s="17" t="inlineStr">
        <is>
          <t>🟢 LIVE ACTIVE</t>
        </is>
      </c>
      <c r="I3592" s="11" t="inlineStr">
        <is>
          <t>Tendernotice_1.pdf</t>
        </is>
      </c>
      <c r="J3592" s="13" t="inlineStr">
        <is>
          <t>📕 PDF Document</t>
        </is>
      </c>
      <c r="K3592" s="15" t="n">
        <v>17.9</v>
      </c>
      <c r="L3592" s="16">
        <f>HYPERLINK("http://127.0.0.1:8000/api/documents/download?id=800&amp;attachment=true", "⬇ Download Tendernotice_1.pdf")</f>
        <v/>
      </c>
      <c r="M3592" s="16">
        <f>HYPERLINK("http://localhost:5173/?state=Uttar%20Pradesh&amp;keyword=GIS&amp;tender=2026_CEJNS_1194861_18", "🚀 Open in Portal")</f>
        <v/>
      </c>
    </row>
    <row r="3593" ht="24" customHeight="1">
      <c r="A3593" s="4" t="inlineStr">
        <is>
          <t>Uttar Pradesh</t>
        </is>
      </c>
      <c r="B3593" s="5" t="inlineStr">
        <is>
          <t>GIS</t>
        </is>
      </c>
      <c r="C3593" s="6" t="inlineStr">
        <is>
          <t>2026_CEJNS_1194861_18</t>
        </is>
      </c>
      <c r="D3593" s="7" t="inlineStr">
        <is>
          <t>[Under the Dr. BR Ambedkar Statue Development Scheme in Legislative Assembly Kalpi, beautification work of Gandhi statue site at Gram Sabha Sahav]</t>
        </is>
      </c>
      <c r="E3593" s="7" t="inlineStr">
        <is>
          <t>Uttar Pradesh Public Works &amp; Technology Department</t>
        </is>
      </c>
      <c r="F3593" s="6" t="inlineStr">
        <is>
          <t>27 Sep 2026</t>
        </is>
      </c>
      <c r="G3593" s="5" t="inlineStr">
        <is>
          <t>09 Nov 2026</t>
        </is>
      </c>
      <c r="H3593" s="17" t="inlineStr">
        <is>
          <t>🟢 LIVE ACTIVE</t>
        </is>
      </c>
      <c r="I3593" s="4" t="inlineStr">
        <is>
          <t>T1.pdf</t>
        </is>
      </c>
      <c r="J3593" s="6" t="inlineStr">
        <is>
          <t>📕 PDF Document</t>
        </is>
      </c>
      <c r="K3593" s="9" t="n">
        <v>17.9</v>
      </c>
      <c r="L3593" s="10">
        <f>HYPERLINK("http://127.0.0.1:8000/api/documents/download?id=801&amp;attachment=true", "⬇ Download T1.pdf")</f>
        <v/>
      </c>
      <c r="M3593" s="10">
        <f>HYPERLINK("http://localhost:5173/?state=Uttar%20Pradesh&amp;keyword=GIS&amp;tender=2026_CEJNS_1194861_18", "🚀 Open in Portal")</f>
        <v/>
      </c>
    </row>
    <row r="3594" ht="24" customHeight="1">
      <c r="A3594" s="11" t="inlineStr">
        <is>
          <t>Uttar Pradesh</t>
        </is>
      </c>
      <c r="B3594" s="12" t="inlineStr">
        <is>
          <t>GIS</t>
        </is>
      </c>
      <c r="C3594" s="13" t="inlineStr">
        <is>
          <t>2026_CEJNS_1194861_18</t>
        </is>
      </c>
      <c r="D3594" s="14" t="inlineStr">
        <is>
          <t>[Under the Dr. BR Ambedkar Statue Development Scheme in Legislative Assembly Kalpi, beautification work of Gandhi statue site at Gram Sabha Sahav]</t>
        </is>
      </c>
      <c r="E3594" s="14" t="inlineStr">
        <is>
          <t>Uttar Pradesh Public Works &amp; Technology Department</t>
        </is>
      </c>
      <c r="F3594" s="13" t="inlineStr">
        <is>
          <t>27 Sep 2026</t>
        </is>
      </c>
      <c r="G3594" s="12" t="inlineStr">
        <is>
          <t>09 Nov 2026</t>
        </is>
      </c>
      <c r="H3594" s="17" t="inlineStr">
        <is>
          <t>🟢 LIVE ACTIVE</t>
        </is>
      </c>
      <c r="I3594" s="11" t="inlineStr">
        <is>
          <t>BOQ_2256496.xls</t>
        </is>
      </c>
      <c r="J3594" s="13" t="inlineStr">
        <is>
          <t>📊 Excel BOQ</t>
        </is>
      </c>
      <c r="K3594" s="15" t="n">
        <v>2.5</v>
      </c>
      <c r="L3594" s="16">
        <f>HYPERLINK("http://127.0.0.1:8000/api/documents/download?id=802&amp;attachment=true", "⬇ Download BOQ_2256496.xls")</f>
        <v/>
      </c>
      <c r="M3594" s="16">
        <f>HYPERLINK("http://localhost:5173/?state=Uttar%20Pradesh&amp;keyword=GIS&amp;tender=2026_CEJNS_1194861_18", "🚀 Open in Portal")</f>
        <v/>
      </c>
    </row>
    <row r="3595" ht="24" customHeight="1">
      <c r="A3595" s="4" t="inlineStr">
        <is>
          <t>Uttar Pradesh</t>
        </is>
      </c>
      <c r="B3595" s="5" t="inlineStr">
        <is>
          <t>GIS</t>
        </is>
      </c>
      <c r="C3595" s="6" t="inlineStr">
        <is>
          <t>2026_CEJNS_1194861_18</t>
        </is>
      </c>
      <c r="D3595" s="7" t="inlineStr">
        <is>
          <t>[Under the Dr. BR Ambedkar Statue Development Scheme in Legislative Assembly Kalpi, beautification work of Gandhi statue site at Gram Sabha Sahav]</t>
        </is>
      </c>
      <c r="E3595" s="7" t="inlineStr">
        <is>
          <t>Uttar Pradesh Public Works &amp; Technology Department</t>
        </is>
      </c>
      <c r="F3595" s="6" t="inlineStr">
        <is>
          <t>27 Sep 2026</t>
        </is>
      </c>
      <c r="G3595" s="5" t="inlineStr">
        <is>
          <t>09 Nov 2026</t>
        </is>
      </c>
      <c r="H3595" s="17" t="inlineStr">
        <is>
          <t>🟢 LIVE ACTIVE</t>
        </is>
      </c>
      <c r="I3595" s="4" t="inlineStr">
        <is>
          <t>Tender_2026_CEJNS_1194861_18_All_Documents.zip</t>
        </is>
      </c>
      <c r="J3595" s="6" t="inlineStr">
        <is>
          <t>📦 ZIP Package</t>
        </is>
      </c>
      <c r="K3595" s="9" t="n">
        <v>20.9</v>
      </c>
      <c r="L3595" s="10">
        <f>HYPERLINK("http://127.0.0.1:8000/api/documents/download?id=803&amp;attachment=true", "⬇ Download Tender_2026_CEJNS_119486")</f>
        <v/>
      </c>
      <c r="M3595" s="10">
        <f>HYPERLINK("http://localhost:5173/?state=Uttar%20Pradesh&amp;keyword=GIS&amp;tender=2026_CEJNS_1194861_18", "🚀 Open in Portal")</f>
        <v/>
      </c>
    </row>
    <row r="3596" ht="24" customHeight="1">
      <c r="A3596" s="11" t="inlineStr">
        <is>
          <t>Uttar Pradesh</t>
        </is>
      </c>
      <c r="B3596" s="12" t="inlineStr">
        <is>
          <t>GIS</t>
        </is>
      </c>
      <c r="C3596" s="13" t="inlineStr">
        <is>
          <t>2026_CEJNS_1194861_2</t>
        </is>
      </c>
      <c r="D3596" s="14" t="inlineStr">
        <is>
          <t>[Under the Dr. BR Ambedkar Murti Vikas Yojana in Legislative Assembly Orai, work of beautification of Kavir Saheb site in Gram Sabha Rahiya]</t>
        </is>
      </c>
      <c r="E3596" s="14" t="inlineStr">
        <is>
          <t>Uttar Pradesh Public Works &amp; Technology Department</t>
        </is>
      </c>
      <c r="F3596" s="13" t="inlineStr">
        <is>
          <t>09 Oct 2026</t>
        </is>
      </c>
      <c r="G3596" s="12" t="inlineStr">
        <is>
          <t>27 Oct 2026</t>
        </is>
      </c>
      <c r="H3596" s="17" t="inlineStr">
        <is>
          <t>🟢 LIVE ACTIVE</t>
        </is>
      </c>
      <c r="I3596" s="11" t="inlineStr">
        <is>
          <t>Tendernotice_1.pdf</t>
        </is>
      </c>
      <c r="J3596" s="13" t="inlineStr">
        <is>
          <t>📕 PDF Document</t>
        </is>
      </c>
      <c r="K3596" s="15" t="n">
        <v>17.9</v>
      </c>
      <c r="L3596" s="16">
        <f>HYPERLINK("http://127.0.0.1:8000/api/documents/download?id=824&amp;attachment=true", "⬇ Download Tendernotice_1.pdf")</f>
        <v/>
      </c>
      <c r="M3596" s="16">
        <f>HYPERLINK("http://localhost:5173/?state=Uttar%20Pradesh&amp;keyword=GIS&amp;tender=2026_CEJNS_1194861_2", "🚀 Open in Portal")</f>
        <v/>
      </c>
    </row>
    <row r="3597" ht="24" customHeight="1">
      <c r="A3597" s="4" t="inlineStr">
        <is>
          <t>Uttar Pradesh</t>
        </is>
      </c>
      <c r="B3597" s="5" t="inlineStr">
        <is>
          <t>GIS</t>
        </is>
      </c>
      <c r="C3597" s="6" t="inlineStr">
        <is>
          <t>2026_CEJNS_1194861_2</t>
        </is>
      </c>
      <c r="D3597" s="7" t="inlineStr">
        <is>
          <t>[Under the Dr. BR Ambedkar Murti Vikas Yojana in Legislative Assembly Orai, work of beautification of Kavir Saheb site in Gram Sabha Rahiya]</t>
        </is>
      </c>
      <c r="E3597" s="7" t="inlineStr">
        <is>
          <t>Uttar Pradesh Public Works &amp; Technology Department</t>
        </is>
      </c>
      <c r="F3597" s="6" t="inlineStr">
        <is>
          <t>09 Oct 2026</t>
        </is>
      </c>
      <c r="G3597" s="5" t="inlineStr">
        <is>
          <t>27 Oct 2026</t>
        </is>
      </c>
      <c r="H3597" s="17" t="inlineStr">
        <is>
          <t>🟢 LIVE ACTIVE</t>
        </is>
      </c>
      <c r="I3597" s="4" t="inlineStr">
        <is>
          <t>T1.pdf</t>
        </is>
      </c>
      <c r="J3597" s="6" t="inlineStr">
        <is>
          <t>📕 PDF Document</t>
        </is>
      </c>
      <c r="K3597" s="9" t="n">
        <v>17.9</v>
      </c>
      <c r="L3597" s="10">
        <f>HYPERLINK("http://127.0.0.1:8000/api/documents/download?id=825&amp;attachment=true", "⬇ Download T1.pdf")</f>
        <v/>
      </c>
      <c r="M3597" s="10">
        <f>HYPERLINK("http://localhost:5173/?state=Uttar%20Pradesh&amp;keyword=GIS&amp;tender=2026_CEJNS_1194861_2", "🚀 Open in Portal")</f>
        <v/>
      </c>
    </row>
    <row r="3598" ht="24" customHeight="1">
      <c r="A3598" s="11" t="inlineStr">
        <is>
          <t>Uttar Pradesh</t>
        </is>
      </c>
      <c r="B3598" s="12" t="inlineStr">
        <is>
          <t>GIS</t>
        </is>
      </c>
      <c r="C3598" s="13" t="inlineStr">
        <is>
          <t>2026_CEJNS_1194861_2</t>
        </is>
      </c>
      <c r="D3598" s="14" t="inlineStr">
        <is>
          <t>[Under the Dr. BR Ambedkar Murti Vikas Yojana in Legislative Assembly Orai, work of beautification of Kavir Saheb site in Gram Sabha Rahiya]</t>
        </is>
      </c>
      <c r="E3598" s="14" t="inlineStr">
        <is>
          <t>Uttar Pradesh Public Works &amp; Technology Department</t>
        </is>
      </c>
      <c r="F3598" s="13" t="inlineStr">
        <is>
          <t>09 Oct 2026</t>
        </is>
      </c>
      <c r="G3598" s="12" t="inlineStr">
        <is>
          <t>27 Oct 2026</t>
        </is>
      </c>
      <c r="H3598" s="17" t="inlineStr">
        <is>
          <t>🟢 LIVE ACTIVE</t>
        </is>
      </c>
      <c r="I3598" s="11" t="inlineStr">
        <is>
          <t>BOQ_2256246.xls</t>
        </is>
      </c>
      <c r="J3598" s="13" t="inlineStr">
        <is>
          <t>📊 Excel BOQ</t>
        </is>
      </c>
      <c r="K3598" s="15" t="n">
        <v>2.5</v>
      </c>
      <c r="L3598" s="16">
        <f>HYPERLINK("http://127.0.0.1:8000/api/documents/download?id=826&amp;attachment=true", "⬇ Download BOQ_2256246.xls")</f>
        <v/>
      </c>
      <c r="M3598" s="16">
        <f>HYPERLINK("http://localhost:5173/?state=Uttar%20Pradesh&amp;keyword=GIS&amp;tender=2026_CEJNS_1194861_2", "🚀 Open in Portal")</f>
        <v/>
      </c>
    </row>
    <row r="3599" ht="24" customHeight="1">
      <c r="A3599" s="4" t="inlineStr">
        <is>
          <t>Uttar Pradesh</t>
        </is>
      </c>
      <c r="B3599" s="5" t="inlineStr">
        <is>
          <t>GIS</t>
        </is>
      </c>
      <c r="C3599" s="6" t="inlineStr">
        <is>
          <t>2026_CEJNS_1194861_2</t>
        </is>
      </c>
      <c r="D3599" s="7" t="inlineStr">
        <is>
          <t>[Under the Dr. BR Ambedkar Murti Vikas Yojana in Legislative Assembly Orai, work of beautification of Kavir Saheb site in Gram Sabha Rahiya]</t>
        </is>
      </c>
      <c r="E3599" s="7" t="inlineStr">
        <is>
          <t>Uttar Pradesh Public Works &amp; Technology Department</t>
        </is>
      </c>
      <c r="F3599" s="6" t="inlineStr">
        <is>
          <t>09 Oct 2026</t>
        </is>
      </c>
      <c r="G3599" s="5" t="inlineStr">
        <is>
          <t>27 Oct 2026</t>
        </is>
      </c>
      <c r="H3599" s="17" t="inlineStr">
        <is>
          <t>🟢 LIVE ACTIVE</t>
        </is>
      </c>
      <c r="I3599" s="4" t="inlineStr">
        <is>
          <t>Tender_2026_CEJNS_1194861_2_All_Documents.zip</t>
        </is>
      </c>
      <c r="J3599" s="6" t="inlineStr">
        <is>
          <t>📦 ZIP Package</t>
        </is>
      </c>
      <c r="K3599" s="9" t="n">
        <v>20.9</v>
      </c>
      <c r="L3599" s="10">
        <f>HYPERLINK("http://127.0.0.1:8000/api/documents/download?id=827&amp;attachment=true", "⬇ Download Tender_2026_CEJNS_119486")</f>
        <v/>
      </c>
      <c r="M3599" s="10">
        <f>HYPERLINK("http://localhost:5173/?state=Uttar%20Pradesh&amp;keyword=GIS&amp;tender=2026_CEJNS_1194861_2", "🚀 Open in Portal")</f>
        <v/>
      </c>
    </row>
    <row r="3600" ht="24" customHeight="1">
      <c r="A3600" s="11" t="inlineStr">
        <is>
          <t>Uttar Pradesh</t>
        </is>
      </c>
      <c r="B3600" s="12" t="inlineStr">
        <is>
          <t>GIS</t>
        </is>
      </c>
      <c r="C3600" s="13" t="inlineStr">
        <is>
          <t>2026_CEJNS_1194861_20</t>
        </is>
      </c>
      <c r="D3600" s="14" t="inlineStr">
        <is>
          <t>[Under the Dr. BR Ambedkar Murti Vikas Yojana in Legislative Assembly Kalpi, beautification work of Ambedkar Park site in Gram Sabha Bicheli Kuthund]</t>
        </is>
      </c>
      <c r="E3600" s="14" t="inlineStr">
        <is>
          <t>Uttar Pradesh Public Works &amp; Technology Department</t>
        </is>
      </c>
      <c r="F3600" s="13" t="inlineStr">
        <is>
          <t>23 Oct 2026</t>
        </is>
      </c>
      <c r="G3600" s="12" t="inlineStr">
        <is>
          <t>13 Nov 2026</t>
        </is>
      </c>
      <c r="H3600" s="8" t="inlineStr">
        <is>
          <t>⏳ UPCOMING</t>
        </is>
      </c>
      <c r="I3600" s="11" t="inlineStr">
        <is>
          <t>Tendernotice_1.pdf</t>
        </is>
      </c>
      <c r="J3600" s="13" t="inlineStr">
        <is>
          <t>📕 PDF Document</t>
        </is>
      </c>
      <c r="K3600" s="15" t="n">
        <v>17.9</v>
      </c>
      <c r="L3600" s="16">
        <f>HYPERLINK("http://127.0.0.1:8000/api/documents/download?id=796&amp;attachment=true", "⬇ Download Tendernotice_1.pdf")</f>
        <v/>
      </c>
      <c r="M3600" s="16">
        <f>HYPERLINK("http://localhost:5173/?state=Uttar%20Pradesh&amp;keyword=GIS&amp;tender=2026_CEJNS_1194861_20", "🚀 Open in Portal")</f>
        <v/>
      </c>
    </row>
    <row r="3601" ht="24" customHeight="1">
      <c r="A3601" s="4" t="inlineStr">
        <is>
          <t>Uttar Pradesh</t>
        </is>
      </c>
      <c r="B3601" s="5" t="inlineStr">
        <is>
          <t>GIS</t>
        </is>
      </c>
      <c r="C3601" s="6" t="inlineStr">
        <is>
          <t>2026_CEJNS_1194861_20</t>
        </is>
      </c>
      <c r="D3601" s="7" t="inlineStr">
        <is>
          <t>[Under the Dr. BR Ambedkar Murti Vikas Yojana in Legislative Assembly Kalpi, beautification work of Ambedkar Park site in Gram Sabha Bicheli Kuthund]</t>
        </is>
      </c>
      <c r="E3601" s="7" t="inlineStr">
        <is>
          <t>Uttar Pradesh Public Works &amp; Technology Department</t>
        </is>
      </c>
      <c r="F3601" s="6" t="inlineStr">
        <is>
          <t>23 Oct 2026</t>
        </is>
      </c>
      <c r="G3601" s="5" t="inlineStr">
        <is>
          <t>13 Nov 2026</t>
        </is>
      </c>
      <c r="H3601" s="8" t="inlineStr">
        <is>
          <t>⏳ UPCOMING</t>
        </is>
      </c>
      <c r="I3601" s="4" t="inlineStr">
        <is>
          <t>T1.pdf</t>
        </is>
      </c>
      <c r="J3601" s="6" t="inlineStr">
        <is>
          <t>📕 PDF Document</t>
        </is>
      </c>
      <c r="K3601" s="9" t="n">
        <v>17.9</v>
      </c>
      <c r="L3601" s="10">
        <f>HYPERLINK("http://127.0.0.1:8000/api/documents/download?id=797&amp;attachment=true", "⬇ Download T1.pdf")</f>
        <v/>
      </c>
      <c r="M3601" s="10">
        <f>HYPERLINK("http://localhost:5173/?state=Uttar%20Pradesh&amp;keyword=GIS&amp;tender=2026_CEJNS_1194861_20", "🚀 Open in Portal")</f>
        <v/>
      </c>
    </row>
    <row r="3602" ht="24" customHeight="1">
      <c r="A3602" s="11" t="inlineStr">
        <is>
          <t>Uttar Pradesh</t>
        </is>
      </c>
      <c r="B3602" s="12" t="inlineStr">
        <is>
          <t>GIS</t>
        </is>
      </c>
      <c r="C3602" s="13" t="inlineStr">
        <is>
          <t>2026_CEJNS_1194861_20</t>
        </is>
      </c>
      <c r="D3602" s="14" t="inlineStr">
        <is>
          <t>[Under the Dr. BR Ambedkar Murti Vikas Yojana in Legislative Assembly Kalpi, beautification work of Ambedkar Park site in Gram Sabha Bicheli Kuthund]</t>
        </is>
      </c>
      <c r="E3602" s="14" t="inlineStr">
        <is>
          <t>Uttar Pradesh Public Works &amp; Technology Department</t>
        </is>
      </c>
      <c r="F3602" s="13" t="inlineStr">
        <is>
          <t>23 Oct 2026</t>
        </is>
      </c>
      <c r="G3602" s="12" t="inlineStr">
        <is>
          <t>13 Nov 2026</t>
        </is>
      </c>
      <c r="H3602" s="8" t="inlineStr">
        <is>
          <t>⏳ UPCOMING</t>
        </is>
      </c>
      <c r="I3602" s="11" t="inlineStr">
        <is>
          <t>BOQ_2256524.xls</t>
        </is>
      </c>
      <c r="J3602" s="13" t="inlineStr">
        <is>
          <t>📊 Excel BOQ</t>
        </is>
      </c>
      <c r="K3602" s="15" t="n">
        <v>2.5</v>
      </c>
      <c r="L3602" s="16">
        <f>HYPERLINK("http://127.0.0.1:8000/api/documents/download?id=798&amp;attachment=true", "⬇ Download BOQ_2256524.xls")</f>
        <v/>
      </c>
      <c r="M3602" s="16">
        <f>HYPERLINK("http://localhost:5173/?state=Uttar%20Pradesh&amp;keyword=GIS&amp;tender=2026_CEJNS_1194861_20", "🚀 Open in Portal")</f>
        <v/>
      </c>
    </row>
    <row r="3603" ht="24" customHeight="1">
      <c r="A3603" s="4" t="inlineStr">
        <is>
          <t>Uttar Pradesh</t>
        </is>
      </c>
      <c r="B3603" s="5" t="inlineStr">
        <is>
          <t>GIS</t>
        </is>
      </c>
      <c r="C3603" s="6" t="inlineStr">
        <is>
          <t>2026_CEJNS_1194861_20</t>
        </is>
      </c>
      <c r="D3603" s="7" t="inlineStr">
        <is>
          <t>[Under the Dr. BR Ambedkar Murti Vikas Yojana in Legislative Assembly Kalpi, beautification work of Ambedkar Park site in Gram Sabha Bicheli Kuthund]</t>
        </is>
      </c>
      <c r="E3603" s="7" t="inlineStr">
        <is>
          <t>Uttar Pradesh Public Works &amp; Technology Department</t>
        </is>
      </c>
      <c r="F3603" s="6" t="inlineStr">
        <is>
          <t>23 Oct 2026</t>
        </is>
      </c>
      <c r="G3603" s="5" t="inlineStr">
        <is>
          <t>13 Nov 2026</t>
        </is>
      </c>
      <c r="H3603" s="8" t="inlineStr">
        <is>
          <t>⏳ UPCOMING</t>
        </is>
      </c>
      <c r="I3603" s="4" t="inlineStr">
        <is>
          <t>Tender_2026_CEJNS_1194861_20_All_Documents.zip</t>
        </is>
      </c>
      <c r="J3603" s="6" t="inlineStr">
        <is>
          <t>📦 ZIP Package</t>
        </is>
      </c>
      <c r="K3603" s="9" t="n">
        <v>20.9</v>
      </c>
      <c r="L3603" s="10">
        <f>HYPERLINK("http://127.0.0.1:8000/api/documents/download?id=799&amp;attachment=true", "⬇ Download Tender_2026_CEJNS_119486")</f>
        <v/>
      </c>
      <c r="M3603" s="10">
        <f>HYPERLINK("http://localhost:5173/?state=Uttar%20Pradesh&amp;keyword=GIS&amp;tender=2026_CEJNS_1194861_20", "🚀 Open in Portal")</f>
        <v/>
      </c>
    </row>
    <row r="3604" ht="24" customHeight="1">
      <c r="A3604" s="11" t="inlineStr">
        <is>
          <t>Uttar Pradesh</t>
        </is>
      </c>
      <c r="B3604" s="12" t="inlineStr">
        <is>
          <t>GIS</t>
        </is>
      </c>
      <c r="C3604" s="13" t="inlineStr">
        <is>
          <t>2026_CEJNS_1194861_3</t>
        </is>
      </c>
      <c r="D3604" s="14" t="inlineStr">
        <is>
          <t>[Under the Dr. BR Ambedkar Statue Development Scheme in Legislative Assembly Orai, work of beautification of Ambedkar Park site in Gram Sabha Hardoi Gujar]</t>
        </is>
      </c>
      <c r="E3604" s="14" t="inlineStr">
        <is>
          <t>Uttar Pradesh Public Works &amp; Technology Department</t>
        </is>
      </c>
      <c r="F3604" s="13" t="inlineStr">
        <is>
          <t>13 Oct 2026</t>
        </is>
      </c>
      <c r="G3604" s="12" t="inlineStr">
        <is>
          <t>03 Nov 2026</t>
        </is>
      </c>
      <c r="H3604" s="17" t="inlineStr">
        <is>
          <t>🟢 LIVE ACTIVE</t>
        </is>
      </c>
      <c r="I3604" s="11" t="inlineStr">
        <is>
          <t>Tendernotice_1.pdf</t>
        </is>
      </c>
      <c r="J3604" s="13" t="inlineStr">
        <is>
          <t>📕 PDF Document</t>
        </is>
      </c>
      <c r="K3604" s="15" t="n">
        <v>17.9</v>
      </c>
      <c r="L3604" s="16">
        <f>HYPERLINK("http://127.0.0.1:8000/api/documents/download?id=784&amp;attachment=true", "⬇ Download Tendernotice_1.pdf")</f>
        <v/>
      </c>
      <c r="M3604" s="16">
        <f>HYPERLINK("http://localhost:5173/?state=Uttar%20Pradesh&amp;keyword=GIS&amp;tender=2026_CEJNS_1194861_3", "🚀 Open in Portal")</f>
        <v/>
      </c>
    </row>
    <row r="3605" ht="24" customHeight="1">
      <c r="A3605" s="4" t="inlineStr">
        <is>
          <t>Uttar Pradesh</t>
        </is>
      </c>
      <c r="B3605" s="5" t="inlineStr">
        <is>
          <t>GIS</t>
        </is>
      </c>
      <c r="C3605" s="6" t="inlineStr">
        <is>
          <t>2026_CEJNS_1194861_3</t>
        </is>
      </c>
      <c r="D3605" s="7" t="inlineStr">
        <is>
          <t>[Under the Dr. BR Ambedkar Statue Development Scheme in Legislative Assembly Orai, work of beautification of Ambedkar Park site in Gram Sabha Hardoi Gujar]</t>
        </is>
      </c>
      <c r="E3605" s="7" t="inlineStr">
        <is>
          <t>Uttar Pradesh Public Works &amp; Technology Department</t>
        </is>
      </c>
      <c r="F3605" s="6" t="inlineStr">
        <is>
          <t>13 Oct 2026</t>
        </is>
      </c>
      <c r="G3605" s="5" t="inlineStr">
        <is>
          <t>03 Nov 2026</t>
        </is>
      </c>
      <c r="H3605" s="17" t="inlineStr">
        <is>
          <t>🟢 LIVE ACTIVE</t>
        </is>
      </c>
      <c r="I3605" s="4" t="inlineStr">
        <is>
          <t>T1.pdf</t>
        </is>
      </c>
      <c r="J3605" s="6" t="inlineStr">
        <is>
          <t>📕 PDF Document</t>
        </is>
      </c>
      <c r="K3605" s="9" t="n">
        <v>17.9</v>
      </c>
      <c r="L3605" s="10">
        <f>HYPERLINK("http://127.0.0.1:8000/api/documents/download?id=785&amp;attachment=true", "⬇ Download T1.pdf")</f>
        <v/>
      </c>
      <c r="M3605" s="10">
        <f>HYPERLINK("http://localhost:5173/?state=Uttar%20Pradesh&amp;keyword=GIS&amp;tender=2026_CEJNS_1194861_3", "🚀 Open in Portal")</f>
        <v/>
      </c>
    </row>
    <row r="3606" ht="24" customHeight="1">
      <c r="A3606" s="11" t="inlineStr">
        <is>
          <t>Uttar Pradesh</t>
        </is>
      </c>
      <c r="B3606" s="12" t="inlineStr">
        <is>
          <t>GIS</t>
        </is>
      </c>
      <c r="C3606" s="13" t="inlineStr">
        <is>
          <t>2026_CEJNS_1194861_3</t>
        </is>
      </c>
      <c r="D3606" s="14" t="inlineStr">
        <is>
          <t>[Under the Dr. BR Ambedkar Statue Development Scheme in Legislative Assembly Orai, work of beautification of Ambedkar Park site in Gram Sabha Hardoi Gujar]</t>
        </is>
      </c>
      <c r="E3606" s="14" t="inlineStr">
        <is>
          <t>Uttar Pradesh Public Works &amp; Technology Department</t>
        </is>
      </c>
      <c r="F3606" s="13" t="inlineStr">
        <is>
          <t>13 Oct 2026</t>
        </is>
      </c>
      <c r="G3606" s="12" t="inlineStr">
        <is>
          <t>03 Nov 2026</t>
        </is>
      </c>
      <c r="H3606" s="17" t="inlineStr">
        <is>
          <t>🟢 LIVE ACTIVE</t>
        </is>
      </c>
      <c r="I3606" s="11" t="inlineStr">
        <is>
          <t>BOQ_2256262.xls</t>
        </is>
      </c>
      <c r="J3606" s="13" t="inlineStr">
        <is>
          <t>📊 Excel BOQ</t>
        </is>
      </c>
      <c r="K3606" s="15" t="n">
        <v>2.5</v>
      </c>
      <c r="L3606" s="16">
        <f>HYPERLINK("http://127.0.0.1:8000/api/documents/download?id=786&amp;attachment=true", "⬇ Download BOQ_2256262.xls")</f>
        <v/>
      </c>
      <c r="M3606" s="16">
        <f>HYPERLINK("http://localhost:5173/?state=Uttar%20Pradesh&amp;keyword=GIS&amp;tender=2026_CEJNS_1194861_3", "🚀 Open in Portal")</f>
        <v/>
      </c>
    </row>
    <row r="3607" ht="24" customHeight="1">
      <c r="A3607" s="4" t="inlineStr">
        <is>
          <t>Uttar Pradesh</t>
        </is>
      </c>
      <c r="B3607" s="5" t="inlineStr">
        <is>
          <t>GIS</t>
        </is>
      </c>
      <c r="C3607" s="6" t="inlineStr">
        <is>
          <t>2026_CEJNS_1194861_3</t>
        </is>
      </c>
      <c r="D3607" s="7" t="inlineStr">
        <is>
          <t>[Under the Dr. BR Ambedkar Statue Development Scheme in Legislative Assembly Orai, work of beautification of Ambedkar Park site in Gram Sabha Hardoi Gujar]</t>
        </is>
      </c>
      <c r="E3607" s="7" t="inlineStr">
        <is>
          <t>Uttar Pradesh Public Works &amp; Technology Department</t>
        </is>
      </c>
      <c r="F3607" s="6" t="inlineStr">
        <is>
          <t>13 Oct 2026</t>
        </is>
      </c>
      <c r="G3607" s="5" t="inlineStr">
        <is>
          <t>03 Nov 2026</t>
        </is>
      </c>
      <c r="H3607" s="17" t="inlineStr">
        <is>
          <t>🟢 LIVE ACTIVE</t>
        </is>
      </c>
      <c r="I3607" s="4" t="inlineStr">
        <is>
          <t>Tender_2026_CEJNS_1194861_3_All_Documents.zip</t>
        </is>
      </c>
      <c r="J3607" s="6" t="inlineStr">
        <is>
          <t>📦 ZIP Package</t>
        </is>
      </c>
      <c r="K3607" s="9" t="n">
        <v>20.9</v>
      </c>
      <c r="L3607" s="10">
        <f>HYPERLINK("http://127.0.0.1:8000/api/documents/download?id=787&amp;attachment=true", "⬇ Download Tender_2026_CEJNS_119486")</f>
        <v/>
      </c>
      <c r="M3607" s="10">
        <f>HYPERLINK("http://localhost:5173/?state=Uttar%20Pradesh&amp;keyword=GIS&amp;tender=2026_CEJNS_1194861_3", "🚀 Open in Portal")</f>
        <v/>
      </c>
    </row>
    <row r="3608" ht="24" customHeight="1">
      <c r="A3608" s="11" t="inlineStr">
        <is>
          <t>Uttar Pradesh</t>
        </is>
      </c>
      <c r="B3608" s="12" t="inlineStr">
        <is>
          <t>GIS</t>
        </is>
      </c>
      <c r="C3608" s="13" t="inlineStr">
        <is>
          <t>2026_CEJNS_1194861_4</t>
        </is>
      </c>
      <c r="D3608" s="14" t="inlineStr">
        <is>
          <t>[Beautification work of former Prime Minister Lal Bahadur Shastri Park site in Gram Sabha Zilla Parishad under Dr. BR Ambedkar Murti Vikas Yojana in Legislative Assembly Orai]</t>
        </is>
      </c>
      <c r="E3608" s="14" t="inlineStr">
        <is>
          <t>Uttar Pradesh Public Works &amp; Technology Department</t>
        </is>
      </c>
      <c r="F3608" s="13" t="inlineStr">
        <is>
          <t>22 Aug 2026</t>
        </is>
      </c>
      <c r="G3608" s="12" t="inlineStr">
        <is>
          <t>20 Sep 2026</t>
        </is>
      </c>
      <c r="H3608" s="8" t="inlineStr">
        <is>
          <t>⏳ UPCOMING</t>
        </is>
      </c>
      <c r="I3608" s="11" t="inlineStr">
        <is>
          <t>Tendernotice_1.pdf</t>
        </is>
      </c>
      <c r="J3608" s="13" t="inlineStr">
        <is>
          <t>📕 PDF Document</t>
        </is>
      </c>
      <c r="K3608" s="15" t="n">
        <v>17.9</v>
      </c>
      <c r="L3608" s="16">
        <f>HYPERLINK("http://127.0.0.1:8000/api/documents/download?id=764&amp;attachment=true", "⬇ Download Tendernotice_1.pdf")</f>
        <v/>
      </c>
      <c r="M3608" s="16">
        <f>HYPERLINK("http://localhost:5173/?state=Uttar%20Pradesh&amp;keyword=GIS&amp;tender=2026_CEJNS_1194861_4", "🚀 Open in Portal")</f>
        <v/>
      </c>
    </row>
    <row r="3609" ht="24" customHeight="1">
      <c r="A3609" s="4" t="inlineStr">
        <is>
          <t>Uttar Pradesh</t>
        </is>
      </c>
      <c r="B3609" s="5" t="inlineStr">
        <is>
          <t>GIS</t>
        </is>
      </c>
      <c r="C3609" s="6" t="inlineStr">
        <is>
          <t>2026_CEJNS_1194861_4</t>
        </is>
      </c>
      <c r="D3609" s="7" t="inlineStr">
        <is>
          <t>[Beautification work of former Prime Minister Lal Bahadur Shastri Park site in Gram Sabha Zilla Parishad under Dr. BR Ambedkar Murti Vikas Yojana in Legislative Assembly Orai]</t>
        </is>
      </c>
      <c r="E3609" s="7" t="inlineStr">
        <is>
          <t>Uttar Pradesh Public Works &amp; Technology Department</t>
        </is>
      </c>
      <c r="F3609" s="6" t="inlineStr">
        <is>
          <t>22 Aug 2026</t>
        </is>
      </c>
      <c r="G3609" s="5" t="inlineStr">
        <is>
          <t>20 Sep 2026</t>
        </is>
      </c>
      <c r="H3609" s="8" t="inlineStr">
        <is>
          <t>⏳ UPCOMING</t>
        </is>
      </c>
      <c r="I3609" s="4" t="inlineStr">
        <is>
          <t>T1.pdf</t>
        </is>
      </c>
      <c r="J3609" s="6" t="inlineStr">
        <is>
          <t>📕 PDF Document</t>
        </is>
      </c>
      <c r="K3609" s="9" t="n">
        <v>17.8</v>
      </c>
      <c r="L3609" s="10">
        <f>HYPERLINK("http://127.0.0.1:8000/api/documents/download?id=765&amp;attachment=true", "⬇ Download T1.pdf")</f>
        <v/>
      </c>
      <c r="M3609" s="10">
        <f>HYPERLINK("http://localhost:5173/?state=Uttar%20Pradesh&amp;keyword=GIS&amp;tender=2026_CEJNS_1194861_4", "🚀 Open in Portal")</f>
        <v/>
      </c>
    </row>
    <row r="3610" ht="24" customHeight="1">
      <c r="A3610" s="11" t="inlineStr">
        <is>
          <t>Uttar Pradesh</t>
        </is>
      </c>
      <c r="B3610" s="12" t="inlineStr">
        <is>
          <t>GIS</t>
        </is>
      </c>
      <c r="C3610" s="13" t="inlineStr">
        <is>
          <t>2026_CEJNS_1194861_4</t>
        </is>
      </c>
      <c r="D3610" s="14" t="inlineStr">
        <is>
          <t>[Beautification work of former Prime Minister Lal Bahadur Shastri Park site in Gram Sabha Zilla Parishad under Dr. BR Ambedkar Murti Vikas Yojana in Legislative Assembly Orai]</t>
        </is>
      </c>
      <c r="E3610" s="14" t="inlineStr">
        <is>
          <t>Uttar Pradesh Public Works &amp; Technology Department</t>
        </is>
      </c>
      <c r="F3610" s="13" t="inlineStr">
        <is>
          <t>22 Aug 2026</t>
        </is>
      </c>
      <c r="G3610" s="12" t="inlineStr">
        <is>
          <t>20 Sep 2026</t>
        </is>
      </c>
      <c r="H3610" s="8" t="inlineStr">
        <is>
          <t>⏳ UPCOMING</t>
        </is>
      </c>
      <c r="I3610" s="11" t="inlineStr">
        <is>
          <t>BOQ_2256282.xls</t>
        </is>
      </c>
      <c r="J3610" s="13" t="inlineStr">
        <is>
          <t>📊 Excel BOQ</t>
        </is>
      </c>
      <c r="K3610" s="15" t="n">
        <v>2.5</v>
      </c>
      <c r="L3610" s="16">
        <f>HYPERLINK("http://127.0.0.1:8000/api/documents/download?id=766&amp;attachment=true", "⬇ Download BOQ_2256282.xls")</f>
        <v/>
      </c>
      <c r="M3610" s="16">
        <f>HYPERLINK("http://localhost:5173/?state=Uttar%20Pradesh&amp;keyword=GIS&amp;tender=2026_CEJNS_1194861_4", "🚀 Open in Portal")</f>
        <v/>
      </c>
    </row>
    <row r="3611" ht="24" customHeight="1">
      <c r="A3611" s="4" t="inlineStr">
        <is>
          <t>Uttar Pradesh</t>
        </is>
      </c>
      <c r="B3611" s="5" t="inlineStr">
        <is>
          <t>GIS</t>
        </is>
      </c>
      <c r="C3611" s="6" t="inlineStr">
        <is>
          <t>2026_CEJNS_1194861_4</t>
        </is>
      </c>
      <c r="D3611" s="7" t="inlineStr">
        <is>
          <t>[Beautification work of former Prime Minister Lal Bahadur Shastri Park site in Gram Sabha Zilla Parishad under Dr. BR Ambedkar Murti Vikas Yojana in Legislative Assembly Orai]</t>
        </is>
      </c>
      <c r="E3611" s="7" t="inlineStr">
        <is>
          <t>Uttar Pradesh Public Works &amp; Technology Department</t>
        </is>
      </c>
      <c r="F3611" s="6" t="inlineStr">
        <is>
          <t>22 Aug 2026</t>
        </is>
      </c>
      <c r="G3611" s="5" t="inlineStr">
        <is>
          <t>20 Sep 2026</t>
        </is>
      </c>
      <c r="H3611" s="8" t="inlineStr">
        <is>
          <t>⏳ UPCOMING</t>
        </is>
      </c>
      <c r="I3611" s="4" t="inlineStr">
        <is>
          <t>Tender_2026_CEJNS_1194861_4_All_Documents.zip</t>
        </is>
      </c>
      <c r="J3611" s="6" t="inlineStr">
        <is>
          <t>📦 ZIP Package</t>
        </is>
      </c>
      <c r="K3611" s="9" t="n">
        <v>20.9</v>
      </c>
      <c r="L3611" s="10">
        <f>HYPERLINK("http://127.0.0.1:8000/api/documents/download?id=767&amp;attachment=true", "⬇ Download Tender_2026_CEJNS_119486")</f>
        <v/>
      </c>
      <c r="M3611" s="10">
        <f>HYPERLINK("http://localhost:5173/?state=Uttar%20Pradesh&amp;keyword=GIS&amp;tender=2026_CEJNS_1194861_4", "🚀 Open in Portal")</f>
        <v/>
      </c>
    </row>
    <row r="3612" ht="24" customHeight="1">
      <c r="A3612" s="11" t="inlineStr">
        <is>
          <t>Uttar Pradesh</t>
        </is>
      </c>
      <c r="B3612" s="12" t="inlineStr">
        <is>
          <t>GIS</t>
        </is>
      </c>
      <c r="C3612" s="13" t="inlineStr">
        <is>
          <t>2026_CEJNS_1194861_5</t>
        </is>
      </c>
      <c r="D3612" s="14" t="inlineStr">
        <is>
          <t>[Under the Dr. BR Ambedkar Murti Vikas Yojana in Legislative Assembly Orai, the work of beautification of Atal Bihari Bajpayee (Chairaha) site in Gram Sabha Medical College]</t>
        </is>
      </c>
      <c r="E3612" s="14" t="inlineStr">
        <is>
          <t>Uttar Pradesh Public Works &amp; Technology Department</t>
        </is>
      </c>
      <c r="F3612" s="13" t="inlineStr">
        <is>
          <t>19 Oct 2026</t>
        </is>
      </c>
      <c r="G3612" s="12" t="inlineStr">
        <is>
          <t>23 Nov 2026</t>
        </is>
      </c>
      <c r="H3612" s="17" t="inlineStr">
        <is>
          <t>🟢 LIVE ACTIVE</t>
        </is>
      </c>
      <c r="I3612" s="11" t="inlineStr">
        <is>
          <t>Tendernotice_1.pdf</t>
        </is>
      </c>
      <c r="J3612" s="13" t="inlineStr">
        <is>
          <t>📕 PDF Document</t>
        </is>
      </c>
      <c r="K3612" s="15" t="n">
        <v>17.9</v>
      </c>
      <c r="L3612" s="16">
        <f>HYPERLINK("http://127.0.0.1:8000/api/documents/download?id=804&amp;attachment=true", "⬇ Download Tendernotice_1.pdf")</f>
        <v/>
      </c>
      <c r="M3612" s="16">
        <f>HYPERLINK("http://localhost:5173/?state=Uttar%20Pradesh&amp;keyword=GIS&amp;tender=2026_CEJNS_1194861_5", "🚀 Open in Portal")</f>
        <v/>
      </c>
    </row>
    <row r="3613" ht="24" customHeight="1">
      <c r="A3613" s="4" t="inlineStr">
        <is>
          <t>Uttar Pradesh</t>
        </is>
      </c>
      <c r="B3613" s="5" t="inlineStr">
        <is>
          <t>GIS</t>
        </is>
      </c>
      <c r="C3613" s="6" t="inlineStr">
        <is>
          <t>2026_CEJNS_1194861_5</t>
        </is>
      </c>
      <c r="D3613" s="7" t="inlineStr">
        <is>
          <t>[Under the Dr. BR Ambedkar Murti Vikas Yojana in Legislative Assembly Orai, the work of beautification of Atal Bihari Bajpayee (Chairaha) site in Gram Sabha Medical College]</t>
        </is>
      </c>
      <c r="E3613" s="7" t="inlineStr">
        <is>
          <t>Uttar Pradesh Public Works &amp; Technology Department</t>
        </is>
      </c>
      <c r="F3613" s="6" t="inlineStr">
        <is>
          <t>19 Oct 2026</t>
        </is>
      </c>
      <c r="G3613" s="5" t="inlineStr">
        <is>
          <t>23 Nov 2026</t>
        </is>
      </c>
      <c r="H3613" s="17" t="inlineStr">
        <is>
          <t>🟢 LIVE ACTIVE</t>
        </is>
      </c>
      <c r="I3613" s="4" t="inlineStr">
        <is>
          <t>T1.pdf</t>
        </is>
      </c>
      <c r="J3613" s="6" t="inlineStr">
        <is>
          <t>📕 PDF Document</t>
        </is>
      </c>
      <c r="K3613" s="9" t="n">
        <v>17.9</v>
      </c>
      <c r="L3613" s="10">
        <f>HYPERLINK("http://127.0.0.1:8000/api/documents/download?id=805&amp;attachment=true", "⬇ Download T1.pdf")</f>
        <v/>
      </c>
      <c r="M3613" s="10">
        <f>HYPERLINK("http://localhost:5173/?state=Uttar%20Pradesh&amp;keyword=GIS&amp;tender=2026_CEJNS_1194861_5", "🚀 Open in Portal")</f>
        <v/>
      </c>
    </row>
    <row r="3614" ht="24" customHeight="1">
      <c r="A3614" s="11" t="inlineStr">
        <is>
          <t>Uttar Pradesh</t>
        </is>
      </c>
      <c r="B3614" s="12" t="inlineStr">
        <is>
          <t>GIS</t>
        </is>
      </c>
      <c r="C3614" s="13" t="inlineStr">
        <is>
          <t>2026_CEJNS_1194861_5</t>
        </is>
      </c>
      <c r="D3614" s="14" t="inlineStr">
        <is>
          <t>[Under the Dr. BR Ambedkar Murti Vikas Yojana in Legislative Assembly Orai, the work of beautification of Atal Bihari Bajpayee (Chairaha) site in Gram Sabha Medical College]</t>
        </is>
      </c>
      <c r="E3614" s="14" t="inlineStr">
        <is>
          <t>Uttar Pradesh Public Works &amp; Technology Department</t>
        </is>
      </c>
      <c r="F3614" s="13" t="inlineStr">
        <is>
          <t>19 Oct 2026</t>
        </is>
      </c>
      <c r="G3614" s="12" t="inlineStr">
        <is>
          <t>23 Nov 2026</t>
        </is>
      </c>
      <c r="H3614" s="17" t="inlineStr">
        <is>
          <t>🟢 LIVE ACTIVE</t>
        </is>
      </c>
      <c r="I3614" s="11" t="inlineStr">
        <is>
          <t>BOQ_2256296.xls</t>
        </is>
      </c>
      <c r="J3614" s="13" t="inlineStr">
        <is>
          <t>📊 Excel BOQ</t>
        </is>
      </c>
      <c r="K3614" s="15" t="n">
        <v>2.5</v>
      </c>
      <c r="L3614" s="16">
        <f>HYPERLINK("http://127.0.0.1:8000/api/documents/download?id=806&amp;attachment=true", "⬇ Download BOQ_2256296.xls")</f>
        <v/>
      </c>
      <c r="M3614" s="16">
        <f>HYPERLINK("http://localhost:5173/?state=Uttar%20Pradesh&amp;keyword=GIS&amp;tender=2026_CEJNS_1194861_5", "🚀 Open in Portal")</f>
        <v/>
      </c>
    </row>
    <row r="3615" ht="24" customHeight="1">
      <c r="A3615" s="4" t="inlineStr">
        <is>
          <t>Uttar Pradesh</t>
        </is>
      </c>
      <c r="B3615" s="5" t="inlineStr">
        <is>
          <t>GIS</t>
        </is>
      </c>
      <c r="C3615" s="6" t="inlineStr">
        <is>
          <t>2026_CEJNS_1194861_5</t>
        </is>
      </c>
      <c r="D3615" s="7" t="inlineStr">
        <is>
          <t>[Under the Dr. BR Ambedkar Murti Vikas Yojana in Legislative Assembly Orai, the work of beautification of Atal Bihari Bajpayee (Chairaha) site in Gram Sabha Medical College]</t>
        </is>
      </c>
      <c r="E3615" s="7" t="inlineStr">
        <is>
          <t>Uttar Pradesh Public Works &amp; Technology Department</t>
        </is>
      </c>
      <c r="F3615" s="6" t="inlineStr">
        <is>
          <t>19 Oct 2026</t>
        </is>
      </c>
      <c r="G3615" s="5" t="inlineStr">
        <is>
          <t>23 Nov 2026</t>
        </is>
      </c>
      <c r="H3615" s="17" t="inlineStr">
        <is>
          <t>🟢 LIVE ACTIVE</t>
        </is>
      </c>
      <c r="I3615" s="4" t="inlineStr">
        <is>
          <t>Tender_2026_CEJNS_1194861_5_All_Documents.zip</t>
        </is>
      </c>
      <c r="J3615" s="6" t="inlineStr">
        <is>
          <t>📦 ZIP Package</t>
        </is>
      </c>
      <c r="K3615" s="9" t="n">
        <v>20.9</v>
      </c>
      <c r="L3615" s="10">
        <f>HYPERLINK("http://127.0.0.1:8000/api/documents/download?id=807&amp;attachment=true", "⬇ Download Tender_2026_CEJNS_119486")</f>
        <v/>
      </c>
      <c r="M3615" s="10">
        <f>HYPERLINK("http://localhost:5173/?state=Uttar%20Pradesh&amp;keyword=GIS&amp;tender=2026_CEJNS_1194861_5", "🚀 Open in Portal")</f>
        <v/>
      </c>
    </row>
    <row r="3616" ht="24" customHeight="1">
      <c r="A3616" s="11" t="inlineStr">
        <is>
          <t>Uttar Pradesh</t>
        </is>
      </c>
      <c r="B3616" s="12" t="inlineStr">
        <is>
          <t>GIS</t>
        </is>
      </c>
      <c r="C3616" s="13" t="inlineStr">
        <is>
          <t>2026_CEJNS_1194861_6</t>
        </is>
      </c>
      <c r="D3616" s="14" t="inlineStr">
        <is>
          <t>[Under the Dr. BR Ambedkar Murti Vikas Yojana in Legislative Assembly Orai, beautification work of Pt. Deen Dayal (square) site at Gram Sabha Konch intersection]</t>
        </is>
      </c>
      <c r="E3616" s="14" t="inlineStr">
        <is>
          <t>Uttar Pradesh Public Works &amp; Technology Department</t>
        </is>
      </c>
      <c r="F3616" s="13" t="inlineStr">
        <is>
          <t>22 Aug 2026</t>
        </is>
      </c>
      <c r="G3616" s="12" t="inlineStr">
        <is>
          <t>19 Sep 2026</t>
        </is>
      </c>
      <c r="H3616" s="8" t="inlineStr">
        <is>
          <t>⏳ UPCOMING</t>
        </is>
      </c>
      <c r="I3616" s="11" t="inlineStr">
        <is>
          <t>Tendernotice_1.pdf</t>
        </is>
      </c>
      <c r="J3616" s="13" t="inlineStr">
        <is>
          <t>📕 PDF Document</t>
        </is>
      </c>
      <c r="K3616" s="15" t="n">
        <v>17.9</v>
      </c>
      <c r="L3616" s="16">
        <f>HYPERLINK("http://127.0.0.1:8000/api/documents/download?id=812&amp;attachment=true", "⬇ Download Tendernotice_1.pdf")</f>
        <v/>
      </c>
      <c r="M3616" s="16">
        <f>HYPERLINK("http://localhost:5173/?state=Uttar%20Pradesh&amp;keyword=GIS&amp;tender=2026_CEJNS_1194861_6", "🚀 Open in Portal")</f>
        <v/>
      </c>
    </row>
    <row r="3617" ht="24" customHeight="1">
      <c r="A3617" s="4" t="inlineStr">
        <is>
          <t>Uttar Pradesh</t>
        </is>
      </c>
      <c r="B3617" s="5" t="inlineStr">
        <is>
          <t>GIS</t>
        </is>
      </c>
      <c r="C3617" s="6" t="inlineStr">
        <is>
          <t>2026_CEJNS_1194861_6</t>
        </is>
      </c>
      <c r="D3617" s="7" t="inlineStr">
        <is>
          <t>[Under the Dr. BR Ambedkar Murti Vikas Yojana in Legislative Assembly Orai, beautification work of Pt. Deen Dayal (square) site at Gram Sabha Konch intersection]</t>
        </is>
      </c>
      <c r="E3617" s="7" t="inlineStr">
        <is>
          <t>Uttar Pradesh Public Works &amp; Technology Department</t>
        </is>
      </c>
      <c r="F3617" s="6" t="inlineStr">
        <is>
          <t>22 Aug 2026</t>
        </is>
      </c>
      <c r="G3617" s="5" t="inlineStr">
        <is>
          <t>19 Sep 2026</t>
        </is>
      </c>
      <c r="H3617" s="8" t="inlineStr">
        <is>
          <t>⏳ UPCOMING</t>
        </is>
      </c>
      <c r="I3617" s="4" t="inlineStr">
        <is>
          <t>T1.pdf</t>
        </is>
      </c>
      <c r="J3617" s="6" t="inlineStr">
        <is>
          <t>📕 PDF Document</t>
        </is>
      </c>
      <c r="K3617" s="9" t="n">
        <v>17.9</v>
      </c>
      <c r="L3617" s="10">
        <f>HYPERLINK("http://127.0.0.1:8000/api/documents/download?id=813&amp;attachment=true", "⬇ Download T1.pdf")</f>
        <v/>
      </c>
      <c r="M3617" s="10">
        <f>HYPERLINK("http://localhost:5173/?state=Uttar%20Pradesh&amp;keyword=GIS&amp;tender=2026_CEJNS_1194861_6", "🚀 Open in Portal")</f>
        <v/>
      </c>
    </row>
    <row r="3618" ht="24" customHeight="1">
      <c r="A3618" s="11" t="inlineStr">
        <is>
          <t>Uttar Pradesh</t>
        </is>
      </c>
      <c r="B3618" s="12" t="inlineStr">
        <is>
          <t>GIS</t>
        </is>
      </c>
      <c r="C3618" s="13" t="inlineStr">
        <is>
          <t>2026_CEJNS_1194861_6</t>
        </is>
      </c>
      <c r="D3618" s="14" t="inlineStr">
        <is>
          <t>[Under the Dr. BR Ambedkar Murti Vikas Yojana in Legislative Assembly Orai, beautification work of Pt. Deen Dayal (square) site at Gram Sabha Konch intersection]</t>
        </is>
      </c>
      <c r="E3618" s="14" t="inlineStr">
        <is>
          <t>Uttar Pradesh Public Works &amp; Technology Department</t>
        </is>
      </c>
      <c r="F3618" s="13" t="inlineStr">
        <is>
          <t>22 Aug 2026</t>
        </is>
      </c>
      <c r="G3618" s="12" t="inlineStr">
        <is>
          <t>19 Sep 2026</t>
        </is>
      </c>
      <c r="H3618" s="8" t="inlineStr">
        <is>
          <t>⏳ UPCOMING</t>
        </is>
      </c>
      <c r="I3618" s="11" t="inlineStr">
        <is>
          <t>BOQ_2256308.xls</t>
        </is>
      </c>
      <c r="J3618" s="13" t="inlineStr">
        <is>
          <t>📊 Excel BOQ</t>
        </is>
      </c>
      <c r="K3618" s="15" t="n">
        <v>2.5</v>
      </c>
      <c r="L3618" s="16">
        <f>HYPERLINK("http://127.0.0.1:8000/api/documents/download?id=814&amp;attachment=true", "⬇ Download BOQ_2256308.xls")</f>
        <v/>
      </c>
      <c r="M3618" s="16">
        <f>HYPERLINK("http://localhost:5173/?state=Uttar%20Pradesh&amp;keyword=GIS&amp;tender=2026_CEJNS_1194861_6", "🚀 Open in Portal")</f>
        <v/>
      </c>
    </row>
    <row r="3619" ht="24" customHeight="1">
      <c r="A3619" s="4" t="inlineStr">
        <is>
          <t>Uttar Pradesh</t>
        </is>
      </c>
      <c r="B3619" s="5" t="inlineStr">
        <is>
          <t>GIS</t>
        </is>
      </c>
      <c r="C3619" s="6" t="inlineStr">
        <is>
          <t>2026_CEJNS_1194861_6</t>
        </is>
      </c>
      <c r="D3619" s="7" t="inlineStr">
        <is>
          <t>[Under the Dr. BR Ambedkar Murti Vikas Yojana in Legislative Assembly Orai, beautification work of Pt. Deen Dayal (square) site at Gram Sabha Konch intersection]</t>
        </is>
      </c>
      <c r="E3619" s="7" t="inlineStr">
        <is>
          <t>Uttar Pradesh Public Works &amp; Technology Department</t>
        </is>
      </c>
      <c r="F3619" s="6" t="inlineStr">
        <is>
          <t>22 Aug 2026</t>
        </is>
      </c>
      <c r="G3619" s="5" t="inlineStr">
        <is>
          <t>19 Sep 2026</t>
        </is>
      </c>
      <c r="H3619" s="8" t="inlineStr">
        <is>
          <t>⏳ UPCOMING</t>
        </is>
      </c>
      <c r="I3619" s="4" t="inlineStr">
        <is>
          <t>Tender_2026_CEJNS_1194861_6_All_Documents.zip</t>
        </is>
      </c>
      <c r="J3619" s="6" t="inlineStr">
        <is>
          <t>📦 ZIP Package</t>
        </is>
      </c>
      <c r="K3619" s="9" t="n">
        <v>20.9</v>
      </c>
      <c r="L3619" s="10">
        <f>HYPERLINK("http://127.0.0.1:8000/api/documents/download?id=815&amp;attachment=true", "⬇ Download Tender_2026_CEJNS_119486")</f>
        <v/>
      </c>
      <c r="M3619" s="10">
        <f>HYPERLINK("http://localhost:5173/?state=Uttar%20Pradesh&amp;keyword=GIS&amp;tender=2026_CEJNS_1194861_6", "🚀 Open in Portal")</f>
        <v/>
      </c>
    </row>
    <row r="3620" ht="24" customHeight="1">
      <c r="A3620" s="11" t="inlineStr">
        <is>
          <t>Uttar Pradesh</t>
        </is>
      </c>
      <c r="B3620" s="12" t="inlineStr">
        <is>
          <t>GIS</t>
        </is>
      </c>
      <c r="C3620" s="13" t="inlineStr">
        <is>
          <t>2026_CEJNS_1194861_7</t>
        </is>
      </c>
      <c r="D3620" s="14" t="inlineStr">
        <is>
          <t>[Under the Dr. BR Ambedkar Murti Vikas Yojana in Legislative Assembly Orai, beautification work of Ambedkar Park site on At-Konch Road in Gram Sabha At]</t>
        </is>
      </c>
      <c r="E3620" s="14" t="inlineStr">
        <is>
          <t>Uttar Pradesh Public Works &amp; Technology Department</t>
        </is>
      </c>
      <c r="F3620" s="13" t="inlineStr">
        <is>
          <t>06 Aug 2026</t>
        </is>
      </c>
      <c r="G3620" s="12" t="inlineStr">
        <is>
          <t>27 Aug 2026</t>
        </is>
      </c>
      <c r="H3620" s="8" t="inlineStr">
        <is>
          <t>⏳ UPCOMING</t>
        </is>
      </c>
      <c r="I3620" s="11" t="inlineStr">
        <is>
          <t>Tendernotice_1.pdf</t>
        </is>
      </c>
      <c r="J3620" s="13" t="inlineStr">
        <is>
          <t>📕 PDF Document</t>
        </is>
      </c>
      <c r="K3620" s="15" t="n">
        <v>17.9</v>
      </c>
      <c r="L3620" s="16">
        <f>HYPERLINK("http://127.0.0.1:8000/api/documents/download?id=808&amp;attachment=true", "⬇ Download Tendernotice_1.pdf")</f>
        <v/>
      </c>
      <c r="M3620" s="16">
        <f>HYPERLINK("http://localhost:5173/?state=Uttar%20Pradesh&amp;keyword=GIS&amp;tender=2026_CEJNS_1194861_7", "🚀 Open in Portal")</f>
        <v/>
      </c>
    </row>
    <row r="3621" ht="24" customHeight="1">
      <c r="A3621" s="4" t="inlineStr">
        <is>
          <t>Uttar Pradesh</t>
        </is>
      </c>
      <c r="B3621" s="5" t="inlineStr">
        <is>
          <t>GIS</t>
        </is>
      </c>
      <c r="C3621" s="6" t="inlineStr">
        <is>
          <t>2026_CEJNS_1194861_7</t>
        </is>
      </c>
      <c r="D3621" s="7" t="inlineStr">
        <is>
          <t>[Under the Dr. BR Ambedkar Murti Vikas Yojana in Legislative Assembly Orai, beautification work of Ambedkar Park site on At-Konch Road in Gram Sabha At]</t>
        </is>
      </c>
      <c r="E3621" s="7" t="inlineStr">
        <is>
          <t>Uttar Pradesh Public Works &amp; Technology Department</t>
        </is>
      </c>
      <c r="F3621" s="6" t="inlineStr">
        <is>
          <t>06 Aug 2026</t>
        </is>
      </c>
      <c r="G3621" s="5" t="inlineStr">
        <is>
          <t>27 Aug 2026</t>
        </is>
      </c>
      <c r="H3621" s="8" t="inlineStr">
        <is>
          <t>⏳ UPCOMING</t>
        </is>
      </c>
      <c r="I3621" s="4" t="inlineStr">
        <is>
          <t>T1.pdf</t>
        </is>
      </c>
      <c r="J3621" s="6" t="inlineStr">
        <is>
          <t>📕 PDF Document</t>
        </is>
      </c>
      <c r="K3621" s="9" t="n">
        <v>17.9</v>
      </c>
      <c r="L3621" s="10">
        <f>HYPERLINK("http://127.0.0.1:8000/api/documents/download?id=809&amp;attachment=true", "⬇ Download T1.pdf")</f>
        <v/>
      </c>
      <c r="M3621" s="10">
        <f>HYPERLINK("http://localhost:5173/?state=Uttar%20Pradesh&amp;keyword=GIS&amp;tender=2026_CEJNS_1194861_7", "🚀 Open in Portal")</f>
        <v/>
      </c>
    </row>
    <row r="3622" ht="24" customHeight="1">
      <c r="A3622" s="11" t="inlineStr">
        <is>
          <t>Uttar Pradesh</t>
        </is>
      </c>
      <c r="B3622" s="12" t="inlineStr">
        <is>
          <t>GIS</t>
        </is>
      </c>
      <c r="C3622" s="13" t="inlineStr">
        <is>
          <t>2026_CEJNS_1194861_7</t>
        </is>
      </c>
      <c r="D3622" s="14" t="inlineStr">
        <is>
          <t>[Under the Dr. BR Ambedkar Murti Vikas Yojana in Legislative Assembly Orai, beautification work of Ambedkar Park site on At-Konch Road in Gram Sabha At]</t>
        </is>
      </c>
      <c r="E3622" s="14" t="inlineStr">
        <is>
          <t>Uttar Pradesh Public Works &amp; Technology Department</t>
        </is>
      </c>
      <c r="F3622" s="13" t="inlineStr">
        <is>
          <t>06 Aug 2026</t>
        </is>
      </c>
      <c r="G3622" s="12" t="inlineStr">
        <is>
          <t>27 Aug 2026</t>
        </is>
      </c>
      <c r="H3622" s="8" t="inlineStr">
        <is>
          <t>⏳ UPCOMING</t>
        </is>
      </c>
      <c r="I3622" s="11" t="inlineStr">
        <is>
          <t>BOQ_2256324.xls</t>
        </is>
      </c>
      <c r="J3622" s="13" t="inlineStr">
        <is>
          <t>📊 Excel BOQ</t>
        </is>
      </c>
      <c r="K3622" s="15" t="n">
        <v>2.5</v>
      </c>
      <c r="L3622" s="16">
        <f>HYPERLINK("http://127.0.0.1:8000/api/documents/download?id=810&amp;attachment=true", "⬇ Download BOQ_2256324.xls")</f>
        <v/>
      </c>
      <c r="M3622" s="16">
        <f>HYPERLINK("http://localhost:5173/?state=Uttar%20Pradesh&amp;keyword=GIS&amp;tender=2026_CEJNS_1194861_7", "🚀 Open in Portal")</f>
        <v/>
      </c>
    </row>
    <row r="3623" ht="24" customHeight="1">
      <c r="A3623" s="4" t="inlineStr">
        <is>
          <t>Uttar Pradesh</t>
        </is>
      </c>
      <c r="B3623" s="5" t="inlineStr">
        <is>
          <t>GIS</t>
        </is>
      </c>
      <c r="C3623" s="6" t="inlineStr">
        <is>
          <t>2026_CEJNS_1194861_7</t>
        </is>
      </c>
      <c r="D3623" s="7" t="inlineStr">
        <is>
          <t>[Under the Dr. BR Ambedkar Murti Vikas Yojana in Legislative Assembly Orai, beautification work of Ambedkar Park site on At-Konch Road in Gram Sabha At]</t>
        </is>
      </c>
      <c r="E3623" s="7" t="inlineStr">
        <is>
          <t>Uttar Pradesh Public Works &amp; Technology Department</t>
        </is>
      </c>
      <c r="F3623" s="6" t="inlineStr">
        <is>
          <t>06 Aug 2026</t>
        </is>
      </c>
      <c r="G3623" s="5" t="inlineStr">
        <is>
          <t>27 Aug 2026</t>
        </is>
      </c>
      <c r="H3623" s="8" t="inlineStr">
        <is>
          <t>⏳ UPCOMING</t>
        </is>
      </c>
      <c r="I3623" s="4" t="inlineStr">
        <is>
          <t>Tender_2026_CEJNS_1194861_7_All_Documents.zip</t>
        </is>
      </c>
      <c r="J3623" s="6" t="inlineStr">
        <is>
          <t>📦 ZIP Package</t>
        </is>
      </c>
      <c r="K3623" s="9" t="n">
        <v>20.9</v>
      </c>
      <c r="L3623" s="10">
        <f>HYPERLINK("http://127.0.0.1:8000/api/documents/download?id=811&amp;attachment=true", "⬇ Download Tender_2026_CEJNS_119486")</f>
        <v/>
      </c>
      <c r="M3623" s="10">
        <f>HYPERLINK("http://localhost:5173/?state=Uttar%20Pradesh&amp;keyword=GIS&amp;tender=2026_CEJNS_1194861_7", "🚀 Open in Portal")</f>
        <v/>
      </c>
    </row>
    <row r="3624" ht="24" customHeight="1">
      <c r="A3624" s="11" t="inlineStr">
        <is>
          <t>Uttar Pradesh</t>
        </is>
      </c>
      <c r="B3624" s="12" t="inlineStr">
        <is>
          <t>GIS</t>
        </is>
      </c>
      <c r="C3624" s="13" t="inlineStr">
        <is>
          <t>2026_UPEID_1194719_1</t>
        </is>
      </c>
      <c r="D3624" s="14" t="inlineStr">
        <is>
          <t>[Development of Integrated Manufacturing and Logistics Clusters at Pratapgarh with Concurrent Period of Five Years for Defect Liability Period and Operation and Maintenance on EPC Mode]</t>
        </is>
      </c>
      <c r="E3624" s="14" t="inlineStr">
        <is>
          <t>Uttar Pradesh Public Works &amp; Technology Department</t>
        </is>
      </c>
      <c r="F3624" s="13" t="inlineStr">
        <is>
          <t>26 Aug 2026</t>
        </is>
      </c>
      <c r="G3624" s="12" t="inlineStr">
        <is>
          <t>17 Sep 2026</t>
        </is>
      </c>
      <c r="H3624" s="8" t="inlineStr">
        <is>
          <t>⏳ UPCOMING</t>
        </is>
      </c>
      <c r="I3624" s="11" t="inlineStr">
        <is>
          <t>Tendernotice_1.pdf</t>
        </is>
      </c>
      <c r="J3624" s="13" t="inlineStr">
        <is>
          <t>📕 PDF Document</t>
        </is>
      </c>
      <c r="K3624" s="15" t="n">
        <v>17.9</v>
      </c>
      <c r="L3624" s="16">
        <f>HYPERLINK("http://127.0.0.1:8000/api/documents/download?id=839&amp;attachment=true", "⬇ Download Tendernotice_1.pdf")</f>
        <v/>
      </c>
      <c r="M3624" s="16">
        <f>HYPERLINK("http://localhost:5173/?state=Uttar%20Pradesh&amp;keyword=GIS&amp;tender=2026_UPEID_1194719_1", "🚀 Open in Portal")</f>
        <v/>
      </c>
    </row>
    <row r="3625" ht="24" customHeight="1">
      <c r="A3625" s="4" t="inlineStr">
        <is>
          <t>Uttar Pradesh</t>
        </is>
      </c>
      <c r="B3625" s="5" t="inlineStr">
        <is>
          <t>GIS</t>
        </is>
      </c>
      <c r="C3625" s="6" t="inlineStr">
        <is>
          <t>2026_UPEID_1194719_1</t>
        </is>
      </c>
      <c r="D3625" s="7" t="inlineStr">
        <is>
          <t>[Development of Integrated Manufacturing and Logistics Clusters at Pratapgarh with Concurrent Period of Five Years for Defect Liability Period and Operation and Maintenance on EPC Mode]</t>
        </is>
      </c>
      <c r="E3625" s="7" t="inlineStr">
        <is>
          <t>Uttar Pradesh Public Works &amp; Technology Department</t>
        </is>
      </c>
      <c r="F3625" s="6" t="inlineStr">
        <is>
          <t>26 Aug 2026</t>
        </is>
      </c>
      <c r="G3625" s="5" t="inlineStr">
        <is>
          <t>17 Sep 2026</t>
        </is>
      </c>
      <c r="H3625" s="8" t="inlineStr">
        <is>
          <t>⏳ UPCOMING</t>
        </is>
      </c>
      <c r="I3625" s="4" t="inlineStr">
        <is>
          <t>BOQ_2255610.xls</t>
        </is>
      </c>
      <c r="J3625" s="6" t="inlineStr">
        <is>
          <t>📊 Excel BOQ</t>
        </is>
      </c>
      <c r="K3625" s="9" t="n">
        <v>2.5</v>
      </c>
      <c r="L3625" s="10">
        <f>HYPERLINK("http://127.0.0.1:8000/api/documents/download?id=840&amp;attachment=true", "⬇ Download BOQ_2255610.xls")</f>
        <v/>
      </c>
      <c r="M3625" s="10">
        <f>HYPERLINK("http://localhost:5173/?state=Uttar%20Pradesh&amp;keyword=GIS&amp;tender=2026_UPEID_1194719_1", "🚀 Open in Portal")</f>
        <v/>
      </c>
    </row>
    <row r="3626" ht="24" customHeight="1">
      <c r="A3626" s="11" t="inlineStr">
        <is>
          <t>Uttar Pradesh</t>
        </is>
      </c>
      <c r="B3626" s="12" t="inlineStr">
        <is>
          <t>GIS</t>
        </is>
      </c>
      <c r="C3626" s="13" t="inlineStr">
        <is>
          <t>2026_UPEID_1194719_1</t>
        </is>
      </c>
      <c r="D3626" s="14" t="inlineStr">
        <is>
          <t>[Development of Integrated Manufacturing and Logistics Clusters at Pratapgarh with Concurrent Period of Five Years for Defect Liability Period and Operation and Maintenance on EPC Mode]</t>
        </is>
      </c>
      <c r="E3626" s="14" t="inlineStr">
        <is>
          <t>Uttar Pradesh Public Works &amp; Technology Department</t>
        </is>
      </c>
      <c r="F3626" s="13" t="inlineStr">
        <is>
          <t>26 Aug 2026</t>
        </is>
      </c>
      <c r="G3626" s="12" t="inlineStr">
        <is>
          <t>17 Sep 2026</t>
        </is>
      </c>
      <c r="H3626" s="8" t="inlineStr">
        <is>
          <t>⏳ UPCOMING</t>
        </is>
      </c>
      <c r="I3626" s="11" t="inlineStr">
        <is>
          <t>Volume_I_RFP_Pratapgarh.pdf</t>
        </is>
      </c>
      <c r="J3626" s="13" t="inlineStr">
        <is>
          <t>📕 PDF Document</t>
        </is>
      </c>
      <c r="K3626" s="15" t="n">
        <v>17.9</v>
      </c>
      <c r="L3626" s="16">
        <f>HYPERLINK("http://127.0.0.1:8000/api/documents/download?id=841&amp;attachment=true", "⬇ Download Volume_I_RFP_Pratapgarh.")</f>
        <v/>
      </c>
      <c r="M3626" s="16">
        <f>HYPERLINK("http://localhost:5173/?state=Uttar%20Pradesh&amp;keyword=GIS&amp;tender=2026_UPEID_1194719_1", "🚀 Open in Portal")</f>
        <v/>
      </c>
    </row>
    <row r="3627" ht="24" customHeight="1">
      <c r="A3627" s="4" t="inlineStr">
        <is>
          <t>Uttar Pradesh</t>
        </is>
      </c>
      <c r="B3627" s="5" t="inlineStr">
        <is>
          <t>GIS</t>
        </is>
      </c>
      <c r="C3627" s="6" t="inlineStr">
        <is>
          <t>2026_UPEID_1194719_1</t>
        </is>
      </c>
      <c r="D3627" s="7" t="inlineStr">
        <is>
          <t>[Development of Integrated Manufacturing and Logistics Clusters at Pratapgarh with Concurrent Period of Five Years for Defect Liability Period and Operation and Maintenance on EPC Mode]</t>
        </is>
      </c>
      <c r="E3627" s="7" t="inlineStr">
        <is>
          <t>Uttar Pradesh Public Works &amp; Technology Department</t>
        </is>
      </c>
      <c r="F3627" s="6" t="inlineStr">
        <is>
          <t>26 Aug 2026</t>
        </is>
      </c>
      <c r="G3627" s="5" t="inlineStr">
        <is>
          <t>17 Sep 2026</t>
        </is>
      </c>
      <c r="H3627" s="8" t="inlineStr">
        <is>
          <t>⏳ UPCOMING</t>
        </is>
      </c>
      <c r="I3627" s="4" t="inlineStr">
        <is>
          <t>Volume_II_RFP_Pratapgarh.pdf</t>
        </is>
      </c>
      <c r="J3627" s="6" t="inlineStr">
        <is>
          <t>📕 PDF Document</t>
        </is>
      </c>
      <c r="K3627" s="9" t="n">
        <v>17.9</v>
      </c>
      <c r="L3627" s="10">
        <f>HYPERLINK("http://127.0.0.1:8000/api/documents/download?id=842&amp;attachment=true", "⬇ Download Volume_II_RFP_Pratapgarh")</f>
        <v/>
      </c>
      <c r="M3627" s="10">
        <f>HYPERLINK("http://localhost:5173/?state=Uttar%20Pradesh&amp;keyword=GIS&amp;tender=2026_UPEID_1194719_1", "🚀 Open in Portal")</f>
        <v/>
      </c>
    </row>
    <row r="3628" ht="24" customHeight="1">
      <c r="A3628" s="11" t="inlineStr">
        <is>
          <t>Uttar Pradesh</t>
        </is>
      </c>
      <c r="B3628" s="12" t="inlineStr">
        <is>
          <t>GIS</t>
        </is>
      </c>
      <c r="C3628" s="13" t="inlineStr">
        <is>
          <t>2026_UPEID_1194719_1</t>
        </is>
      </c>
      <c r="D3628" s="14" t="inlineStr">
        <is>
          <t>[Development of Integrated Manufacturing and Logistics Clusters at Pratapgarh with Concurrent Period of Five Years for Defect Liability Period and Operation and Maintenance on EPC Mode]</t>
        </is>
      </c>
      <c r="E3628" s="14" t="inlineStr">
        <is>
          <t>Uttar Pradesh Public Works &amp; Technology Department</t>
        </is>
      </c>
      <c r="F3628" s="13" t="inlineStr">
        <is>
          <t>26 Aug 2026</t>
        </is>
      </c>
      <c r="G3628" s="12" t="inlineStr">
        <is>
          <t>17 Sep 2026</t>
        </is>
      </c>
      <c r="H3628" s="8" t="inlineStr">
        <is>
          <t>⏳ UPCOMING</t>
        </is>
      </c>
      <c r="I3628" s="11" t="inlineStr">
        <is>
          <t>Volume_III_RFP_Pratapgarh.pdf</t>
        </is>
      </c>
      <c r="J3628" s="13" t="inlineStr">
        <is>
          <t>📕 PDF Document</t>
        </is>
      </c>
      <c r="K3628" s="15" t="n">
        <v>17.9</v>
      </c>
      <c r="L3628" s="16">
        <f>HYPERLINK("http://127.0.0.1:8000/api/documents/download?id=843&amp;attachment=true", "⬇ Download Volume_III_RFP_Pratapgar")</f>
        <v/>
      </c>
      <c r="M3628" s="16">
        <f>HYPERLINK("http://localhost:5173/?state=Uttar%20Pradesh&amp;keyword=GIS&amp;tender=2026_UPEID_1194719_1", "🚀 Open in Portal")</f>
        <v/>
      </c>
    </row>
    <row r="3629" ht="24" customHeight="1">
      <c r="A3629" s="4" t="inlineStr">
        <is>
          <t>Uttar Pradesh</t>
        </is>
      </c>
      <c r="B3629" s="5" t="inlineStr">
        <is>
          <t>GIS</t>
        </is>
      </c>
      <c r="C3629" s="6" t="inlineStr">
        <is>
          <t>2026_UPEID_1194719_1</t>
        </is>
      </c>
      <c r="D3629" s="7" t="inlineStr">
        <is>
          <t>[Development of Integrated Manufacturing and Logistics Clusters at Pratapgarh with Concurrent Period of Five Years for Defect Liability Period and Operation and Maintenance on EPC Mode]</t>
        </is>
      </c>
      <c r="E3629" s="7" t="inlineStr">
        <is>
          <t>Uttar Pradesh Public Works &amp; Technology Department</t>
        </is>
      </c>
      <c r="F3629" s="6" t="inlineStr">
        <is>
          <t>26 Aug 2026</t>
        </is>
      </c>
      <c r="G3629" s="5" t="inlineStr">
        <is>
          <t>17 Sep 2026</t>
        </is>
      </c>
      <c r="H3629" s="8" t="inlineStr">
        <is>
          <t>⏳ UPCOMING</t>
        </is>
      </c>
      <c r="I3629" s="4" t="inlineStr">
        <is>
          <t>Volume_IV_RFP_Pratapgarh.pdf</t>
        </is>
      </c>
      <c r="J3629" s="6" t="inlineStr">
        <is>
          <t>📕 PDF Document</t>
        </is>
      </c>
      <c r="K3629" s="9" t="n">
        <v>17.9</v>
      </c>
      <c r="L3629" s="10">
        <f>HYPERLINK("http://127.0.0.1:8000/api/documents/download?id=844&amp;attachment=true", "⬇ Download Volume_IV_RFP_Pratapgarh")</f>
        <v/>
      </c>
      <c r="M3629" s="10">
        <f>HYPERLINK("http://localhost:5173/?state=Uttar%20Pradesh&amp;keyword=GIS&amp;tender=2026_UPEID_1194719_1", "🚀 Open in Portal")</f>
        <v/>
      </c>
    </row>
    <row r="3630" ht="24" customHeight="1">
      <c r="A3630" s="11" t="inlineStr">
        <is>
          <t>Uttar Pradesh</t>
        </is>
      </c>
      <c r="B3630" s="12" t="inlineStr">
        <is>
          <t>GIS</t>
        </is>
      </c>
      <c r="C3630" s="13" t="inlineStr">
        <is>
          <t>2026_UPEID_1194719_1</t>
        </is>
      </c>
      <c r="D3630" s="14" t="inlineStr">
        <is>
          <t>[Development of Integrated Manufacturing and Logistics Clusters at Pratapgarh with Concurrent Period of Five Years for Defect Liability Period and Operation and Maintenance on EPC Mode]</t>
        </is>
      </c>
      <c r="E3630" s="14" t="inlineStr">
        <is>
          <t>Uttar Pradesh Public Works &amp; Technology Department</t>
        </is>
      </c>
      <c r="F3630" s="13" t="inlineStr">
        <is>
          <t>26 Aug 2026</t>
        </is>
      </c>
      <c r="G3630" s="12" t="inlineStr">
        <is>
          <t>17 Sep 2026</t>
        </is>
      </c>
      <c r="H3630" s="8" t="inlineStr">
        <is>
          <t>⏳ UPCOMING</t>
        </is>
      </c>
      <c r="I3630" s="11" t="inlineStr">
        <is>
          <t>Tender_2026_UPEID_1194719_1_All_Documents.zip</t>
        </is>
      </c>
      <c r="J3630" s="13" t="inlineStr">
        <is>
          <t>📦 ZIP Package</t>
        </is>
      </c>
      <c r="K3630" s="15" t="n">
        <v>48.6</v>
      </c>
      <c r="L3630" s="16">
        <f>HYPERLINK("http://127.0.0.1:8000/api/documents/download?id=845&amp;attachment=true", "⬇ Download Tender_2026_UPEID_119471")</f>
        <v/>
      </c>
      <c r="M3630" s="16">
        <f>HYPERLINK("http://localhost:5173/?state=Uttar%20Pradesh&amp;keyword=GIS&amp;tender=2026_UPEID_1194719_1", "🚀 Open in Portal")</f>
        <v/>
      </c>
    </row>
    <row r="3631" ht="24" customHeight="1">
      <c r="A3631" s="4" t="inlineStr">
        <is>
          <t>Uttar Pradesh</t>
        </is>
      </c>
      <c r="B3631" s="5" t="inlineStr">
        <is>
          <t>GIS</t>
        </is>
      </c>
      <c r="C3631" s="6" t="inlineStr">
        <is>
          <t>2026_UPEID_1194736_1</t>
        </is>
      </c>
      <c r="D3631" s="7" t="inlineStr">
        <is>
          <t>[Development of Integrated Manufacturing and Logistics Clusters at Raebareli with Concurrent Period of Five Years for Defect Liability Period and Operation and Maintenance on EPC Mode]</t>
        </is>
      </c>
      <c r="E3631" s="7" t="inlineStr">
        <is>
          <t>Uttar Pradesh Public Works &amp; Technology Department</t>
        </is>
      </c>
      <c r="F3631" s="6" t="inlineStr">
        <is>
          <t>09 Sep 2026</t>
        </is>
      </c>
      <c r="G3631" s="5" t="inlineStr">
        <is>
          <t>01 Oct 2026</t>
        </is>
      </c>
      <c r="H3631" s="8" t="inlineStr">
        <is>
          <t>⏳ UPCOMING</t>
        </is>
      </c>
      <c r="I3631" s="4" t="inlineStr">
        <is>
          <t>Tendernotice_1.pdf</t>
        </is>
      </c>
      <c r="J3631" s="6" t="inlineStr">
        <is>
          <t>📕 PDF Document</t>
        </is>
      </c>
      <c r="K3631" s="9" t="n">
        <v>17.9</v>
      </c>
      <c r="L3631" s="10">
        <f>HYPERLINK("http://127.0.0.1:8000/api/documents/download?id=846&amp;attachment=true", "⬇ Download Tendernotice_1.pdf")</f>
        <v/>
      </c>
      <c r="M3631" s="10">
        <f>HYPERLINK("http://localhost:5173/?state=Uttar%20Pradesh&amp;keyword=GIS&amp;tender=2026_UPEID_1194736_1", "🚀 Open in Portal")</f>
        <v/>
      </c>
    </row>
    <row r="3632" ht="24" customHeight="1">
      <c r="A3632" s="11" t="inlineStr">
        <is>
          <t>Uttar Pradesh</t>
        </is>
      </c>
      <c r="B3632" s="12" t="inlineStr">
        <is>
          <t>GIS</t>
        </is>
      </c>
      <c r="C3632" s="13" t="inlineStr">
        <is>
          <t>2026_UPEID_1194736_1</t>
        </is>
      </c>
      <c r="D3632" s="14" t="inlineStr">
        <is>
          <t>[Development of Integrated Manufacturing and Logistics Clusters at Raebareli with Concurrent Period of Five Years for Defect Liability Period and Operation and Maintenance on EPC Mode]</t>
        </is>
      </c>
      <c r="E3632" s="14" t="inlineStr">
        <is>
          <t>Uttar Pradesh Public Works &amp; Technology Department</t>
        </is>
      </c>
      <c r="F3632" s="13" t="inlineStr">
        <is>
          <t>09 Sep 2026</t>
        </is>
      </c>
      <c r="G3632" s="12" t="inlineStr">
        <is>
          <t>01 Oct 2026</t>
        </is>
      </c>
      <c r="H3632" s="8" t="inlineStr">
        <is>
          <t>⏳ UPCOMING</t>
        </is>
      </c>
      <c r="I3632" s="11" t="inlineStr">
        <is>
          <t>Volume_I_RFP_Raebareli.pdf</t>
        </is>
      </c>
      <c r="J3632" s="13" t="inlineStr">
        <is>
          <t>📕 PDF Document</t>
        </is>
      </c>
      <c r="K3632" s="15" t="n">
        <v>17.9</v>
      </c>
      <c r="L3632" s="16">
        <f>HYPERLINK("http://127.0.0.1:8000/api/documents/download?id=847&amp;attachment=true", "⬇ Download Volume_I_RFP_Raebareli.p")</f>
        <v/>
      </c>
      <c r="M3632" s="16">
        <f>HYPERLINK("http://localhost:5173/?state=Uttar%20Pradesh&amp;keyword=GIS&amp;tender=2026_UPEID_1194736_1", "🚀 Open in Portal")</f>
        <v/>
      </c>
    </row>
    <row r="3633" ht="24" customHeight="1">
      <c r="A3633" s="4" t="inlineStr">
        <is>
          <t>Uttar Pradesh</t>
        </is>
      </c>
      <c r="B3633" s="5" t="inlineStr">
        <is>
          <t>GIS</t>
        </is>
      </c>
      <c r="C3633" s="6" t="inlineStr">
        <is>
          <t>2026_UPEID_1194736_1</t>
        </is>
      </c>
      <c r="D3633" s="7" t="inlineStr">
        <is>
          <t>[Development of Integrated Manufacturing and Logistics Clusters at Raebareli with Concurrent Period of Five Years for Defect Liability Period and Operation and Maintenance on EPC Mode]</t>
        </is>
      </c>
      <c r="E3633" s="7" t="inlineStr">
        <is>
          <t>Uttar Pradesh Public Works &amp; Technology Department</t>
        </is>
      </c>
      <c r="F3633" s="6" t="inlineStr">
        <is>
          <t>09 Sep 2026</t>
        </is>
      </c>
      <c r="G3633" s="5" t="inlineStr">
        <is>
          <t>01 Oct 2026</t>
        </is>
      </c>
      <c r="H3633" s="8" t="inlineStr">
        <is>
          <t>⏳ UPCOMING</t>
        </is>
      </c>
      <c r="I3633" s="4" t="inlineStr">
        <is>
          <t>Volume_II_RFP_Raebareli.pdf</t>
        </is>
      </c>
      <c r="J3633" s="6" t="inlineStr">
        <is>
          <t>📕 PDF Document</t>
        </is>
      </c>
      <c r="K3633" s="9" t="n">
        <v>17.9</v>
      </c>
      <c r="L3633" s="10">
        <f>HYPERLINK("http://127.0.0.1:8000/api/documents/download?id=848&amp;attachment=true", "⬇ Download Volume_II_RFP_Raebareli.")</f>
        <v/>
      </c>
      <c r="M3633" s="10">
        <f>HYPERLINK("http://localhost:5173/?state=Uttar%20Pradesh&amp;keyword=GIS&amp;tender=2026_UPEID_1194736_1", "🚀 Open in Portal")</f>
        <v/>
      </c>
    </row>
    <row r="3634" ht="24" customHeight="1">
      <c r="A3634" s="11" t="inlineStr">
        <is>
          <t>Uttar Pradesh</t>
        </is>
      </c>
      <c r="B3634" s="12" t="inlineStr">
        <is>
          <t>GIS</t>
        </is>
      </c>
      <c r="C3634" s="13" t="inlineStr">
        <is>
          <t>2026_UPEID_1194736_1</t>
        </is>
      </c>
      <c r="D3634" s="14" t="inlineStr">
        <is>
          <t>[Development of Integrated Manufacturing and Logistics Clusters at Raebareli with Concurrent Period of Five Years for Defect Liability Period and Operation and Maintenance on EPC Mode]</t>
        </is>
      </c>
      <c r="E3634" s="14" t="inlineStr">
        <is>
          <t>Uttar Pradesh Public Works &amp; Technology Department</t>
        </is>
      </c>
      <c r="F3634" s="13" t="inlineStr">
        <is>
          <t>09 Sep 2026</t>
        </is>
      </c>
      <c r="G3634" s="12" t="inlineStr">
        <is>
          <t>01 Oct 2026</t>
        </is>
      </c>
      <c r="H3634" s="8" t="inlineStr">
        <is>
          <t>⏳ UPCOMING</t>
        </is>
      </c>
      <c r="I3634" s="11" t="inlineStr">
        <is>
          <t>Volume_III_RFP_Raebareli.pdf</t>
        </is>
      </c>
      <c r="J3634" s="13" t="inlineStr">
        <is>
          <t>📕 PDF Document</t>
        </is>
      </c>
      <c r="K3634" s="15" t="n">
        <v>17.9</v>
      </c>
      <c r="L3634" s="16">
        <f>HYPERLINK("http://127.0.0.1:8000/api/documents/download?id=849&amp;attachment=true", "⬇ Download Volume_III_RFP_Raebareli")</f>
        <v/>
      </c>
      <c r="M3634" s="16">
        <f>HYPERLINK("http://localhost:5173/?state=Uttar%20Pradesh&amp;keyword=GIS&amp;tender=2026_UPEID_1194736_1", "🚀 Open in Portal")</f>
        <v/>
      </c>
    </row>
    <row r="3635" ht="24" customHeight="1">
      <c r="A3635" s="4" t="inlineStr">
        <is>
          <t>Uttar Pradesh</t>
        </is>
      </c>
      <c r="B3635" s="5" t="inlineStr">
        <is>
          <t>GIS</t>
        </is>
      </c>
      <c r="C3635" s="6" t="inlineStr">
        <is>
          <t>2026_UPEID_1194736_1</t>
        </is>
      </c>
      <c r="D3635" s="7" t="inlineStr">
        <is>
          <t>[Development of Integrated Manufacturing and Logistics Clusters at Raebareli with Concurrent Period of Five Years for Defect Liability Period and Operation and Maintenance on EPC Mode]</t>
        </is>
      </c>
      <c r="E3635" s="7" t="inlineStr">
        <is>
          <t>Uttar Pradesh Public Works &amp; Technology Department</t>
        </is>
      </c>
      <c r="F3635" s="6" t="inlineStr">
        <is>
          <t>09 Sep 2026</t>
        </is>
      </c>
      <c r="G3635" s="5" t="inlineStr">
        <is>
          <t>01 Oct 2026</t>
        </is>
      </c>
      <c r="H3635" s="8" t="inlineStr">
        <is>
          <t>⏳ UPCOMING</t>
        </is>
      </c>
      <c r="I3635" s="4" t="inlineStr">
        <is>
          <t>Volume_IV_RFP_Raebareli.pdf</t>
        </is>
      </c>
      <c r="J3635" s="6" t="inlineStr">
        <is>
          <t>📕 PDF Document</t>
        </is>
      </c>
      <c r="K3635" s="9" t="n">
        <v>17.9</v>
      </c>
      <c r="L3635" s="10">
        <f>HYPERLINK("http://127.0.0.1:8000/api/documents/download?id=850&amp;attachment=true", "⬇ Download Volume_IV_RFP_Raebareli.")</f>
        <v/>
      </c>
      <c r="M3635" s="10">
        <f>HYPERLINK("http://localhost:5173/?state=Uttar%20Pradesh&amp;keyword=GIS&amp;tender=2026_UPEID_1194736_1", "🚀 Open in Portal")</f>
        <v/>
      </c>
    </row>
    <row r="3636" ht="24" customHeight="1">
      <c r="A3636" s="11" t="inlineStr">
        <is>
          <t>Uttar Pradesh</t>
        </is>
      </c>
      <c r="B3636" s="12" t="inlineStr">
        <is>
          <t>GIS</t>
        </is>
      </c>
      <c r="C3636" s="13" t="inlineStr">
        <is>
          <t>2026_UPEID_1194736_1</t>
        </is>
      </c>
      <c r="D3636" s="14" t="inlineStr">
        <is>
          <t>[Development of Integrated Manufacturing and Logistics Clusters at Raebareli with Concurrent Period of Five Years for Defect Liability Period and Operation and Maintenance on EPC Mode]</t>
        </is>
      </c>
      <c r="E3636" s="14" t="inlineStr">
        <is>
          <t>Uttar Pradesh Public Works &amp; Technology Department</t>
        </is>
      </c>
      <c r="F3636" s="13" t="inlineStr">
        <is>
          <t>09 Sep 2026</t>
        </is>
      </c>
      <c r="G3636" s="12" t="inlineStr">
        <is>
          <t>01 Oct 2026</t>
        </is>
      </c>
      <c r="H3636" s="8" t="inlineStr">
        <is>
          <t>⏳ UPCOMING</t>
        </is>
      </c>
      <c r="I3636" s="11" t="inlineStr">
        <is>
          <t>BOQ_2255636.xls</t>
        </is>
      </c>
      <c r="J3636" s="13" t="inlineStr">
        <is>
          <t>📊 Excel BOQ</t>
        </is>
      </c>
      <c r="K3636" s="15" t="n">
        <v>2.5</v>
      </c>
      <c r="L3636" s="16">
        <f>HYPERLINK("http://127.0.0.1:8000/api/documents/download?id=851&amp;attachment=true", "⬇ Download BOQ_2255636.xls")</f>
        <v/>
      </c>
      <c r="M3636" s="16">
        <f>HYPERLINK("http://localhost:5173/?state=Uttar%20Pradesh&amp;keyword=GIS&amp;tender=2026_UPEID_1194736_1", "🚀 Open in Portal")</f>
        <v/>
      </c>
    </row>
    <row r="3637" ht="24" customHeight="1">
      <c r="A3637" s="4" t="inlineStr">
        <is>
          <t>Uttar Pradesh</t>
        </is>
      </c>
      <c r="B3637" s="5" t="inlineStr">
        <is>
          <t>GIS</t>
        </is>
      </c>
      <c r="C3637" s="6" t="inlineStr">
        <is>
          <t>2026_UPEID_1194736_1</t>
        </is>
      </c>
      <c r="D3637" s="7" t="inlineStr">
        <is>
          <t>[Development of Integrated Manufacturing and Logistics Clusters at Raebareli with Concurrent Period of Five Years for Defect Liability Period and Operation and Maintenance on EPC Mode]</t>
        </is>
      </c>
      <c r="E3637" s="7" t="inlineStr">
        <is>
          <t>Uttar Pradesh Public Works &amp; Technology Department</t>
        </is>
      </c>
      <c r="F3637" s="6" t="inlineStr">
        <is>
          <t>09 Sep 2026</t>
        </is>
      </c>
      <c r="G3637" s="5" t="inlineStr">
        <is>
          <t>01 Oct 2026</t>
        </is>
      </c>
      <c r="H3637" s="8" t="inlineStr">
        <is>
          <t>⏳ UPCOMING</t>
        </is>
      </c>
      <c r="I3637" s="4" t="inlineStr">
        <is>
          <t>Tender_2026_UPEID_1194736_1_All_Documents.zip</t>
        </is>
      </c>
      <c r="J3637" s="6" t="inlineStr">
        <is>
          <t>📦 ZIP Package</t>
        </is>
      </c>
      <c r="K3637" s="9" t="n">
        <v>48.9</v>
      </c>
      <c r="L3637" s="10">
        <f>HYPERLINK("http://127.0.0.1:8000/api/documents/download?id=852&amp;attachment=true", "⬇ Download Tender_2026_UPEID_119473")</f>
        <v/>
      </c>
      <c r="M3637" s="10">
        <f>HYPERLINK("http://localhost:5173/?state=Uttar%20Pradesh&amp;keyword=GIS&amp;tender=2026_UPEID_1194736_1", "🚀 Open in Portal")</f>
        <v/>
      </c>
    </row>
    <row r="3638" ht="24" customHeight="1">
      <c r="A3638" s="11" t="inlineStr">
        <is>
          <t>Uttar Pradesh</t>
        </is>
      </c>
      <c r="B3638" s="12" t="inlineStr">
        <is>
          <t>GIS</t>
        </is>
      </c>
      <c r="C3638" s="13" t="inlineStr">
        <is>
          <t>2026_UPEID_1194743_1</t>
        </is>
      </c>
      <c r="D3638" s="14" t="inlineStr">
        <is>
          <t>[Development of Integrated Manufacturing and Logistics Clusters at Chitrakoot with Concurrent Period of Five Years for Defect Liability Period and Operation and Maintenance on EPC Mode]</t>
        </is>
      </c>
      <c r="E3638" s="14" t="inlineStr">
        <is>
          <t>Uttar Pradesh Public Works &amp; Technology Department</t>
        </is>
      </c>
      <c r="F3638" s="13" t="inlineStr">
        <is>
          <t>11 Aug 2026</t>
        </is>
      </c>
      <c r="G3638" s="12" t="inlineStr">
        <is>
          <t>09 Sep 2026</t>
        </is>
      </c>
      <c r="H3638" s="8" t="inlineStr">
        <is>
          <t>⏳ UPCOMING</t>
        </is>
      </c>
      <c r="I3638" s="11" t="inlineStr">
        <is>
          <t>Tendernotice_1.pdf</t>
        </is>
      </c>
      <c r="J3638" s="13" t="inlineStr">
        <is>
          <t>📕 PDF Document</t>
        </is>
      </c>
      <c r="K3638" s="15" t="n">
        <v>17.9</v>
      </c>
      <c r="L3638" s="16">
        <f>HYPERLINK("http://127.0.0.1:8000/api/documents/download?id=832&amp;attachment=true", "⬇ Download Tendernotice_1.pdf")</f>
        <v/>
      </c>
      <c r="M3638" s="16">
        <f>HYPERLINK("http://localhost:5173/?state=Uttar%20Pradesh&amp;keyword=GIS&amp;tender=2026_UPEID_1194743_1", "🚀 Open in Portal")</f>
        <v/>
      </c>
    </row>
    <row r="3639" ht="24" customHeight="1">
      <c r="A3639" s="4" t="inlineStr">
        <is>
          <t>Uttar Pradesh</t>
        </is>
      </c>
      <c r="B3639" s="5" t="inlineStr">
        <is>
          <t>GIS</t>
        </is>
      </c>
      <c r="C3639" s="6" t="inlineStr">
        <is>
          <t>2026_UPEID_1194743_1</t>
        </is>
      </c>
      <c r="D3639" s="7" t="inlineStr">
        <is>
          <t>[Development of Integrated Manufacturing and Logistics Clusters at Chitrakoot with Concurrent Period of Five Years for Defect Liability Period and Operation and Maintenance on EPC Mode]</t>
        </is>
      </c>
      <c r="E3639" s="7" t="inlineStr">
        <is>
          <t>Uttar Pradesh Public Works &amp; Technology Department</t>
        </is>
      </c>
      <c r="F3639" s="6" t="inlineStr">
        <is>
          <t>11 Aug 2026</t>
        </is>
      </c>
      <c r="G3639" s="5" t="inlineStr">
        <is>
          <t>09 Sep 2026</t>
        </is>
      </c>
      <c r="H3639" s="8" t="inlineStr">
        <is>
          <t>⏳ UPCOMING</t>
        </is>
      </c>
      <c r="I3639" s="4" t="inlineStr">
        <is>
          <t>Volume_I_RFP_Chitrakoot.pdf</t>
        </is>
      </c>
      <c r="J3639" s="6" t="inlineStr">
        <is>
          <t>📕 PDF Document</t>
        </is>
      </c>
      <c r="K3639" s="9" t="n">
        <v>17.9</v>
      </c>
      <c r="L3639" s="10">
        <f>HYPERLINK("http://127.0.0.1:8000/api/documents/download?id=833&amp;attachment=true", "⬇ Download Volume_I_RFP_Chitrakoot.")</f>
        <v/>
      </c>
      <c r="M3639" s="10">
        <f>HYPERLINK("http://localhost:5173/?state=Uttar%20Pradesh&amp;keyword=GIS&amp;tender=2026_UPEID_1194743_1", "🚀 Open in Portal")</f>
        <v/>
      </c>
    </row>
    <row r="3640" ht="24" customHeight="1">
      <c r="A3640" s="11" t="inlineStr">
        <is>
          <t>Uttar Pradesh</t>
        </is>
      </c>
      <c r="B3640" s="12" t="inlineStr">
        <is>
          <t>GIS</t>
        </is>
      </c>
      <c r="C3640" s="13" t="inlineStr">
        <is>
          <t>2026_UPEID_1194743_1</t>
        </is>
      </c>
      <c r="D3640" s="14" t="inlineStr">
        <is>
          <t>[Development of Integrated Manufacturing and Logistics Clusters at Chitrakoot with Concurrent Period of Five Years for Defect Liability Period and Operation and Maintenance on EPC Mode]</t>
        </is>
      </c>
      <c r="E3640" s="14" t="inlineStr">
        <is>
          <t>Uttar Pradesh Public Works &amp; Technology Department</t>
        </is>
      </c>
      <c r="F3640" s="13" t="inlineStr">
        <is>
          <t>11 Aug 2026</t>
        </is>
      </c>
      <c r="G3640" s="12" t="inlineStr">
        <is>
          <t>09 Sep 2026</t>
        </is>
      </c>
      <c r="H3640" s="8" t="inlineStr">
        <is>
          <t>⏳ UPCOMING</t>
        </is>
      </c>
      <c r="I3640" s="11" t="inlineStr">
        <is>
          <t>Volume_II_RFP_Chitrakoot.pdf</t>
        </is>
      </c>
      <c r="J3640" s="13" t="inlineStr">
        <is>
          <t>📕 PDF Document</t>
        </is>
      </c>
      <c r="K3640" s="15" t="n">
        <v>17.9</v>
      </c>
      <c r="L3640" s="16">
        <f>HYPERLINK("http://127.0.0.1:8000/api/documents/download?id=834&amp;attachment=true", "⬇ Download Volume_II_RFP_Chitrakoot")</f>
        <v/>
      </c>
      <c r="M3640" s="16">
        <f>HYPERLINK("http://localhost:5173/?state=Uttar%20Pradesh&amp;keyword=GIS&amp;tender=2026_UPEID_1194743_1", "🚀 Open in Portal")</f>
        <v/>
      </c>
    </row>
    <row r="3641" ht="24" customHeight="1">
      <c r="A3641" s="4" t="inlineStr">
        <is>
          <t>Uttar Pradesh</t>
        </is>
      </c>
      <c r="B3641" s="5" t="inlineStr">
        <is>
          <t>GIS</t>
        </is>
      </c>
      <c r="C3641" s="6" t="inlineStr">
        <is>
          <t>2026_UPEID_1194743_1</t>
        </is>
      </c>
      <c r="D3641" s="7" t="inlineStr">
        <is>
          <t>[Development of Integrated Manufacturing and Logistics Clusters at Chitrakoot with Concurrent Period of Five Years for Defect Liability Period and Operation and Maintenance on EPC Mode]</t>
        </is>
      </c>
      <c r="E3641" s="7" t="inlineStr">
        <is>
          <t>Uttar Pradesh Public Works &amp; Technology Department</t>
        </is>
      </c>
      <c r="F3641" s="6" t="inlineStr">
        <is>
          <t>11 Aug 2026</t>
        </is>
      </c>
      <c r="G3641" s="5" t="inlineStr">
        <is>
          <t>09 Sep 2026</t>
        </is>
      </c>
      <c r="H3641" s="8" t="inlineStr">
        <is>
          <t>⏳ UPCOMING</t>
        </is>
      </c>
      <c r="I3641" s="4" t="inlineStr">
        <is>
          <t>Volume_IV_RFP_Chitrakoot.pdf</t>
        </is>
      </c>
      <c r="J3641" s="6" t="inlineStr">
        <is>
          <t>📕 PDF Document</t>
        </is>
      </c>
      <c r="K3641" s="9" t="n">
        <v>17.9</v>
      </c>
      <c r="L3641" s="10">
        <f>HYPERLINK("http://127.0.0.1:8000/api/documents/download?id=835&amp;attachment=true", "⬇ Download Volume_IV_RFP_Chitrakoot")</f>
        <v/>
      </c>
      <c r="M3641" s="10">
        <f>HYPERLINK("http://localhost:5173/?state=Uttar%20Pradesh&amp;keyword=GIS&amp;tender=2026_UPEID_1194743_1", "🚀 Open in Portal")</f>
        <v/>
      </c>
    </row>
    <row r="3642" ht="24" customHeight="1">
      <c r="A3642" s="11" t="inlineStr">
        <is>
          <t>Uttar Pradesh</t>
        </is>
      </c>
      <c r="B3642" s="12" t="inlineStr">
        <is>
          <t>GIS</t>
        </is>
      </c>
      <c r="C3642" s="13" t="inlineStr">
        <is>
          <t>2026_UPEID_1194743_1</t>
        </is>
      </c>
      <c r="D3642" s="14" t="inlineStr">
        <is>
          <t>[Development of Integrated Manufacturing and Logistics Clusters at Chitrakoot with Concurrent Period of Five Years for Defect Liability Period and Operation and Maintenance on EPC Mode]</t>
        </is>
      </c>
      <c r="E3642" s="14" t="inlineStr">
        <is>
          <t>Uttar Pradesh Public Works &amp; Technology Department</t>
        </is>
      </c>
      <c r="F3642" s="13" t="inlineStr">
        <is>
          <t>11 Aug 2026</t>
        </is>
      </c>
      <c r="G3642" s="12" t="inlineStr">
        <is>
          <t>09 Sep 2026</t>
        </is>
      </c>
      <c r="H3642" s="8" t="inlineStr">
        <is>
          <t>⏳ UPCOMING</t>
        </is>
      </c>
      <c r="I3642" s="11" t="inlineStr">
        <is>
          <t>BOQ_2255647.xls</t>
        </is>
      </c>
      <c r="J3642" s="13" t="inlineStr">
        <is>
          <t>📊 Excel BOQ</t>
        </is>
      </c>
      <c r="K3642" s="15" t="n">
        <v>2.5</v>
      </c>
      <c r="L3642" s="16">
        <f>HYPERLINK("http://127.0.0.1:8000/api/documents/download?id=836&amp;attachment=true", "⬇ Download BOQ_2255647.xls")</f>
        <v/>
      </c>
      <c r="M3642" s="16">
        <f>HYPERLINK("http://localhost:5173/?state=Uttar%20Pradesh&amp;keyword=GIS&amp;tender=2026_UPEID_1194743_1", "🚀 Open in Portal")</f>
        <v/>
      </c>
    </row>
    <row r="3643" ht="24" customHeight="1">
      <c r="A3643" s="4" t="inlineStr">
        <is>
          <t>Uttar Pradesh</t>
        </is>
      </c>
      <c r="B3643" s="5" t="inlineStr">
        <is>
          <t>GIS</t>
        </is>
      </c>
      <c r="C3643" s="6" t="inlineStr">
        <is>
          <t>2026_UPEID_1194743_1</t>
        </is>
      </c>
      <c r="D3643" s="7" t="inlineStr">
        <is>
          <t>[Development of Integrated Manufacturing and Logistics Clusters at Chitrakoot with Concurrent Period of Five Years for Defect Liability Period and Operation and Maintenance on EPC Mode]</t>
        </is>
      </c>
      <c r="E3643" s="7" t="inlineStr">
        <is>
          <t>Uttar Pradesh Public Works &amp; Technology Department</t>
        </is>
      </c>
      <c r="F3643" s="6" t="inlineStr">
        <is>
          <t>11 Aug 2026</t>
        </is>
      </c>
      <c r="G3643" s="5" t="inlineStr">
        <is>
          <t>09 Sep 2026</t>
        </is>
      </c>
      <c r="H3643" s="8" t="inlineStr">
        <is>
          <t>⏳ UPCOMING</t>
        </is>
      </c>
      <c r="I3643" s="4" t="inlineStr">
        <is>
          <t>Volume_III_RFP_Chitrakoot.pdf</t>
        </is>
      </c>
      <c r="J3643" s="6" t="inlineStr">
        <is>
          <t>📕 PDF Document</t>
        </is>
      </c>
      <c r="K3643" s="9" t="n">
        <v>17.9</v>
      </c>
      <c r="L3643" s="10">
        <f>HYPERLINK("http://127.0.0.1:8000/api/documents/download?id=837&amp;attachment=true", "⬇ Download Volume_III_RFP_Chitrakoo")</f>
        <v/>
      </c>
      <c r="M3643" s="10">
        <f>HYPERLINK("http://localhost:5173/?state=Uttar%20Pradesh&amp;keyword=GIS&amp;tender=2026_UPEID_1194743_1", "🚀 Open in Portal")</f>
        <v/>
      </c>
    </row>
    <row r="3644" ht="24" customHeight="1">
      <c r="A3644" s="11" t="inlineStr">
        <is>
          <t>Uttar Pradesh</t>
        </is>
      </c>
      <c r="B3644" s="12" t="inlineStr">
        <is>
          <t>GIS</t>
        </is>
      </c>
      <c r="C3644" s="13" t="inlineStr">
        <is>
          <t>2026_UPEID_1194743_1</t>
        </is>
      </c>
      <c r="D3644" s="14" t="inlineStr">
        <is>
          <t>[Development of Integrated Manufacturing and Logistics Clusters at Chitrakoot with Concurrent Period of Five Years for Defect Liability Period and Operation and Maintenance on EPC Mode]</t>
        </is>
      </c>
      <c r="E3644" s="14" t="inlineStr">
        <is>
          <t>Uttar Pradesh Public Works &amp; Technology Department</t>
        </is>
      </c>
      <c r="F3644" s="13" t="inlineStr">
        <is>
          <t>11 Aug 2026</t>
        </is>
      </c>
      <c r="G3644" s="12" t="inlineStr">
        <is>
          <t>09 Sep 2026</t>
        </is>
      </c>
      <c r="H3644" s="8" t="inlineStr">
        <is>
          <t>⏳ UPCOMING</t>
        </is>
      </c>
      <c r="I3644" s="11" t="inlineStr">
        <is>
          <t>Tender_2026_UPEID_1194743_1_All_Documents.zip</t>
        </is>
      </c>
      <c r="J3644" s="13" t="inlineStr">
        <is>
          <t>📦 ZIP Package</t>
        </is>
      </c>
      <c r="K3644" s="15" t="n">
        <v>48.7</v>
      </c>
      <c r="L3644" s="16">
        <f>HYPERLINK("http://127.0.0.1:8000/api/documents/download?id=838&amp;attachment=true", "⬇ Download Tender_2026_UPEID_119474")</f>
        <v/>
      </c>
      <c r="M3644" s="16">
        <f>HYPERLINK("http://localhost:5173/?state=Uttar%20Pradesh&amp;keyword=GIS&amp;tender=2026_UPEID_1194743_1", "🚀 Open in Portal")</f>
        <v/>
      </c>
    </row>
    <row r="3645" ht="24" customHeight="1">
      <c r="A3645" s="4" t="inlineStr">
        <is>
          <t>Uttar Pradesh</t>
        </is>
      </c>
      <c r="B3645" s="5" t="inlineStr">
        <is>
          <t>GIS</t>
        </is>
      </c>
      <c r="C3645" s="6" t="inlineStr">
        <is>
          <t>2026_UTT_6076500_86</t>
        </is>
      </c>
      <c r="D3645" s="7" t="inlineStr">
        <is>
          <t>GIS-Based Drone LiDAR Survey &amp; Web GIS Geodatabase Integration for Smart Infrastructure</t>
        </is>
      </c>
      <c r="E3645" s="7" t="inlineStr">
        <is>
          <t>DIRECTORATE OF MUNICIPAL URBAN INFRASTRUCTURE</t>
        </is>
      </c>
      <c r="F3645" s="6" t="inlineStr">
        <is>
          <t>28 Aug 2026</t>
        </is>
      </c>
      <c r="G3645" s="5" t="inlineStr">
        <is>
          <t>19 Sep 2026</t>
        </is>
      </c>
      <c r="H3645" s="8" t="inlineStr">
        <is>
          <t>⏳ UPCOMING</t>
        </is>
      </c>
      <c r="I3645" s="4" t="inlineStr">
        <is>
          <t>Tendernotice_2026_UTT_6076500_86.pdf</t>
        </is>
      </c>
      <c r="J3645" s="6" t="inlineStr">
        <is>
          <t>📕 PDF Document</t>
        </is>
      </c>
      <c r="K3645" s="9" t="n">
        <v>7.7</v>
      </c>
      <c r="L3645" s="10">
        <f>HYPERLINK("http://127.0.0.1:8000/api/documents/download?id=3425&amp;attachment=true", "⬇ Download Tendernotice_2026_UTT_60")</f>
        <v/>
      </c>
      <c r="M3645" s="10">
        <f>HYPERLINK("http://localhost:5173/?state=Uttar%20Pradesh&amp;keyword=GIS&amp;tender=2026_UTT_6076500_86", "🚀 Open in Portal")</f>
        <v/>
      </c>
    </row>
    <row r="3646" ht="24" customHeight="1">
      <c r="A3646" s="11" t="inlineStr">
        <is>
          <t>Uttar Pradesh</t>
        </is>
      </c>
      <c r="B3646" s="12" t="inlineStr">
        <is>
          <t>GIS</t>
        </is>
      </c>
      <c r="C3646" s="13" t="inlineStr">
        <is>
          <t>2026_UTT_6076500_86</t>
        </is>
      </c>
      <c r="D3646" s="14" t="inlineStr">
        <is>
          <t>GIS-Based Drone LiDAR Survey &amp; Web GIS Geodatabase Integration for Smart Infrastructure</t>
        </is>
      </c>
      <c r="E3646" s="14" t="inlineStr">
        <is>
          <t>DIRECTORATE OF MUNICIPAL URBAN INFRASTRUCTURE</t>
        </is>
      </c>
      <c r="F3646" s="13" t="inlineStr">
        <is>
          <t>28 Aug 2026</t>
        </is>
      </c>
      <c r="G3646" s="12" t="inlineStr">
        <is>
          <t>19 Sep 2026</t>
        </is>
      </c>
      <c r="H3646" s="8" t="inlineStr">
        <is>
          <t>⏳ UPCOMING</t>
        </is>
      </c>
      <c r="I3646" s="11" t="inlineStr">
        <is>
          <t>Technical_RFP_Specification_GIS.pdf</t>
        </is>
      </c>
      <c r="J3646" s="13" t="inlineStr">
        <is>
          <t>📕 PDF Document</t>
        </is>
      </c>
      <c r="K3646" s="15" t="n">
        <v>7.7</v>
      </c>
      <c r="L3646" s="16">
        <f>HYPERLINK("http://127.0.0.1:8000/api/documents/download?id=3426&amp;attachment=true", "⬇ Download Technical_RFP_Specificat")</f>
        <v/>
      </c>
      <c r="M3646" s="16">
        <f>HYPERLINK("http://localhost:5173/?state=Uttar%20Pradesh&amp;keyword=GIS&amp;tender=2026_UTT_6076500_86", "🚀 Open in Portal")</f>
        <v/>
      </c>
    </row>
    <row r="3647" ht="24" customHeight="1">
      <c r="A3647" s="4" t="inlineStr">
        <is>
          <t>Uttar Pradesh</t>
        </is>
      </c>
      <c r="B3647" s="5" t="inlineStr">
        <is>
          <t>GIS</t>
        </is>
      </c>
      <c r="C3647" s="6" t="inlineStr">
        <is>
          <t>2026_UTT_6076500_86</t>
        </is>
      </c>
      <c r="D3647" s="7" t="inlineStr">
        <is>
          <t>GIS-Based Drone LiDAR Survey &amp; Web GIS Geodatabase Integration for Smart Infrastructure</t>
        </is>
      </c>
      <c r="E3647" s="7" t="inlineStr">
        <is>
          <t>DIRECTORATE OF MUNICIPAL URBAN INFRASTRUCTURE</t>
        </is>
      </c>
      <c r="F3647" s="6" t="inlineStr">
        <is>
          <t>28 Aug 2026</t>
        </is>
      </c>
      <c r="G3647" s="5" t="inlineStr">
        <is>
          <t>19 Sep 2026</t>
        </is>
      </c>
      <c r="H3647" s="8" t="inlineStr">
        <is>
          <t>⏳ UPCOMING</t>
        </is>
      </c>
      <c r="I3647" s="4" t="inlineStr">
        <is>
          <t>BOQ_Financial_Schedule_2026_UTT_6076500_86.xlsx</t>
        </is>
      </c>
      <c r="J3647" s="6" t="inlineStr">
        <is>
          <t>📊 Excel BOQ</t>
        </is>
      </c>
      <c r="K3647" s="9" t="n">
        <v>5.9</v>
      </c>
      <c r="L3647" s="10">
        <f>HYPERLINK("http://127.0.0.1:8000/api/documents/download?id=3427&amp;attachment=true", "⬇ Download BOQ_Financial_Schedule_2")</f>
        <v/>
      </c>
      <c r="M3647" s="10">
        <f>HYPERLINK("http://localhost:5173/?state=Uttar%20Pradesh&amp;keyword=GIS&amp;tender=2026_UTT_6076500_86", "🚀 Open in Portal")</f>
        <v/>
      </c>
    </row>
    <row r="3648" ht="24" customHeight="1">
      <c r="A3648" s="11" t="inlineStr">
        <is>
          <t>Uttar Pradesh</t>
        </is>
      </c>
      <c r="B3648" s="12" t="inlineStr">
        <is>
          <t>GIS</t>
        </is>
      </c>
      <c r="C3648" s="13" t="inlineStr">
        <is>
          <t>2026_UTT_6076500_86</t>
        </is>
      </c>
      <c r="D3648" s="14" t="inlineStr">
        <is>
          <t>GIS-Based Drone LiDAR Survey &amp; Web GIS Geodatabase Integration for Smart Infrastructure</t>
        </is>
      </c>
      <c r="E3648" s="14" t="inlineStr">
        <is>
          <t>DIRECTORATE OF MUNICIPAL URBAN INFRASTRUCTURE</t>
        </is>
      </c>
      <c r="F3648" s="13" t="inlineStr">
        <is>
          <t>28 Aug 2026</t>
        </is>
      </c>
      <c r="G3648" s="12" t="inlineStr">
        <is>
          <t>19 Sep 2026</t>
        </is>
      </c>
      <c r="H3648" s="8" t="inlineStr">
        <is>
          <t>⏳ UPCOMING</t>
        </is>
      </c>
      <c r="I3648" s="11" t="inlineStr">
        <is>
          <t>Tender_2026_UTT_6076500_86_All_Documents.zip</t>
        </is>
      </c>
      <c r="J3648" s="13" t="inlineStr">
        <is>
          <t>📦 ZIP Package</t>
        </is>
      </c>
      <c r="K3648" s="15" t="n">
        <v>45</v>
      </c>
      <c r="L3648" s="16">
        <f>HYPERLINK("https://etender.up.nic.in/tender/2026_UTT_6076500_86", "⬇ Download Tender_2026_UTT_6076500_")</f>
        <v/>
      </c>
      <c r="M3648" s="16">
        <f>HYPERLINK("http://localhost:5173/?state=Uttar%20Pradesh&amp;keyword=GIS&amp;tender=2026_UTT_6076500_86", "🚀 Open in Portal")</f>
        <v/>
      </c>
    </row>
    <row r="3649" ht="24" customHeight="1">
      <c r="A3649" s="4" t="inlineStr">
        <is>
          <t>Uttar Pradesh</t>
        </is>
      </c>
      <c r="B3649" s="5" t="inlineStr">
        <is>
          <t>ICT</t>
        </is>
      </c>
      <c r="C3649" s="6" t="inlineStr">
        <is>
          <t>2026_CEBLY_1195092_1</t>
        </is>
      </c>
      <c r="D3649" s="7" t="inlineStr">
        <is>
          <t>[Patch Repair work in Year 2026-27 on Different ODR/Village Road in Block Bithri Chainpur in District Bareilly.]</t>
        </is>
      </c>
      <c r="E3649" s="7" t="inlineStr">
        <is>
          <t>Uttar Pradesh Public Works &amp; Technology Department</t>
        </is>
      </c>
      <c r="F3649" s="6" t="inlineStr">
        <is>
          <t>23 Oct 2026</t>
        </is>
      </c>
      <c r="G3649" s="5" t="inlineStr">
        <is>
          <t>13 Nov 2026</t>
        </is>
      </c>
      <c r="H3649" s="8" t="inlineStr">
        <is>
          <t>⏳ UPCOMING</t>
        </is>
      </c>
      <c r="I3649" s="4" t="inlineStr">
        <is>
          <t>Tendernotice_1.pdf</t>
        </is>
      </c>
      <c r="J3649" s="6" t="inlineStr">
        <is>
          <t>📕 PDF Document</t>
        </is>
      </c>
      <c r="K3649" s="9" t="n">
        <v>17.9</v>
      </c>
      <c r="L3649" s="10">
        <f>HYPERLINK("http://127.0.0.1:8000/api/documents/download?id=853&amp;attachment=true", "⬇ Download Tendernotice_1.pdf")</f>
        <v/>
      </c>
      <c r="M3649" s="10">
        <f>HYPERLINK("http://localhost:5173/?state=Uttar%20Pradesh&amp;keyword=ICT&amp;tender=2026_CEBLY_1195092_1", "🚀 Open in Portal")</f>
        <v/>
      </c>
    </row>
    <row r="3650" ht="24" customHeight="1">
      <c r="A3650" s="11" t="inlineStr">
        <is>
          <t>Uttar Pradesh</t>
        </is>
      </c>
      <c r="B3650" s="12" t="inlineStr">
        <is>
          <t>ICT</t>
        </is>
      </c>
      <c r="C3650" s="13" t="inlineStr">
        <is>
          <t>2026_CEBLY_1195092_1</t>
        </is>
      </c>
      <c r="D3650" s="14" t="inlineStr">
        <is>
          <t>[Patch Repair work in Year 2026-27 on Different ODR/Village Road in Block Bithri Chainpur in District Bareilly.]</t>
        </is>
      </c>
      <c r="E3650" s="14" t="inlineStr">
        <is>
          <t>Uttar Pradesh Public Works &amp; Technology Department</t>
        </is>
      </c>
      <c r="F3650" s="13" t="inlineStr">
        <is>
          <t>23 Oct 2026</t>
        </is>
      </c>
      <c r="G3650" s="12" t="inlineStr">
        <is>
          <t>13 Nov 2026</t>
        </is>
      </c>
      <c r="H3650" s="8" t="inlineStr">
        <is>
          <t>⏳ UPCOMING</t>
        </is>
      </c>
      <c r="I3650" s="11" t="inlineStr">
        <is>
          <t>T1PATCH.pdf</t>
        </is>
      </c>
      <c r="J3650" s="13" t="inlineStr">
        <is>
          <t>📕 PDF Document</t>
        </is>
      </c>
      <c r="K3650" s="15" t="n">
        <v>17.9</v>
      </c>
      <c r="L3650" s="16">
        <f>HYPERLINK("http://127.0.0.1:8000/api/documents/download?id=854&amp;attachment=true", "⬇ Download T1PATCH.pdf")</f>
        <v/>
      </c>
      <c r="M3650" s="16">
        <f>HYPERLINK("http://localhost:5173/?state=Uttar%20Pradesh&amp;keyword=ICT&amp;tender=2026_CEBLY_1195092_1", "🚀 Open in Portal")</f>
        <v/>
      </c>
    </row>
    <row r="3651" ht="24" customHeight="1">
      <c r="A3651" s="4" t="inlineStr">
        <is>
          <t>Uttar Pradesh</t>
        </is>
      </c>
      <c r="B3651" s="5" t="inlineStr">
        <is>
          <t>ICT</t>
        </is>
      </c>
      <c r="C3651" s="6" t="inlineStr">
        <is>
          <t>2026_CEBLY_1195092_1</t>
        </is>
      </c>
      <c r="D3651" s="7" t="inlineStr">
        <is>
          <t>[Patch Repair work in Year 2026-27 on Different ODR/Village Road in Block Bithri Chainpur in District Bareilly.]</t>
        </is>
      </c>
      <c r="E3651" s="7" t="inlineStr">
        <is>
          <t>Uttar Pradesh Public Works &amp; Technology Department</t>
        </is>
      </c>
      <c r="F3651" s="6" t="inlineStr">
        <is>
          <t>23 Oct 2026</t>
        </is>
      </c>
      <c r="G3651" s="5" t="inlineStr">
        <is>
          <t>13 Nov 2026</t>
        </is>
      </c>
      <c r="H3651" s="8" t="inlineStr">
        <is>
          <t>⏳ UPCOMING</t>
        </is>
      </c>
      <c r="I3651" s="4" t="inlineStr">
        <is>
          <t>BOQ_2256797.xls</t>
        </is>
      </c>
      <c r="J3651" s="6" t="inlineStr">
        <is>
          <t>📊 Excel BOQ</t>
        </is>
      </c>
      <c r="K3651" s="9" t="n">
        <v>2.5</v>
      </c>
      <c r="L3651" s="10">
        <f>HYPERLINK("http://127.0.0.1:8000/api/documents/download?id=855&amp;attachment=true", "⬇ Download BOQ_2256797.xls")</f>
        <v/>
      </c>
      <c r="M3651" s="10">
        <f>HYPERLINK("http://localhost:5173/?state=Uttar%20Pradesh&amp;keyword=ICT&amp;tender=2026_CEBLY_1195092_1", "🚀 Open in Portal")</f>
        <v/>
      </c>
    </row>
    <row r="3652" ht="24" customHeight="1">
      <c r="A3652" s="11" t="inlineStr">
        <is>
          <t>Uttar Pradesh</t>
        </is>
      </c>
      <c r="B3652" s="12" t="inlineStr">
        <is>
          <t>ICT</t>
        </is>
      </c>
      <c r="C3652" s="13" t="inlineStr">
        <is>
          <t>2026_CEBLY_1195092_1</t>
        </is>
      </c>
      <c r="D3652" s="14" t="inlineStr">
        <is>
          <t>[Patch Repair work in Year 2026-27 on Different ODR/Village Road in Block Bithri Chainpur in District Bareilly.]</t>
        </is>
      </c>
      <c r="E3652" s="14" t="inlineStr">
        <is>
          <t>Uttar Pradesh Public Works &amp; Technology Department</t>
        </is>
      </c>
      <c r="F3652" s="13" t="inlineStr">
        <is>
          <t>23 Oct 2026</t>
        </is>
      </c>
      <c r="G3652" s="12" t="inlineStr">
        <is>
          <t>13 Nov 2026</t>
        </is>
      </c>
      <c r="H3652" s="8" t="inlineStr">
        <is>
          <t>⏳ UPCOMING</t>
        </is>
      </c>
      <c r="I3652" s="11" t="inlineStr">
        <is>
          <t>Tender_2026_CEBLY_1195092_1_All_Documents.zip</t>
        </is>
      </c>
      <c r="J3652" s="13" t="inlineStr">
        <is>
          <t>📦 ZIP Package</t>
        </is>
      </c>
      <c r="K3652" s="15" t="n">
        <v>20.8</v>
      </c>
      <c r="L3652" s="16">
        <f>HYPERLINK("http://127.0.0.1:8000/api/documents/download?id=856&amp;attachment=true", "⬇ Download Tender_2026_CEBLY_119509")</f>
        <v/>
      </c>
      <c r="M3652" s="16">
        <f>HYPERLINK("http://localhost:5173/?state=Uttar%20Pradesh&amp;keyword=ICT&amp;tender=2026_CEBLY_1195092_1", "🚀 Open in Portal")</f>
        <v/>
      </c>
    </row>
    <row r="3653" ht="24" customHeight="1">
      <c r="A3653" s="4" t="inlineStr">
        <is>
          <t>Uttar Pradesh</t>
        </is>
      </c>
      <c r="B3653" s="5" t="inlineStr">
        <is>
          <t>ICT</t>
        </is>
      </c>
      <c r="C3653" s="6" t="inlineStr">
        <is>
          <t>2026_CEKNP_1195063_1</t>
        </is>
      </c>
      <c r="D3653" s="7" t="inlineStr">
        <is>
          <t>[Widening and strengthening of Etawah-Mainpuri (NH-83) to Vicharpura (NH-19)-Via Kendriya Vidyalaya in Barpura Block, District Etawah]</t>
        </is>
      </c>
      <c r="E3653" s="7" t="inlineStr">
        <is>
          <t>Uttar Pradesh Public Works &amp; Technology Department</t>
        </is>
      </c>
      <c r="F3653" s="6" t="inlineStr">
        <is>
          <t>13 Aug 2026</t>
        </is>
      </c>
      <c r="G3653" s="5" t="inlineStr">
        <is>
          <t>03 Sep 2026</t>
        </is>
      </c>
      <c r="H3653" s="8" t="inlineStr">
        <is>
          <t>⏳ UPCOMING</t>
        </is>
      </c>
      <c r="I3653" s="4" t="inlineStr">
        <is>
          <t>Tendernotice_1.pdf</t>
        </is>
      </c>
      <c r="J3653" s="6" t="inlineStr">
        <is>
          <t>📕 PDF Document</t>
        </is>
      </c>
      <c r="K3653" s="9" t="n">
        <v>17.9</v>
      </c>
      <c r="L3653" s="10">
        <f>HYPERLINK("http://127.0.0.1:8000/api/documents/download?id=869&amp;attachment=true", "⬇ Download Tendernotice_1.pdf")</f>
        <v/>
      </c>
      <c r="M3653" s="10">
        <f>HYPERLINK("http://localhost:5173/?state=Uttar%20Pradesh&amp;keyword=ICT&amp;tender=2026_CEKNP_1195063_1", "🚀 Open in Portal")</f>
        <v/>
      </c>
    </row>
    <row r="3654" ht="24" customHeight="1">
      <c r="A3654" s="11" t="inlineStr">
        <is>
          <t>Uttar Pradesh</t>
        </is>
      </c>
      <c r="B3654" s="12" t="inlineStr">
        <is>
          <t>ICT</t>
        </is>
      </c>
      <c r="C3654" s="13" t="inlineStr">
        <is>
          <t>2026_CEKNP_1195063_1</t>
        </is>
      </c>
      <c r="D3654" s="14" t="inlineStr">
        <is>
          <t>[Widening and strengthening of Etawah-Mainpuri (NH-83) to Vicharpura (NH-19)-Via Kendriya Vidyalaya in Barpura Block, District Etawah]</t>
        </is>
      </c>
      <c r="E3654" s="14" t="inlineStr">
        <is>
          <t>Uttar Pradesh Public Works &amp; Technology Department</t>
        </is>
      </c>
      <c r="F3654" s="13" t="inlineStr">
        <is>
          <t>13 Aug 2026</t>
        </is>
      </c>
      <c r="G3654" s="12" t="inlineStr">
        <is>
          <t>03 Sep 2026</t>
        </is>
      </c>
      <c r="H3654" s="8" t="inlineStr">
        <is>
          <t>⏳ UPCOMING</t>
        </is>
      </c>
      <c r="I3654" s="11" t="inlineStr">
        <is>
          <t>BOQ_2256743.xls</t>
        </is>
      </c>
      <c r="J3654" s="13" t="inlineStr">
        <is>
          <t>📊 Excel BOQ</t>
        </is>
      </c>
      <c r="K3654" s="15" t="n">
        <v>2.5</v>
      </c>
      <c r="L3654" s="16">
        <f>HYPERLINK("http://127.0.0.1:8000/api/documents/download?id=870&amp;attachment=true", "⬇ Download BOQ_2256743.xls")</f>
        <v/>
      </c>
      <c r="M3654" s="16">
        <f>HYPERLINK("http://localhost:5173/?state=Uttar%20Pradesh&amp;keyword=ICT&amp;tender=2026_CEKNP_1195063_1", "🚀 Open in Portal")</f>
        <v/>
      </c>
    </row>
    <row r="3655" ht="24" customHeight="1">
      <c r="A3655" s="4" t="inlineStr">
        <is>
          <t>Uttar Pradesh</t>
        </is>
      </c>
      <c r="B3655" s="5" t="inlineStr">
        <is>
          <t>ICT</t>
        </is>
      </c>
      <c r="C3655" s="6" t="inlineStr">
        <is>
          <t>2026_CEKNP_1195063_1</t>
        </is>
      </c>
      <c r="D3655" s="7" t="inlineStr">
        <is>
          <t>[Widening and strengthening of Etawah-Mainpuri (NH-83) to Vicharpura (NH-19)-Via Kendriya Vidyalaya in Barpura Block, District Etawah]</t>
        </is>
      </c>
      <c r="E3655" s="7" t="inlineStr">
        <is>
          <t>Uttar Pradesh Public Works &amp; Technology Department</t>
        </is>
      </c>
      <c r="F3655" s="6" t="inlineStr">
        <is>
          <t>13 Aug 2026</t>
        </is>
      </c>
      <c r="G3655" s="5" t="inlineStr">
        <is>
          <t>03 Sep 2026</t>
        </is>
      </c>
      <c r="H3655" s="8" t="inlineStr">
        <is>
          <t>⏳ UPCOMING</t>
        </is>
      </c>
      <c r="I3655" s="4" t="inlineStr">
        <is>
          <t>Tender_2026_CEKNP_1195063_1_All_Documents.zip</t>
        </is>
      </c>
      <c r="J3655" s="6" t="inlineStr">
        <is>
          <t>📦 ZIP Package</t>
        </is>
      </c>
      <c r="K3655" s="9" t="n">
        <v>11.6</v>
      </c>
      <c r="L3655" s="10">
        <f>HYPERLINK("http://127.0.0.1:8000/api/documents/download?id=871&amp;attachment=true", "⬇ Download Tender_2026_CEKNP_119506")</f>
        <v/>
      </c>
      <c r="M3655" s="10">
        <f>HYPERLINK("http://localhost:5173/?state=Uttar%20Pradesh&amp;keyword=ICT&amp;tender=2026_CEKNP_1195063_1", "🚀 Open in Portal")</f>
        <v/>
      </c>
    </row>
    <row r="3656" ht="24" customHeight="1">
      <c r="A3656" s="11" t="inlineStr">
        <is>
          <t>Uttar Pradesh</t>
        </is>
      </c>
      <c r="B3656" s="12" t="inlineStr">
        <is>
          <t>ICT</t>
        </is>
      </c>
      <c r="C3656" s="13" t="inlineStr">
        <is>
          <t>2026_CEPMP_1195008_1</t>
        </is>
      </c>
      <c r="D3656" s="14" t="inlineStr">
        <is>
          <t>[Work regarding the beautification of only the Maa Kalikhoh Temple G1 structure falling under Phase Component B2 of the project for developing the Trikon Parikrama Path in Mirzapur district and beautifying the Maa Vindhyavasini Maa Ashtabhuja and Maa ]</t>
        </is>
      </c>
      <c r="E3656" s="14" t="inlineStr">
        <is>
          <t>Uttar Pradesh Public Works &amp; Technology Department</t>
        </is>
      </c>
      <c r="F3656" s="13" t="inlineStr">
        <is>
          <t>22 Aug 2026</t>
        </is>
      </c>
      <c r="G3656" s="12" t="inlineStr">
        <is>
          <t>16 Sep 2026</t>
        </is>
      </c>
      <c r="H3656" s="8" t="inlineStr">
        <is>
          <t>⏳ UPCOMING</t>
        </is>
      </c>
      <c r="I3656" s="11" t="inlineStr">
        <is>
          <t>Tendernotice_1.pdf</t>
        </is>
      </c>
      <c r="J3656" s="13" t="inlineStr">
        <is>
          <t>📕 PDF Document</t>
        </is>
      </c>
      <c r="K3656" s="15" t="n">
        <v>17.9</v>
      </c>
      <c r="L3656" s="16">
        <f>HYPERLINK("http://127.0.0.1:8000/api/documents/download?id=872&amp;attachment=true", "⬇ Download Tendernotice_1.pdf")</f>
        <v/>
      </c>
      <c r="M3656" s="16">
        <f>HYPERLINK("http://localhost:5173/?state=Uttar%20Pradesh&amp;keyword=ICT&amp;tender=2026_CEPMP_1195008_1", "🚀 Open in Portal")</f>
        <v/>
      </c>
    </row>
    <row r="3657" ht="24" customHeight="1">
      <c r="A3657" s="4" t="inlineStr">
        <is>
          <t>Uttar Pradesh</t>
        </is>
      </c>
      <c r="B3657" s="5" t="inlineStr">
        <is>
          <t>ICT</t>
        </is>
      </c>
      <c r="C3657" s="6" t="inlineStr">
        <is>
          <t>2026_CEPMP_1195008_1</t>
        </is>
      </c>
      <c r="D3657" s="7" t="inlineStr">
        <is>
          <t>[Work regarding the beautification of only the Maa Kalikhoh Temple G1 structure falling under Phase Component B2 of the project for developing the Trikon Parikrama Path in Mirzapur district and beautifying the Maa Vindhyavasini Maa Ashtabhuja and Maa ]</t>
        </is>
      </c>
      <c r="E3657" s="7" t="inlineStr">
        <is>
          <t>Uttar Pradesh Public Works &amp; Technology Department</t>
        </is>
      </c>
      <c r="F3657" s="6" t="inlineStr">
        <is>
          <t>22 Aug 2026</t>
        </is>
      </c>
      <c r="G3657" s="5" t="inlineStr">
        <is>
          <t>16 Sep 2026</t>
        </is>
      </c>
      <c r="H3657" s="8" t="inlineStr">
        <is>
          <t>⏳ UPCOMING</t>
        </is>
      </c>
      <c r="I3657" s="4" t="inlineStr">
        <is>
          <t>CBD.pdf</t>
        </is>
      </c>
      <c r="J3657" s="6" t="inlineStr">
        <is>
          <t>📕 PDF Document</t>
        </is>
      </c>
      <c r="K3657" s="9" t="n">
        <v>17.8</v>
      </c>
      <c r="L3657" s="10">
        <f>HYPERLINK("http://127.0.0.1:8000/api/documents/download?id=873&amp;attachment=true", "⬇ Download CBD.pdf")</f>
        <v/>
      </c>
      <c r="M3657" s="10">
        <f>HYPERLINK("http://localhost:5173/?state=Uttar%20Pradesh&amp;keyword=ICT&amp;tender=2026_CEPMP_1195008_1", "🚀 Open in Portal")</f>
        <v/>
      </c>
    </row>
    <row r="3658" ht="24" customHeight="1">
      <c r="A3658" s="11" t="inlineStr">
        <is>
          <t>Uttar Pradesh</t>
        </is>
      </c>
      <c r="B3658" s="12" t="inlineStr">
        <is>
          <t>ICT</t>
        </is>
      </c>
      <c r="C3658" s="13" t="inlineStr">
        <is>
          <t>2026_CEPMP_1195008_1</t>
        </is>
      </c>
      <c r="D3658" s="14" t="inlineStr">
        <is>
          <t>[Work regarding the beautification of only the Maa Kalikhoh Temple G1 structure falling under Phase Component B2 of the project for developing the Trikon Parikrama Path in Mirzapur district and beautifying the Maa Vindhyavasini Maa Ashtabhuja and Maa ]</t>
        </is>
      </c>
      <c r="E3658" s="14" t="inlineStr">
        <is>
          <t>Uttar Pradesh Public Works &amp; Technology Department</t>
        </is>
      </c>
      <c r="F3658" s="13" t="inlineStr">
        <is>
          <t>22 Aug 2026</t>
        </is>
      </c>
      <c r="G3658" s="12" t="inlineStr">
        <is>
          <t>16 Sep 2026</t>
        </is>
      </c>
      <c r="H3658" s="8" t="inlineStr">
        <is>
          <t>⏳ UPCOMING</t>
        </is>
      </c>
      <c r="I3658" s="11" t="inlineStr">
        <is>
          <t>BOQ_2256657.xls</t>
        </is>
      </c>
      <c r="J3658" s="13" t="inlineStr">
        <is>
          <t>📊 Excel BOQ</t>
        </is>
      </c>
      <c r="K3658" s="15" t="n">
        <v>2.6</v>
      </c>
      <c r="L3658" s="16">
        <f>HYPERLINK("http://127.0.0.1:8000/api/documents/download?id=874&amp;attachment=true", "⬇ Download BOQ_2256657.xls")</f>
        <v/>
      </c>
      <c r="M3658" s="16">
        <f>HYPERLINK("http://localhost:5173/?state=Uttar%20Pradesh&amp;keyword=ICT&amp;tender=2026_CEPMP_1195008_1", "🚀 Open in Portal")</f>
        <v/>
      </c>
    </row>
    <row r="3659" ht="24" customHeight="1">
      <c r="A3659" s="4" t="inlineStr">
        <is>
          <t>Uttar Pradesh</t>
        </is>
      </c>
      <c r="B3659" s="5" t="inlineStr">
        <is>
          <t>ICT</t>
        </is>
      </c>
      <c r="C3659" s="6" t="inlineStr">
        <is>
          <t>2026_CEPMP_1195008_1</t>
        </is>
      </c>
      <c r="D3659" s="7" t="inlineStr">
        <is>
          <t>[Work regarding the beautification of only the Maa Kalikhoh Temple G1 structure falling under Phase Component B2 of the project for developing the Trikon Parikrama Path in Mirzapur district and beautifying the Maa Vindhyavasini Maa Ashtabhuja and Maa ]</t>
        </is>
      </c>
      <c r="E3659" s="7" t="inlineStr">
        <is>
          <t>Uttar Pradesh Public Works &amp; Technology Department</t>
        </is>
      </c>
      <c r="F3659" s="6" t="inlineStr">
        <is>
          <t>22 Aug 2026</t>
        </is>
      </c>
      <c r="G3659" s="5" t="inlineStr">
        <is>
          <t>16 Sep 2026</t>
        </is>
      </c>
      <c r="H3659" s="8" t="inlineStr">
        <is>
          <t>⏳ UPCOMING</t>
        </is>
      </c>
      <c r="I3659" s="4" t="inlineStr">
        <is>
          <t>Tender_2026_CEPMP_1195008_1_All_Documents.zip</t>
        </is>
      </c>
      <c r="J3659" s="6" t="inlineStr">
        <is>
          <t>📦 ZIP Package</t>
        </is>
      </c>
      <c r="K3659" s="9" t="n">
        <v>20.8</v>
      </c>
      <c r="L3659" s="10">
        <f>HYPERLINK("http://127.0.0.1:8000/api/documents/download?id=875&amp;attachment=true", "⬇ Download Tender_2026_CEPMP_119500")</f>
        <v/>
      </c>
      <c r="M3659" s="10">
        <f>HYPERLINK("http://localhost:5173/?state=Uttar%20Pradesh&amp;keyword=ICT&amp;tender=2026_CEPMP_1195008_1", "🚀 Open in Portal")</f>
        <v/>
      </c>
    </row>
    <row r="3660" ht="24" customHeight="1">
      <c r="A3660" s="11" t="inlineStr">
        <is>
          <t>Uttar Pradesh</t>
        </is>
      </c>
      <c r="B3660" s="12" t="inlineStr">
        <is>
          <t>ICT</t>
        </is>
      </c>
      <c r="C3660" s="13" t="inlineStr">
        <is>
          <t>2026_CLDF_1191209_2</t>
        </is>
      </c>
      <c r="D3660" s="14" t="inlineStr">
        <is>
          <t>[PROPOSED CONSTRUCTION OF 100 MT CAPACITY GODOWN AT RAMPUR BANGAR BLOCK KHADDA DISTRICT KUSHINAGAR.]</t>
        </is>
      </c>
      <c r="E3660" s="14" t="inlineStr">
        <is>
          <t>Uttar Pradesh Public Works &amp; Technology Department</t>
        </is>
      </c>
      <c r="F3660" s="13" t="inlineStr">
        <is>
          <t>03 Oct 2026</t>
        </is>
      </c>
      <c r="G3660" s="12" t="inlineStr">
        <is>
          <t>28 Oct 2026</t>
        </is>
      </c>
      <c r="H3660" s="17" t="inlineStr">
        <is>
          <t>🟢 LIVE ACTIVE</t>
        </is>
      </c>
      <c r="I3660" s="11" t="inlineStr">
        <is>
          <t>pledge.pdf</t>
        </is>
      </c>
      <c r="J3660" s="13" t="inlineStr">
        <is>
          <t>📕 PDF Document</t>
        </is>
      </c>
      <c r="K3660" s="15" t="n">
        <v>17.8</v>
      </c>
      <c r="L3660" s="16">
        <f>HYPERLINK("http://127.0.0.1:8000/api/documents/download?id=900&amp;attachment=true", "⬇ Download pledge.pdf")</f>
        <v/>
      </c>
      <c r="M3660" s="16">
        <f>HYPERLINK("http://localhost:5173/?state=Uttar%20Pradesh&amp;keyword=ICT&amp;tender=2026_CLDF_1191209_2", "🚀 Open in Portal")</f>
        <v/>
      </c>
    </row>
    <row r="3661" ht="24" customHeight="1">
      <c r="A3661" s="4" t="inlineStr">
        <is>
          <t>Uttar Pradesh</t>
        </is>
      </c>
      <c r="B3661" s="5" t="inlineStr">
        <is>
          <t>ICT</t>
        </is>
      </c>
      <c r="C3661" s="6" t="inlineStr">
        <is>
          <t>2026_CLDF_1191209_2</t>
        </is>
      </c>
      <c r="D3661" s="7" t="inlineStr">
        <is>
          <t>[PROPOSED CONSTRUCTION OF 100 MT CAPACITY GODOWN AT RAMPUR BANGAR BLOCK KHADDA DISTRICT KUSHINAGAR.]</t>
        </is>
      </c>
      <c r="E3661" s="7" t="inlineStr">
        <is>
          <t>Uttar Pradesh Public Works &amp; Technology Department</t>
        </is>
      </c>
      <c r="F3661" s="6" t="inlineStr">
        <is>
          <t>03 Oct 2026</t>
        </is>
      </c>
      <c r="G3661" s="5" t="inlineStr">
        <is>
          <t>28 Oct 2026</t>
        </is>
      </c>
      <c r="H3661" s="17" t="inlineStr">
        <is>
          <t>🟢 LIVE ACTIVE</t>
        </is>
      </c>
      <c r="I3661" s="4" t="inlineStr">
        <is>
          <t>Retender_NOtice.pdf</t>
        </is>
      </c>
      <c r="J3661" s="6" t="inlineStr">
        <is>
          <t>📕 PDF Document</t>
        </is>
      </c>
      <c r="K3661" s="9" t="n">
        <v>17.9</v>
      </c>
      <c r="L3661" s="10">
        <f>HYPERLINK("http://127.0.0.1:8000/api/documents/download?id=901&amp;attachment=true", "⬇ Download Retender_NOtice.pdf")</f>
        <v/>
      </c>
      <c r="M3661" s="10">
        <f>HYPERLINK("http://localhost:5173/?state=Uttar%20Pradesh&amp;keyword=ICT&amp;tender=2026_CLDF_1191209_2", "🚀 Open in Portal")</f>
        <v/>
      </c>
    </row>
    <row r="3662" ht="24" customHeight="1">
      <c r="A3662" s="11" t="inlineStr">
        <is>
          <t>Uttar Pradesh</t>
        </is>
      </c>
      <c r="B3662" s="12" t="inlineStr">
        <is>
          <t>ICT</t>
        </is>
      </c>
      <c r="C3662" s="13" t="inlineStr">
        <is>
          <t>2026_CLDF_1191209_2</t>
        </is>
      </c>
      <c r="D3662" s="14" t="inlineStr">
        <is>
          <t>[PROPOSED CONSTRUCTION OF 100 MT CAPACITY GODOWN AT RAMPUR BANGAR BLOCK KHADDA DISTRICT KUSHINAGAR.]</t>
        </is>
      </c>
      <c r="E3662" s="14" t="inlineStr">
        <is>
          <t>Uttar Pradesh Public Works &amp; Technology Department</t>
        </is>
      </c>
      <c r="F3662" s="13" t="inlineStr">
        <is>
          <t>03 Oct 2026</t>
        </is>
      </c>
      <c r="G3662" s="12" t="inlineStr">
        <is>
          <t>28 Oct 2026</t>
        </is>
      </c>
      <c r="H3662" s="17" t="inlineStr">
        <is>
          <t>🟢 LIVE ACTIVE</t>
        </is>
      </c>
      <c r="I3662" s="11" t="inlineStr">
        <is>
          <t>BOQ_2256497.xls</t>
        </is>
      </c>
      <c r="J3662" s="13" t="inlineStr">
        <is>
          <t>📊 Excel BOQ</t>
        </is>
      </c>
      <c r="K3662" s="15" t="n">
        <v>2.5</v>
      </c>
      <c r="L3662" s="16">
        <f>HYPERLINK("http://127.0.0.1:8000/api/documents/download?id=902&amp;attachment=true", "⬇ Download BOQ_2256497.xls")</f>
        <v/>
      </c>
      <c r="M3662" s="16">
        <f>HYPERLINK("http://localhost:5173/?state=Uttar%20Pradesh&amp;keyword=ICT&amp;tender=2026_CLDF_1191209_2", "🚀 Open in Portal")</f>
        <v/>
      </c>
    </row>
    <row r="3663" ht="24" customHeight="1">
      <c r="A3663" s="4" t="inlineStr">
        <is>
          <t>Uttar Pradesh</t>
        </is>
      </c>
      <c r="B3663" s="5" t="inlineStr">
        <is>
          <t>ICT</t>
        </is>
      </c>
      <c r="C3663" s="6" t="inlineStr">
        <is>
          <t>2026_CLDF_1191209_2</t>
        </is>
      </c>
      <c r="D3663" s="7" t="inlineStr">
        <is>
          <t>[PROPOSED CONSTRUCTION OF 100 MT CAPACITY GODOWN AT RAMPUR BANGAR BLOCK KHADDA DISTRICT KUSHINAGAR.]</t>
        </is>
      </c>
      <c r="E3663" s="7" t="inlineStr">
        <is>
          <t>Uttar Pradesh Public Works &amp; Technology Department</t>
        </is>
      </c>
      <c r="F3663" s="6" t="inlineStr">
        <is>
          <t>03 Oct 2026</t>
        </is>
      </c>
      <c r="G3663" s="5" t="inlineStr">
        <is>
          <t>28 Oct 2026</t>
        </is>
      </c>
      <c r="H3663" s="17" t="inlineStr">
        <is>
          <t>🟢 LIVE ACTIVE</t>
        </is>
      </c>
      <c r="I3663" s="4" t="inlineStr">
        <is>
          <t>KUSHINAGAR_RAMPUR_BANGAR.pdf</t>
        </is>
      </c>
      <c r="J3663" s="6" t="inlineStr">
        <is>
          <t>📕 PDF Document</t>
        </is>
      </c>
      <c r="K3663" s="9" t="n">
        <v>17.9</v>
      </c>
      <c r="L3663" s="10">
        <f>HYPERLINK("http://127.0.0.1:8000/api/documents/download?id=903&amp;attachment=true", "⬇ Download KUSHINAGAR_RAMPUR_BANGAR")</f>
        <v/>
      </c>
      <c r="M3663" s="10">
        <f>HYPERLINK("http://localhost:5173/?state=Uttar%20Pradesh&amp;keyword=ICT&amp;tender=2026_CLDF_1191209_2", "🚀 Open in Portal")</f>
        <v/>
      </c>
    </row>
    <row r="3664" ht="24" customHeight="1">
      <c r="A3664" s="11" t="inlineStr">
        <is>
          <t>Uttar Pradesh</t>
        </is>
      </c>
      <c r="B3664" s="12" t="inlineStr">
        <is>
          <t>ICT</t>
        </is>
      </c>
      <c r="C3664" s="13" t="inlineStr">
        <is>
          <t>2026_CLDF_1191209_2</t>
        </is>
      </c>
      <c r="D3664" s="14" t="inlineStr">
        <is>
          <t>[PROPOSED CONSTRUCTION OF 100 MT CAPACITY GODOWN AT RAMPUR BANGAR BLOCK KHADDA DISTRICT KUSHINAGAR.]</t>
        </is>
      </c>
      <c r="E3664" s="14" t="inlineStr">
        <is>
          <t>Uttar Pradesh Public Works &amp; Technology Department</t>
        </is>
      </c>
      <c r="F3664" s="13" t="inlineStr">
        <is>
          <t>03 Oct 2026</t>
        </is>
      </c>
      <c r="G3664" s="12" t="inlineStr">
        <is>
          <t>28 Oct 2026</t>
        </is>
      </c>
      <c r="H3664" s="17" t="inlineStr">
        <is>
          <t>🟢 LIVE ACTIVE</t>
        </is>
      </c>
      <c r="I3664" s="11" t="inlineStr">
        <is>
          <t>Tender_2026_CLDF_1191209_2_All_Documents.zip</t>
        </is>
      </c>
      <c r="J3664" s="13" t="inlineStr">
        <is>
          <t>📦 ZIP Package</t>
        </is>
      </c>
      <c r="K3664" s="15" t="n">
        <v>30</v>
      </c>
      <c r="L3664" s="16">
        <f>HYPERLINK("http://127.0.0.1:8000/api/documents/download?id=904&amp;attachment=true", "⬇ Download Tender_2026_CLDF_1191209")</f>
        <v/>
      </c>
      <c r="M3664" s="16">
        <f>HYPERLINK("http://localhost:5173/?state=Uttar%20Pradesh&amp;keyword=ICT&amp;tender=2026_CLDF_1191209_2", "🚀 Open in Portal")</f>
        <v/>
      </c>
    </row>
    <row r="3665" ht="24" customHeight="1">
      <c r="A3665" s="4" t="inlineStr">
        <is>
          <t>Uttar Pradesh</t>
        </is>
      </c>
      <c r="B3665" s="5" t="inlineStr">
        <is>
          <t>ICT</t>
        </is>
      </c>
      <c r="C3665" s="6" t="inlineStr">
        <is>
          <t>2026_CSADA_1195005_1</t>
        </is>
      </c>
      <c r="D3665" s="7" t="inlineStr">
        <is>
          <t>[Construction of the boundary wall and gate for the upgraded Kasturba Gandhi Vidyalaya in Mau Chitrakoot district]</t>
        </is>
      </c>
      <c r="E3665" s="7" t="inlineStr">
        <is>
          <t>Uttar Pradesh Public Works &amp; Technology Department</t>
        </is>
      </c>
      <c r="F3665" s="6" t="inlineStr">
        <is>
          <t>04 Sep 2026</t>
        </is>
      </c>
      <c r="G3665" s="5" t="inlineStr">
        <is>
          <t>27 Sep 2026</t>
        </is>
      </c>
      <c r="H3665" s="8" t="inlineStr">
        <is>
          <t>⏳ UPCOMING</t>
        </is>
      </c>
      <c r="I3665" s="4" t="inlineStr">
        <is>
          <t>Tendernotice_1.pdf</t>
        </is>
      </c>
      <c r="J3665" s="6" t="inlineStr">
        <is>
          <t>📕 PDF Document</t>
        </is>
      </c>
      <c r="K3665" s="9" t="n">
        <v>17.9</v>
      </c>
      <c r="L3665" s="10">
        <f>HYPERLINK("http://127.0.0.1:8000/api/documents/download?id=879&amp;attachment=true", "⬇ Download Tendernotice_1.pdf")</f>
        <v/>
      </c>
      <c r="M3665" s="10">
        <f>HYPERLINK("http://localhost:5173/?state=Uttar%20Pradesh&amp;keyword=ICT&amp;tender=2026_CSADA_1195005_1", "🚀 Open in Portal")</f>
        <v/>
      </c>
    </row>
    <row r="3666" ht="24" customHeight="1">
      <c r="A3666" s="11" t="inlineStr">
        <is>
          <t>Uttar Pradesh</t>
        </is>
      </c>
      <c r="B3666" s="12" t="inlineStr">
        <is>
          <t>ICT</t>
        </is>
      </c>
      <c r="C3666" s="13" t="inlineStr">
        <is>
          <t>2026_CSADA_1195005_1</t>
        </is>
      </c>
      <c r="D3666" s="14" t="inlineStr">
        <is>
          <t>[Construction of the boundary wall and gate for the upgraded Kasturba Gandhi Vidyalaya in Mau Chitrakoot district]</t>
        </is>
      </c>
      <c r="E3666" s="14" t="inlineStr">
        <is>
          <t>Uttar Pradesh Public Works &amp; Technology Department</t>
        </is>
      </c>
      <c r="F3666" s="13" t="inlineStr">
        <is>
          <t>04 Sep 2026</t>
        </is>
      </c>
      <c r="G3666" s="12" t="inlineStr">
        <is>
          <t>27 Sep 2026</t>
        </is>
      </c>
      <c r="H3666" s="8" t="inlineStr">
        <is>
          <t>⏳ UPCOMING</t>
        </is>
      </c>
      <c r="I3666" s="11" t="inlineStr">
        <is>
          <t>BOQ_2256642.xls</t>
        </is>
      </c>
      <c r="J3666" s="13" t="inlineStr">
        <is>
          <t>📊 Excel BOQ</t>
        </is>
      </c>
      <c r="K3666" s="15" t="n">
        <v>2.5</v>
      </c>
      <c r="L3666" s="16">
        <f>HYPERLINK("http://127.0.0.1:8000/api/documents/download?id=880&amp;attachment=true", "⬇ Download BOQ_2256642.xls")</f>
        <v/>
      </c>
      <c r="M3666" s="16">
        <f>HYPERLINK("http://localhost:5173/?state=Uttar%20Pradesh&amp;keyword=ICT&amp;tender=2026_CSADA_1195005_1", "🚀 Open in Portal")</f>
        <v/>
      </c>
    </row>
    <row r="3667" ht="24" customHeight="1">
      <c r="A3667" s="4" t="inlineStr">
        <is>
          <t>Uttar Pradesh</t>
        </is>
      </c>
      <c r="B3667" s="5" t="inlineStr">
        <is>
          <t>ICT</t>
        </is>
      </c>
      <c r="C3667" s="6" t="inlineStr">
        <is>
          <t>2026_CSADA_1195005_1</t>
        </is>
      </c>
      <c r="D3667" s="7" t="inlineStr">
        <is>
          <t>[Construction of the boundary wall and gate for the upgraded Kasturba Gandhi Vidyalaya in Mau Chitrakoot district]</t>
        </is>
      </c>
      <c r="E3667" s="7" t="inlineStr">
        <is>
          <t>Uttar Pradesh Public Works &amp; Technology Department</t>
        </is>
      </c>
      <c r="F3667" s="6" t="inlineStr">
        <is>
          <t>04 Sep 2026</t>
        </is>
      </c>
      <c r="G3667" s="5" t="inlineStr">
        <is>
          <t>27 Sep 2026</t>
        </is>
      </c>
      <c r="H3667" s="8" t="inlineStr">
        <is>
          <t>⏳ UPCOMING</t>
        </is>
      </c>
      <c r="I3667" s="4" t="inlineStr">
        <is>
          <t>Tender_2026_CSADA_1195005_1_All_Documents.zip</t>
        </is>
      </c>
      <c r="J3667" s="6" t="inlineStr">
        <is>
          <t>📦 ZIP Package</t>
        </is>
      </c>
      <c r="K3667" s="9" t="n">
        <v>11.6</v>
      </c>
      <c r="L3667" s="10">
        <f>HYPERLINK("http://127.0.0.1:8000/api/documents/download?id=881&amp;attachment=true", "⬇ Download Tender_2026_CSADA_119500")</f>
        <v/>
      </c>
      <c r="M3667" s="10">
        <f>HYPERLINK("http://localhost:5173/?state=Uttar%20Pradesh&amp;keyword=ICT&amp;tender=2026_CSADA_1195005_1", "🚀 Open in Portal")</f>
        <v/>
      </c>
    </row>
    <row r="3668" ht="24" customHeight="1">
      <c r="A3668" s="11" t="inlineStr">
        <is>
          <t>Uttar Pradesh</t>
        </is>
      </c>
      <c r="B3668" s="12" t="inlineStr">
        <is>
          <t>ICT</t>
        </is>
      </c>
      <c r="C3668" s="13" t="inlineStr">
        <is>
          <t>2026_CSADA_1195005_2</t>
        </is>
      </c>
      <c r="D3668" s="14" t="inlineStr">
        <is>
          <t>[ Construction of the remaining boundary wall at the Joint District Hospital Chitrakoot]</t>
        </is>
      </c>
      <c r="E3668" s="14" t="inlineStr">
        <is>
          <t>Uttar Pradesh Public Works &amp; Technology Department</t>
        </is>
      </c>
      <c r="F3668" s="13" t="inlineStr">
        <is>
          <t>29 Aug 2026</t>
        </is>
      </c>
      <c r="G3668" s="12" t="inlineStr">
        <is>
          <t>19 Sep 2026</t>
        </is>
      </c>
      <c r="H3668" s="8" t="inlineStr">
        <is>
          <t>⏳ UPCOMING</t>
        </is>
      </c>
      <c r="I3668" s="11" t="inlineStr">
        <is>
          <t>Tendernotice_1.pdf</t>
        </is>
      </c>
      <c r="J3668" s="13" t="inlineStr">
        <is>
          <t>📕 PDF Document</t>
        </is>
      </c>
      <c r="K3668" s="15" t="n">
        <v>17.9</v>
      </c>
      <c r="L3668" s="16">
        <f>HYPERLINK("http://127.0.0.1:8000/api/documents/download?id=876&amp;attachment=true", "⬇ Download Tendernotice_1.pdf")</f>
        <v/>
      </c>
      <c r="M3668" s="16">
        <f>HYPERLINK("http://localhost:5173/?state=Uttar%20Pradesh&amp;keyword=ICT&amp;tender=2026_CSADA_1195005_2", "🚀 Open in Portal")</f>
        <v/>
      </c>
    </row>
    <row r="3669" ht="24" customHeight="1">
      <c r="A3669" s="4" t="inlineStr">
        <is>
          <t>Uttar Pradesh</t>
        </is>
      </c>
      <c r="B3669" s="5" t="inlineStr">
        <is>
          <t>ICT</t>
        </is>
      </c>
      <c r="C3669" s="6" t="inlineStr">
        <is>
          <t>2026_CSADA_1195005_2</t>
        </is>
      </c>
      <c r="D3669" s="7" t="inlineStr">
        <is>
          <t>[ Construction of the remaining boundary wall at the Joint District Hospital Chitrakoot]</t>
        </is>
      </c>
      <c r="E3669" s="7" t="inlineStr">
        <is>
          <t>Uttar Pradesh Public Works &amp; Technology Department</t>
        </is>
      </c>
      <c r="F3669" s="6" t="inlineStr">
        <is>
          <t>29 Aug 2026</t>
        </is>
      </c>
      <c r="G3669" s="5" t="inlineStr">
        <is>
          <t>19 Sep 2026</t>
        </is>
      </c>
      <c r="H3669" s="8" t="inlineStr">
        <is>
          <t>⏳ UPCOMING</t>
        </is>
      </c>
      <c r="I3669" s="4" t="inlineStr">
        <is>
          <t>BOQ_2256654.xls</t>
        </is>
      </c>
      <c r="J3669" s="6" t="inlineStr">
        <is>
          <t>📊 Excel BOQ</t>
        </is>
      </c>
      <c r="K3669" s="9" t="n">
        <v>2.5</v>
      </c>
      <c r="L3669" s="10">
        <f>HYPERLINK("http://127.0.0.1:8000/api/documents/download?id=877&amp;attachment=true", "⬇ Download BOQ_2256654.xls")</f>
        <v/>
      </c>
      <c r="M3669" s="10">
        <f>HYPERLINK("http://localhost:5173/?state=Uttar%20Pradesh&amp;keyword=ICT&amp;tender=2026_CSADA_1195005_2", "🚀 Open in Portal")</f>
        <v/>
      </c>
    </row>
    <row r="3670" ht="24" customHeight="1">
      <c r="A3670" s="11" t="inlineStr">
        <is>
          <t>Uttar Pradesh</t>
        </is>
      </c>
      <c r="B3670" s="12" t="inlineStr">
        <is>
          <t>ICT</t>
        </is>
      </c>
      <c r="C3670" s="13" t="inlineStr">
        <is>
          <t>2026_CSADA_1195005_2</t>
        </is>
      </c>
      <c r="D3670" s="14" t="inlineStr">
        <is>
          <t>[ Construction of the remaining boundary wall at the Joint District Hospital Chitrakoot]</t>
        </is>
      </c>
      <c r="E3670" s="14" t="inlineStr">
        <is>
          <t>Uttar Pradesh Public Works &amp; Technology Department</t>
        </is>
      </c>
      <c r="F3670" s="13" t="inlineStr">
        <is>
          <t>29 Aug 2026</t>
        </is>
      </c>
      <c r="G3670" s="12" t="inlineStr">
        <is>
          <t>19 Sep 2026</t>
        </is>
      </c>
      <c r="H3670" s="8" t="inlineStr">
        <is>
          <t>⏳ UPCOMING</t>
        </is>
      </c>
      <c r="I3670" s="11" t="inlineStr">
        <is>
          <t>Tender_2026_CSADA_1195005_2_All_Documents.zip</t>
        </is>
      </c>
      <c r="J3670" s="13" t="inlineStr">
        <is>
          <t>📦 ZIP Package</t>
        </is>
      </c>
      <c r="K3670" s="15" t="n">
        <v>11.6</v>
      </c>
      <c r="L3670" s="16">
        <f>HYPERLINK("http://127.0.0.1:8000/api/documents/download?id=878&amp;attachment=true", "⬇ Download Tender_2026_CSADA_119500")</f>
        <v/>
      </c>
      <c r="M3670" s="16">
        <f>HYPERLINK("http://localhost:5173/?state=Uttar%20Pradesh&amp;keyword=ICT&amp;tender=2026_CSADA_1195005_2", "🚀 Open in Portal")</f>
        <v/>
      </c>
    </row>
    <row r="3671" ht="24" customHeight="1">
      <c r="A3671" s="4" t="inlineStr">
        <is>
          <t>Uttar Pradesh</t>
        </is>
      </c>
      <c r="B3671" s="5" t="inlineStr">
        <is>
          <t>ICT</t>
        </is>
      </c>
      <c r="C3671" s="6" t="inlineStr">
        <is>
          <t>2026_MSME_1194976_1</t>
        </is>
      </c>
      <c r="D3671" s="7" t="inlineStr">
        <is>
          <t>[Work of supply/installation of open gym in medicinal garden in Nagar Panchayat Gopamau of development block Tandiyawan in Hardoi district.]</t>
        </is>
      </c>
      <c r="E3671" s="7" t="inlineStr">
        <is>
          <t>Uttar Pradesh Public Works &amp; Technology Department</t>
        </is>
      </c>
      <c r="F3671" s="6" t="inlineStr">
        <is>
          <t>18 Oct 2026</t>
        </is>
      </c>
      <c r="G3671" s="5" t="inlineStr">
        <is>
          <t>16 Nov 2026</t>
        </is>
      </c>
      <c r="H3671" s="17" t="inlineStr">
        <is>
          <t>🟢 LIVE ACTIVE</t>
        </is>
      </c>
      <c r="I3671" s="4" t="inlineStr">
        <is>
          <t>Tendernotice_1.pdf</t>
        </is>
      </c>
      <c r="J3671" s="6" t="inlineStr">
        <is>
          <t>📕 PDF Document</t>
        </is>
      </c>
      <c r="K3671" s="9" t="n">
        <v>17.9</v>
      </c>
      <c r="L3671" s="10">
        <f>HYPERLINK("http://127.0.0.1:8000/api/documents/download?id=912&amp;attachment=true", "⬇ Download Tendernotice_1.pdf")</f>
        <v/>
      </c>
      <c r="M3671" s="10">
        <f>HYPERLINK("http://localhost:5173/?state=Uttar%20Pradesh&amp;keyword=ICT&amp;tender=2026_MSME_1194976_1", "🚀 Open in Portal")</f>
        <v/>
      </c>
    </row>
    <row r="3672" ht="24" customHeight="1">
      <c r="A3672" s="11" t="inlineStr">
        <is>
          <t>Uttar Pradesh</t>
        </is>
      </c>
      <c r="B3672" s="12" t="inlineStr">
        <is>
          <t>ICT</t>
        </is>
      </c>
      <c r="C3672" s="13" t="inlineStr">
        <is>
          <t>2026_MSME_1194976_1</t>
        </is>
      </c>
      <c r="D3672" s="14" t="inlineStr">
        <is>
          <t>[Work of supply/installation of open gym in medicinal garden in Nagar Panchayat Gopamau of development block Tandiyawan in Hardoi district.]</t>
        </is>
      </c>
      <c r="E3672" s="14" t="inlineStr">
        <is>
          <t>Uttar Pradesh Public Works &amp; Technology Department</t>
        </is>
      </c>
      <c r="F3672" s="13" t="inlineStr">
        <is>
          <t>18 Oct 2026</t>
        </is>
      </c>
      <c r="G3672" s="12" t="inlineStr">
        <is>
          <t>16 Nov 2026</t>
        </is>
      </c>
      <c r="H3672" s="17" t="inlineStr">
        <is>
          <t>🟢 LIVE ACTIVE</t>
        </is>
      </c>
      <c r="I3672" s="11" t="inlineStr">
        <is>
          <t>BOQ_2256516.xls</t>
        </is>
      </c>
      <c r="J3672" s="13" t="inlineStr">
        <is>
          <t>📊 Excel BOQ</t>
        </is>
      </c>
      <c r="K3672" s="15" t="n">
        <v>2.5</v>
      </c>
      <c r="L3672" s="16">
        <f>HYPERLINK("http://127.0.0.1:8000/api/documents/download?id=913&amp;attachment=true", "⬇ Download BOQ_2256516.xls")</f>
        <v/>
      </c>
      <c r="M3672" s="16">
        <f>HYPERLINK("http://localhost:5173/?state=Uttar%20Pradesh&amp;keyword=ICT&amp;tender=2026_MSME_1194976_1", "🚀 Open in Portal")</f>
        <v/>
      </c>
    </row>
    <row r="3673" ht="24" customHeight="1">
      <c r="A3673" s="4" t="inlineStr">
        <is>
          <t>Uttar Pradesh</t>
        </is>
      </c>
      <c r="B3673" s="5" t="inlineStr">
        <is>
          <t>ICT</t>
        </is>
      </c>
      <c r="C3673" s="6" t="inlineStr">
        <is>
          <t>2026_MSME_1194976_1</t>
        </is>
      </c>
      <c r="D3673" s="7" t="inlineStr">
        <is>
          <t>[Work of supply/installation of open gym in medicinal garden in Nagar Panchayat Gopamau of development block Tandiyawan in Hardoi district.]</t>
        </is>
      </c>
      <c r="E3673" s="7" t="inlineStr">
        <is>
          <t>Uttar Pradesh Public Works &amp; Technology Department</t>
        </is>
      </c>
      <c r="F3673" s="6" t="inlineStr">
        <is>
          <t>18 Oct 2026</t>
        </is>
      </c>
      <c r="G3673" s="5" t="inlineStr">
        <is>
          <t>16 Nov 2026</t>
        </is>
      </c>
      <c r="H3673" s="17" t="inlineStr">
        <is>
          <t>🟢 LIVE ACTIVE</t>
        </is>
      </c>
      <c r="I3673" s="4" t="inlineStr">
        <is>
          <t>Tender_2026_MSME_1194976_1_All_Documents.zip</t>
        </is>
      </c>
      <c r="J3673" s="6" t="inlineStr">
        <is>
          <t>📦 ZIP Package</t>
        </is>
      </c>
      <c r="K3673" s="9" t="n">
        <v>11.6</v>
      </c>
      <c r="L3673" s="10">
        <f>HYPERLINK("http://127.0.0.1:8000/api/documents/download?id=914&amp;attachment=true", "⬇ Download Tender_2026_MSME_1194976")</f>
        <v/>
      </c>
      <c r="M3673" s="10">
        <f>HYPERLINK("http://localhost:5173/?state=Uttar%20Pradesh&amp;keyword=ICT&amp;tender=2026_MSME_1194976_1", "🚀 Open in Portal")</f>
        <v/>
      </c>
    </row>
    <row r="3674" ht="24" customHeight="1">
      <c r="A3674" s="11" t="inlineStr">
        <is>
          <t>Uttar Pradesh</t>
        </is>
      </c>
      <c r="B3674" s="12" t="inlineStr">
        <is>
          <t>ICT</t>
        </is>
      </c>
      <c r="C3674" s="13" t="inlineStr">
        <is>
          <t>2026_MSME_1194976_2</t>
        </is>
      </c>
      <c r="D3674" s="14" t="inlineStr">
        <is>
          <t>[Work of supply/installation of open gym in Smt. Nirmala Singh Inter College Nevada M. Lehna of Development Block Hariyawan in Hardoi district.]</t>
        </is>
      </c>
      <c r="E3674" s="14" t="inlineStr">
        <is>
          <t>Uttar Pradesh Public Works &amp; Technology Department</t>
        </is>
      </c>
      <c r="F3674" s="13" t="inlineStr">
        <is>
          <t>08 Oct 2026</t>
        </is>
      </c>
      <c r="G3674" s="12" t="inlineStr">
        <is>
          <t>03 Nov 2026</t>
        </is>
      </c>
      <c r="H3674" s="17" t="inlineStr">
        <is>
          <t>🟢 LIVE ACTIVE</t>
        </is>
      </c>
      <c r="I3674" s="11" t="inlineStr">
        <is>
          <t>Tendernotice_1.pdf</t>
        </is>
      </c>
      <c r="J3674" s="13" t="inlineStr">
        <is>
          <t>📕 PDF Document</t>
        </is>
      </c>
      <c r="K3674" s="15" t="n">
        <v>17.9</v>
      </c>
      <c r="L3674" s="16">
        <f>HYPERLINK("http://127.0.0.1:8000/api/documents/download?id=905&amp;attachment=true", "⬇ Download Tendernotice_1.pdf")</f>
        <v/>
      </c>
      <c r="M3674" s="16">
        <f>HYPERLINK("http://localhost:5173/?state=Uttar%20Pradesh&amp;keyword=ICT&amp;tender=2026_MSME_1194976_2", "🚀 Open in Portal")</f>
        <v/>
      </c>
    </row>
    <row r="3675" ht="24" customHeight="1">
      <c r="A3675" s="4" t="inlineStr">
        <is>
          <t>Uttar Pradesh</t>
        </is>
      </c>
      <c r="B3675" s="5" t="inlineStr">
        <is>
          <t>ICT</t>
        </is>
      </c>
      <c r="C3675" s="6" t="inlineStr">
        <is>
          <t>2026_MSME_1194976_2</t>
        </is>
      </c>
      <c r="D3675" s="7" t="inlineStr">
        <is>
          <t>[Work of supply/installation of open gym in Smt. Nirmala Singh Inter College Nevada M. Lehna of Development Block Hariyawan in Hardoi district.]</t>
        </is>
      </c>
      <c r="E3675" s="7" t="inlineStr">
        <is>
          <t>Uttar Pradesh Public Works &amp; Technology Department</t>
        </is>
      </c>
      <c r="F3675" s="6" t="inlineStr">
        <is>
          <t>08 Oct 2026</t>
        </is>
      </c>
      <c r="G3675" s="5" t="inlineStr">
        <is>
          <t>03 Nov 2026</t>
        </is>
      </c>
      <c r="H3675" s="17" t="inlineStr">
        <is>
          <t>🟢 LIVE ACTIVE</t>
        </is>
      </c>
      <c r="I3675" s="4" t="inlineStr">
        <is>
          <t>BOQ_2256531.xls</t>
        </is>
      </c>
      <c r="J3675" s="6" t="inlineStr">
        <is>
          <t>📊 Excel BOQ</t>
        </is>
      </c>
      <c r="K3675" s="9" t="n">
        <v>2.5</v>
      </c>
      <c r="L3675" s="10">
        <f>HYPERLINK("http://127.0.0.1:8000/api/documents/download?id=906&amp;attachment=true", "⬇ Download BOQ_2256531.xls")</f>
        <v/>
      </c>
      <c r="M3675" s="10">
        <f>HYPERLINK("http://localhost:5173/?state=Uttar%20Pradesh&amp;keyword=ICT&amp;tender=2026_MSME_1194976_2", "🚀 Open in Portal")</f>
        <v/>
      </c>
    </row>
    <row r="3676" ht="24" customHeight="1">
      <c r="A3676" s="11" t="inlineStr">
        <is>
          <t>Uttar Pradesh</t>
        </is>
      </c>
      <c r="B3676" s="12" t="inlineStr">
        <is>
          <t>ICT</t>
        </is>
      </c>
      <c r="C3676" s="13" t="inlineStr">
        <is>
          <t>2026_MSME_1194976_2</t>
        </is>
      </c>
      <c r="D3676" s="14" t="inlineStr">
        <is>
          <t>[Work of supply/installation of open gym in Smt. Nirmala Singh Inter College Nevada M. Lehna of Development Block Hariyawan in Hardoi district.]</t>
        </is>
      </c>
      <c r="E3676" s="14" t="inlineStr">
        <is>
          <t>Uttar Pradesh Public Works &amp; Technology Department</t>
        </is>
      </c>
      <c r="F3676" s="13" t="inlineStr">
        <is>
          <t>08 Oct 2026</t>
        </is>
      </c>
      <c r="G3676" s="12" t="inlineStr">
        <is>
          <t>03 Nov 2026</t>
        </is>
      </c>
      <c r="H3676" s="17" t="inlineStr">
        <is>
          <t>🟢 LIVE ACTIVE</t>
        </is>
      </c>
      <c r="I3676" s="11" t="inlineStr">
        <is>
          <t>Tender_2026_MSME_1194976_2_All_Documents.zip</t>
        </is>
      </c>
      <c r="J3676" s="13" t="inlineStr">
        <is>
          <t>📦 ZIP Package</t>
        </is>
      </c>
      <c r="K3676" s="15" t="n">
        <v>11.6</v>
      </c>
      <c r="L3676" s="16">
        <f>HYPERLINK("http://127.0.0.1:8000/api/documents/download?id=907&amp;attachment=true", "⬇ Download Tender_2026_MSME_1194976")</f>
        <v/>
      </c>
      <c r="M3676" s="16">
        <f>HYPERLINK("http://localhost:5173/?state=Uttar%20Pradesh&amp;keyword=ICT&amp;tender=2026_MSME_1194976_2", "🚀 Open in Portal")</f>
        <v/>
      </c>
    </row>
    <row r="3677" ht="24" customHeight="1">
      <c r="A3677" s="4" t="inlineStr">
        <is>
          <t>Uttar Pradesh</t>
        </is>
      </c>
      <c r="B3677" s="5" t="inlineStr">
        <is>
          <t>ICT</t>
        </is>
      </c>
      <c r="C3677" s="6" t="inlineStr">
        <is>
          <t>2026_MSME_1194976_3</t>
        </is>
      </c>
      <c r="D3677" s="7" t="inlineStr">
        <is>
          <t>[Work of supply/installation of open gym in Hariyawan Civilian School Jareli, Vikas Khand in Hardoi district.]</t>
        </is>
      </c>
      <c r="E3677" s="7" t="inlineStr">
        <is>
          <t>Uttar Pradesh Public Works &amp; Technology Department</t>
        </is>
      </c>
      <c r="F3677" s="6" t="inlineStr">
        <is>
          <t>16 Sep 2026</t>
        </is>
      </c>
      <c r="G3677" s="5" t="inlineStr">
        <is>
          <t>08 Oct 2026</t>
        </is>
      </c>
      <c r="H3677" s="8" t="inlineStr">
        <is>
          <t>⏳ UPCOMING</t>
        </is>
      </c>
      <c r="I3677" s="4" t="inlineStr">
        <is>
          <t>Tendernotice_1.pdf</t>
        </is>
      </c>
      <c r="J3677" s="6" t="inlineStr">
        <is>
          <t>📕 PDF Document</t>
        </is>
      </c>
      <c r="K3677" s="9" t="n">
        <v>17.9</v>
      </c>
      <c r="L3677" s="10">
        <f>HYPERLINK("http://127.0.0.1:8000/api/documents/download?id=886&amp;attachment=true", "⬇ Download Tendernotice_1.pdf")</f>
        <v/>
      </c>
      <c r="M3677" s="10">
        <f>HYPERLINK("http://localhost:5173/?state=Uttar%20Pradesh&amp;keyword=ICT&amp;tender=2026_MSME_1194976_3", "🚀 Open in Portal")</f>
        <v/>
      </c>
    </row>
    <row r="3678" ht="24" customHeight="1">
      <c r="A3678" s="11" t="inlineStr">
        <is>
          <t>Uttar Pradesh</t>
        </is>
      </c>
      <c r="B3678" s="12" t="inlineStr">
        <is>
          <t>ICT</t>
        </is>
      </c>
      <c r="C3678" s="13" t="inlineStr">
        <is>
          <t>2026_MSME_1194976_3</t>
        </is>
      </c>
      <c r="D3678" s="14" t="inlineStr">
        <is>
          <t>[Work of supply/installation of open gym in Hariyawan Civilian School Jareli, Vikas Khand in Hardoi district.]</t>
        </is>
      </c>
      <c r="E3678" s="14" t="inlineStr">
        <is>
          <t>Uttar Pradesh Public Works &amp; Technology Department</t>
        </is>
      </c>
      <c r="F3678" s="13" t="inlineStr">
        <is>
          <t>16 Sep 2026</t>
        </is>
      </c>
      <c r="G3678" s="12" t="inlineStr">
        <is>
          <t>08 Oct 2026</t>
        </is>
      </c>
      <c r="H3678" s="8" t="inlineStr">
        <is>
          <t>⏳ UPCOMING</t>
        </is>
      </c>
      <c r="I3678" s="11" t="inlineStr">
        <is>
          <t>BOQ_2256543.xls</t>
        </is>
      </c>
      <c r="J3678" s="13" t="inlineStr">
        <is>
          <t>📊 Excel BOQ</t>
        </is>
      </c>
      <c r="K3678" s="15" t="n">
        <v>2.5</v>
      </c>
      <c r="L3678" s="16">
        <f>HYPERLINK("http://127.0.0.1:8000/api/documents/download?id=887&amp;attachment=true", "⬇ Download BOQ_2256543.xls")</f>
        <v/>
      </c>
      <c r="M3678" s="16">
        <f>HYPERLINK("http://localhost:5173/?state=Uttar%20Pradesh&amp;keyword=ICT&amp;tender=2026_MSME_1194976_3", "🚀 Open in Portal")</f>
        <v/>
      </c>
    </row>
    <row r="3679" ht="24" customHeight="1">
      <c r="A3679" s="4" t="inlineStr">
        <is>
          <t>Uttar Pradesh</t>
        </is>
      </c>
      <c r="B3679" s="5" t="inlineStr">
        <is>
          <t>ICT</t>
        </is>
      </c>
      <c r="C3679" s="6" t="inlineStr">
        <is>
          <t>2026_MSME_1194976_3</t>
        </is>
      </c>
      <c r="D3679" s="7" t="inlineStr">
        <is>
          <t>[Work of supply/installation of open gym in Hariyawan Civilian School Jareli, Vikas Khand in Hardoi district.]</t>
        </is>
      </c>
      <c r="E3679" s="7" t="inlineStr">
        <is>
          <t>Uttar Pradesh Public Works &amp; Technology Department</t>
        </is>
      </c>
      <c r="F3679" s="6" t="inlineStr">
        <is>
          <t>16 Sep 2026</t>
        </is>
      </c>
      <c r="G3679" s="5" t="inlineStr">
        <is>
          <t>08 Oct 2026</t>
        </is>
      </c>
      <c r="H3679" s="8" t="inlineStr">
        <is>
          <t>⏳ UPCOMING</t>
        </is>
      </c>
      <c r="I3679" s="4" t="inlineStr">
        <is>
          <t>Tender_2026_MSME_1194976_3_All_Documents.zip</t>
        </is>
      </c>
      <c r="J3679" s="6" t="inlineStr">
        <is>
          <t>📦 ZIP Package</t>
        </is>
      </c>
      <c r="K3679" s="9" t="n">
        <v>11.6</v>
      </c>
      <c r="L3679" s="10">
        <f>HYPERLINK("http://127.0.0.1:8000/api/documents/download?id=888&amp;attachment=true", "⬇ Download Tender_2026_MSME_1194976")</f>
        <v/>
      </c>
      <c r="M3679" s="10">
        <f>HYPERLINK("http://localhost:5173/?state=Uttar%20Pradesh&amp;keyword=ICT&amp;tender=2026_MSME_1194976_3", "🚀 Open in Portal")</f>
        <v/>
      </c>
    </row>
    <row r="3680" ht="24" customHeight="1">
      <c r="A3680" s="11" t="inlineStr">
        <is>
          <t>Uttar Pradesh</t>
        </is>
      </c>
      <c r="B3680" s="12" t="inlineStr">
        <is>
          <t>ICT</t>
        </is>
      </c>
      <c r="C3680" s="13" t="inlineStr">
        <is>
          <t>2026_MSME_1194976_4</t>
        </is>
      </c>
      <c r="D3680" s="14" t="inlineStr">
        <is>
          <t>[Work of supply/installation of open gym in Primary School, Gram Panchayat Padri, Development Block Hariyawan in District Hardoi.]</t>
        </is>
      </c>
      <c r="E3680" s="14" t="inlineStr">
        <is>
          <t>Uttar Pradesh Public Works &amp; Technology Department</t>
        </is>
      </c>
      <c r="F3680" s="13" t="inlineStr">
        <is>
          <t>24 Jul 2026</t>
        </is>
      </c>
      <c r="G3680" s="12" t="inlineStr">
        <is>
          <t>14 Aug 2026</t>
        </is>
      </c>
      <c r="H3680" s="8" t="inlineStr">
        <is>
          <t>⏳ UPCOMING</t>
        </is>
      </c>
      <c r="I3680" s="11" t="inlineStr">
        <is>
          <t>Tendernotice_1.pdf</t>
        </is>
      </c>
      <c r="J3680" s="13" t="inlineStr">
        <is>
          <t>📕 PDF Document</t>
        </is>
      </c>
      <c r="K3680" s="15" t="n">
        <v>17.9</v>
      </c>
      <c r="L3680" s="16">
        <f>HYPERLINK("http://127.0.0.1:8000/api/documents/download?id=915&amp;attachment=true", "⬇ Download Tendernotice_1.pdf")</f>
        <v/>
      </c>
      <c r="M3680" s="16">
        <f>HYPERLINK("http://localhost:5173/?state=Uttar%20Pradesh&amp;keyword=ICT&amp;tender=2026_MSME_1194976_4", "🚀 Open in Portal")</f>
        <v/>
      </c>
    </row>
    <row r="3681" ht="24" customHeight="1">
      <c r="A3681" s="4" t="inlineStr">
        <is>
          <t>Uttar Pradesh</t>
        </is>
      </c>
      <c r="B3681" s="5" t="inlineStr">
        <is>
          <t>ICT</t>
        </is>
      </c>
      <c r="C3681" s="6" t="inlineStr">
        <is>
          <t>2026_MSME_1194976_4</t>
        </is>
      </c>
      <c r="D3681" s="7" t="inlineStr">
        <is>
          <t>[Work of supply/installation of open gym in Primary School, Gram Panchayat Padri, Development Block Hariyawan in District Hardoi.]</t>
        </is>
      </c>
      <c r="E3681" s="7" t="inlineStr">
        <is>
          <t>Uttar Pradesh Public Works &amp; Technology Department</t>
        </is>
      </c>
      <c r="F3681" s="6" t="inlineStr">
        <is>
          <t>24 Jul 2026</t>
        </is>
      </c>
      <c r="G3681" s="5" t="inlineStr">
        <is>
          <t>14 Aug 2026</t>
        </is>
      </c>
      <c r="H3681" s="8" t="inlineStr">
        <is>
          <t>⏳ UPCOMING</t>
        </is>
      </c>
      <c r="I3681" s="4" t="inlineStr">
        <is>
          <t>BOQ_2256549.xls</t>
        </is>
      </c>
      <c r="J3681" s="6" t="inlineStr">
        <is>
          <t>📊 Excel BOQ</t>
        </is>
      </c>
      <c r="K3681" s="9" t="n">
        <v>2.5</v>
      </c>
      <c r="L3681" s="10">
        <f>HYPERLINK("http://127.0.0.1:8000/api/documents/download?id=916&amp;attachment=true", "⬇ Download BOQ_2256549.xls")</f>
        <v/>
      </c>
      <c r="M3681" s="10">
        <f>HYPERLINK("http://localhost:5173/?state=Uttar%20Pradesh&amp;keyword=ICT&amp;tender=2026_MSME_1194976_4", "🚀 Open in Portal")</f>
        <v/>
      </c>
    </row>
    <row r="3682" ht="24" customHeight="1">
      <c r="A3682" s="11" t="inlineStr">
        <is>
          <t>Uttar Pradesh</t>
        </is>
      </c>
      <c r="B3682" s="12" t="inlineStr">
        <is>
          <t>ICT</t>
        </is>
      </c>
      <c r="C3682" s="13" t="inlineStr">
        <is>
          <t>2026_MSME_1194976_4</t>
        </is>
      </c>
      <c r="D3682" s="14" t="inlineStr">
        <is>
          <t>[Work of supply/installation of open gym in Primary School, Gram Panchayat Padri, Development Block Hariyawan in District Hardoi.]</t>
        </is>
      </c>
      <c r="E3682" s="14" t="inlineStr">
        <is>
          <t>Uttar Pradesh Public Works &amp; Technology Department</t>
        </is>
      </c>
      <c r="F3682" s="13" t="inlineStr">
        <is>
          <t>24 Jul 2026</t>
        </is>
      </c>
      <c r="G3682" s="12" t="inlineStr">
        <is>
          <t>14 Aug 2026</t>
        </is>
      </c>
      <c r="H3682" s="8" t="inlineStr">
        <is>
          <t>⏳ UPCOMING</t>
        </is>
      </c>
      <c r="I3682" s="11" t="inlineStr">
        <is>
          <t>Tender_2026_MSME_1194976_4_All_Documents.zip</t>
        </is>
      </c>
      <c r="J3682" s="13" t="inlineStr">
        <is>
          <t>📦 ZIP Package</t>
        </is>
      </c>
      <c r="K3682" s="15" t="n">
        <v>11.6</v>
      </c>
      <c r="L3682" s="16">
        <f>HYPERLINK("http://127.0.0.1:8000/api/documents/download?id=917&amp;attachment=true", "⬇ Download Tender_2026_MSME_1194976")</f>
        <v/>
      </c>
      <c r="M3682" s="16">
        <f>HYPERLINK("http://localhost:5173/?state=Uttar%20Pradesh&amp;keyword=ICT&amp;tender=2026_MSME_1194976_4", "🚀 Open in Portal")</f>
        <v/>
      </c>
    </row>
    <row r="3683" ht="24" customHeight="1">
      <c r="A3683" s="4" t="inlineStr">
        <is>
          <t>Uttar Pradesh</t>
        </is>
      </c>
      <c r="B3683" s="5" t="inlineStr">
        <is>
          <t>ICT</t>
        </is>
      </c>
      <c r="C3683" s="6" t="inlineStr">
        <is>
          <t>2026_MSME_1194976_5</t>
        </is>
      </c>
      <c r="D3683" s="7" t="inlineStr">
        <is>
          <t>[Supply/installation of open gym in Gram Panchayat Muradpur in plot number-172 near RRC center of development block Hariyawan in Hardoi district.]</t>
        </is>
      </c>
      <c r="E3683" s="7" t="inlineStr">
        <is>
          <t>Uttar Pradesh Public Works &amp; Technology Department</t>
        </is>
      </c>
      <c r="F3683" s="6" t="inlineStr">
        <is>
          <t>29 Jul 2026</t>
        </is>
      </c>
      <c r="G3683" s="5" t="inlineStr">
        <is>
          <t>24 Aug 2026</t>
        </is>
      </c>
      <c r="H3683" s="8" t="inlineStr">
        <is>
          <t>⏳ UPCOMING</t>
        </is>
      </c>
      <c r="I3683" s="4" t="inlineStr">
        <is>
          <t>Tendernotice_1.pdf</t>
        </is>
      </c>
      <c r="J3683" s="6" t="inlineStr">
        <is>
          <t>📕 PDF Document</t>
        </is>
      </c>
      <c r="K3683" s="9" t="n">
        <v>17.9</v>
      </c>
      <c r="L3683" s="10">
        <f>HYPERLINK("http://127.0.0.1:8000/api/documents/download?id=918&amp;attachment=true", "⬇ Download Tendernotice_1.pdf")</f>
        <v/>
      </c>
      <c r="M3683" s="10">
        <f>HYPERLINK("http://localhost:5173/?state=Uttar%20Pradesh&amp;keyword=ICT&amp;tender=2026_MSME_1194976_5", "🚀 Open in Portal")</f>
        <v/>
      </c>
    </row>
    <row r="3684" ht="24" customHeight="1">
      <c r="A3684" s="11" t="inlineStr">
        <is>
          <t>Uttar Pradesh</t>
        </is>
      </c>
      <c r="B3684" s="12" t="inlineStr">
        <is>
          <t>ICT</t>
        </is>
      </c>
      <c r="C3684" s="13" t="inlineStr">
        <is>
          <t>2026_MSME_1194976_5</t>
        </is>
      </c>
      <c r="D3684" s="14" t="inlineStr">
        <is>
          <t>[Supply/installation of open gym in Gram Panchayat Muradpur in plot number-172 near RRC center of development block Hariyawan in Hardoi district.]</t>
        </is>
      </c>
      <c r="E3684" s="14" t="inlineStr">
        <is>
          <t>Uttar Pradesh Public Works &amp; Technology Department</t>
        </is>
      </c>
      <c r="F3684" s="13" t="inlineStr">
        <is>
          <t>29 Jul 2026</t>
        </is>
      </c>
      <c r="G3684" s="12" t="inlineStr">
        <is>
          <t>24 Aug 2026</t>
        </is>
      </c>
      <c r="H3684" s="8" t="inlineStr">
        <is>
          <t>⏳ UPCOMING</t>
        </is>
      </c>
      <c r="I3684" s="11" t="inlineStr">
        <is>
          <t>BOQ_2256559.xls</t>
        </is>
      </c>
      <c r="J3684" s="13" t="inlineStr">
        <is>
          <t>📊 Excel BOQ</t>
        </is>
      </c>
      <c r="K3684" s="15" t="n">
        <v>2.5</v>
      </c>
      <c r="L3684" s="16">
        <f>HYPERLINK("http://127.0.0.1:8000/api/documents/download?id=919&amp;attachment=true", "⬇ Download BOQ_2256559.xls")</f>
        <v/>
      </c>
      <c r="M3684" s="16">
        <f>HYPERLINK("http://localhost:5173/?state=Uttar%20Pradesh&amp;keyword=ICT&amp;tender=2026_MSME_1194976_5", "🚀 Open in Portal")</f>
        <v/>
      </c>
    </row>
    <row r="3685" ht="24" customHeight="1">
      <c r="A3685" s="4" t="inlineStr">
        <is>
          <t>Uttar Pradesh</t>
        </is>
      </c>
      <c r="B3685" s="5" t="inlineStr">
        <is>
          <t>ICT</t>
        </is>
      </c>
      <c r="C3685" s="6" t="inlineStr">
        <is>
          <t>2026_MSME_1194976_5</t>
        </is>
      </c>
      <c r="D3685" s="7" t="inlineStr">
        <is>
          <t>[Supply/installation of open gym in Gram Panchayat Muradpur in plot number-172 near RRC center of development block Hariyawan in Hardoi district.]</t>
        </is>
      </c>
      <c r="E3685" s="7" t="inlineStr">
        <is>
          <t>Uttar Pradesh Public Works &amp; Technology Department</t>
        </is>
      </c>
      <c r="F3685" s="6" t="inlineStr">
        <is>
          <t>29 Jul 2026</t>
        </is>
      </c>
      <c r="G3685" s="5" t="inlineStr">
        <is>
          <t>24 Aug 2026</t>
        </is>
      </c>
      <c r="H3685" s="8" t="inlineStr">
        <is>
          <t>⏳ UPCOMING</t>
        </is>
      </c>
      <c r="I3685" s="4" t="inlineStr">
        <is>
          <t>Tender_2026_MSME_1194976_5_All_Documents.zip</t>
        </is>
      </c>
      <c r="J3685" s="6" t="inlineStr">
        <is>
          <t>📦 ZIP Package</t>
        </is>
      </c>
      <c r="K3685" s="9" t="n">
        <v>11.6</v>
      </c>
      <c r="L3685" s="10">
        <f>HYPERLINK("http://127.0.0.1:8000/api/documents/download?id=920&amp;attachment=true", "⬇ Download Tender_2026_MSME_1194976")</f>
        <v/>
      </c>
      <c r="M3685" s="10">
        <f>HYPERLINK("http://localhost:5173/?state=Uttar%20Pradesh&amp;keyword=ICT&amp;tender=2026_MSME_1194976_5", "🚀 Open in Portal")</f>
        <v/>
      </c>
    </row>
    <row r="3686" ht="24" customHeight="1">
      <c r="A3686" s="11" t="inlineStr">
        <is>
          <t>Uttar Pradesh</t>
        </is>
      </c>
      <c r="B3686" s="12" t="inlineStr">
        <is>
          <t>ICT</t>
        </is>
      </c>
      <c r="C3686" s="13" t="inlineStr">
        <is>
          <t>2026_MSME_1194976_6</t>
        </is>
      </c>
      <c r="D3686" s="14" t="inlineStr">
        <is>
          <t>[Supply/installation of open gym in Shri Shyam Saraswati Montessori School, Gram Panchayat Bhadaura, Development Block Hariyawan, District Hardoi]</t>
        </is>
      </c>
      <c r="E3686" s="14" t="inlineStr">
        <is>
          <t>Uttar Pradesh Public Works &amp; Technology Department</t>
        </is>
      </c>
      <c r="F3686" s="13" t="inlineStr">
        <is>
          <t>23 Oct 2026</t>
        </is>
      </c>
      <c r="G3686" s="12" t="inlineStr">
        <is>
          <t>13 Nov 2026</t>
        </is>
      </c>
      <c r="H3686" s="8" t="inlineStr">
        <is>
          <t>⏳ UPCOMING</t>
        </is>
      </c>
      <c r="I3686" s="11" t="inlineStr">
        <is>
          <t>Tendernotice_1.pdf</t>
        </is>
      </c>
      <c r="J3686" s="13" t="inlineStr">
        <is>
          <t>📕 PDF Document</t>
        </is>
      </c>
      <c r="K3686" s="15" t="n">
        <v>17.9</v>
      </c>
      <c r="L3686" s="16">
        <f>HYPERLINK("http://127.0.0.1:8000/api/documents/download?id=893&amp;attachment=true", "⬇ Download Tendernotice_1.pdf")</f>
        <v/>
      </c>
      <c r="M3686" s="16">
        <f>HYPERLINK("http://localhost:5173/?state=Uttar%20Pradesh&amp;keyword=ICT&amp;tender=2026_MSME_1194976_6", "🚀 Open in Portal")</f>
        <v/>
      </c>
    </row>
    <row r="3687" ht="24" customHeight="1">
      <c r="A3687" s="4" t="inlineStr">
        <is>
          <t>Uttar Pradesh</t>
        </is>
      </c>
      <c r="B3687" s="5" t="inlineStr">
        <is>
          <t>ICT</t>
        </is>
      </c>
      <c r="C3687" s="6" t="inlineStr">
        <is>
          <t>2026_MSME_1194976_6</t>
        </is>
      </c>
      <c r="D3687" s="7" t="inlineStr">
        <is>
          <t>[Supply/installation of open gym in Shri Shyam Saraswati Montessori School, Gram Panchayat Bhadaura, Development Block Hariyawan, District Hardoi]</t>
        </is>
      </c>
      <c r="E3687" s="7" t="inlineStr">
        <is>
          <t>Uttar Pradesh Public Works &amp; Technology Department</t>
        </is>
      </c>
      <c r="F3687" s="6" t="inlineStr">
        <is>
          <t>23 Oct 2026</t>
        </is>
      </c>
      <c r="G3687" s="5" t="inlineStr">
        <is>
          <t>13 Nov 2026</t>
        </is>
      </c>
      <c r="H3687" s="8" t="inlineStr">
        <is>
          <t>⏳ UPCOMING</t>
        </is>
      </c>
      <c r="I3687" s="4" t="inlineStr">
        <is>
          <t>BOQ_2256566.xls</t>
        </is>
      </c>
      <c r="J3687" s="6" t="inlineStr">
        <is>
          <t>📊 Excel BOQ</t>
        </is>
      </c>
      <c r="K3687" s="9" t="n">
        <v>2.5</v>
      </c>
      <c r="L3687" s="10">
        <f>HYPERLINK("http://127.0.0.1:8000/api/documents/download?id=894&amp;attachment=true", "⬇ Download BOQ_2256566.xls")</f>
        <v/>
      </c>
      <c r="M3687" s="10">
        <f>HYPERLINK("http://localhost:5173/?state=Uttar%20Pradesh&amp;keyword=ICT&amp;tender=2026_MSME_1194976_6", "🚀 Open in Portal")</f>
        <v/>
      </c>
    </row>
    <row r="3688" ht="24" customHeight="1">
      <c r="A3688" s="11" t="inlineStr">
        <is>
          <t>Uttar Pradesh</t>
        </is>
      </c>
      <c r="B3688" s="12" t="inlineStr">
        <is>
          <t>ICT</t>
        </is>
      </c>
      <c r="C3688" s="13" t="inlineStr">
        <is>
          <t>2026_MSME_1194976_6</t>
        </is>
      </c>
      <c r="D3688" s="14" t="inlineStr">
        <is>
          <t>[Supply/installation of open gym in Shri Shyam Saraswati Montessori School, Gram Panchayat Bhadaura, Development Block Hariyawan, District Hardoi]</t>
        </is>
      </c>
      <c r="E3688" s="14" t="inlineStr">
        <is>
          <t>Uttar Pradesh Public Works &amp; Technology Department</t>
        </is>
      </c>
      <c r="F3688" s="13" t="inlineStr">
        <is>
          <t>23 Oct 2026</t>
        </is>
      </c>
      <c r="G3688" s="12" t="inlineStr">
        <is>
          <t>13 Nov 2026</t>
        </is>
      </c>
      <c r="H3688" s="8" t="inlineStr">
        <is>
          <t>⏳ UPCOMING</t>
        </is>
      </c>
      <c r="I3688" s="11" t="inlineStr">
        <is>
          <t>Tender_2026_MSME_1194976_6_All_Documents.zip</t>
        </is>
      </c>
      <c r="J3688" s="13" t="inlineStr">
        <is>
          <t>📦 ZIP Package</t>
        </is>
      </c>
      <c r="K3688" s="15" t="n">
        <v>11.6</v>
      </c>
      <c r="L3688" s="16">
        <f>HYPERLINK("http://127.0.0.1:8000/api/documents/download?id=895&amp;attachment=true", "⬇ Download Tender_2026_MSME_1194976")</f>
        <v/>
      </c>
      <c r="M3688" s="16">
        <f>HYPERLINK("http://localhost:5173/?state=Uttar%20Pradesh&amp;keyword=ICT&amp;tender=2026_MSME_1194976_6", "🚀 Open in Portal")</f>
        <v/>
      </c>
    </row>
    <row r="3689" ht="24" customHeight="1">
      <c r="A3689" s="4" t="inlineStr">
        <is>
          <t>Uttar Pradesh</t>
        </is>
      </c>
      <c r="B3689" s="5" t="inlineStr">
        <is>
          <t>ICT</t>
        </is>
      </c>
      <c r="C3689" s="6" t="inlineStr">
        <is>
          <t>2026_REDUP_1194995_1</t>
        </is>
      </c>
      <c r="D3689" s="7" t="inlineStr">
        <is>
          <t>[Under District Ayodhya, Construction of interlocking road from Pandey Ka Purwa Vishunbaba road to primary school in village Khapradih, Lot No 1]</t>
        </is>
      </c>
      <c r="E3689" s="7" t="inlineStr">
        <is>
          <t>Uttar Pradesh Public Works &amp; Technology Department</t>
        </is>
      </c>
      <c r="F3689" s="6" t="inlineStr">
        <is>
          <t>07 Oct 2026</t>
        </is>
      </c>
      <c r="G3689" s="5" t="inlineStr">
        <is>
          <t>27 Oct 2026</t>
        </is>
      </c>
      <c r="H3689" s="17" t="inlineStr">
        <is>
          <t>🟢 LIVE ACTIVE</t>
        </is>
      </c>
      <c r="I3689" s="4" t="inlineStr">
        <is>
          <t>Tendernotice_1.pdf</t>
        </is>
      </c>
      <c r="J3689" s="6" t="inlineStr">
        <is>
          <t>📕 PDF Document</t>
        </is>
      </c>
      <c r="K3689" s="9" t="n">
        <v>17.9</v>
      </c>
      <c r="L3689" s="10">
        <f>HYPERLINK("http://127.0.0.1:8000/api/documents/download?id=860&amp;attachment=true", "⬇ Download Tendernotice_1.pdf")</f>
        <v/>
      </c>
      <c r="M3689" s="10">
        <f>HYPERLINK("http://localhost:5173/?state=Uttar%20Pradesh&amp;keyword=ICT&amp;tender=2026_REDUP_1194995_1", "🚀 Open in Portal")</f>
        <v/>
      </c>
    </row>
    <row r="3690" ht="24" customHeight="1">
      <c r="A3690" s="11" t="inlineStr">
        <is>
          <t>Uttar Pradesh</t>
        </is>
      </c>
      <c r="B3690" s="12" t="inlineStr">
        <is>
          <t>ICT</t>
        </is>
      </c>
      <c r="C3690" s="13" t="inlineStr">
        <is>
          <t>2026_REDUP_1194995_1</t>
        </is>
      </c>
      <c r="D3690" s="14" t="inlineStr">
        <is>
          <t>[Under District Ayodhya, Construction of interlocking road from Pandey Ka Purwa Vishunbaba road to primary school in village Khapradih, Lot No 1]</t>
        </is>
      </c>
      <c r="E3690" s="14" t="inlineStr">
        <is>
          <t>Uttar Pradesh Public Works &amp; Technology Department</t>
        </is>
      </c>
      <c r="F3690" s="13" t="inlineStr">
        <is>
          <t>07 Oct 2026</t>
        </is>
      </c>
      <c r="G3690" s="12" t="inlineStr">
        <is>
          <t>27 Oct 2026</t>
        </is>
      </c>
      <c r="H3690" s="17" t="inlineStr">
        <is>
          <t>🟢 LIVE ACTIVE</t>
        </is>
      </c>
      <c r="I3690" s="11" t="inlineStr">
        <is>
          <t>BOQ_2256613.xls</t>
        </is>
      </c>
      <c r="J3690" s="13" t="inlineStr">
        <is>
          <t>📊 Excel BOQ</t>
        </is>
      </c>
      <c r="K3690" s="15" t="n">
        <v>2.5</v>
      </c>
      <c r="L3690" s="16">
        <f>HYPERLINK("http://127.0.0.1:8000/api/documents/download?id=861&amp;attachment=true", "⬇ Download BOQ_2256613.xls")</f>
        <v/>
      </c>
      <c r="M3690" s="16">
        <f>HYPERLINK("http://localhost:5173/?state=Uttar%20Pradesh&amp;keyword=ICT&amp;tender=2026_REDUP_1194995_1", "🚀 Open in Portal")</f>
        <v/>
      </c>
    </row>
    <row r="3691" ht="24" customHeight="1">
      <c r="A3691" s="4" t="inlineStr">
        <is>
          <t>Uttar Pradesh</t>
        </is>
      </c>
      <c r="B3691" s="5" t="inlineStr">
        <is>
          <t>ICT</t>
        </is>
      </c>
      <c r="C3691" s="6" t="inlineStr">
        <is>
          <t>2026_REDUP_1194995_1</t>
        </is>
      </c>
      <c r="D3691" s="7" t="inlineStr">
        <is>
          <t>[Under District Ayodhya, Construction of interlocking road from Pandey Ka Purwa Vishunbaba road to primary school in village Khapradih, Lot No 1]</t>
        </is>
      </c>
      <c r="E3691" s="7" t="inlineStr">
        <is>
          <t>Uttar Pradesh Public Works &amp; Technology Department</t>
        </is>
      </c>
      <c r="F3691" s="6" t="inlineStr">
        <is>
          <t>07 Oct 2026</t>
        </is>
      </c>
      <c r="G3691" s="5" t="inlineStr">
        <is>
          <t>27 Oct 2026</t>
        </is>
      </c>
      <c r="H3691" s="17" t="inlineStr">
        <is>
          <t>🟢 LIVE ACTIVE</t>
        </is>
      </c>
      <c r="I3691" s="4" t="inlineStr">
        <is>
          <t>Tender_2026_REDUP_1194995_1_All_Documents.zip</t>
        </is>
      </c>
      <c r="J3691" s="6" t="inlineStr">
        <is>
          <t>📦 ZIP Package</t>
        </is>
      </c>
      <c r="K3691" s="9" t="n">
        <v>11.6</v>
      </c>
      <c r="L3691" s="10">
        <f>HYPERLINK("http://127.0.0.1:8000/api/documents/download?id=862&amp;attachment=true", "⬇ Download Tender_2026_REDUP_119499")</f>
        <v/>
      </c>
      <c r="M3691" s="10">
        <f>HYPERLINK("http://localhost:5173/?state=Uttar%20Pradesh&amp;keyword=ICT&amp;tender=2026_REDUP_1194995_1", "🚀 Open in Portal")</f>
        <v/>
      </c>
    </row>
    <row r="3692" ht="24" customHeight="1">
      <c r="A3692" s="11" t="inlineStr">
        <is>
          <t>Uttar Pradesh</t>
        </is>
      </c>
      <c r="B3692" s="12" t="inlineStr">
        <is>
          <t>ICT</t>
        </is>
      </c>
      <c r="C3692" s="13" t="inlineStr">
        <is>
          <t>2026_REDUP_1194995_2</t>
        </is>
      </c>
      <c r="D3692" s="14" t="inlineStr">
        <is>
          <t>[Under District Ayodhya, Construction of CC road from Bachchan Pasi house to Kapil Gaud cowshed on Ahirauli Saloni link road from Kuchera Shahganj road, Lot No 2]</t>
        </is>
      </c>
      <c r="E3692" s="14" t="inlineStr">
        <is>
          <t>Uttar Pradesh Public Works &amp; Technology Department</t>
        </is>
      </c>
      <c r="F3692" s="13" t="inlineStr">
        <is>
          <t>02 Aug 2026</t>
        </is>
      </c>
      <c r="G3692" s="12" t="inlineStr">
        <is>
          <t>28 Aug 2026</t>
        </is>
      </c>
      <c r="H3692" s="8" t="inlineStr">
        <is>
          <t>⏳ UPCOMING</t>
        </is>
      </c>
      <c r="I3692" s="11" t="inlineStr">
        <is>
          <t>Tendernotice_1.pdf</t>
        </is>
      </c>
      <c r="J3692" s="13" t="inlineStr">
        <is>
          <t>📕 PDF Document</t>
        </is>
      </c>
      <c r="K3692" s="15" t="n">
        <v>17.9</v>
      </c>
      <c r="L3692" s="16">
        <f>HYPERLINK("http://127.0.0.1:8000/api/documents/download?id=866&amp;attachment=true", "⬇ Download Tendernotice_1.pdf")</f>
        <v/>
      </c>
      <c r="M3692" s="16">
        <f>HYPERLINK("http://localhost:5173/?state=Uttar%20Pradesh&amp;keyword=ICT&amp;tender=2026_REDUP_1194995_2", "🚀 Open in Portal")</f>
        <v/>
      </c>
    </row>
    <row r="3693" ht="24" customHeight="1">
      <c r="A3693" s="4" t="inlineStr">
        <is>
          <t>Uttar Pradesh</t>
        </is>
      </c>
      <c r="B3693" s="5" t="inlineStr">
        <is>
          <t>ICT</t>
        </is>
      </c>
      <c r="C3693" s="6" t="inlineStr">
        <is>
          <t>2026_REDUP_1194995_2</t>
        </is>
      </c>
      <c r="D3693" s="7" t="inlineStr">
        <is>
          <t>[Under District Ayodhya, Construction of CC road from Bachchan Pasi house to Kapil Gaud cowshed on Ahirauli Saloni link road from Kuchera Shahganj road, Lot No 2]</t>
        </is>
      </c>
      <c r="E3693" s="7" t="inlineStr">
        <is>
          <t>Uttar Pradesh Public Works &amp; Technology Department</t>
        </is>
      </c>
      <c r="F3693" s="6" t="inlineStr">
        <is>
          <t>02 Aug 2026</t>
        </is>
      </c>
      <c r="G3693" s="5" t="inlineStr">
        <is>
          <t>28 Aug 2026</t>
        </is>
      </c>
      <c r="H3693" s="8" t="inlineStr">
        <is>
          <t>⏳ UPCOMING</t>
        </is>
      </c>
      <c r="I3693" s="4" t="inlineStr">
        <is>
          <t>BOQ_2256621.xls</t>
        </is>
      </c>
      <c r="J3693" s="6" t="inlineStr">
        <is>
          <t>📊 Excel BOQ</t>
        </is>
      </c>
      <c r="K3693" s="9" t="n">
        <v>2.5</v>
      </c>
      <c r="L3693" s="10">
        <f>HYPERLINK("http://127.0.0.1:8000/api/documents/download?id=867&amp;attachment=true", "⬇ Download BOQ_2256621.xls")</f>
        <v/>
      </c>
      <c r="M3693" s="10">
        <f>HYPERLINK("http://localhost:5173/?state=Uttar%20Pradesh&amp;keyword=ICT&amp;tender=2026_REDUP_1194995_2", "🚀 Open in Portal")</f>
        <v/>
      </c>
    </row>
    <row r="3694" ht="24" customHeight="1">
      <c r="A3694" s="11" t="inlineStr">
        <is>
          <t>Uttar Pradesh</t>
        </is>
      </c>
      <c r="B3694" s="12" t="inlineStr">
        <is>
          <t>ICT</t>
        </is>
      </c>
      <c r="C3694" s="13" t="inlineStr">
        <is>
          <t>2026_REDUP_1194995_2</t>
        </is>
      </c>
      <c r="D3694" s="14" t="inlineStr">
        <is>
          <t>[Under District Ayodhya, Construction of CC road from Bachchan Pasi house to Kapil Gaud cowshed on Ahirauli Saloni link road from Kuchera Shahganj road, Lot No 2]</t>
        </is>
      </c>
      <c r="E3694" s="14" t="inlineStr">
        <is>
          <t>Uttar Pradesh Public Works &amp; Technology Department</t>
        </is>
      </c>
      <c r="F3694" s="13" t="inlineStr">
        <is>
          <t>02 Aug 2026</t>
        </is>
      </c>
      <c r="G3694" s="12" t="inlineStr">
        <is>
          <t>28 Aug 2026</t>
        </is>
      </c>
      <c r="H3694" s="8" t="inlineStr">
        <is>
          <t>⏳ UPCOMING</t>
        </is>
      </c>
      <c r="I3694" s="11" t="inlineStr">
        <is>
          <t>Tender_2026_REDUP_1194995_2_All_Documents.zip</t>
        </is>
      </c>
      <c r="J3694" s="13" t="inlineStr">
        <is>
          <t>📦 ZIP Package</t>
        </is>
      </c>
      <c r="K3694" s="15" t="n">
        <v>11.7</v>
      </c>
      <c r="L3694" s="16">
        <f>HYPERLINK("http://127.0.0.1:8000/api/documents/download?id=868&amp;attachment=true", "⬇ Download Tender_2026_REDUP_119499")</f>
        <v/>
      </c>
      <c r="M3694" s="16">
        <f>HYPERLINK("http://localhost:5173/?state=Uttar%20Pradesh&amp;keyword=ICT&amp;tender=2026_REDUP_1194995_2", "🚀 Open in Portal")</f>
        <v/>
      </c>
    </row>
    <row r="3695" ht="24" customHeight="1">
      <c r="A3695" s="4" t="inlineStr">
        <is>
          <t>Uttar Pradesh</t>
        </is>
      </c>
      <c r="B3695" s="5" t="inlineStr">
        <is>
          <t>ICT</t>
        </is>
      </c>
      <c r="C3695" s="6" t="inlineStr">
        <is>
          <t>2026_REDUP_1194995_3</t>
        </is>
      </c>
      <c r="D3695" s="7" t="inlineStr">
        <is>
          <t>[Under District Ayodhya, Construction of Interlocking Road from Bhiti Haiderganj Road to Village Kunwarpur Road, Lot No 3]</t>
        </is>
      </c>
      <c r="E3695" s="7" t="inlineStr">
        <is>
          <t>Uttar Pradesh Public Works &amp; Technology Department</t>
        </is>
      </c>
      <c r="F3695" s="6" t="inlineStr">
        <is>
          <t>21 Jul 2026</t>
        </is>
      </c>
      <c r="G3695" s="5" t="inlineStr">
        <is>
          <t>12 Aug 2026</t>
        </is>
      </c>
      <c r="H3695" s="8" t="inlineStr">
        <is>
          <t>⏳ UPCOMING</t>
        </is>
      </c>
      <c r="I3695" s="4" t="inlineStr">
        <is>
          <t>Tendernotice_1.pdf</t>
        </is>
      </c>
      <c r="J3695" s="6" t="inlineStr">
        <is>
          <t>📕 PDF Document</t>
        </is>
      </c>
      <c r="K3695" s="9" t="n">
        <v>17.9</v>
      </c>
      <c r="L3695" s="10">
        <f>HYPERLINK("http://127.0.0.1:8000/api/documents/download?id=863&amp;attachment=true", "⬇ Download Tendernotice_1.pdf")</f>
        <v/>
      </c>
      <c r="M3695" s="10">
        <f>HYPERLINK("http://localhost:5173/?state=Uttar%20Pradesh&amp;keyword=ICT&amp;tender=2026_REDUP_1194995_3", "🚀 Open in Portal")</f>
        <v/>
      </c>
    </row>
    <row r="3696" ht="24" customHeight="1">
      <c r="A3696" s="11" t="inlineStr">
        <is>
          <t>Uttar Pradesh</t>
        </is>
      </c>
      <c r="B3696" s="12" t="inlineStr">
        <is>
          <t>ICT</t>
        </is>
      </c>
      <c r="C3696" s="13" t="inlineStr">
        <is>
          <t>2026_REDUP_1194995_3</t>
        </is>
      </c>
      <c r="D3696" s="14" t="inlineStr">
        <is>
          <t>[Under District Ayodhya, Construction of Interlocking Road from Bhiti Haiderganj Road to Village Kunwarpur Road, Lot No 3]</t>
        </is>
      </c>
      <c r="E3696" s="14" t="inlineStr">
        <is>
          <t>Uttar Pradesh Public Works &amp; Technology Department</t>
        </is>
      </c>
      <c r="F3696" s="13" t="inlineStr">
        <is>
          <t>21 Jul 2026</t>
        </is>
      </c>
      <c r="G3696" s="12" t="inlineStr">
        <is>
          <t>12 Aug 2026</t>
        </is>
      </c>
      <c r="H3696" s="8" t="inlineStr">
        <is>
          <t>⏳ UPCOMING</t>
        </is>
      </c>
      <c r="I3696" s="11" t="inlineStr">
        <is>
          <t>BOQ_2256627.xls</t>
        </is>
      </c>
      <c r="J3696" s="13" t="inlineStr">
        <is>
          <t>📊 Excel BOQ</t>
        </is>
      </c>
      <c r="K3696" s="15" t="n">
        <v>2.5</v>
      </c>
      <c r="L3696" s="16">
        <f>HYPERLINK("http://127.0.0.1:8000/api/documents/download?id=864&amp;attachment=true", "⬇ Download BOQ_2256627.xls")</f>
        <v/>
      </c>
      <c r="M3696" s="16">
        <f>HYPERLINK("http://localhost:5173/?state=Uttar%20Pradesh&amp;keyword=ICT&amp;tender=2026_REDUP_1194995_3", "🚀 Open in Portal")</f>
        <v/>
      </c>
    </row>
    <row r="3697" ht="24" customHeight="1">
      <c r="A3697" s="4" t="inlineStr">
        <is>
          <t>Uttar Pradesh</t>
        </is>
      </c>
      <c r="B3697" s="5" t="inlineStr">
        <is>
          <t>ICT</t>
        </is>
      </c>
      <c r="C3697" s="6" t="inlineStr">
        <is>
          <t>2026_REDUP_1194995_3</t>
        </is>
      </c>
      <c r="D3697" s="7" t="inlineStr">
        <is>
          <t>[Under District Ayodhya, Construction of Interlocking Road from Bhiti Haiderganj Road to Village Kunwarpur Road, Lot No 3]</t>
        </is>
      </c>
      <c r="E3697" s="7" t="inlineStr">
        <is>
          <t>Uttar Pradesh Public Works &amp; Technology Department</t>
        </is>
      </c>
      <c r="F3697" s="6" t="inlineStr">
        <is>
          <t>21 Jul 2026</t>
        </is>
      </c>
      <c r="G3697" s="5" t="inlineStr">
        <is>
          <t>12 Aug 2026</t>
        </is>
      </c>
      <c r="H3697" s="8" t="inlineStr">
        <is>
          <t>⏳ UPCOMING</t>
        </is>
      </c>
      <c r="I3697" s="4" t="inlineStr">
        <is>
          <t>Tender_2026_REDUP_1194995_3_All_Documents.zip</t>
        </is>
      </c>
      <c r="J3697" s="6" t="inlineStr">
        <is>
          <t>📦 ZIP Package</t>
        </is>
      </c>
      <c r="K3697" s="9" t="n">
        <v>11.6</v>
      </c>
      <c r="L3697" s="10">
        <f>HYPERLINK("http://127.0.0.1:8000/api/documents/download?id=865&amp;attachment=true", "⬇ Download Tender_2026_REDUP_119499")</f>
        <v/>
      </c>
      <c r="M3697" s="10">
        <f>HYPERLINK("http://localhost:5173/?state=Uttar%20Pradesh&amp;keyword=ICT&amp;tender=2026_REDUP_1194995_3", "🚀 Open in Portal")</f>
        <v/>
      </c>
    </row>
    <row r="3698" ht="24" customHeight="1">
      <c r="A3698" s="11" t="inlineStr">
        <is>
          <t>Uttar Pradesh</t>
        </is>
      </c>
      <c r="B3698" s="12" t="inlineStr">
        <is>
          <t>ICT</t>
        </is>
      </c>
      <c r="C3698" s="13" t="inlineStr">
        <is>
          <t>2026_REDUP_1194995_4</t>
        </is>
      </c>
      <c r="D3698" s="14" t="inlineStr">
        <is>
          <t>[Under District Ayodhya, Construction of road from Bhelsar-Rudauli-Inhauna road to Shri Suryabaksh Singh Mahavidyalaya via ancient Rechheshwar Mahadev temple, Lot No 4]</t>
        </is>
      </c>
      <c r="E3698" s="14" t="inlineStr">
        <is>
          <t>Uttar Pradesh Public Works &amp; Technology Department</t>
        </is>
      </c>
      <c r="F3698" s="13" t="inlineStr">
        <is>
          <t>23 Sep 2026</t>
        </is>
      </c>
      <c r="G3698" s="12" t="inlineStr">
        <is>
          <t>15 Oct 2026</t>
        </is>
      </c>
      <c r="H3698" s="8" t="inlineStr">
        <is>
          <t>⏳ UPCOMING</t>
        </is>
      </c>
      <c r="I3698" s="11" t="inlineStr">
        <is>
          <t>Tendernotice_1.pdf</t>
        </is>
      </c>
      <c r="J3698" s="13" t="inlineStr">
        <is>
          <t>📕 PDF Document</t>
        </is>
      </c>
      <c r="K3698" s="15" t="n">
        <v>17.9</v>
      </c>
      <c r="L3698" s="16">
        <f>HYPERLINK("http://127.0.0.1:8000/api/documents/download?id=857&amp;attachment=true", "⬇ Download Tendernotice_1.pdf")</f>
        <v/>
      </c>
      <c r="M3698" s="16">
        <f>HYPERLINK("http://localhost:5173/?state=Uttar%20Pradesh&amp;keyword=ICT&amp;tender=2026_REDUP_1194995_4", "🚀 Open in Portal")</f>
        <v/>
      </c>
    </row>
    <row r="3699" ht="24" customHeight="1">
      <c r="A3699" s="4" t="inlineStr">
        <is>
          <t>Uttar Pradesh</t>
        </is>
      </c>
      <c r="B3699" s="5" t="inlineStr">
        <is>
          <t>ICT</t>
        </is>
      </c>
      <c r="C3699" s="6" t="inlineStr">
        <is>
          <t>2026_REDUP_1194995_4</t>
        </is>
      </c>
      <c r="D3699" s="7" t="inlineStr">
        <is>
          <t>[Under District Ayodhya, Construction of road from Bhelsar-Rudauli-Inhauna road to Shri Suryabaksh Singh Mahavidyalaya via ancient Rechheshwar Mahadev temple, Lot No 4]</t>
        </is>
      </c>
      <c r="E3699" s="7" t="inlineStr">
        <is>
          <t>Uttar Pradesh Public Works &amp; Technology Department</t>
        </is>
      </c>
      <c r="F3699" s="6" t="inlineStr">
        <is>
          <t>23 Sep 2026</t>
        </is>
      </c>
      <c r="G3699" s="5" t="inlineStr">
        <is>
          <t>15 Oct 2026</t>
        </is>
      </c>
      <c r="H3699" s="8" t="inlineStr">
        <is>
          <t>⏳ UPCOMING</t>
        </is>
      </c>
      <c r="I3699" s="4" t="inlineStr">
        <is>
          <t>BOQ_2256633.xls</t>
        </is>
      </c>
      <c r="J3699" s="6" t="inlineStr">
        <is>
          <t>📊 Excel BOQ</t>
        </is>
      </c>
      <c r="K3699" s="9" t="n">
        <v>2.5</v>
      </c>
      <c r="L3699" s="10">
        <f>HYPERLINK("http://127.0.0.1:8000/api/documents/download?id=858&amp;attachment=true", "⬇ Download BOQ_2256633.xls")</f>
        <v/>
      </c>
      <c r="M3699" s="10">
        <f>HYPERLINK("http://localhost:5173/?state=Uttar%20Pradesh&amp;keyword=ICT&amp;tender=2026_REDUP_1194995_4", "🚀 Open in Portal")</f>
        <v/>
      </c>
    </row>
    <row r="3700" ht="24" customHeight="1">
      <c r="A3700" s="11" t="inlineStr">
        <is>
          <t>Uttar Pradesh</t>
        </is>
      </c>
      <c r="B3700" s="12" t="inlineStr">
        <is>
          <t>ICT</t>
        </is>
      </c>
      <c r="C3700" s="13" t="inlineStr">
        <is>
          <t>2026_REDUP_1194995_4</t>
        </is>
      </c>
      <c r="D3700" s="14" t="inlineStr">
        <is>
          <t>[Under District Ayodhya, Construction of road from Bhelsar-Rudauli-Inhauna road to Shri Suryabaksh Singh Mahavidyalaya via ancient Rechheshwar Mahadev temple, Lot No 4]</t>
        </is>
      </c>
      <c r="E3700" s="14" t="inlineStr">
        <is>
          <t>Uttar Pradesh Public Works &amp; Technology Department</t>
        </is>
      </c>
      <c r="F3700" s="13" t="inlineStr">
        <is>
          <t>23 Sep 2026</t>
        </is>
      </c>
      <c r="G3700" s="12" t="inlineStr">
        <is>
          <t>15 Oct 2026</t>
        </is>
      </c>
      <c r="H3700" s="8" t="inlineStr">
        <is>
          <t>⏳ UPCOMING</t>
        </is>
      </c>
      <c r="I3700" s="11" t="inlineStr">
        <is>
          <t>Tender_2026_REDUP_1194995_4_All_Documents.zip</t>
        </is>
      </c>
      <c r="J3700" s="13" t="inlineStr">
        <is>
          <t>📦 ZIP Package</t>
        </is>
      </c>
      <c r="K3700" s="15" t="n">
        <v>11.7</v>
      </c>
      <c r="L3700" s="16">
        <f>HYPERLINK("http://127.0.0.1:8000/api/documents/download?id=859&amp;attachment=true", "⬇ Download Tender_2026_REDUP_119499")</f>
        <v/>
      </c>
      <c r="M3700" s="16">
        <f>HYPERLINK("http://localhost:5173/?state=Uttar%20Pradesh&amp;keyword=ICT&amp;tender=2026_REDUP_1194995_4", "🚀 Open in Portal")</f>
        <v/>
      </c>
    </row>
    <row r="3701" ht="24" customHeight="1">
      <c r="A3701" s="4" t="inlineStr">
        <is>
          <t>Uttar Pradesh</t>
        </is>
      </c>
      <c r="B3701" s="5" t="inlineStr">
        <is>
          <t>ICT</t>
        </is>
      </c>
      <c r="C3701" s="6" t="inlineStr">
        <is>
          <t>2026_SCIDC_1194999_1</t>
        </is>
      </c>
      <c r="D3701" s="7" t="inlineStr">
        <is>
          <t>[SITE DEVELOPMENT WORK OF THE STATUE OF DR. B.R. AMBEDKAR, INSTALLED IN VILLAGE GAYAK, WARD NAGAR RAIPOURA ROAD, FIROZABAD DISTRICT UNDER DR. B.R. AMBEDKAR STATUE DEVELOPMENT SCHEME.]</t>
        </is>
      </c>
      <c r="E3701" s="7" t="inlineStr">
        <is>
          <t>Uttar Pradesh Public Works &amp; Technology Department</t>
        </is>
      </c>
      <c r="F3701" s="6" t="inlineStr">
        <is>
          <t>10 Sep 2026</t>
        </is>
      </c>
      <c r="G3701" s="5" t="inlineStr">
        <is>
          <t>06 Oct 2026</t>
        </is>
      </c>
      <c r="H3701" s="8" t="inlineStr">
        <is>
          <t>⏳ UPCOMING</t>
        </is>
      </c>
      <c r="I3701" s="4" t="inlineStr">
        <is>
          <t>Tendernotice_1.pdf</t>
        </is>
      </c>
      <c r="J3701" s="6" t="inlineStr">
        <is>
          <t>📕 PDF Document</t>
        </is>
      </c>
      <c r="K3701" s="9" t="n">
        <v>17.9</v>
      </c>
      <c r="L3701" s="10">
        <f>HYPERLINK("http://127.0.0.1:8000/api/documents/download?id=882&amp;attachment=true", "⬇ Download Tendernotice_1.pdf")</f>
        <v/>
      </c>
      <c r="M3701" s="10">
        <f>HYPERLINK("http://localhost:5173/?state=Uttar%20Pradesh&amp;keyword=ICT&amp;tender=2026_SCIDC_1194999_1", "🚀 Open in Portal")</f>
        <v/>
      </c>
    </row>
    <row r="3702" ht="24" customHeight="1">
      <c r="A3702" s="11" t="inlineStr">
        <is>
          <t>Uttar Pradesh</t>
        </is>
      </c>
      <c r="B3702" s="12" t="inlineStr">
        <is>
          <t>ICT</t>
        </is>
      </c>
      <c r="C3702" s="13" t="inlineStr">
        <is>
          <t>2026_SCIDC_1194999_1</t>
        </is>
      </c>
      <c r="D3702" s="14" t="inlineStr">
        <is>
          <t>[SITE DEVELOPMENT WORK OF THE STATUE OF DR. B.R. AMBEDKAR, INSTALLED IN VILLAGE GAYAK, WARD NAGAR RAIPOURA ROAD, FIROZABAD DISTRICT UNDER DR. B.R. AMBEDKAR STATUE DEVELOPMENT SCHEME.]</t>
        </is>
      </c>
      <c r="E3702" s="14" t="inlineStr">
        <is>
          <t>Uttar Pradesh Public Works &amp; Technology Department</t>
        </is>
      </c>
      <c r="F3702" s="13" t="inlineStr">
        <is>
          <t>10 Sep 2026</t>
        </is>
      </c>
      <c r="G3702" s="12" t="inlineStr">
        <is>
          <t>06 Oct 2026</t>
        </is>
      </c>
      <c r="H3702" s="8" t="inlineStr">
        <is>
          <t>⏳ UPCOMING</t>
        </is>
      </c>
      <c r="I3702" s="11" t="inlineStr">
        <is>
          <t>AOC55.pdf</t>
        </is>
      </c>
      <c r="J3702" s="13" t="inlineStr">
        <is>
          <t>📕 PDF Document</t>
        </is>
      </c>
      <c r="K3702" s="15" t="n">
        <v>17.8</v>
      </c>
      <c r="L3702" s="16">
        <f>HYPERLINK("http://127.0.0.1:8000/api/documents/download?id=883&amp;attachment=true", "⬇ Download AOC55.pdf")</f>
        <v/>
      </c>
      <c r="M3702" s="16">
        <f>HYPERLINK("http://localhost:5173/?state=Uttar%20Pradesh&amp;keyword=ICT&amp;tender=2026_SCIDC_1194999_1", "🚀 Open in Portal")</f>
        <v/>
      </c>
    </row>
    <row r="3703" ht="24" customHeight="1">
      <c r="A3703" s="4" t="inlineStr">
        <is>
          <t>Uttar Pradesh</t>
        </is>
      </c>
      <c r="B3703" s="5" t="inlineStr">
        <is>
          <t>ICT</t>
        </is>
      </c>
      <c r="C3703" s="6" t="inlineStr">
        <is>
          <t>2026_SCIDC_1194999_1</t>
        </is>
      </c>
      <c r="D3703" s="7" t="inlineStr">
        <is>
          <t>[SITE DEVELOPMENT WORK OF THE STATUE OF DR. B.R. AMBEDKAR, INSTALLED IN VILLAGE GAYAK, WARD NAGAR RAIPOURA ROAD, FIROZABAD DISTRICT UNDER DR. B.R. AMBEDKAR STATUE DEVELOPMENT SCHEME.]</t>
        </is>
      </c>
      <c r="E3703" s="7" t="inlineStr">
        <is>
          <t>Uttar Pradesh Public Works &amp; Technology Department</t>
        </is>
      </c>
      <c r="F3703" s="6" t="inlineStr">
        <is>
          <t>10 Sep 2026</t>
        </is>
      </c>
      <c r="G3703" s="5" t="inlineStr">
        <is>
          <t>06 Oct 2026</t>
        </is>
      </c>
      <c r="H3703" s="8" t="inlineStr">
        <is>
          <t>⏳ UPCOMING</t>
        </is>
      </c>
      <c r="I3703" s="4" t="inlineStr">
        <is>
          <t>BOQ_2256631.xls</t>
        </is>
      </c>
      <c r="J3703" s="6" t="inlineStr">
        <is>
          <t>📊 Excel BOQ</t>
        </is>
      </c>
      <c r="K3703" s="9" t="n">
        <v>2.5</v>
      </c>
      <c r="L3703" s="10">
        <f>HYPERLINK("http://127.0.0.1:8000/api/documents/download?id=884&amp;attachment=true", "⬇ Download BOQ_2256631.xls")</f>
        <v/>
      </c>
      <c r="M3703" s="10">
        <f>HYPERLINK("http://localhost:5173/?state=Uttar%20Pradesh&amp;keyword=ICT&amp;tender=2026_SCIDC_1194999_1", "🚀 Open in Portal")</f>
        <v/>
      </c>
    </row>
    <row r="3704" ht="24" customHeight="1">
      <c r="A3704" s="11" t="inlineStr">
        <is>
          <t>Uttar Pradesh</t>
        </is>
      </c>
      <c r="B3704" s="12" t="inlineStr">
        <is>
          <t>ICT</t>
        </is>
      </c>
      <c r="C3704" s="13" t="inlineStr">
        <is>
          <t>2026_SCIDC_1194999_1</t>
        </is>
      </c>
      <c r="D3704" s="14" t="inlineStr">
        <is>
          <t>[SITE DEVELOPMENT WORK OF THE STATUE OF DR. B.R. AMBEDKAR, INSTALLED IN VILLAGE GAYAK, WARD NAGAR RAIPOURA ROAD, FIROZABAD DISTRICT UNDER DR. B.R. AMBEDKAR STATUE DEVELOPMENT SCHEME.]</t>
        </is>
      </c>
      <c r="E3704" s="14" t="inlineStr">
        <is>
          <t>Uttar Pradesh Public Works &amp; Technology Department</t>
        </is>
      </c>
      <c r="F3704" s="13" t="inlineStr">
        <is>
          <t>10 Sep 2026</t>
        </is>
      </c>
      <c r="G3704" s="12" t="inlineStr">
        <is>
          <t>06 Oct 2026</t>
        </is>
      </c>
      <c r="H3704" s="8" t="inlineStr">
        <is>
          <t>⏳ UPCOMING</t>
        </is>
      </c>
      <c r="I3704" s="11" t="inlineStr">
        <is>
          <t>Tender_2026_SCIDC_1194999_1_All_Documents.zip</t>
        </is>
      </c>
      <c r="J3704" s="13" t="inlineStr">
        <is>
          <t>📦 ZIP Package</t>
        </is>
      </c>
      <c r="K3704" s="15" t="n">
        <v>20.8</v>
      </c>
      <c r="L3704" s="16">
        <f>HYPERLINK("http://127.0.0.1:8000/api/documents/download?id=885&amp;attachment=true", "⬇ Download Tender_2026_SCIDC_119499")</f>
        <v/>
      </c>
      <c r="M3704" s="16">
        <f>HYPERLINK("http://localhost:5173/?state=Uttar%20Pradesh&amp;keyword=ICT&amp;tender=2026_SCIDC_1194999_1", "🚀 Open in Portal")</f>
        <v/>
      </c>
    </row>
    <row r="3705" ht="24" customHeight="1">
      <c r="A3705" s="4" t="inlineStr">
        <is>
          <t>Uttar Pradesh</t>
        </is>
      </c>
      <c r="B3705" s="5" t="inlineStr">
        <is>
          <t>ICT</t>
        </is>
      </c>
      <c r="C3705" s="6" t="inlineStr">
        <is>
          <t>2026_UPRNS_1194975_1</t>
        </is>
      </c>
      <c r="D3705" s="7" t="inlineStr">
        <is>
          <t>[PROPOSED CONSTRUCTION OF CHAUDHARY CHARAN SINGH STATUE DEVELOPMENT SCHEME WORKS AT KAREEL, MURSAN DISTRICT HATHRAS]</t>
        </is>
      </c>
      <c r="E3705" s="7" t="inlineStr">
        <is>
          <t>Uttar Pradesh Public Works &amp; Technology Department</t>
        </is>
      </c>
      <c r="F3705" s="6" t="inlineStr">
        <is>
          <t>13 Oct 2026</t>
        </is>
      </c>
      <c r="G3705" s="5" t="inlineStr">
        <is>
          <t>10 Nov 2026</t>
        </is>
      </c>
      <c r="H3705" s="17" t="inlineStr">
        <is>
          <t>🟢 LIVE ACTIVE</t>
        </is>
      </c>
      <c r="I3705" s="4" t="inlineStr">
        <is>
          <t>Tendernotice_1.pdf</t>
        </is>
      </c>
      <c r="J3705" s="6" t="inlineStr">
        <is>
          <t>📕 PDF Document</t>
        </is>
      </c>
      <c r="K3705" s="9" t="n">
        <v>17.9</v>
      </c>
      <c r="L3705" s="10">
        <f>HYPERLINK("http://127.0.0.1:8000/api/documents/download?id=908&amp;attachment=true", "⬇ Download Tendernotice_1.pdf")</f>
        <v/>
      </c>
      <c r="M3705" s="10">
        <f>HYPERLINK("http://localhost:5173/?state=Uttar%20Pradesh&amp;keyword=ICT&amp;tender=2026_UPRNS_1194975_1", "🚀 Open in Portal")</f>
        <v/>
      </c>
    </row>
    <row r="3706" ht="24" customHeight="1">
      <c r="A3706" s="11" t="inlineStr">
        <is>
          <t>Uttar Pradesh</t>
        </is>
      </c>
      <c r="B3706" s="12" t="inlineStr">
        <is>
          <t>ICT</t>
        </is>
      </c>
      <c r="C3706" s="13" t="inlineStr">
        <is>
          <t>2026_UPRNS_1194975_1</t>
        </is>
      </c>
      <c r="D3706" s="14" t="inlineStr">
        <is>
          <t>[PROPOSED CONSTRUCTION OF CHAUDHARY CHARAN SINGH STATUE DEVELOPMENT SCHEME WORKS AT KAREEL, MURSAN DISTRICT HATHRAS]</t>
        </is>
      </c>
      <c r="E3706" s="14" t="inlineStr">
        <is>
          <t>Uttar Pradesh Public Works &amp; Technology Department</t>
        </is>
      </c>
      <c r="F3706" s="13" t="inlineStr">
        <is>
          <t>13 Oct 2026</t>
        </is>
      </c>
      <c r="G3706" s="12" t="inlineStr">
        <is>
          <t>10 Nov 2026</t>
        </is>
      </c>
      <c r="H3706" s="17" t="inlineStr">
        <is>
          <t>🟢 LIVE ACTIVE</t>
        </is>
      </c>
      <c r="I3706" s="11" t="inlineStr">
        <is>
          <t>ANULAGNAK.pdf</t>
        </is>
      </c>
      <c r="J3706" s="13" t="inlineStr">
        <is>
          <t>📕 PDF Document</t>
        </is>
      </c>
      <c r="K3706" s="15" t="n">
        <v>17.9</v>
      </c>
      <c r="L3706" s="16">
        <f>HYPERLINK("http://127.0.0.1:8000/api/documents/download?id=909&amp;attachment=true", "⬇ Download ANULAGNAK.pdf")</f>
        <v/>
      </c>
      <c r="M3706" s="16">
        <f>HYPERLINK("http://localhost:5173/?state=Uttar%20Pradesh&amp;keyword=ICT&amp;tender=2026_UPRNS_1194975_1", "🚀 Open in Portal")</f>
        <v/>
      </c>
    </row>
    <row r="3707" ht="24" customHeight="1">
      <c r="A3707" s="4" t="inlineStr">
        <is>
          <t>Uttar Pradesh</t>
        </is>
      </c>
      <c r="B3707" s="5" t="inlineStr">
        <is>
          <t>ICT</t>
        </is>
      </c>
      <c r="C3707" s="6" t="inlineStr">
        <is>
          <t>2026_UPRNS_1194975_1</t>
        </is>
      </c>
      <c r="D3707" s="7" t="inlineStr">
        <is>
          <t>[PROPOSED CONSTRUCTION OF CHAUDHARY CHARAN SINGH STATUE DEVELOPMENT SCHEME WORKS AT KAREEL, MURSAN DISTRICT HATHRAS]</t>
        </is>
      </c>
      <c r="E3707" s="7" t="inlineStr">
        <is>
          <t>Uttar Pradesh Public Works &amp; Technology Department</t>
        </is>
      </c>
      <c r="F3707" s="6" t="inlineStr">
        <is>
          <t>13 Oct 2026</t>
        </is>
      </c>
      <c r="G3707" s="5" t="inlineStr">
        <is>
          <t>10 Nov 2026</t>
        </is>
      </c>
      <c r="H3707" s="17" t="inlineStr">
        <is>
          <t>🟢 LIVE ACTIVE</t>
        </is>
      </c>
      <c r="I3707" s="4" t="inlineStr">
        <is>
          <t>BOQ_2256518.xls</t>
        </is>
      </c>
      <c r="J3707" s="6" t="inlineStr">
        <is>
          <t>📊 Excel BOQ</t>
        </is>
      </c>
      <c r="K3707" s="9" t="n">
        <v>2.5</v>
      </c>
      <c r="L3707" s="10">
        <f>HYPERLINK("http://127.0.0.1:8000/api/documents/download?id=910&amp;attachment=true", "⬇ Download BOQ_2256518.xls")</f>
        <v/>
      </c>
      <c r="M3707" s="10">
        <f>HYPERLINK("http://localhost:5173/?state=Uttar%20Pradesh&amp;keyword=ICT&amp;tender=2026_UPRNS_1194975_1", "🚀 Open in Portal")</f>
        <v/>
      </c>
    </row>
    <row r="3708" ht="24" customHeight="1">
      <c r="A3708" s="11" t="inlineStr">
        <is>
          <t>Uttar Pradesh</t>
        </is>
      </c>
      <c r="B3708" s="12" t="inlineStr">
        <is>
          <t>ICT</t>
        </is>
      </c>
      <c r="C3708" s="13" t="inlineStr">
        <is>
          <t>2026_UPRNS_1194975_1</t>
        </is>
      </c>
      <c r="D3708" s="14" t="inlineStr">
        <is>
          <t>[PROPOSED CONSTRUCTION OF CHAUDHARY CHARAN SINGH STATUE DEVELOPMENT SCHEME WORKS AT KAREEL, MURSAN DISTRICT HATHRAS]</t>
        </is>
      </c>
      <c r="E3708" s="14" t="inlineStr">
        <is>
          <t>Uttar Pradesh Public Works &amp; Technology Department</t>
        </is>
      </c>
      <c r="F3708" s="13" t="inlineStr">
        <is>
          <t>13 Oct 2026</t>
        </is>
      </c>
      <c r="G3708" s="12" t="inlineStr">
        <is>
          <t>10 Nov 2026</t>
        </is>
      </c>
      <c r="H3708" s="17" t="inlineStr">
        <is>
          <t>🟢 LIVE ACTIVE</t>
        </is>
      </c>
      <c r="I3708" s="11" t="inlineStr">
        <is>
          <t>Tender_2026_UPRNS_1194975_1_All_Documents.zip</t>
        </is>
      </c>
      <c r="J3708" s="13" t="inlineStr">
        <is>
          <t>📦 ZIP Package</t>
        </is>
      </c>
      <c r="K3708" s="15" t="n">
        <v>20.9</v>
      </c>
      <c r="L3708" s="16">
        <f>HYPERLINK("http://127.0.0.1:8000/api/documents/download?id=911&amp;attachment=true", "⬇ Download Tender_2026_UPRNS_119497")</f>
        <v/>
      </c>
      <c r="M3708" s="16">
        <f>HYPERLINK("http://localhost:5173/?state=Uttar%20Pradesh&amp;keyword=ICT&amp;tender=2026_UPRNS_1194975_1", "🚀 Open in Portal")</f>
        <v/>
      </c>
    </row>
    <row r="3709" ht="24" customHeight="1">
      <c r="A3709" s="4" t="inlineStr">
        <is>
          <t>Uttar Pradesh</t>
        </is>
      </c>
      <c r="B3709" s="5" t="inlineStr">
        <is>
          <t>ICT</t>
        </is>
      </c>
      <c r="C3709" s="6" t="inlineStr">
        <is>
          <t>2026_UPRNS_1194982_1</t>
        </is>
      </c>
      <c r="D3709" s="7" t="inlineStr">
        <is>
          <t>[PROPOSED CONSTRUCTION OF BR AMBEDKAR STATUE DEVELOPMENT SCHEME WORKS AT AHRAI, MURSAN DISTRICT HATHRAS]</t>
        </is>
      </c>
      <c r="E3709" s="7" t="inlineStr">
        <is>
          <t>Uttar Pradesh Public Works &amp; Technology Department</t>
        </is>
      </c>
      <c r="F3709" s="6" t="inlineStr">
        <is>
          <t>22 Sep 2026</t>
        </is>
      </c>
      <c r="G3709" s="5" t="inlineStr">
        <is>
          <t>19 Oct 2026</t>
        </is>
      </c>
      <c r="H3709" s="8" t="inlineStr">
        <is>
          <t>⏳ UPCOMING</t>
        </is>
      </c>
      <c r="I3709" s="4" t="inlineStr">
        <is>
          <t>Tendernotice_1.pdf</t>
        </is>
      </c>
      <c r="J3709" s="6" t="inlineStr">
        <is>
          <t>📕 PDF Document</t>
        </is>
      </c>
      <c r="K3709" s="9" t="n">
        <v>17.9</v>
      </c>
      <c r="L3709" s="10">
        <f>HYPERLINK("http://127.0.0.1:8000/api/documents/download?id=889&amp;attachment=true", "⬇ Download Tendernotice_1.pdf")</f>
        <v/>
      </c>
      <c r="M3709" s="10">
        <f>HYPERLINK("http://localhost:5173/?state=Uttar%20Pradesh&amp;keyword=ICT&amp;tender=2026_UPRNS_1194982_1", "🚀 Open in Portal")</f>
        <v/>
      </c>
    </row>
    <row r="3710" ht="24" customHeight="1">
      <c r="A3710" s="11" t="inlineStr">
        <is>
          <t>Uttar Pradesh</t>
        </is>
      </c>
      <c r="B3710" s="12" t="inlineStr">
        <is>
          <t>ICT</t>
        </is>
      </c>
      <c r="C3710" s="13" t="inlineStr">
        <is>
          <t>2026_UPRNS_1194982_1</t>
        </is>
      </c>
      <c r="D3710" s="14" t="inlineStr">
        <is>
          <t>[PROPOSED CONSTRUCTION OF BR AMBEDKAR STATUE DEVELOPMENT SCHEME WORKS AT AHRAI, MURSAN DISTRICT HATHRAS]</t>
        </is>
      </c>
      <c r="E3710" s="14" t="inlineStr">
        <is>
          <t>Uttar Pradesh Public Works &amp; Technology Department</t>
        </is>
      </c>
      <c r="F3710" s="13" t="inlineStr">
        <is>
          <t>22 Sep 2026</t>
        </is>
      </c>
      <c r="G3710" s="12" t="inlineStr">
        <is>
          <t>19 Oct 2026</t>
        </is>
      </c>
      <c r="H3710" s="8" t="inlineStr">
        <is>
          <t>⏳ UPCOMING</t>
        </is>
      </c>
      <c r="I3710" s="11" t="inlineStr">
        <is>
          <t>ANULAGNAK.pdf</t>
        </is>
      </c>
      <c r="J3710" s="13" t="inlineStr">
        <is>
          <t>📕 PDF Document</t>
        </is>
      </c>
      <c r="K3710" s="15" t="n">
        <v>17.9</v>
      </c>
      <c r="L3710" s="16">
        <f>HYPERLINK("http://127.0.0.1:8000/api/documents/download?id=890&amp;attachment=true", "⬇ Download ANULAGNAK.pdf")</f>
        <v/>
      </c>
      <c r="M3710" s="16">
        <f>HYPERLINK("http://localhost:5173/?state=Uttar%20Pradesh&amp;keyword=ICT&amp;tender=2026_UPRNS_1194982_1", "🚀 Open in Portal")</f>
        <v/>
      </c>
    </row>
    <row r="3711" ht="24" customHeight="1">
      <c r="A3711" s="4" t="inlineStr">
        <is>
          <t>Uttar Pradesh</t>
        </is>
      </c>
      <c r="B3711" s="5" t="inlineStr">
        <is>
          <t>ICT</t>
        </is>
      </c>
      <c r="C3711" s="6" t="inlineStr">
        <is>
          <t>2026_UPRNS_1194982_1</t>
        </is>
      </c>
      <c r="D3711" s="7" t="inlineStr">
        <is>
          <t>[PROPOSED CONSTRUCTION OF BR AMBEDKAR STATUE DEVELOPMENT SCHEME WORKS AT AHRAI, MURSAN DISTRICT HATHRAS]</t>
        </is>
      </c>
      <c r="E3711" s="7" t="inlineStr">
        <is>
          <t>Uttar Pradesh Public Works &amp; Technology Department</t>
        </is>
      </c>
      <c r="F3711" s="6" t="inlineStr">
        <is>
          <t>22 Sep 2026</t>
        </is>
      </c>
      <c r="G3711" s="5" t="inlineStr">
        <is>
          <t>19 Oct 2026</t>
        </is>
      </c>
      <c r="H3711" s="8" t="inlineStr">
        <is>
          <t>⏳ UPCOMING</t>
        </is>
      </c>
      <c r="I3711" s="4" t="inlineStr">
        <is>
          <t>BOQ_2256561.xls</t>
        </is>
      </c>
      <c r="J3711" s="6" t="inlineStr">
        <is>
          <t>📊 Excel BOQ</t>
        </is>
      </c>
      <c r="K3711" s="9" t="n">
        <v>2.5</v>
      </c>
      <c r="L3711" s="10">
        <f>HYPERLINK("http://127.0.0.1:8000/api/documents/download?id=891&amp;attachment=true", "⬇ Download BOQ_2256561.xls")</f>
        <v/>
      </c>
      <c r="M3711" s="10">
        <f>HYPERLINK("http://localhost:5173/?state=Uttar%20Pradesh&amp;keyword=ICT&amp;tender=2026_UPRNS_1194982_1", "🚀 Open in Portal")</f>
        <v/>
      </c>
    </row>
    <row r="3712" ht="24" customHeight="1">
      <c r="A3712" s="11" t="inlineStr">
        <is>
          <t>Uttar Pradesh</t>
        </is>
      </c>
      <c r="B3712" s="12" t="inlineStr">
        <is>
          <t>ICT</t>
        </is>
      </c>
      <c r="C3712" s="13" t="inlineStr">
        <is>
          <t>2026_UPRNS_1194982_1</t>
        </is>
      </c>
      <c r="D3712" s="14" t="inlineStr">
        <is>
          <t>[PROPOSED CONSTRUCTION OF BR AMBEDKAR STATUE DEVELOPMENT SCHEME WORKS AT AHRAI, MURSAN DISTRICT HATHRAS]</t>
        </is>
      </c>
      <c r="E3712" s="14" t="inlineStr">
        <is>
          <t>Uttar Pradesh Public Works &amp; Technology Department</t>
        </is>
      </c>
      <c r="F3712" s="13" t="inlineStr">
        <is>
          <t>22 Sep 2026</t>
        </is>
      </c>
      <c r="G3712" s="12" t="inlineStr">
        <is>
          <t>19 Oct 2026</t>
        </is>
      </c>
      <c r="H3712" s="8" t="inlineStr">
        <is>
          <t>⏳ UPCOMING</t>
        </is>
      </c>
      <c r="I3712" s="11" t="inlineStr">
        <is>
          <t>Tender_2026_UPRNS_1194982_1_All_Documents.zip</t>
        </is>
      </c>
      <c r="J3712" s="13" t="inlineStr">
        <is>
          <t>📦 ZIP Package</t>
        </is>
      </c>
      <c r="K3712" s="15" t="n">
        <v>20.8</v>
      </c>
      <c r="L3712" s="16">
        <f>HYPERLINK("http://127.0.0.1:8000/api/documents/download?id=892&amp;attachment=true", "⬇ Download Tender_2026_UPRNS_119498")</f>
        <v/>
      </c>
      <c r="M3712" s="16">
        <f>HYPERLINK("http://localhost:5173/?state=Uttar%20Pradesh&amp;keyword=ICT&amp;tender=2026_UPRNS_1194982_1", "🚀 Open in Portal")</f>
        <v/>
      </c>
    </row>
    <row r="3713" ht="24" customHeight="1">
      <c r="A3713" s="4" t="inlineStr">
        <is>
          <t>Uttar Pradesh</t>
        </is>
      </c>
      <c r="B3713" s="5" t="inlineStr">
        <is>
          <t>ICT</t>
        </is>
      </c>
      <c r="C3713" s="6" t="inlineStr">
        <is>
          <t>2026_UPRNS_1194998_1</t>
        </is>
      </c>
      <c r="D3713" s="7" t="inlineStr">
        <is>
          <t>[PROPOSED CONSTRUCTION OF BR AMBEDKAR STATUE DEVELOPMENT SCHEME WORK AT MANDANPUR, SIKNDRA RAO DISTRICT HATHRAS]</t>
        </is>
      </c>
      <c r="E3713" s="7" t="inlineStr">
        <is>
          <t>Uttar Pradesh Public Works &amp; Technology Department</t>
        </is>
      </c>
      <c r="F3713" s="6" t="inlineStr">
        <is>
          <t>28 Sep 2026</t>
        </is>
      </c>
      <c r="G3713" s="5" t="inlineStr">
        <is>
          <t>09 Nov 2026</t>
        </is>
      </c>
      <c r="H3713" s="17" t="inlineStr">
        <is>
          <t>🟢 LIVE ACTIVE</t>
        </is>
      </c>
      <c r="I3713" s="4" t="inlineStr">
        <is>
          <t>Tendernotice_1.pdf</t>
        </is>
      </c>
      <c r="J3713" s="6" t="inlineStr">
        <is>
          <t>📕 PDF Document</t>
        </is>
      </c>
      <c r="K3713" s="9" t="n">
        <v>17.9</v>
      </c>
      <c r="L3713" s="10">
        <f>HYPERLINK("http://127.0.0.1:8000/api/documents/download?id=896&amp;attachment=true", "⬇ Download Tendernotice_1.pdf")</f>
        <v/>
      </c>
      <c r="M3713" s="10">
        <f>HYPERLINK("http://localhost:5173/?state=Uttar%20Pradesh&amp;keyword=ICT&amp;tender=2026_UPRNS_1194998_1", "🚀 Open in Portal")</f>
        <v/>
      </c>
    </row>
    <row r="3714" ht="24" customHeight="1">
      <c r="A3714" s="11" t="inlineStr">
        <is>
          <t>Uttar Pradesh</t>
        </is>
      </c>
      <c r="B3714" s="12" t="inlineStr">
        <is>
          <t>ICT</t>
        </is>
      </c>
      <c r="C3714" s="13" t="inlineStr">
        <is>
          <t>2026_UPRNS_1194998_1</t>
        </is>
      </c>
      <c r="D3714" s="14" t="inlineStr">
        <is>
          <t>[PROPOSED CONSTRUCTION OF BR AMBEDKAR STATUE DEVELOPMENT SCHEME WORK AT MANDANPUR, SIKNDRA RAO DISTRICT HATHRAS]</t>
        </is>
      </c>
      <c r="E3714" s="14" t="inlineStr">
        <is>
          <t>Uttar Pradesh Public Works &amp; Technology Department</t>
        </is>
      </c>
      <c r="F3714" s="13" t="inlineStr">
        <is>
          <t>28 Sep 2026</t>
        </is>
      </c>
      <c r="G3714" s="12" t="inlineStr">
        <is>
          <t>09 Nov 2026</t>
        </is>
      </c>
      <c r="H3714" s="17" t="inlineStr">
        <is>
          <t>🟢 LIVE ACTIVE</t>
        </is>
      </c>
      <c r="I3714" s="11" t="inlineStr">
        <is>
          <t>ANULAGNAK.pdf</t>
        </is>
      </c>
      <c r="J3714" s="13" t="inlineStr">
        <is>
          <t>📕 PDF Document</t>
        </is>
      </c>
      <c r="K3714" s="15" t="n">
        <v>17.9</v>
      </c>
      <c r="L3714" s="16">
        <f>HYPERLINK("http://127.0.0.1:8000/api/documents/download?id=897&amp;attachment=true", "⬇ Download ANULAGNAK.pdf")</f>
        <v/>
      </c>
      <c r="M3714" s="16">
        <f>HYPERLINK("http://localhost:5173/?state=Uttar%20Pradesh&amp;keyword=ICT&amp;tender=2026_UPRNS_1194998_1", "🚀 Open in Portal")</f>
        <v/>
      </c>
    </row>
    <row r="3715" ht="24" customHeight="1">
      <c r="A3715" s="4" t="inlineStr">
        <is>
          <t>Uttar Pradesh</t>
        </is>
      </c>
      <c r="B3715" s="5" t="inlineStr">
        <is>
          <t>ICT</t>
        </is>
      </c>
      <c r="C3715" s="6" t="inlineStr">
        <is>
          <t>2026_UPRNS_1194998_1</t>
        </is>
      </c>
      <c r="D3715" s="7" t="inlineStr">
        <is>
          <t>[PROPOSED CONSTRUCTION OF BR AMBEDKAR STATUE DEVELOPMENT SCHEME WORK AT MANDANPUR, SIKNDRA RAO DISTRICT HATHRAS]</t>
        </is>
      </c>
      <c r="E3715" s="7" t="inlineStr">
        <is>
          <t>Uttar Pradesh Public Works &amp; Technology Department</t>
        </is>
      </c>
      <c r="F3715" s="6" t="inlineStr">
        <is>
          <t>28 Sep 2026</t>
        </is>
      </c>
      <c r="G3715" s="5" t="inlineStr">
        <is>
          <t>09 Nov 2026</t>
        </is>
      </c>
      <c r="H3715" s="17" t="inlineStr">
        <is>
          <t>🟢 LIVE ACTIVE</t>
        </is>
      </c>
      <c r="I3715" s="4" t="inlineStr">
        <is>
          <t>BOQ_2256617.xls</t>
        </is>
      </c>
      <c r="J3715" s="6" t="inlineStr">
        <is>
          <t>📊 Excel BOQ</t>
        </is>
      </c>
      <c r="K3715" s="9" t="n">
        <v>2.5</v>
      </c>
      <c r="L3715" s="10">
        <f>HYPERLINK("http://127.0.0.1:8000/api/documents/download?id=898&amp;attachment=true", "⬇ Download BOQ_2256617.xls")</f>
        <v/>
      </c>
      <c r="M3715" s="10">
        <f>HYPERLINK("http://localhost:5173/?state=Uttar%20Pradesh&amp;keyword=ICT&amp;tender=2026_UPRNS_1194998_1", "🚀 Open in Portal")</f>
        <v/>
      </c>
    </row>
    <row r="3716" ht="24" customHeight="1">
      <c r="A3716" s="11" t="inlineStr">
        <is>
          <t>Uttar Pradesh</t>
        </is>
      </c>
      <c r="B3716" s="12" t="inlineStr">
        <is>
          <t>ICT</t>
        </is>
      </c>
      <c r="C3716" s="13" t="inlineStr">
        <is>
          <t>2026_UPRNS_1194998_1</t>
        </is>
      </c>
      <c r="D3716" s="14" t="inlineStr">
        <is>
          <t>[PROPOSED CONSTRUCTION OF BR AMBEDKAR STATUE DEVELOPMENT SCHEME WORK AT MANDANPUR, SIKNDRA RAO DISTRICT HATHRAS]</t>
        </is>
      </c>
      <c r="E3716" s="14" t="inlineStr">
        <is>
          <t>Uttar Pradesh Public Works &amp; Technology Department</t>
        </is>
      </c>
      <c r="F3716" s="13" t="inlineStr">
        <is>
          <t>28 Sep 2026</t>
        </is>
      </c>
      <c r="G3716" s="12" t="inlineStr">
        <is>
          <t>09 Nov 2026</t>
        </is>
      </c>
      <c r="H3716" s="17" t="inlineStr">
        <is>
          <t>🟢 LIVE ACTIVE</t>
        </is>
      </c>
      <c r="I3716" s="11" t="inlineStr">
        <is>
          <t>Tender_2026_UPRNS_1194998_1_All_Documents.zip</t>
        </is>
      </c>
      <c r="J3716" s="13" t="inlineStr">
        <is>
          <t>📦 ZIP Package</t>
        </is>
      </c>
      <c r="K3716" s="15" t="n">
        <v>20.8</v>
      </c>
      <c r="L3716" s="16">
        <f>HYPERLINK("http://127.0.0.1:8000/api/documents/download?id=899&amp;attachment=true", "⬇ Download Tender_2026_UPRNS_119499")</f>
        <v/>
      </c>
      <c r="M3716" s="16">
        <f>HYPERLINK("http://localhost:5173/?state=Uttar%20Pradesh&amp;keyword=ICT&amp;tender=2026_UPRNS_1194998_1", "🚀 Open in Portal")</f>
        <v/>
      </c>
    </row>
    <row r="3717" ht="24" customHeight="1">
      <c r="A3717" s="4" t="inlineStr">
        <is>
          <t>Uttar Pradesh</t>
        </is>
      </c>
      <c r="B3717" s="5" t="inlineStr">
        <is>
          <t>ICT</t>
        </is>
      </c>
      <c r="C3717" s="6" t="inlineStr">
        <is>
          <t>2026_UTT_7530519_86</t>
        </is>
      </c>
      <c r="D3717" s="7" t="inlineStr">
        <is>
          <t>ICT-Based Cloud Data Center Modernization &amp; Statewide Integrated Video Command Analytics</t>
        </is>
      </c>
      <c r="E3717" s="7" t="inlineStr">
        <is>
          <t>DEPARTMENT OF INFORMATION TECHNOLOGY &amp; e-GOVERNANCE</t>
        </is>
      </c>
      <c r="F3717" s="6" t="inlineStr">
        <is>
          <t>26 Aug 2026</t>
        </is>
      </c>
      <c r="G3717" s="5" t="inlineStr">
        <is>
          <t>22 Sep 2026</t>
        </is>
      </c>
      <c r="H3717" s="8" t="inlineStr">
        <is>
          <t>⏳ UPCOMING</t>
        </is>
      </c>
      <c r="I3717" s="4" t="inlineStr">
        <is>
          <t>Tendernotice_2026_UTT_7530519_86.pdf</t>
        </is>
      </c>
      <c r="J3717" s="6" t="inlineStr">
        <is>
          <t>📕 PDF Document</t>
        </is>
      </c>
      <c r="K3717" s="9" t="n">
        <v>17.9</v>
      </c>
      <c r="L3717" s="10">
        <f>HYPERLINK("http://127.0.0.1:8000/api/documents/download?id=3245&amp;attachment=true", "⬇ Download Tendernotice_2026_UTT_75")</f>
        <v/>
      </c>
      <c r="M3717" s="10">
        <f>HYPERLINK("http://localhost:5173/?state=Uttar%20Pradesh&amp;keyword=ICT&amp;tender=2026_UTT_7530519_86", "🚀 Open in Portal")</f>
        <v/>
      </c>
    </row>
    <row r="3718" ht="24" customHeight="1">
      <c r="A3718" s="11" t="inlineStr">
        <is>
          <t>Uttar Pradesh</t>
        </is>
      </c>
      <c r="B3718" s="12" t="inlineStr">
        <is>
          <t>ICT</t>
        </is>
      </c>
      <c r="C3718" s="13" t="inlineStr">
        <is>
          <t>2026_UTT_7530519_86</t>
        </is>
      </c>
      <c r="D3718" s="14" t="inlineStr">
        <is>
          <t>ICT-Based Cloud Data Center Modernization &amp; Statewide Integrated Video Command Analytics</t>
        </is>
      </c>
      <c r="E3718" s="14" t="inlineStr">
        <is>
          <t>DEPARTMENT OF INFORMATION TECHNOLOGY &amp; e-GOVERNANCE</t>
        </is>
      </c>
      <c r="F3718" s="13" t="inlineStr">
        <is>
          <t>26 Aug 2026</t>
        </is>
      </c>
      <c r="G3718" s="12" t="inlineStr">
        <is>
          <t>22 Sep 2026</t>
        </is>
      </c>
      <c r="H3718" s="8" t="inlineStr">
        <is>
          <t>⏳ UPCOMING</t>
        </is>
      </c>
      <c r="I3718" s="11" t="inlineStr">
        <is>
          <t>Technical_RFP_Specification_ICT.pdf</t>
        </is>
      </c>
      <c r="J3718" s="13" t="inlineStr">
        <is>
          <t>📕 PDF Document</t>
        </is>
      </c>
      <c r="K3718" s="15" t="n">
        <v>17.9</v>
      </c>
      <c r="L3718" s="16">
        <f>HYPERLINK("http://127.0.0.1:8000/api/documents/download?id=3246&amp;attachment=true", "⬇ Download Technical_RFP_Specificat")</f>
        <v/>
      </c>
      <c r="M3718" s="16">
        <f>HYPERLINK("http://localhost:5173/?state=Uttar%20Pradesh&amp;keyword=ICT&amp;tender=2026_UTT_7530519_86", "🚀 Open in Portal")</f>
        <v/>
      </c>
    </row>
    <row r="3719" ht="24" customHeight="1">
      <c r="A3719" s="4" t="inlineStr">
        <is>
          <t>Uttar Pradesh</t>
        </is>
      </c>
      <c r="B3719" s="5" t="inlineStr">
        <is>
          <t>ICT</t>
        </is>
      </c>
      <c r="C3719" s="6" t="inlineStr">
        <is>
          <t>2026_UTT_7530519_86</t>
        </is>
      </c>
      <c r="D3719" s="7" t="inlineStr">
        <is>
          <t>ICT-Based Cloud Data Center Modernization &amp; Statewide Integrated Video Command Analytics</t>
        </is>
      </c>
      <c r="E3719" s="7" t="inlineStr">
        <is>
          <t>DEPARTMENT OF INFORMATION TECHNOLOGY &amp; e-GOVERNANCE</t>
        </is>
      </c>
      <c r="F3719" s="6" t="inlineStr">
        <is>
          <t>26 Aug 2026</t>
        </is>
      </c>
      <c r="G3719" s="5" t="inlineStr">
        <is>
          <t>22 Sep 2026</t>
        </is>
      </c>
      <c r="H3719" s="8" t="inlineStr">
        <is>
          <t>⏳ UPCOMING</t>
        </is>
      </c>
      <c r="I3719" s="4" t="inlineStr">
        <is>
          <t>BOQ_Financial_Schedule_2026_UTT_7530519_86.xlsx</t>
        </is>
      </c>
      <c r="J3719" s="6" t="inlineStr">
        <is>
          <t>📊 Excel BOQ</t>
        </is>
      </c>
      <c r="K3719" s="9" t="n">
        <v>2.5</v>
      </c>
      <c r="L3719" s="10">
        <f>HYPERLINK("http://127.0.0.1:8000/api/documents/download?id=3247&amp;attachment=true", "⬇ Download BOQ_Financial_Schedule_2")</f>
        <v/>
      </c>
      <c r="M3719" s="10">
        <f>HYPERLINK("http://localhost:5173/?state=Uttar%20Pradesh&amp;keyword=ICT&amp;tender=2026_UTT_7530519_86", "🚀 Open in Portal")</f>
        <v/>
      </c>
    </row>
    <row r="3720" ht="24" customHeight="1">
      <c r="A3720" s="11" t="inlineStr">
        <is>
          <t>Uttar Pradesh</t>
        </is>
      </c>
      <c r="B3720" s="12" t="inlineStr">
        <is>
          <t>ICT</t>
        </is>
      </c>
      <c r="C3720" s="13" t="inlineStr">
        <is>
          <t>2026_UTT_7530519_86</t>
        </is>
      </c>
      <c r="D3720" s="14" t="inlineStr">
        <is>
          <t>ICT-Based Cloud Data Center Modernization &amp; Statewide Integrated Video Command Analytics</t>
        </is>
      </c>
      <c r="E3720" s="14" t="inlineStr">
        <is>
          <t>DEPARTMENT OF INFORMATION TECHNOLOGY &amp; e-GOVERNANCE</t>
        </is>
      </c>
      <c r="F3720" s="13" t="inlineStr">
        <is>
          <t>26 Aug 2026</t>
        </is>
      </c>
      <c r="G3720" s="12" t="inlineStr">
        <is>
          <t>22 Sep 2026</t>
        </is>
      </c>
      <c r="H3720" s="8" t="inlineStr">
        <is>
          <t>⏳ UPCOMING</t>
        </is>
      </c>
      <c r="I3720" s="11" t="inlineStr">
        <is>
          <t>Tender_2026_UTT_7530519_86_All_Documents.zip</t>
        </is>
      </c>
      <c r="J3720" s="13" t="inlineStr">
        <is>
          <t>📦 ZIP Package</t>
        </is>
      </c>
      <c r="K3720" s="15" t="n">
        <v>45</v>
      </c>
      <c r="L3720" s="16">
        <f>HYPERLINK("https://etender.up.nic.in/tender/2026_UTT_7530519_86", "⬇ Download Tender_2026_UTT_7530519_")</f>
        <v/>
      </c>
      <c r="M3720" s="16">
        <f>HYPERLINK("http://localhost:5173/?state=Uttar%20Pradesh&amp;keyword=ICT&amp;tender=2026_UTT_7530519_86", "🚀 Open in Portal")</f>
        <v/>
      </c>
    </row>
    <row r="3721" ht="24" customHeight="1">
      <c r="A3721" s="4" t="inlineStr">
        <is>
          <t>Uttar Pradesh</t>
        </is>
      </c>
      <c r="B3721" s="5" t="inlineStr">
        <is>
          <t>Agriculture</t>
        </is>
      </c>
      <c r="C3721" s="6" t="inlineStr">
        <is>
          <t>2026_CEALG_1188898_1</t>
        </is>
      </c>
      <c r="D3721" s="7" t="inlineStr">
        <is>
          <t>[Construction of an additional room on the first floor of the office of the Deputy Director of Agriculture (Agri. Ext.), Aligarh Division, Aligarh]</t>
        </is>
      </c>
      <c r="E3721" s="7" t="inlineStr">
        <is>
          <t>Uttar Pradesh Public Works &amp; Technology Department</t>
        </is>
      </c>
      <c r="F3721" s="6" t="inlineStr">
        <is>
          <t>06 Aug 2026</t>
        </is>
      </c>
      <c r="G3721" s="5" t="inlineStr">
        <is>
          <t>03 Sep 2026</t>
        </is>
      </c>
      <c r="H3721" s="8" t="inlineStr">
        <is>
          <t>⏳ UPCOMING</t>
        </is>
      </c>
      <c r="I3721" s="4" t="inlineStr">
        <is>
          <t>Tendernotice_1.pdf</t>
        </is>
      </c>
      <c r="J3721" s="6" t="inlineStr">
        <is>
          <t>📕 PDF Document</t>
        </is>
      </c>
      <c r="K3721" s="9" t="n">
        <v>17.9</v>
      </c>
      <c r="L3721" s="10">
        <f>HYPERLINK("http://127.0.0.1:8000/api/documents/download?id=925&amp;attachment=true", "⬇ Download Tendernotice_1.pdf")</f>
        <v/>
      </c>
      <c r="M3721" s="10">
        <f>HYPERLINK("http://localhost:5173/?state=Uttar%20Pradesh&amp;keyword=Agriculture&amp;tender=2026_CEALG_1188898_1", "🚀 Open in Portal")</f>
        <v/>
      </c>
    </row>
    <row r="3722" ht="24" customHeight="1">
      <c r="A3722" s="11" t="inlineStr">
        <is>
          <t>Uttar Pradesh</t>
        </is>
      </c>
      <c r="B3722" s="12" t="inlineStr">
        <is>
          <t>Agriculture</t>
        </is>
      </c>
      <c r="C3722" s="13" t="inlineStr">
        <is>
          <t>2026_CEALG_1188898_1</t>
        </is>
      </c>
      <c r="D3722" s="14" t="inlineStr">
        <is>
          <t>[Construction of an additional room on the first floor of the office of the Deputy Director of Agriculture (Agri. Ext.), Aligarh Division, Aligarh]</t>
        </is>
      </c>
      <c r="E3722" s="14" t="inlineStr">
        <is>
          <t>Uttar Pradesh Public Works &amp; Technology Department</t>
        </is>
      </c>
      <c r="F3722" s="13" t="inlineStr">
        <is>
          <t>06 Aug 2026</t>
        </is>
      </c>
      <c r="G3722" s="12" t="inlineStr">
        <is>
          <t>03 Sep 2026</t>
        </is>
      </c>
      <c r="H3722" s="8" t="inlineStr">
        <is>
          <t>⏳ UPCOMING</t>
        </is>
      </c>
      <c r="I3722" s="11" t="inlineStr">
        <is>
          <t>BOQ_2239855.xls</t>
        </is>
      </c>
      <c r="J3722" s="13" t="inlineStr">
        <is>
          <t>📊 Excel BOQ</t>
        </is>
      </c>
      <c r="K3722" s="15" t="n">
        <v>2.5</v>
      </c>
      <c r="L3722" s="16">
        <f>HYPERLINK("http://127.0.0.1:8000/api/documents/download?id=926&amp;attachment=true", "⬇ Download BOQ_2239855.xls")</f>
        <v/>
      </c>
      <c r="M3722" s="16">
        <f>HYPERLINK("http://localhost:5173/?state=Uttar%20Pradesh&amp;keyword=Agriculture&amp;tender=2026_CEALG_1188898_1", "🚀 Open in Portal")</f>
        <v/>
      </c>
    </row>
    <row r="3723" ht="24" customHeight="1">
      <c r="A3723" s="4" t="inlineStr">
        <is>
          <t>Uttar Pradesh</t>
        </is>
      </c>
      <c r="B3723" s="5" t="inlineStr">
        <is>
          <t>Agriculture</t>
        </is>
      </c>
      <c r="C3723" s="6" t="inlineStr">
        <is>
          <t>2026_CEALG_1188898_1</t>
        </is>
      </c>
      <c r="D3723" s="7" t="inlineStr">
        <is>
          <t>[Construction of an additional room on the first floor of the office of the Deputy Director of Agriculture (Agri. Ext.), Aligarh Division, Aligarh]</t>
        </is>
      </c>
      <c r="E3723" s="7" t="inlineStr">
        <is>
          <t>Uttar Pradesh Public Works &amp; Technology Department</t>
        </is>
      </c>
      <c r="F3723" s="6" t="inlineStr">
        <is>
          <t>06 Aug 2026</t>
        </is>
      </c>
      <c r="G3723" s="5" t="inlineStr">
        <is>
          <t>03 Sep 2026</t>
        </is>
      </c>
      <c r="H3723" s="8" t="inlineStr">
        <is>
          <t>⏳ UPCOMING</t>
        </is>
      </c>
      <c r="I3723" s="4" t="inlineStr">
        <is>
          <t>Tender_2026_CEALG_1188898_1_All_Documents.zip</t>
        </is>
      </c>
      <c r="J3723" s="6" t="inlineStr">
        <is>
          <t>📦 ZIP Package</t>
        </is>
      </c>
      <c r="K3723" s="9" t="n">
        <v>11.6</v>
      </c>
      <c r="L3723" s="10">
        <f>HYPERLINK("http://127.0.0.1:8000/api/documents/download?id=927&amp;attachment=true", "⬇ Download Tender_2026_CEALG_118889")</f>
        <v/>
      </c>
      <c r="M3723" s="10">
        <f>HYPERLINK("http://localhost:5173/?state=Uttar%20Pradesh&amp;keyword=Agriculture&amp;tender=2026_CEALG_1188898_1", "🚀 Open in Portal")</f>
        <v/>
      </c>
    </row>
    <row r="3724" ht="24" customHeight="1">
      <c r="A3724" s="11" t="inlineStr">
        <is>
          <t>Uttar Pradesh</t>
        </is>
      </c>
      <c r="B3724" s="12" t="inlineStr">
        <is>
          <t>Agriculture</t>
        </is>
      </c>
      <c r="C3724" s="13" t="inlineStr">
        <is>
          <t>2026_GNIDA_1192803_12</t>
        </is>
      </c>
      <c r="D3724" s="14" t="inlineStr">
        <is>
          <t>[Pre-Stressed Hollow RCC drain covering work on 80m wide road between Sector-I and KP-5 and 60.0m road between Sector-1 and Agriculture Green Greater Noida.]</t>
        </is>
      </c>
      <c r="E3724" s="14" t="inlineStr">
        <is>
          <t>Uttar Pradesh Public Works &amp; Technology Department</t>
        </is>
      </c>
      <c r="F3724" s="13" t="inlineStr">
        <is>
          <t>02 Aug 2026</t>
        </is>
      </c>
      <c r="G3724" s="12" t="inlineStr">
        <is>
          <t>24 Aug 2026</t>
        </is>
      </c>
      <c r="H3724" s="8" t="inlineStr">
        <is>
          <t>⏳ UPCOMING</t>
        </is>
      </c>
      <c r="I3724" s="11" t="inlineStr">
        <is>
          <t>Tendernotice_1.pdf</t>
        </is>
      </c>
      <c r="J3724" s="13" t="inlineStr">
        <is>
          <t>📕 PDF Document</t>
        </is>
      </c>
      <c r="K3724" s="15" t="n">
        <v>17.9</v>
      </c>
      <c r="L3724" s="16">
        <f>HYPERLINK("http://127.0.0.1:8000/api/documents/download?id=921&amp;attachment=true", "⬇ Download Tendernotice_1.pdf")</f>
        <v/>
      </c>
      <c r="M3724" s="16">
        <f>HYPERLINK("http://localhost:5173/?state=Uttar%20Pradesh&amp;keyword=Agriculture&amp;tender=2026_GNIDA_1192803_12", "🚀 Open in Portal")</f>
        <v/>
      </c>
    </row>
    <row r="3725" ht="24" customHeight="1">
      <c r="A3725" s="4" t="inlineStr">
        <is>
          <t>Uttar Pradesh</t>
        </is>
      </c>
      <c r="B3725" s="5" t="inlineStr">
        <is>
          <t>Agriculture</t>
        </is>
      </c>
      <c r="C3725" s="6" t="inlineStr">
        <is>
          <t>2026_GNIDA_1192803_12</t>
        </is>
      </c>
      <c r="D3725" s="7" t="inlineStr">
        <is>
          <t>[Pre-Stressed Hollow RCC drain covering work on 80m wide road between Sector-I and KP-5 and 60.0m road between Sector-1 and Agriculture Green Greater Noida.]</t>
        </is>
      </c>
      <c r="E3725" s="7" t="inlineStr">
        <is>
          <t>Uttar Pradesh Public Works &amp; Technology Department</t>
        </is>
      </c>
      <c r="F3725" s="6" t="inlineStr">
        <is>
          <t>02 Aug 2026</t>
        </is>
      </c>
      <c r="G3725" s="5" t="inlineStr">
        <is>
          <t>24 Aug 2026</t>
        </is>
      </c>
      <c r="H3725" s="8" t="inlineStr">
        <is>
          <t>⏳ UPCOMING</t>
        </is>
      </c>
      <c r="I3725" s="4" t="inlineStr">
        <is>
          <t>PreQ_Hollow_RCC_DrainKP_5.pdf</t>
        </is>
      </c>
      <c r="J3725" s="6" t="inlineStr">
        <is>
          <t>📕 PDF Document</t>
        </is>
      </c>
      <c r="K3725" s="9" t="n">
        <v>17.9</v>
      </c>
      <c r="L3725" s="10">
        <f>HYPERLINK("http://127.0.0.1:8000/api/documents/download?id=922&amp;attachment=true", "⬇ Download PreQ_Hollow_RCC_DrainKP_")</f>
        <v/>
      </c>
      <c r="M3725" s="10">
        <f>HYPERLINK("http://localhost:5173/?state=Uttar%20Pradesh&amp;keyword=Agriculture&amp;tender=2026_GNIDA_1192803_12", "🚀 Open in Portal")</f>
        <v/>
      </c>
    </row>
    <row r="3726" ht="24" customHeight="1">
      <c r="A3726" s="11" t="inlineStr">
        <is>
          <t>Uttar Pradesh</t>
        </is>
      </c>
      <c r="B3726" s="12" t="inlineStr">
        <is>
          <t>Agriculture</t>
        </is>
      </c>
      <c r="C3726" s="13" t="inlineStr">
        <is>
          <t>2026_GNIDA_1192803_12</t>
        </is>
      </c>
      <c r="D3726" s="14" t="inlineStr">
        <is>
          <t>[Pre-Stressed Hollow RCC drain covering work on 80m wide road between Sector-I and KP-5 and 60.0m road between Sector-1 and Agriculture Green Greater Noida.]</t>
        </is>
      </c>
      <c r="E3726" s="14" t="inlineStr">
        <is>
          <t>Uttar Pradesh Public Works &amp; Technology Department</t>
        </is>
      </c>
      <c r="F3726" s="13" t="inlineStr">
        <is>
          <t>02 Aug 2026</t>
        </is>
      </c>
      <c r="G3726" s="12" t="inlineStr">
        <is>
          <t>24 Aug 2026</t>
        </is>
      </c>
      <c r="H3726" s="8" t="inlineStr">
        <is>
          <t>⏳ UPCOMING</t>
        </is>
      </c>
      <c r="I3726" s="11" t="inlineStr">
        <is>
          <t>BOQ_2251542.xls</t>
        </is>
      </c>
      <c r="J3726" s="13" t="inlineStr">
        <is>
          <t>📊 Excel BOQ</t>
        </is>
      </c>
      <c r="K3726" s="15" t="n">
        <v>2.5</v>
      </c>
      <c r="L3726" s="16">
        <f>HYPERLINK("http://127.0.0.1:8000/api/documents/download?id=923&amp;attachment=true", "⬇ Download BOQ_2251542.xls")</f>
        <v/>
      </c>
      <c r="M3726" s="16">
        <f>HYPERLINK("http://localhost:5173/?state=Uttar%20Pradesh&amp;keyword=Agriculture&amp;tender=2026_GNIDA_1192803_12", "🚀 Open in Portal")</f>
        <v/>
      </c>
    </row>
    <row r="3727" ht="24" customHeight="1">
      <c r="A3727" s="4" t="inlineStr">
        <is>
          <t>Uttar Pradesh</t>
        </is>
      </c>
      <c r="B3727" s="5" t="inlineStr">
        <is>
          <t>Agriculture</t>
        </is>
      </c>
      <c r="C3727" s="6" t="inlineStr">
        <is>
          <t>2026_GNIDA_1192803_12</t>
        </is>
      </c>
      <c r="D3727" s="7" t="inlineStr">
        <is>
          <t>[Pre-Stressed Hollow RCC drain covering work on 80m wide road between Sector-I and KP-5 and 60.0m road between Sector-1 and Agriculture Green Greater Noida.]</t>
        </is>
      </c>
      <c r="E3727" s="7" t="inlineStr">
        <is>
          <t>Uttar Pradesh Public Works &amp; Technology Department</t>
        </is>
      </c>
      <c r="F3727" s="6" t="inlineStr">
        <is>
          <t>02 Aug 2026</t>
        </is>
      </c>
      <c r="G3727" s="5" t="inlineStr">
        <is>
          <t>24 Aug 2026</t>
        </is>
      </c>
      <c r="H3727" s="8" t="inlineStr">
        <is>
          <t>⏳ UPCOMING</t>
        </is>
      </c>
      <c r="I3727" s="4" t="inlineStr">
        <is>
          <t>Tender_2026_GNIDA_1192803_12_All_Documents.zip</t>
        </is>
      </c>
      <c r="J3727" s="6" t="inlineStr">
        <is>
          <t>📦 ZIP Package</t>
        </is>
      </c>
      <c r="K3727" s="9" t="n">
        <v>20.9</v>
      </c>
      <c r="L3727" s="10">
        <f>HYPERLINK("http://127.0.0.1:8000/api/documents/download?id=924&amp;attachment=true", "⬇ Download Tender_2026_GNIDA_119280")</f>
        <v/>
      </c>
      <c r="M3727" s="10">
        <f>HYPERLINK("http://localhost:5173/?state=Uttar%20Pradesh&amp;keyword=Agriculture&amp;tender=2026_GNIDA_1192803_12", "🚀 Open in Portal")</f>
        <v/>
      </c>
    </row>
    <row r="3728" ht="24" customHeight="1">
      <c r="A3728" s="11" t="inlineStr">
        <is>
          <t>Uttar Pradesh</t>
        </is>
      </c>
      <c r="B3728" s="12" t="inlineStr">
        <is>
          <t>Forest</t>
        </is>
      </c>
      <c r="C3728" s="13" t="inlineStr">
        <is>
          <t>2026_DOLBU_1193101_1</t>
        </is>
      </c>
      <c r="D3728" s="14" t="inlineStr">
        <is>
          <t>[Plinth protection including drain around the new office and wall and earthwork (soil filling) on the forest route behind the gate in Ward No. 14 Sohardr Nagar.]</t>
        </is>
      </c>
      <c r="E3728" s="14" t="inlineStr">
        <is>
          <t>Uttar Pradesh Public Works &amp; Technology Department</t>
        </is>
      </c>
      <c r="F3728" s="13" t="inlineStr">
        <is>
          <t>23 Oct 2026</t>
        </is>
      </c>
      <c r="G3728" s="12" t="inlineStr">
        <is>
          <t>13 Nov 2026</t>
        </is>
      </c>
      <c r="H3728" s="8" t="inlineStr">
        <is>
          <t>⏳ UPCOMING</t>
        </is>
      </c>
      <c r="I3728" s="11" t="inlineStr">
        <is>
          <t>Tendernotice_1.pdf</t>
        </is>
      </c>
      <c r="J3728" s="13" t="inlineStr">
        <is>
          <t>📕 PDF Document</t>
        </is>
      </c>
      <c r="K3728" s="15" t="n">
        <v>17.9</v>
      </c>
      <c r="L3728" s="16">
        <f>HYPERLINK("http://127.0.0.1:8000/api/documents/download?id=937&amp;attachment=true", "⬇ Download Tendernotice_1.pdf")</f>
        <v/>
      </c>
      <c r="M3728" s="16">
        <f>HYPERLINK("http://localhost:5173/?state=Uttar%20Pradesh&amp;keyword=Forest&amp;tender=2026_DOLBU_1193101_1", "🚀 Open in Portal")</f>
        <v/>
      </c>
    </row>
    <row r="3729" ht="24" customHeight="1">
      <c r="A3729" s="4" t="inlineStr">
        <is>
          <t>Uttar Pradesh</t>
        </is>
      </c>
      <c r="B3729" s="5" t="inlineStr">
        <is>
          <t>Forest</t>
        </is>
      </c>
      <c r="C3729" s="6" t="inlineStr">
        <is>
          <t>2026_DOLBU_1193101_1</t>
        </is>
      </c>
      <c r="D3729" s="7" t="inlineStr">
        <is>
          <t>[Plinth protection including drain around the new office and wall and earthwork (soil filling) on the forest route behind the gate in Ward No. 14 Sohardr Nagar.]</t>
        </is>
      </c>
      <c r="E3729" s="7" t="inlineStr">
        <is>
          <t>Uttar Pradesh Public Works &amp; Technology Department</t>
        </is>
      </c>
      <c r="F3729" s="6" t="inlineStr">
        <is>
          <t>23 Oct 2026</t>
        </is>
      </c>
      <c r="G3729" s="5" t="inlineStr">
        <is>
          <t>13 Nov 2026</t>
        </is>
      </c>
      <c r="H3729" s="8" t="inlineStr">
        <is>
          <t>⏳ UPCOMING</t>
        </is>
      </c>
      <c r="I3729" s="4" t="inlineStr">
        <is>
          <t>BOQ_2251949.xls</t>
        </is>
      </c>
      <c r="J3729" s="6" t="inlineStr">
        <is>
          <t>📊 Excel BOQ</t>
        </is>
      </c>
      <c r="K3729" s="9" t="n">
        <v>2.5</v>
      </c>
      <c r="L3729" s="10">
        <f>HYPERLINK("http://127.0.0.1:8000/api/documents/download?id=938&amp;attachment=true", "⬇ Download BOQ_2251949.xls")</f>
        <v/>
      </c>
      <c r="M3729" s="10">
        <f>HYPERLINK("http://localhost:5173/?state=Uttar%20Pradesh&amp;keyword=Forest&amp;tender=2026_DOLBU_1193101_1", "🚀 Open in Portal")</f>
        <v/>
      </c>
    </row>
    <row r="3730" ht="24" customHeight="1">
      <c r="A3730" s="11" t="inlineStr">
        <is>
          <t>Uttar Pradesh</t>
        </is>
      </c>
      <c r="B3730" s="12" t="inlineStr">
        <is>
          <t>Forest</t>
        </is>
      </c>
      <c r="C3730" s="13" t="inlineStr">
        <is>
          <t>2026_DOLBU_1193101_1</t>
        </is>
      </c>
      <c r="D3730" s="14" t="inlineStr">
        <is>
          <t>[Plinth protection including drain around the new office and wall and earthwork (soil filling) on the forest route behind the gate in Ward No. 14 Sohardr Nagar.]</t>
        </is>
      </c>
      <c r="E3730" s="14" t="inlineStr">
        <is>
          <t>Uttar Pradesh Public Works &amp; Technology Department</t>
        </is>
      </c>
      <c r="F3730" s="13" t="inlineStr">
        <is>
          <t>23 Oct 2026</t>
        </is>
      </c>
      <c r="G3730" s="12" t="inlineStr">
        <is>
          <t>13 Nov 2026</t>
        </is>
      </c>
      <c r="H3730" s="8" t="inlineStr">
        <is>
          <t>⏳ UPCOMING</t>
        </is>
      </c>
      <c r="I3730" s="11" t="inlineStr">
        <is>
          <t>Tender_2026_DOLBU_1193101_1_All_Documents.zip</t>
        </is>
      </c>
      <c r="J3730" s="13" t="inlineStr">
        <is>
          <t>📦 ZIP Package</t>
        </is>
      </c>
      <c r="K3730" s="15" t="n">
        <v>11.6</v>
      </c>
      <c r="L3730" s="16">
        <f>HYPERLINK("http://127.0.0.1:8000/api/documents/download?id=939&amp;attachment=true", "⬇ Download Tender_2026_DOLBU_119310")</f>
        <v/>
      </c>
      <c r="M3730" s="16">
        <f>HYPERLINK("http://localhost:5173/?state=Uttar%20Pradesh&amp;keyword=Forest&amp;tender=2026_DOLBU_1193101_1", "🚀 Open in Portal")</f>
        <v/>
      </c>
    </row>
    <row r="3731" ht="24" customHeight="1">
      <c r="A3731" s="4" t="inlineStr">
        <is>
          <t>Uttar Pradesh</t>
        </is>
      </c>
      <c r="B3731" s="5" t="inlineStr">
        <is>
          <t>Forest</t>
        </is>
      </c>
      <c r="C3731" s="6" t="inlineStr">
        <is>
          <t>2026_DPUP_1193303_1</t>
        </is>
      </c>
      <c r="D3731" s="7" t="inlineStr">
        <is>
          <t>[Design Engineering and Procurement for Construction of Green Eco Friendly Office at Headquarters of ForestDepartment at District Lucknow Uttar Pradesh INDIA on EPC basis]</t>
        </is>
      </c>
      <c r="E3731" s="7" t="inlineStr">
        <is>
          <t>Uttar Pradesh Public Works &amp; Technology Department</t>
        </is>
      </c>
      <c r="F3731" s="6" t="inlineStr">
        <is>
          <t>14 Aug 2026</t>
        </is>
      </c>
      <c r="G3731" s="5" t="inlineStr">
        <is>
          <t>10 Sep 2026</t>
        </is>
      </c>
      <c r="H3731" s="8" t="inlineStr">
        <is>
          <t>⏳ UPCOMING</t>
        </is>
      </c>
      <c r="I3731" s="4" t="inlineStr">
        <is>
          <t>Tendernotice_1.pdf</t>
        </is>
      </c>
      <c r="J3731" s="6" t="inlineStr">
        <is>
          <t>📕 PDF Document</t>
        </is>
      </c>
      <c r="K3731" s="9" t="n">
        <v>17.9</v>
      </c>
      <c r="L3731" s="10">
        <f>HYPERLINK("http://127.0.0.1:8000/api/documents/download?id=933&amp;attachment=true", "⬇ Download Tendernotice_1.pdf")</f>
        <v/>
      </c>
      <c r="M3731" s="10">
        <f>HYPERLINK("http://localhost:5173/?state=Uttar%20Pradesh&amp;keyword=Forest&amp;tender=2026_DPUP_1193303_1", "🚀 Open in Portal")</f>
        <v/>
      </c>
    </row>
    <row r="3732" ht="24" customHeight="1">
      <c r="A3732" s="11" t="inlineStr">
        <is>
          <t>Uttar Pradesh</t>
        </is>
      </c>
      <c r="B3732" s="12" t="inlineStr">
        <is>
          <t>Forest</t>
        </is>
      </c>
      <c r="C3732" s="13" t="inlineStr">
        <is>
          <t>2026_DPUP_1193303_1</t>
        </is>
      </c>
      <c r="D3732" s="14" t="inlineStr">
        <is>
          <t>[Design Engineering and Procurement for Construction of Green Eco Friendly Office at Headquarters of ForestDepartment at District Lucknow Uttar Pradesh INDIA on EPC basis]</t>
        </is>
      </c>
      <c r="E3732" s="14" t="inlineStr">
        <is>
          <t>Uttar Pradesh Public Works &amp; Technology Department</t>
        </is>
      </c>
      <c r="F3732" s="13" t="inlineStr">
        <is>
          <t>14 Aug 2026</t>
        </is>
      </c>
      <c r="G3732" s="12" t="inlineStr">
        <is>
          <t>10 Sep 2026</t>
        </is>
      </c>
      <c r="H3732" s="8" t="inlineStr">
        <is>
          <t>⏳ UPCOMING</t>
        </is>
      </c>
      <c r="I3732" s="11" t="inlineStr">
        <is>
          <t>Vol1to6nSoilreport.rar</t>
        </is>
      </c>
      <c r="J3732" s="13" t="inlineStr">
        <is>
          <t>📄 RAR</t>
        </is>
      </c>
      <c r="K3732" s="15" t="n">
        <v>17.9</v>
      </c>
      <c r="L3732" s="16">
        <f>HYPERLINK("http://127.0.0.1:8000/api/documents/download?id=934&amp;attachment=true", "⬇ Download Vol1to6nSoilreport.rar")</f>
        <v/>
      </c>
      <c r="M3732" s="16">
        <f>HYPERLINK("http://localhost:5173/?state=Uttar%20Pradesh&amp;keyword=Forest&amp;tender=2026_DPUP_1193303_1", "🚀 Open in Portal")</f>
        <v/>
      </c>
    </row>
    <row r="3733" ht="24" customHeight="1">
      <c r="A3733" s="4" t="inlineStr">
        <is>
          <t>Uttar Pradesh</t>
        </is>
      </c>
      <c r="B3733" s="5" t="inlineStr">
        <is>
          <t>Forest</t>
        </is>
      </c>
      <c r="C3733" s="6" t="inlineStr">
        <is>
          <t>2026_DPUP_1193303_1</t>
        </is>
      </c>
      <c r="D3733" s="7" t="inlineStr">
        <is>
          <t>[Design Engineering and Procurement for Construction of Green Eco Friendly Office at Headquarters of ForestDepartment at District Lucknow Uttar Pradesh INDIA on EPC basis]</t>
        </is>
      </c>
      <c r="E3733" s="7" t="inlineStr">
        <is>
          <t>Uttar Pradesh Public Works &amp; Technology Department</t>
        </is>
      </c>
      <c r="F3733" s="6" t="inlineStr">
        <is>
          <t>14 Aug 2026</t>
        </is>
      </c>
      <c r="G3733" s="5" t="inlineStr">
        <is>
          <t>10 Sep 2026</t>
        </is>
      </c>
      <c r="H3733" s="8" t="inlineStr">
        <is>
          <t>⏳ UPCOMING</t>
        </is>
      </c>
      <c r="I3733" s="4" t="inlineStr">
        <is>
          <t>BOQ_2252293.xls</t>
        </is>
      </c>
      <c r="J3733" s="6" t="inlineStr">
        <is>
          <t>📊 Excel BOQ</t>
        </is>
      </c>
      <c r="K3733" s="9" t="n">
        <v>2.5</v>
      </c>
      <c r="L3733" s="10">
        <f>HYPERLINK("http://127.0.0.1:8000/api/documents/download?id=935&amp;attachment=true", "⬇ Download BOQ_2252293.xls")</f>
        <v/>
      </c>
      <c r="M3733" s="10">
        <f>HYPERLINK("http://localhost:5173/?state=Uttar%20Pradesh&amp;keyword=Forest&amp;tender=2026_DPUP_1193303_1", "🚀 Open in Portal")</f>
        <v/>
      </c>
    </row>
    <row r="3734" ht="24" customHeight="1">
      <c r="A3734" s="11" t="inlineStr">
        <is>
          <t>Uttar Pradesh</t>
        </is>
      </c>
      <c r="B3734" s="12" t="inlineStr">
        <is>
          <t>Forest</t>
        </is>
      </c>
      <c r="C3734" s="13" t="inlineStr">
        <is>
          <t>2026_DPUP_1193303_1</t>
        </is>
      </c>
      <c r="D3734" s="14" t="inlineStr">
        <is>
          <t>[Design Engineering and Procurement for Construction of Green Eco Friendly Office at Headquarters of ForestDepartment at District Lucknow Uttar Pradesh INDIA on EPC basis]</t>
        </is>
      </c>
      <c r="E3734" s="14" t="inlineStr">
        <is>
          <t>Uttar Pradesh Public Works &amp; Technology Department</t>
        </is>
      </c>
      <c r="F3734" s="13" t="inlineStr">
        <is>
          <t>14 Aug 2026</t>
        </is>
      </c>
      <c r="G3734" s="12" t="inlineStr">
        <is>
          <t>10 Sep 2026</t>
        </is>
      </c>
      <c r="H3734" s="8" t="inlineStr">
        <is>
          <t>⏳ UPCOMING</t>
        </is>
      </c>
      <c r="I3734" s="11" t="inlineStr">
        <is>
          <t>Tender_2026_DPUP_1193303_1_All_Documents.zip</t>
        </is>
      </c>
      <c r="J3734" s="13" t="inlineStr">
        <is>
          <t>📦 ZIP Package</t>
        </is>
      </c>
      <c r="K3734" s="15" t="n">
        <v>20.8</v>
      </c>
      <c r="L3734" s="16">
        <f>HYPERLINK("http://127.0.0.1:8000/api/documents/download?id=936&amp;attachment=true", "⬇ Download Tender_2026_DPUP_1193303")</f>
        <v/>
      </c>
      <c r="M3734" s="16">
        <f>HYPERLINK("http://localhost:5173/?state=Uttar%20Pradesh&amp;keyword=Forest&amp;tender=2026_DPUP_1193303_1", "🚀 Open in Portal")</f>
        <v/>
      </c>
    </row>
    <row r="3735" ht="24" customHeight="1">
      <c r="A3735" s="4" t="inlineStr">
        <is>
          <t>Uttar Pradesh</t>
        </is>
      </c>
      <c r="B3735" s="5" t="inlineStr">
        <is>
          <t>Forest</t>
        </is>
      </c>
      <c r="C3735" s="6" t="inlineStr">
        <is>
          <t>2026_UPHDB_1190239_1</t>
        </is>
      </c>
      <c r="D3735" s="7" t="inlineStr">
        <is>
          <t>[Construction work of septic tank and toilet block in Kasturba Balika Vidyalaya Bamor Gursarai Mauranipur Month Babina Bangra Chirgaon and Forest Village in Jhansi]</t>
        </is>
      </c>
      <c r="E3735" s="7" t="inlineStr">
        <is>
          <t>Uttar Pradesh Public Works &amp; Technology Department</t>
        </is>
      </c>
      <c r="F3735" s="6" t="inlineStr">
        <is>
          <t>17 Aug 2026</t>
        </is>
      </c>
      <c r="G3735" s="5" t="inlineStr">
        <is>
          <t>15 Sep 2026</t>
        </is>
      </c>
      <c r="H3735" s="8" t="inlineStr">
        <is>
          <t>⏳ UPCOMING</t>
        </is>
      </c>
      <c r="I3735" s="4" t="inlineStr">
        <is>
          <t>Tendernotice_1.pdf</t>
        </is>
      </c>
      <c r="J3735" s="6" t="inlineStr">
        <is>
          <t>📕 PDF Document</t>
        </is>
      </c>
      <c r="K3735" s="9" t="n">
        <v>17.9</v>
      </c>
      <c r="L3735" s="10">
        <f>HYPERLINK("http://127.0.0.1:8000/api/documents/download?id=940&amp;attachment=true", "⬇ Download Tendernotice_1.pdf")</f>
        <v/>
      </c>
      <c r="M3735" s="10">
        <f>HYPERLINK("http://localhost:5173/?state=Uttar%20Pradesh&amp;keyword=Forest&amp;tender=2026_UPHDB_1190239_1", "🚀 Open in Portal")</f>
        <v/>
      </c>
    </row>
    <row r="3736" ht="24" customHeight="1">
      <c r="A3736" s="11" t="inlineStr">
        <is>
          <t>Uttar Pradesh</t>
        </is>
      </c>
      <c r="B3736" s="12" t="inlineStr">
        <is>
          <t>Forest</t>
        </is>
      </c>
      <c r="C3736" s="13" t="inlineStr">
        <is>
          <t>2026_UPHDB_1190239_1</t>
        </is>
      </c>
      <c r="D3736" s="14" t="inlineStr">
        <is>
          <t>[Construction work of septic tank and toilet block in Kasturba Balika Vidyalaya Bamor Gursarai Mauranipur Month Babina Bangra Chirgaon and Forest Village in Jhansi]</t>
        </is>
      </c>
      <c r="E3736" s="14" t="inlineStr">
        <is>
          <t>Uttar Pradesh Public Works &amp; Technology Department</t>
        </is>
      </c>
      <c r="F3736" s="13" t="inlineStr">
        <is>
          <t>17 Aug 2026</t>
        </is>
      </c>
      <c r="G3736" s="12" t="inlineStr">
        <is>
          <t>15 Sep 2026</t>
        </is>
      </c>
      <c r="H3736" s="8" t="inlineStr">
        <is>
          <t>⏳ UPCOMING</t>
        </is>
      </c>
      <c r="I3736" s="11" t="inlineStr">
        <is>
          <t>TECHONE.pdf</t>
        </is>
      </c>
      <c r="J3736" s="13" t="inlineStr">
        <is>
          <t>📕 PDF Document</t>
        </is>
      </c>
      <c r="K3736" s="15" t="n">
        <v>17.9</v>
      </c>
      <c r="L3736" s="16">
        <f>HYPERLINK("http://127.0.0.1:8000/api/documents/download?id=941&amp;attachment=true", "⬇ Download TECHONE.pdf")</f>
        <v/>
      </c>
      <c r="M3736" s="16">
        <f>HYPERLINK("http://localhost:5173/?state=Uttar%20Pradesh&amp;keyword=Forest&amp;tender=2026_UPHDB_1190239_1", "🚀 Open in Portal")</f>
        <v/>
      </c>
    </row>
    <row r="3737" ht="24" customHeight="1">
      <c r="A3737" s="4" t="inlineStr">
        <is>
          <t>Uttar Pradesh</t>
        </is>
      </c>
      <c r="B3737" s="5" t="inlineStr">
        <is>
          <t>Forest</t>
        </is>
      </c>
      <c r="C3737" s="6" t="inlineStr">
        <is>
          <t>2026_UPHDB_1190239_1</t>
        </is>
      </c>
      <c r="D3737" s="7" t="inlineStr">
        <is>
          <t>[Construction work of septic tank and toilet block in Kasturba Balika Vidyalaya Bamor Gursarai Mauranipur Month Babina Bangra Chirgaon and Forest Village in Jhansi]</t>
        </is>
      </c>
      <c r="E3737" s="7" t="inlineStr">
        <is>
          <t>Uttar Pradesh Public Works &amp; Technology Department</t>
        </is>
      </c>
      <c r="F3737" s="6" t="inlineStr">
        <is>
          <t>17 Aug 2026</t>
        </is>
      </c>
      <c r="G3737" s="5" t="inlineStr">
        <is>
          <t>15 Sep 2026</t>
        </is>
      </c>
      <c r="H3737" s="8" t="inlineStr">
        <is>
          <t>⏳ UPCOMING</t>
        </is>
      </c>
      <c r="I3737" s="4" t="inlineStr">
        <is>
          <t>FINCHONE.pdf</t>
        </is>
      </c>
      <c r="J3737" s="6" t="inlineStr">
        <is>
          <t>📕 PDF Document</t>
        </is>
      </c>
      <c r="K3737" s="9" t="n">
        <v>17.9</v>
      </c>
      <c r="L3737" s="10">
        <f>HYPERLINK("http://127.0.0.1:8000/api/documents/download?id=942&amp;attachment=true", "⬇ Download FINCHONE.pdf")</f>
        <v/>
      </c>
      <c r="M3737" s="10">
        <f>HYPERLINK("http://localhost:5173/?state=Uttar%20Pradesh&amp;keyword=Forest&amp;tender=2026_UPHDB_1190239_1", "🚀 Open in Portal")</f>
        <v/>
      </c>
    </row>
    <row r="3738" ht="24" customHeight="1">
      <c r="A3738" s="11" t="inlineStr">
        <is>
          <t>Uttar Pradesh</t>
        </is>
      </c>
      <c r="B3738" s="12" t="inlineStr">
        <is>
          <t>Forest</t>
        </is>
      </c>
      <c r="C3738" s="13" t="inlineStr">
        <is>
          <t>2026_UPHDB_1190239_1</t>
        </is>
      </c>
      <c r="D3738" s="14" t="inlineStr">
        <is>
          <t>[Construction work of septic tank and toilet block in Kasturba Balika Vidyalaya Bamor Gursarai Mauranipur Month Babina Bangra Chirgaon and Forest Village in Jhansi]</t>
        </is>
      </c>
      <c r="E3738" s="14" t="inlineStr">
        <is>
          <t>Uttar Pradesh Public Works &amp; Technology Department</t>
        </is>
      </c>
      <c r="F3738" s="13" t="inlineStr">
        <is>
          <t>17 Aug 2026</t>
        </is>
      </c>
      <c r="G3738" s="12" t="inlineStr">
        <is>
          <t>15 Sep 2026</t>
        </is>
      </c>
      <c r="H3738" s="8" t="inlineStr">
        <is>
          <t>⏳ UPCOMING</t>
        </is>
      </c>
      <c r="I3738" s="11" t="inlineStr">
        <is>
          <t>BOQ_2243190.xls</t>
        </is>
      </c>
      <c r="J3738" s="13" t="inlineStr">
        <is>
          <t>📊 Excel BOQ</t>
        </is>
      </c>
      <c r="K3738" s="15" t="n">
        <v>2.5</v>
      </c>
      <c r="L3738" s="16">
        <f>HYPERLINK("http://127.0.0.1:8000/api/documents/download?id=943&amp;attachment=true", "⬇ Download BOQ_2243190.xls")</f>
        <v/>
      </c>
      <c r="M3738" s="16">
        <f>HYPERLINK("http://localhost:5173/?state=Uttar%20Pradesh&amp;keyword=Forest&amp;tender=2026_UPHDB_1190239_1", "🚀 Open in Portal")</f>
        <v/>
      </c>
    </row>
    <row r="3739" ht="24" customHeight="1">
      <c r="A3739" s="4" t="inlineStr">
        <is>
          <t>Uttar Pradesh</t>
        </is>
      </c>
      <c r="B3739" s="5" t="inlineStr">
        <is>
          <t>Forest</t>
        </is>
      </c>
      <c r="C3739" s="6" t="inlineStr">
        <is>
          <t>2026_UPHDB_1190239_1</t>
        </is>
      </c>
      <c r="D3739" s="7" t="inlineStr">
        <is>
          <t>[Construction work of septic tank and toilet block in Kasturba Balika Vidyalaya Bamor Gursarai Mauranipur Month Babina Bangra Chirgaon and Forest Village in Jhansi]</t>
        </is>
      </c>
      <c r="E3739" s="7" t="inlineStr">
        <is>
          <t>Uttar Pradesh Public Works &amp; Technology Department</t>
        </is>
      </c>
      <c r="F3739" s="6" t="inlineStr">
        <is>
          <t>17 Aug 2026</t>
        </is>
      </c>
      <c r="G3739" s="5" t="inlineStr">
        <is>
          <t>15 Sep 2026</t>
        </is>
      </c>
      <c r="H3739" s="8" t="inlineStr">
        <is>
          <t>⏳ UPCOMING</t>
        </is>
      </c>
      <c r="I3739" s="4" t="inlineStr">
        <is>
          <t>Tender_2026_UPHDB_1190239_1_All_Documents.zip</t>
        </is>
      </c>
      <c r="J3739" s="6" t="inlineStr">
        <is>
          <t>📦 ZIP Package</t>
        </is>
      </c>
      <c r="K3739" s="9" t="n">
        <v>30</v>
      </c>
      <c r="L3739" s="10">
        <f>HYPERLINK("http://127.0.0.1:8000/api/documents/download?id=944&amp;attachment=true", "⬇ Download Tender_2026_UPHDB_119023")</f>
        <v/>
      </c>
      <c r="M3739" s="10">
        <f>HYPERLINK("http://localhost:5173/?state=Uttar%20Pradesh&amp;keyword=Forest&amp;tender=2026_UPHDB_1190239_1", "🚀 Open in Portal")</f>
        <v/>
      </c>
    </row>
    <row r="3740" ht="24" customHeight="1">
      <c r="A3740" s="11" t="inlineStr">
        <is>
          <t>Uttar Pradesh</t>
        </is>
      </c>
      <c r="B3740" s="12" t="inlineStr">
        <is>
          <t>Forest</t>
        </is>
      </c>
      <c r="C3740" s="13" t="inlineStr">
        <is>
          <t>2026_UPHDB_1193457_6</t>
        </is>
      </c>
      <c r="D3740" s="14" t="inlineStr">
        <is>
          <t>[CONSTRUCTION OF TOILET BLOCK AND BOUNDARY WALL AT KASTURBA GANDHI BALIKA VIDHALAYA JUNGLE KAURIA, BOUNDARY WALL AT CAIMPIARGANJ AND BOUNDARY WALL AT FOREST VILLAGE DISTT GORAKHPUR]</t>
        </is>
      </c>
      <c r="E3740" s="14" t="inlineStr">
        <is>
          <t>Uttar Pradesh Public Works &amp; Technology Department</t>
        </is>
      </c>
      <c r="F3740" s="13" t="inlineStr">
        <is>
          <t>10 Aug 2026</t>
        </is>
      </c>
      <c r="G3740" s="12" t="inlineStr">
        <is>
          <t>06 Sep 2026</t>
        </is>
      </c>
      <c r="H3740" s="8" t="inlineStr">
        <is>
          <t>⏳ UPCOMING</t>
        </is>
      </c>
      <c r="I3740" s="11" t="inlineStr">
        <is>
          <t>Tendernotice_1.pdf</t>
        </is>
      </c>
      <c r="J3740" s="13" t="inlineStr">
        <is>
          <t>📕 PDF Document</t>
        </is>
      </c>
      <c r="K3740" s="15" t="n">
        <v>17.9</v>
      </c>
      <c r="L3740" s="16">
        <f>HYPERLINK("http://127.0.0.1:8000/api/documents/download?id=928&amp;attachment=true", "⬇ Download Tendernotice_1.pdf")</f>
        <v/>
      </c>
      <c r="M3740" s="16">
        <f>HYPERLINK("http://localhost:5173/?state=Uttar%20Pradesh&amp;keyword=Forest&amp;tender=2026_UPHDB_1193457_6", "🚀 Open in Portal")</f>
        <v/>
      </c>
    </row>
    <row r="3741" ht="24" customHeight="1">
      <c r="A3741" s="4" t="inlineStr">
        <is>
          <t>Uttar Pradesh</t>
        </is>
      </c>
      <c r="B3741" s="5" t="inlineStr">
        <is>
          <t>Forest</t>
        </is>
      </c>
      <c r="C3741" s="6" t="inlineStr">
        <is>
          <t>2026_UPHDB_1193457_6</t>
        </is>
      </c>
      <c r="D3741" s="7" t="inlineStr">
        <is>
          <t>[CONSTRUCTION OF TOILET BLOCK AND BOUNDARY WALL AT KASTURBA GANDHI BALIKA VIDHALAYA JUNGLE KAURIA, BOUNDARY WALL AT CAIMPIARGANJ AND BOUNDARY WALL AT FOREST VILLAGE DISTT GORAKHPUR]</t>
        </is>
      </c>
      <c r="E3741" s="7" t="inlineStr">
        <is>
          <t>Uttar Pradesh Public Works &amp; Technology Department</t>
        </is>
      </c>
      <c r="F3741" s="6" t="inlineStr">
        <is>
          <t>10 Aug 2026</t>
        </is>
      </c>
      <c r="G3741" s="5" t="inlineStr">
        <is>
          <t>06 Sep 2026</t>
        </is>
      </c>
      <c r="H3741" s="8" t="inlineStr">
        <is>
          <t>⏳ UPCOMING</t>
        </is>
      </c>
      <c r="I3741" s="4" t="inlineStr">
        <is>
          <t>BOQ_2253505.xls</t>
        </is>
      </c>
      <c r="J3741" s="6" t="inlineStr">
        <is>
          <t>📊 Excel BOQ</t>
        </is>
      </c>
      <c r="K3741" s="9" t="n">
        <v>2.5</v>
      </c>
      <c r="L3741" s="10">
        <f>HYPERLINK("http://127.0.0.1:8000/api/documents/download?id=929&amp;attachment=true", "⬇ Download BOQ_2253505.xls")</f>
        <v/>
      </c>
      <c r="M3741" s="10">
        <f>HYPERLINK("http://localhost:5173/?state=Uttar%20Pradesh&amp;keyword=Forest&amp;tender=2026_UPHDB_1193457_6", "🚀 Open in Portal")</f>
        <v/>
      </c>
    </row>
    <row r="3742" ht="24" customHeight="1">
      <c r="A3742" s="11" t="inlineStr">
        <is>
          <t>Uttar Pradesh</t>
        </is>
      </c>
      <c r="B3742" s="12" t="inlineStr">
        <is>
          <t>Forest</t>
        </is>
      </c>
      <c r="C3742" s="13" t="inlineStr">
        <is>
          <t>2026_UPHDB_1193457_6</t>
        </is>
      </c>
      <c r="D3742" s="14" t="inlineStr">
        <is>
          <t>[CONSTRUCTION OF TOILET BLOCK AND BOUNDARY WALL AT KASTURBA GANDHI BALIKA VIDHALAYA JUNGLE KAURIA, BOUNDARY WALL AT CAIMPIARGANJ AND BOUNDARY WALL AT FOREST VILLAGE DISTT GORAKHPUR]</t>
        </is>
      </c>
      <c r="E3742" s="14" t="inlineStr">
        <is>
          <t>Uttar Pradesh Public Works &amp; Technology Department</t>
        </is>
      </c>
      <c r="F3742" s="13" t="inlineStr">
        <is>
          <t>10 Aug 2026</t>
        </is>
      </c>
      <c r="G3742" s="12" t="inlineStr">
        <is>
          <t>06 Sep 2026</t>
        </is>
      </c>
      <c r="H3742" s="8" t="inlineStr">
        <is>
          <t>⏳ UPCOMING</t>
        </is>
      </c>
      <c r="I3742" s="11" t="inlineStr">
        <is>
          <t>FINANCIALKAURIA.pdf</t>
        </is>
      </c>
      <c r="J3742" s="13" t="inlineStr">
        <is>
          <t>📕 PDF Document</t>
        </is>
      </c>
      <c r="K3742" s="15" t="n">
        <v>17.9</v>
      </c>
      <c r="L3742" s="16">
        <f>HYPERLINK("http://127.0.0.1:8000/api/documents/download?id=930&amp;attachment=true", "⬇ Download FINANCIALKAURIA.pdf")</f>
        <v/>
      </c>
      <c r="M3742" s="16">
        <f>HYPERLINK("http://localhost:5173/?state=Uttar%20Pradesh&amp;keyword=Forest&amp;tender=2026_UPHDB_1193457_6", "🚀 Open in Portal")</f>
        <v/>
      </c>
    </row>
    <row r="3743" ht="24" customHeight="1">
      <c r="A3743" s="4" t="inlineStr">
        <is>
          <t>Uttar Pradesh</t>
        </is>
      </c>
      <c r="B3743" s="5" t="inlineStr">
        <is>
          <t>Forest</t>
        </is>
      </c>
      <c r="C3743" s="6" t="inlineStr">
        <is>
          <t>2026_UPHDB_1193457_6</t>
        </is>
      </c>
      <c r="D3743" s="7" t="inlineStr">
        <is>
          <t>[CONSTRUCTION OF TOILET BLOCK AND BOUNDARY WALL AT KASTURBA GANDHI BALIKA VIDHALAYA JUNGLE KAURIA, BOUNDARY WALL AT CAIMPIARGANJ AND BOUNDARY WALL AT FOREST VILLAGE DISTT GORAKHPUR]</t>
        </is>
      </c>
      <c r="E3743" s="7" t="inlineStr">
        <is>
          <t>Uttar Pradesh Public Works &amp; Technology Department</t>
        </is>
      </c>
      <c r="F3743" s="6" t="inlineStr">
        <is>
          <t>10 Aug 2026</t>
        </is>
      </c>
      <c r="G3743" s="5" t="inlineStr">
        <is>
          <t>06 Sep 2026</t>
        </is>
      </c>
      <c r="H3743" s="8" t="inlineStr">
        <is>
          <t>⏳ UPCOMING</t>
        </is>
      </c>
      <c r="I3743" s="4" t="inlineStr">
        <is>
          <t>TECHNICALKAURIA.pdf</t>
        </is>
      </c>
      <c r="J3743" s="6" t="inlineStr">
        <is>
          <t>📕 PDF Document</t>
        </is>
      </c>
      <c r="K3743" s="9" t="n">
        <v>17.9</v>
      </c>
      <c r="L3743" s="10">
        <f>HYPERLINK("http://127.0.0.1:8000/api/documents/download?id=931&amp;attachment=true", "⬇ Download TECHNICALKAURIA.pdf")</f>
        <v/>
      </c>
      <c r="M3743" s="10">
        <f>HYPERLINK("http://localhost:5173/?state=Uttar%20Pradesh&amp;keyword=Forest&amp;tender=2026_UPHDB_1193457_6", "🚀 Open in Portal")</f>
        <v/>
      </c>
    </row>
    <row r="3744" ht="24" customHeight="1">
      <c r="A3744" s="11" t="inlineStr">
        <is>
          <t>Uttar Pradesh</t>
        </is>
      </c>
      <c r="B3744" s="12" t="inlineStr">
        <is>
          <t>Forest</t>
        </is>
      </c>
      <c r="C3744" s="13" t="inlineStr">
        <is>
          <t>2026_UPHDB_1193457_6</t>
        </is>
      </c>
      <c r="D3744" s="14" t="inlineStr">
        <is>
          <t>[CONSTRUCTION OF TOILET BLOCK AND BOUNDARY WALL AT KASTURBA GANDHI BALIKA VIDHALAYA JUNGLE KAURIA, BOUNDARY WALL AT CAIMPIARGANJ AND BOUNDARY WALL AT FOREST VILLAGE DISTT GORAKHPUR]</t>
        </is>
      </c>
      <c r="E3744" s="14" t="inlineStr">
        <is>
          <t>Uttar Pradesh Public Works &amp; Technology Department</t>
        </is>
      </c>
      <c r="F3744" s="13" t="inlineStr">
        <is>
          <t>10 Aug 2026</t>
        </is>
      </c>
      <c r="G3744" s="12" t="inlineStr">
        <is>
          <t>06 Sep 2026</t>
        </is>
      </c>
      <c r="H3744" s="8" t="inlineStr">
        <is>
          <t>⏳ UPCOMING</t>
        </is>
      </c>
      <c r="I3744" s="11" t="inlineStr">
        <is>
          <t>Tender_2026_UPHDB_1193457_6_All_Documents.zip</t>
        </is>
      </c>
      <c r="J3744" s="13" t="inlineStr">
        <is>
          <t>📦 ZIP Package</t>
        </is>
      </c>
      <c r="K3744" s="15" t="n">
        <v>30.3</v>
      </c>
      <c r="L3744" s="16">
        <f>HYPERLINK("http://127.0.0.1:8000/api/documents/download?id=932&amp;attachment=true", "⬇ Download Tender_2026_UPHDB_119345")</f>
        <v/>
      </c>
      <c r="M3744" s="16">
        <f>HYPERLINK("http://localhost:5173/?state=Uttar%20Pradesh&amp;keyword=Forest&amp;tender=2026_UPHDB_1193457_6", "🚀 Open in Portal")</f>
        <v/>
      </c>
    </row>
    <row r="3745" ht="24" customHeight="1">
      <c r="A3745" s="4" t="inlineStr">
        <is>
          <t>Uttar Pradesh</t>
        </is>
      </c>
      <c r="B3745" s="5" t="inlineStr">
        <is>
          <t>Water Resources</t>
        </is>
      </c>
      <c r="C3745" s="6" t="inlineStr">
        <is>
          <t>2026_UTT_3518748_98</t>
        </is>
      </c>
      <c r="D3745" s="7" t="inlineStr">
        <is>
          <t>Water Resources-Based River Basin Hydro-Meteorological Sensor Network &amp; GIS Flood Simulation</t>
        </is>
      </c>
      <c r="E3745" s="7" t="inlineStr">
        <is>
          <t>WATER RESOURCES &amp; IRRIGATION DEPARTMENT</t>
        </is>
      </c>
      <c r="F3745" s="6" t="inlineStr">
        <is>
          <t>25 Aug 2026</t>
        </is>
      </c>
      <c r="G3745" s="5" t="inlineStr">
        <is>
          <t>19 Sep 2026</t>
        </is>
      </c>
      <c r="H3745" s="8" t="inlineStr">
        <is>
          <t>⏳ UPCOMING</t>
        </is>
      </c>
      <c r="I3745" s="4" t="inlineStr">
        <is>
          <t>Tendernotice_2026_UTT_3518748_98.pdf</t>
        </is>
      </c>
      <c r="J3745" s="6" t="inlineStr">
        <is>
          <t>📕 PDF Document</t>
        </is>
      </c>
      <c r="K3745" s="9" t="n">
        <v>17.9</v>
      </c>
      <c r="L3745" s="10">
        <f>HYPERLINK("http://127.0.0.1:8000/api/documents/download?id=3185&amp;attachment=true", "⬇ Download Tendernotice_2026_UTT_35")</f>
        <v/>
      </c>
      <c r="M3745" s="10">
        <f>HYPERLINK("http://localhost:5173/?state=Uttar%20Pradesh&amp;keyword=Water%20Resources&amp;tender=2026_UTT_3518748_98", "🚀 Open in Portal")</f>
        <v/>
      </c>
    </row>
    <row r="3746" ht="24" customHeight="1">
      <c r="A3746" s="11" t="inlineStr">
        <is>
          <t>Uttar Pradesh</t>
        </is>
      </c>
      <c r="B3746" s="12" t="inlineStr">
        <is>
          <t>Water Resources</t>
        </is>
      </c>
      <c r="C3746" s="13" t="inlineStr">
        <is>
          <t>2026_UTT_3518748_98</t>
        </is>
      </c>
      <c r="D3746" s="14" t="inlineStr">
        <is>
          <t>Water Resources-Based River Basin Hydro-Meteorological Sensor Network &amp; GIS Flood Simulation</t>
        </is>
      </c>
      <c r="E3746" s="14" t="inlineStr">
        <is>
          <t>WATER RESOURCES &amp; IRRIGATION DEPARTMENT</t>
        </is>
      </c>
      <c r="F3746" s="13" t="inlineStr">
        <is>
          <t>25 Aug 2026</t>
        </is>
      </c>
      <c r="G3746" s="12" t="inlineStr">
        <is>
          <t>19 Sep 2026</t>
        </is>
      </c>
      <c r="H3746" s="8" t="inlineStr">
        <is>
          <t>⏳ UPCOMING</t>
        </is>
      </c>
      <c r="I3746" s="11" t="inlineStr">
        <is>
          <t>Technical_RFP_Specification_Water Resources.pdf</t>
        </is>
      </c>
      <c r="J3746" s="13" t="inlineStr">
        <is>
          <t>📕 PDF Document</t>
        </is>
      </c>
      <c r="K3746" s="15" t="n">
        <v>18</v>
      </c>
      <c r="L3746" s="16">
        <f>HYPERLINK("http://127.0.0.1:8000/api/documents/download?id=3186&amp;attachment=true", "⬇ Download Technical_RFP_Specificat")</f>
        <v/>
      </c>
      <c r="M3746" s="16">
        <f>HYPERLINK("http://localhost:5173/?state=Uttar%20Pradesh&amp;keyword=Water%20Resources&amp;tender=2026_UTT_3518748_98", "🚀 Open in Portal")</f>
        <v/>
      </c>
    </row>
    <row r="3747" ht="24" customHeight="1">
      <c r="A3747" s="4" t="inlineStr">
        <is>
          <t>Uttar Pradesh</t>
        </is>
      </c>
      <c r="B3747" s="5" t="inlineStr">
        <is>
          <t>Water Resources</t>
        </is>
      </c>
      <c r="C3747" s="6" t="inlineStr">
        <is>
          <t>2026_UTT_3518748_98</t>
        </is>
      </c>
      <c r="D3747" s="7" t="inlineStr">
        <is>
          <t>Water Resources-Based River Basin Hydro-Meteorological Sensor Network &amp; GIS Flood Simulation</t>
        </is>
      </c>
      <c r="E3747" s="7" t="inlineStr">
        <is>
          <t>WATER RESOURCES &amp; IRRIGATION DEPARTMENT</t>
        </is>
      </c>
      <c r="F3747" s="6" t="inlineStr">
        <is>
          <t>25 Aug 2026</t>
        </is>
      </c>
      <c r="G3747" s="5" t="inlineStr">
        <is>
          <t>19 Sep 2026</t>
        </is>
      </c>
      <c r="H3747" s="8" t="inlineStr">
        <is>
          <t>⏳ UPCOMING</t>
        </is>
      </c>
      <c r="I3747" s="4" t="inlineStr">
        <is>
          <t>BOQ_Financial_Schedule_2026_UTT_3518748_98.xlsx</t>
        </is>
      </c>
      <c r="J3747" s="6" t="inlineStr">
        <is>
          <t>📊 Excel BOQ</t>
        </is>
      </c>
      <c r="K3747" s="9" t="n">
        <v>2.5</v>
      </c>
      <c r="L3747" s="10">
        <f>HYPERLINK("http://127.0.0.1:8000/api/documents/download?id=3187&amp;attachment=true", "⬇ Download BOQ_Financial_Schedule_2")</f>
        <v/>
      </c>
      <c r="M3747" s="10">
        <f>HYPERLINK("http://localhost:5173/?state=Uttar%20Pradesh&amp;keyword=Water%20Resources&amp;tender=2026_UTT_3518748_98", "🚀 Open in Portal")</f>
        <v/>
      </c>
    </row>
    <row r="3748" ht="24" customHeight="1">
      <c r="A3748" s="11" t="inlineStr">
        <is>
          <t>Uttar Pradesh</t>
        </is>
      </c>
      <c r="B3748" s="12" t="inlineStr">
        <is>
          <t>Water Resources</t>
        </is>
      </c>
      <c r="C3748" s="13" t="inlineStr">
        <is>
          <t>2026_UTT_3518748_98</t>
        </is>
      </c>
      <c r="D3748" s="14" t="inlineStr">
        <is>
          <t>Water Resources-Based River Basin Hydro-Meteorological Sensor Network &amp; GIS Flood Simulation</t>
        </is>
      </c>
      <c r="E3748" s="14" t="inlineStr">
        <is>
          <t>WATER RESOURCES &amp; IRRIGATION DEPARTMENT</t>
        </is>
      </c>
      <c r="F3748" s="13" t="inlineStr">
        <is>
          <t>25 Aug 2026</t>
        </is>
      </c>
      <c r="G3748" s="12" t="inlineStr">
        <is>
          <t>19 Sep 2026</t>
        </is>
      </c>
      <c r="H3748" s="8" t="inlineStr">
        <is>
          <t>⏳ UPCOMING</t>
        </is>
      </c>
      <c r="I3748" s="11" t="inlineStr">
        <is>
          <t>Tender_2026_UTT_3518748_98_All_Documents.zip</t>
        </is>
      </c>
      <c r="J3748" s="13" t="inlineStr">
        <is>
          <t>📦 ZIP Package</t>
        </is>
      </c>
      <c r="K3748" s="15" t="n">
        <v>45</v>
      </c>
      <c r="L3748" s="16">
        <f>HYPERLINK("https://etender.up.nic.in/tender/2026_UTT_3518748_98", "⬇ Download Tender_2026_UTT_3518748_")</f>
        <v/>
      </c>
      <c r="M3748" s="16">
        <f>HYPERLINK("http://localhost:5173/?state=Uttar%20Pradesh&amp;keyword=Water%20Resources&amp;tender=2026_UTT_3518748_98", "🚀 Open in Portal")</f>
        <v/>
      </c>
    </row>
    <row r="3749" ht="24" customHeight="1">
      <c r="A3749" s="4" t="inlineStr">
        <is>
          <t>Uttar Pradesh</t>
        </is>
      </c>
      <c r="B3749" s="5" t="inlineStr">
        <is>
          <t>Water Resources</t>
        </is>
      </c>
      <c r="C3749" s="6" t="inlineStr">
        <is>
          <t>2026_UTT_6391429_62</t>
        </is>
      </c>
      <c r="D3749" s="7" t="inlineStr">
        <is>
          <t>Water Resources-Based River Basin Hydro-Meteorological Sensor Network &amp; GIS Flood Simulation</t>
        </is>
      </c>
      <c r="E3749" s="7" t="inlineStr">
        <is>
          <t>WATER RESOURCES &amp; IRRIGATION DEPARTMENT</t>
        </is>
      </c>
      <c r="F3749" s="6" t="inlineStr">
        <is>
          <t>27 Aug 2026</t>
        </is>
      </c>
      <c r="G3749" s="5" t="inlineStr">
        <is>
          <t>21 Sep 2026</t>
        </is>
      </c>
      <c r="H3749" s="8" t="inlineStr">
        <is>
          <t>⏳ UPCOMING</t>
        </is>
      </c>
      <c r="I3749" s="4" t="inlineStr">
        <is>
          <t>Tendernotice_2026_UTT_6391429_62.pdf</t>
        </is>
      </c>
      <c r="J3749" s="6" t="inlineStr">
        <is>
          <t>📕 PDF Document</t>
        </is>
      </c>
      <c r="K3749" s="9" t="n">
        <v>17.9</v>
      </c>
      <c r="L3749" s="10">
        <f>HYPERLINK("http://127.0.0.1:8000/api/documents/download?id=3353&amp;attachment=true", "⬇ Download Tendernotice_2026_UTT_63")</f>
        <v/>
      </c>
      <c r="M3749" s="10">
        <f>HYPERLINK("http://localhost:5173/?state=Uttar%20Pradesh&amp;keyword=Water%20Resources&amp;tender=2026_UTT_6391429_62", "🚀 Open in Portal")</f>
        <v/>
      </c>
    </row>
    <row r="3750" ht="24" customHeight="1">
      <c r="A3750" s="11" t="inlineStr">
        <is>
          <t>Uttar Pradesh</t>
        </is>
      </c>
      <c r="B3750" s="12" t="inlineStr">
        <is>
          <t>Water Resources</t>
        </is>
      </c>
      <c r="C3750" s="13" t="inlineStr">
        <is>
          <t>2026_UTT_6391429_62</t>
        </is>
      </c>
      <c r="D3750" s="14" t="inlineStr">
        <is>
          <t>Water Resources-Based River Basin Hydro-Meteorological Sensor Network &amp; GIS Flood Simulation</t>
        </is>
      </c>
      <c r="E3750" s="14" t="inlineStr">
        <is>
          <t>WATER RESOURCES &amp; IRRIGATION DEPARTMENT</t>
        </is>
      </c>
      <c r="F3750" s="13" t="inlineStr">
        <is>
          <t>27 Aug 2026</t>
        </is>
      </c>
      <c r="G3750" s="12" t="inlineStr">
        <is>
          <t>21 Sep 2026</t>
        </is>
      </c>
      <c r="H3750" s="8" t="inlineStr">
        <is>
          <t>⏳ UPCOMING</t>
        </is>
      </c>
      <c r="I3750" s="11" t="inlineStr">
        <is>
          <t>Technical_RFP_Specification_Water Resources.pdf</t>
        </is>
      </c>
      <c r="J3750" s="13" t="inlineStr">
        <is>
          <t>📕 PDF Document</t>
        </is>
      </c>
      <c r="K3750" s="15" t="n">
        <v>18</v>
      </c>
      <c r="L3750" s="16">
        <f>HYPERLINK("http://127.0.0.1:8000/api/documents/download?id=3354&amp;attachment=true", "⬇ Download Technical_RFP_Specificat")</f>
        <v/>
      </c>
      <c r="M3750" s="16">
        <f>HYPERLINK("http://localhost:5173/?state=Uttar%20Pradesh&amp;keyword=Water%20Resources&amp;tender=2026_UTT_6391429_62", "🚀 Open in Portal")</f>
        <v/>
      </c>
    </row>
    <row r="3751" ht="24" customHeight="1">
      <c r="A3751" s="4" t="inlineStr">
        <is>
          <t>Uttar Pradesh</t>
        </is>
      </c>
      <c r="B3751" s="5" t="inlineStr">
        <is>
          <t>Water Resources</t>
        </is>
      </c>
      <c r="C3751" s="6" t="inlineStr">
        <is>
          <t>2026_UTT_6391429_62</t>
        </is>
      </c>
      <c r="D3751" s="7" t="inlineStr">
        <is>
          <t>Water Resources-Based River Basin Hydro-Meteorological Sensor Network &amp; GIS Flood Simulation</t>
        </is>
      </c>
      <c r="E3751" s="7" t="inlineStr">
        <is>
          <t>WATER RESOURCES &amp; IRRIGATION DEPARTMENT</t>
        </is>
      </c>
      <c r="F3751" s="6" t="inlineStr">
        <is>
          <t>27 Aug 2026</t>
        </is>
      </c>
      <c r="G3751" s="5" t="inlineStr">
        <is>
          <t>21 Sep 2026</t>
        </is>
      </c>
      <c r="H3751" s="8" t="inlineStr">
        <is>
          <t>⏳ UPCOMING</t>
        </is>
      </c>
      <c r="I3751" s="4" t="inlineStr">
        <is>
          <t>BOQ_Financial_Schedule_2026_UTT_6391429_62.xlsx</t>
        </is>
      </c>
      <c r="J3751" s="6" t="inlineStr">
        <is>
          <t>📊 Excel BOQ</t>
        </is>
      </c>
      <c r="K3751" s="9" t="n">
        <v>2.5</v>
      </c>
      <c r="L3751" s="10">
        <f>HYPERLINK("http://127.0.0.1:8000/api/documents/download?id=3355&amp;attachment=true", "⬇ Download BOQ_Financial_Schedule_2")</f>
        <v/>
      </c>
      <c r="M3751" s="10">
        <f>HYPERLINK("http://localhost:5173/?state=Uttar%20Pradesh&amp;keyword=Water%20Resources&amp;tender=2026_UTT_6391429_62", "🚀 Open in Portal")</f>
        <v/>
      </c>
    </row>
    <row r="3752" ht="24" customHeight="1">
      <c r="A3752" s="11" t="inlineStr">
        <is>
          <t>Uttar Pradesh</t>
        </is>
      </c>
      <c r="B3752" s="12" t="inlineStr">
        <is>
          <t>Water Resources</t>
        </is>
      </c>
      <c r="C3752" s="13" t="inlineStr">
        <is>
          <t>2026_UTT_6391429_62</t>
        </is>
      </c>
      <c r="D3752" s="14" t="inlineStr">
        <is>
          <t>Water Resources-Based River Basin Hydro-Meteorological Sensor Network &amp; GIS Flood Simulation</t>
        </is>
      </c>
      <c r="E3752" s="14" t="inlineStr">
        <is>
          <t>WATER RESOURCES &amp; IRRIGATION DEPARTMENT</t>
        </is>
      </c>
      <c r="F3752" s="13" t="inlineStr">
        <is>
          <t>27 Aug 2026</t>
        </is>
      </c>
      <c r="G3752" s="12" t="inlineStr">
        <is>
          <t>21 Sep 2026</t>
        </is>
      </c>
      <c r="H3752" s="8" t="inlineStr">
        <is>
          <t>⏳ UPCOMING</t>
        </is>
      </c>
      <c r="I3752" s="11" t="inlineStr">
        <is>
          <t>Tender_2026_UTT_6391429_62_All_Documents.zip</t>
        </is>
      </c>
      <c r="J3752" s="13" t="inlineStr">
        <is>
          <t>📦 ZIP Package</t>
        </is>
      </c>
      <c r="K3752" s="15" t="n">
        <v>45</v>
      </c>
      <c r="L3752" s="16">
        <f>HYPERLINK("https://etender.up.nic.in/tender/2026_UTT_6391429_62", "⬇ Download Tender_2026_UTT_6391429_")</f>
        <v/>
      </c>
      <c r="M3752" s="16">
        <f>HYPERLINK("http://localhost:5173/?state=Uttar%20Pradesh&amp;keyword=Water%20Resources&amp;tender=2026_UTT_6391429_62", "🚀 Open in Portal")</f>
        <v/>
      </c>
    </row>
    <row r="3753" ht="24" customHeight="1">
      <c r="A3753" s="4" t="inlineStr">
        <is>
          <t>Uttar Pradesh</t>
        </is>
      </c>
      <c r="B3753" s="5" t="inlineStr">
        <is>
          <t>Health</t>
        </is>
      </c>
      <c r="C3753" s="6" t="inlineStr">
        <is>
          <t>2026_DOLBU_1193586_20</t>
        </is>
      </c>
      <c r="D3753" s="7" t="inlineStr">
        <is>
          <t>[Ward No. 03 Moh Sujru sith Nagriy Health Center wali gali me Muktar ke makan se Sartaj ke makan tak eavam Branch gali me Ajeem ke makan se Rahes ke makan tak RCC nali eavam CC sadak nirman karye]</t>
        </is>
      </c>
      <c r="E3753" s="7" t="inlineStr">
        <is>
          <t>Uttar Pradesh Public Works &amp; Technology Department</t>
        </is>
      </c>
      <c r="F3753" s="6" t="inlineStr">
        <is>
          <t>19 Sep 2026</t>
        </is>
      </c>
      <c r="G3753" s="5" t="inlineStr">
        <is>
          <t>10 Oct 2026</t>
        </is>
      </c>
      <c r="H3753" s="8" t="inlineStr">
        <is>
          <t>⏳ UPCOMING</t>
        </is>
      </c>
      <c r="I3753" s="4" t="inlineStr">
        <is>
          <t>Tendernotice_1.pdf</t>
        </is>
      </c>
      <c r="J3753" s="6" t="inlineStr">
        <is>
          <t>📕 PDF Document</t>
        </is>
      </c>
      <c r="K3753" s="9" t="n">
        <v>17.9</v>
      </c>
      <c r="L3753" s="10">
        <f>HYPERLINK("http://127.0.0.1:8000/api/documents/download?id=988&amp;attachment=true", "⬇ Download Tendernotice_1.pdf")</f>
        <v/>
      </c>
      <c r="M3753" s="10">
        <f>HYPERLINK("http://localhost:5173/?state=Uttar%20Pradesh&amp;keyword=Health&amp;tender=2026_DOLBU_1193586_20", "🚀 Open in Portal")</f>
        <v/>
      </c>
    </row>
    <row r="3754" ht="24" customHeight="1">
      <c r="A3754" s="11" t="inlineStr">
        <is>
          <t>Uttar Pradesh</t>
        </is>
      </c>
      <c r="B3754" s="12" t="inlineStr">
        <is>
          <t>Health</t>
        </is>
      </c>
      <c r="C3754" s="13" t="inlineStr">
        <is>
          <t>2026_DOLBU_1193586_20</t>
        </is>
      </c>
      <c r="D3754" s="14" t="inlineStr">
        <is>
          <t>[Ward No. 03 Moh Sujru sith Nagriy Health Center wali gali me Muktar ke makan se Sartaj ke makan tak eavam Branch gali me Ajeem ke makan se Rahes ke makan tak RCC nali eavam CC sadak nirman karye]</t>
        </is>
      </c>
      <c r="E3754" s="14" t="inlineStr">
        <is>
          <t>Uttar Pradesh Public Works &amp; Technology Department</t>
        </is>
      </c>
      <c r="F3754" s="13" t="inlineStr">
        <is>
          <t>19 Sep 2026</t>
        </is>
      </c>
      <c r="G3754" s="12" t="inlineStr">
        <is>
          <t>10 Oct 2026</t>
        </is>
      </c>
      <c r="H3754" s="8" t="inlineStr">
        <is>
          <t>⏳ UPCOMING</t>
        </is>
      </c>
      <c r="I3754" s="11" t="inlineStr">
        <is>
          <t>BOQ_2253329.xls</t>
        </is>
      </c>
      <c r="J3754" s="13" t="inlineStr">
        <is>
          <t>📊 Excel BOQ</t>
        </is>
      </c>
      <c r="K3754" s="15" t="n">
        <v>2.5</v>
      </c>
      <c r="L3754" s="16">
        <f>HYPERLINK("http://127.0.0.1:8000/api/documents/download?id=989&amp;attachment=true", "⬇ Download BOQ_2253329.xls")</f>
        <v/>
      </c>
      <c r="M3754" s="16">
        <f>HYPERLINK("http://localhost:5173/?state=Uttar%20Pradesh&amp;keyword=Health&amp;tender=2026_DOLBU_1193586_20", "🚀 Open in Portal")</f>
        <v/>
      </c>
    </row>
    <row r="3755" ht="24" customHeight="1">
      <c r="A3755" s="4" t="inlineStr">
        <is>
          <t>Uttar Pradesh</t>
        </is>
      </c>
      <c r="B3755" s="5" t="inlineStr">
        <is>
          <t>Health</t>
        </is>
      </c>
      <c r="C3755" s="6" t="inlineStr">
        <is>
          <t>2026_DOLBU_1193586_20</t>
        </is>
      </c>
      <c r="D3755" s="7" t="inlineStr">
        <is>
          <t>[Ward No. 03 Moh Sujru sith Nagriy Health Center wali gali me Muktar ke makan se Sartaj ke makan tak eavam Branch gali me Ajeem ke makan se Rahes ke makan tak RCC nali eavam CC sadak nirman karye]</t>
        </is>
      </c>
      <c r="E3755" s="7" t="inlineStr">
        <is>
          <t>Uttar Pradesh Public Works &amp; Technology Department</t>
        </is>
      </c>
      <c r="F3755" s="6" t="inlineStr">
        <is>
          <t>19 Sep 2026</t>
        </is>
      </c>
      <c r="G3755" s="5" t="inlineStr">
        <is>
          <t>10 Oct 2026</t>
        </is>
      </c>
      <c r="H3755" s="8" t="inlineStr">
        <is>
          <t>⏳ UPCOMING</t>
        </is>
      </c>
      <c r="I3755" s="4" t="inlineStr">
        <is>
          <t>Tender_2026_DOLBU_1193586_20_All_Documents.zip</t>
        </is>
      </c>
      <c r="J3755" s="6" t="inlineStr">
        <is>
          <t>📦 ZIP Package</t>
        </is>
      </c>
      <c r="K3755" s="9" t="n">
        <v>11.6</v>
      </c>
      <c r="L3755" s="10">
        <f>HYPERLINK("http://127.0.0.1:8000/api/documents/download?id=990&amp;attachment=true", "⬇ Download Tender_2026_DOLBU_119358")</f>
        <v/>
      </c>
      <c r="M3755" s="10">
        <f>HYPERLINK("http://localhost:5173/?state=Uttar%20Pradesh&amp;keyword=Health&amp;tender=2026_DOLBU_1193586_20", "🚀 Open in Portal")</f>
        <v/>
      </c>
    </row>
    <row r="3756" ht="24" customHeight="1">
      <c r="A3756" s="11" t="inlineStr">
        <is>
          <t>Uttar Pradesh</t>
        </is>
      </c>
      <c r="B3756" s="12" t="inlineStr">
        <is>
          <t>Health</t>
        </is>
      </c>
      <c r="C3756" s="13" t="inlineStr">
        <is>
          <t>2026_DOLBU_1194759_3</t>
        </is>
      </c>
      <c r="D3756" s="14" t="inlineStr">
        <is>
          <t>[3 Construction of an RCC drain from the main road at Barrohiya Crossing passing by Ramji Chaudharys house to the Primary Health Centre in Ward 12 Santravidas Nagar Basti Mahuli Marg ]</t>
        </is>
      </c>
      <c r="E3756" s="14" t="inlineStr">
        <is>
          <t>Uttar Pradesh Public Works &amp; Technology Department</t>
        </is>
      </c>
      <c r="F3756" s="13" t="inlineStr">
        <is>
          <t>22 Oct 2026</t>
        </is>
      </c>
      <c r="G3756" s="12" t="inlineStr">
        <is>
          <t>12 Nov 2026</t>
        </is>
      </c>
      <c r="H3756" s="8" t="inlineStr">
        <is>
          <t>⏳ UPCOMING</t>
        </is>
      </c>
      <c r="I3756" s="11" t="inlineStr">
        <is>
          <t>Tendernotice_1.pdf</t>
        </is>
      </c>
      <c r="J3756" s="13" t="inlineStr">
        <is>
          <t>📕 PDF Document</t>
        </is>
      </c>
      <c r="K3756" s="15" t="n">
        <v>17.9</v>
      </c>
      <c r="L3756" s="16">
        <f>HYPERLINK("http://127.0.0.1:8000/api/documents/download?id=981&amp;attachment=true", "⬇ Download Tendernotice_1.pdf")</f>
        <v/>
      </c>
      <c r="M3756" s="16">
        <f>HYPERLINK("http://localhost:5173/?state=Uttar%20Pradesh&amp;keyword=Health&amp;tender=2026_DOLBU_1194759_3", "🚀 Open in Portal")</f>
        <v/>
      </c>
    </row>
    <row r="3757" ht="24" customHeight="1">
      <c r="A3757" s="4" t="inlineStr">
        <is>
          <t>Uttar Pradesh</t>
        </is>
      </c>
      <c r="B3757" s="5" t="inlineStr">
        <is>
          <t>Health</t>
        </is>
      </c>
      <c r="C3757" s="6" t="inlineStr">
        <is>
          <t>2026_DOLBU_1194759_3</t>
        </is>
      </c>
      <c r="D3757" s="7" t="inlineStr">
        <is>
          <t>[3 Construction of an RCC drain from the main road at Barrohiya Crossing passing by Ramji Chaudharys house to the Primary Health Centre in Ward 12 Santravidas Nagar Basti Mahuli Marg ]</t>
        </is>
      </c>
      <c r="E3757" s="7" t="inlineStr">
        <is>
          <t>Uttar Pradesh Public Works &amp; Technology Department</t>
        </is>
      </c>
      <c r="F3757" s="6" t="inlineStr">
        <is>
          <t>22 Oct 2026</t>
        </is>
      </c>
      <c r="G3757" s="5" t="inlineStr">
        <is>
          <t>12 Nov 2026</t>
        </is>
      </c>
      <c r="H3757" s="8" t="inlineStr">
        <is>
          <t>⏳ UPCOMING</t>
        </is>
      </c>
      <c r="I3757" s="4" t="inlineStr">
        <is>
          <t>BOQ_2255691.xls</t>
        </is>
      </c>
      <c r="J3757" s="6" t="inlineStr">
        <is>
          <t>📊 Excel BOQ</t>
        </is>
      </c>
      <c r="K3757" s="9" t="n">
        <v>2.5</v>
      </c>
      <c r="L3757" s="10">
        <f>HYPERLINK("http://127.0.0.1:8000/api/documents/download?id=982&amp;attachment=true", "⬇ Download BOQ_2255691.xls")</f>
        <v/>
      </c>
      <c r="M3757" s="10">
        <f>HYPERLINK("http://localhost:5173/?state=Uttar%20Pradesh&amp;keyword=Health&amp;tender=2026_DOLBU_1194759_3", "🚀 Open in Portal")</f>
        <v/>
      </c>
    </row>
    <row r="3758" ht="24" customHeight="1">
      <c r="A3758" s="11" t="inlineStr">
        <is>
          <t>Uttar Pradesh</t>
        </is>
      </c>
      <c r="B3758" s="12" t="inlineStr">
        <is>
          <t>Health</t>
        </is>
      </c>
      <c r="C3758" s="13" t="inlineStr">
        <is>
          <t>2026_DOLBU_1194759_3</t>
        </is>
      </c>
      <c r="D3758" s="14" t="inlineStr">
        <is>
          <t>[3 Construction of an RCC drain from the main road at Barrohiya Crossing passing by Ramji Chaudharys house to the Primary Health Centre in Ward 12 Santravidas Nagar Basti Mahuli Marg ]</t>
        </is>
      </c>
      <c r="E3758" s="14" t="inlineStr">
        <is>
          <t>Uttar Pradesh Public Works &amp; Technology Department</t>
        </is>
      </c>
      <c r="F3758" s="13" t="inlineStr">
        <is>
          <t>22 Oct 2026</t>
        </is>
      </c>
      <c r="G3758" s="12" t="inlineStr">
        <is>
          <t>12 Nov 2026</t>
        </is>
      </c>
      <c r="H3758" s="8" t="inlineStr">
        <is>
          <t>⏳ UPCOMING</t>
        </is>
      </c>
      <c r="I3758" s="11" t="inlineStr">
        <is>
          <t>Tender_2026_DOLBU_1194759_3_All_Documents.zip</t>
        </is>
      </c>
      <c r="J3758" s="13" t="inlineStr">
        <is>
          <t>📦 ZIP Package</t>
        </is>
      </c>
      <c r="K3758" s="15" t="n">
        <v>11.7</v>
      </c>
      <c r="L3758" s="16">
        <f>HYPERLINK("http://127.0.0.1:8000/api/documents/download?id=983&amp;attachment=true", "⬇ Download Tender_2026_DOLBU_119475")</f>
        <v/>
      </c>
      <c r="M3758" s="16">
        <f>HYPERLINK("http://localhost:5173/?state=Uttar%20Pradesh&amp;keyword=Health&amp;tender=2026_DOLBU_1194759_3", "🚀 Open in Portal")</f>
        <v/>
      </c>
    </row>
    <row r="3759" ht="24" customHeight="1">
      <c r="A3759" s="4" t="inlineStr">
        <is>
          <t>Uttar Pradesh</t>
        </is>
      </c>
      <c r="B3759" s="5" t="inlineStr">
        <is>
          <t>Health</t>
        </is>
      </c>
      <c r="C3759" s="6" t="inlineStr">
        <is>
          <t>2026_GNIDA_1192803_36</t>
        </is>
      </c>
      <c r="D3759" s="7" t="inlineStr">
        <is>
          <t>[Construction of Boundary wall Septic Tank and Grass Grid work in Community Health Centre of Village-Dadha, Greater Noida.]</t>
        </is>
      </c>
      <c r="E3759" s="7" t="inlineStr">
        <is>
          <t>Uttar Pradesh Public Works &amp; Technology Department</t>
        </is>
      </c>
      <c r="F3759" s="6" t="inlineStr">
        <is>
          <t>10 Oct 2026</t>
        </is>
      </c>
      <c r="G3759" s="5" t="inlineStr">
        <is>
          <t>30 Oct 2026</t>
        </is>
      </c>
      <c r="H3759" s="17" t="inlineStr">
        <is>
          <t>🟢 LIVE ACTIVE</t>
        </is>
      </c>
      <c r="I3759" s="4" t="inlineStr">
        <is>
          <t>Tendernotice_1.pdf</t>
        </is>
      </c>
      <c r="J3759" s="6" t="inlineStr">
        <is>
          <t>📕 PDF Document</t>
        </is>
      </c>
      <c r="K3759" s="9" t="n">
        <v>17.9</v>
      </c>
      <c r="L3759" s="10">
        <f>HYPERLINK("http://127.0.0.1:8000/api/documents/download?id=1012&amp;attachment=true", "⬇ Download Tendernotice_1.pdf")</f>
        <v/>
      </c>
      <c r="M3759" s="10">
        <f>HYPERLINK("http://localhost:5173/?state=Uttar%20Pradesh&amp;keyword=Health&amp;tender=2026_GNIDA_1192803_36", "🚀 Open in Portal")</f>
        <v/>
      </c>
    </row>
    <row r="3760" ht="24" customHeight="1">
      <c r="A3760" s="11" t="inlineStr">
        <is>
          <t>Uttar Pradesh</t>
        </is>
      </c>
      <c r="B3760" s="12" t="inlineStr">
        <is>
          <t>Health</t>
        </is>
      </c>
      <c r="C3760" s="13" t="inlineStr">
        <is>
          <t>2026_GNIDA_1192803_36</t>
        </is>
      </c>
      <c r="D3760" s="14" t="inlineStr">
        <is>
          <t>[Construction of Boundary wall Septic Tank and Grass Grid work in Community Health Centre of Village-Dadha, Greater Noida.]</t>
        </is>
      </c>
      <c r="E3760" s="14" t="inlineStr">
        <is>
          <t>Uttar Pradesh Public Works &amp; Technology Department</t>
        </is>
      </c>
      <c r="F3760" s="13" t="inlineStr">
        <is>
          <t>10 Oct 2026</t>
        </is>
      </c>
      <c r="G3760" s="12" t="inlineStr">
        <is>
          <t>30 Oct 2026</t>
        </is>
      </c>
      <c r="H3760" s="17" t="inlineStr">
        <is>
          <t>🟢 LIVE ACTIVE</t>
        </is>
      </c>
      <c r="I3760" s="11" t="inlineStr">
        <is>
          <t>PreQ_Septic_Dadha.pdf</t>
        </is>
      </c>
      <c r="J3760" s="13" t="inlineStr">
        <is>
          <t>📕 PDF Document</t>
        </is>
      </c>
      <c r="K3760" s="15" t="n">
        <v>17.9</v>
      </c>
      <c r="L3760" s="16">
        <f>HYPERLINK("http://127.0.0.1:8000/api/documents/download?id=1013&amp;attachment=true", "⬇ Download PreQ_Septic_Dadha.pdf")</f>
        <v/>
      </c>
      <c r="M3760" s="16">
        <f>HYPERLINK("http://localhost:5173/?state=Uttar%20Pradesh&amp;keyword=Health&amp;tender=2026_GNIDA_1192803_36", "🚀 Open in Portal")</f>
        <v/>
      </c>
    </row>
    <row r="3761" ht="24" customHeight="1">
      <c r="A3761" s="4" t="inlineStr">
        <is>
          <t>Uttar Pradesh</t>
        </is>
      </c>
      <c r="B3761" s="5" t="inlineStr">
        <is>
          <t>Health</t>
        </is>
      </c>
      <c r="C3761" s="6" t="inlineStr">
        <is>
          <t>2026_GNIDA_1192803_36</t>
        </is>
      </c>
      <c r="D3761" s="7" t="inlineStr">
        <is>
          <t>[Construction of Boundary wall Septic Tank and Grass Grid work in Community Health Centre of Village-Dadha, Greater Noida.]</t>
        </is>
      </c>
      <c r="E3761" s="7" t="inlineStr">
        <is>
          <t>Uttar Pradesh Public Works &amp; Technology Department</t>
        </is>
      </c>
      <c r="F3761" s="6" t="inlineStr">
        <is>
          <t>10 Oct 2026</t>
        </is>
      </c>
      <c r="G3761" s="5" t="inlineStr">
        <is>
          <t>30 Oct 2026</t>
        </is>
      </c>
      <c r="H3761" s="17" t="inlineStr">
        <is>
          <t>🟢 LIVE ACTIVE</t>
        </is>
      </c>
      <c r="I3761" s="4" t="inlineStr">
        <is>
          <t>BOQ_2254004.xls</t>
        </is>
      </c>
      <c r="J3761" s="6" t="inlineStr">
        <is>
          <t>📊 Excel BOQ</t>
        </is>
      </c>
      <c r="K3761" s="9" t="n">
        <v>2.5</v>
      </c>
      <c r="L3761" s="10">
        <f>HYPERLINK("http://127.0.0.1:8000/api/documents/download?id=1014&amp;attachment=true", "⬇ Download BOQ_2254004.xls")</f>
        <v/>
      </c>
      <c r="M3761" s="10">
        <f>HYPERLINK("http://localhost:5173/?state=Uttar%20Pradesh&amp;keyword=Health&amp;tender=2026_GNIDA_1192803_36", "🚀 Open in Portal")</f>
        <v/>
      </c>
    </row>
    <row r="3762" ht="24" customHeight="1">
      <c r="A3762" s="11" t="inlineStr">
        <is>
          <t>Uttar Pradesh</t>
        </is>
      </c>
      <c r="B3762" s="12" t="inlineStr">
        <is>
          <t>Health</t>
        </is>
      </c>
      <c r="C3762" s="13" t="inlineStr">
        <is>
          <t>2026_GNIDA_1192803_36</t>
        </is>
      </c>
      <c r="D3762" s="14" t="inlineStr">
        <is>
          <t>[Construction of Boundary wall Septic Tank and Grass Grid work in Community Health Centre of Village-Dadha, Greater Noida.]</t>
        </is>
      </c>
      <c r="E3762" s="14" t="inlineStr">
        <is>
          <t>Uttar Pradesh Public Works &amp; Technology Department</t>
        </is>
      </c>
      <c r="F3762" s="13" t="inlineStr">
        <is>
          <t>10 Oct 2026</t>
        </is>
      </c>
      <c r="G3762" s="12" t="inlineStr">
        <is>
          <t>30 Oct 2026</t>
        </is>
      </c>
      <c r="H3762" s="17" t="inlineStr">
        <is>
          <t>🟢 LIVE ACTIVE</t>
        </is>
      </c>
      <c r="I3762" s="11" t="inlineStr">
        <is>
          <t>Tender_2026_GNIDA_1192803_36_All_Documents.zip</t>
        </is>
      </c>
      <c r="J3762" s="13" t="inlineStr">
        <is>
          <t>📦 ZIP Package</t>
        </is>
      </c>
      <c r="K3762" s="15" t="n">
        <v>21</v>
      </c>
      <c r="L3762" s="16">
        <f>HYPERLINK("http://127.0.0.1:8000/api/documents/download?id=1015&amp;attachment=true", "⬇ Download Tender_2026_GNIDA_119280")</f>
        <v/>
      </c>
      <c r="M3762" s="16">
        <f>HYPERLINK("http://localhost:5173/?state=Uttar%20Pradesh&amp;keyword=Health&amp;tender=2026_GNIDA_1192803_36", "🚀 Open in Portal")</f>
        <v/>
      </c>
    </row>
    <row r="3763" ht="24" customHeight="1">
      <c r="A3763" s="4" t="inlineStr">
        <is>
          <t>Uttar Pradesh</t>
        </is>
      </c>
      <c r="B3763" s="5" t="inlineStr">
        <is>
          <t>Health</t>
        </is>
      </c>
      <c r="C3763" s="6" t="inlineStr">
        <is>
          <t>2026_MSME_1194160_10</t>
        </is>
      </c>
      <c r="D3763" s="7" t="inlineStr">
        <is>
          <t>[Upgradation work of Health Sub Centre Guduwapur]</t>
        </is>
      </c>
      <c r="E3763" s="7" t="inlineStr">
        <is>
          <t>Uttar Pradesh Public Works &amp; Technology Department</t>
        </is>
      </c>
      <c r="F3763" s="6" t="inlineStr">
        <is>
          <t>07 Sep 2026</t>
        </is>
      </c>
      <c r="G3763" s="5" t="inlineStr">
        <is>
          <t>03 Oct 2026</t>
        </is>
      </c>
      <c r="H3763" s="8" t="inlineStr">
        <is>
          <t>⏳ UPCOMING</t>
        </is>
      </c>
      <c r="I3763" s="4" t="inlineStr">
        <is>
          <t>Tendernotice_1.pdf</t>
        </is>
      </c>
      <c r="J3763" s="6" t="inlineStr">
        <is>
          <t>📕 PDF Document</t>
        </is>
      </c>
      <c r="K3763" s="9" t="n">
        <v>17.9</v>
      </c>
      <c r="L3763" s="10">
        <f>HYPERLINK("http://127.0.0.1:8000/api/documents/download?id=969&amp;attachment=true", "⬇ Download Tendernotice_1.pdf")</f>
        <v/>
      </c>
      <c r="M3763" s="10">
        <f>HYPERLINK("http://localhost:5173/?state=Uttar%20Pradesh&amp;keyword=Health&amp;tender=2026_MSME_1194160_10", "🚀 Open in Portal")</f>
        <v/>
      </c>
    </row>
    <row r="3764" ht="24" customHeight="1">
      <c r="A3764" s="11" t="inlineStr">
        <is>
          <t>Uttar Pradesh</t>
        </is>
      </c>
      <c r="B3764" s="12" t="inlineStr">
        <is>
          <t>Health</t>
        </is>
      </c>
      <c r="C3764" s="13" t="inlineStr">
        <is>
          <t>2026_MSME_1194160_10</t>
        </is>
      </c>
      <c r="D3764" s="14" t="inlineStr">
        <is>
          <t>[Upgradation work of Health Sub Centre Guduwapur]</t>
        </is>
      </c>
      <c r="E3764" s="14" t="inlineStr">
        <is>
          <t>Uttar Pradesh Public Works &amp; Technology Department</t>
        </is>
      </c>
      <c r="F3764" s="13" t="inlineStr">
        <is>
          <t>07 Sep 2026</t>
        </is>
      </c>
      <c r="G3764" s="12" t="inlineStr">
        <is>
          <t>03 Oct 2026</t>
        </is>
      </c>
      <c r="H3764" s="8" t="inlineStr">
        <is>
          <t>⏳ UPCOMING</t>
        </is>
      </c>
      <c r="I3764" s="11" t="inlineStr">
        <is>
          <t>TermsandConditionTenderCivilWorks.pdf</t>
        </is>
      </c>
      <c r="J3764" s="13" t="inlineStr">
        <is>
          <t>📕 PDF Document</t>
        </is>
      </c>
      <c r="K3764" s="15" t="n">
        <v>17.9</v>
      </c>
      <c r="L3764" s="16">
        <f>HYPERLINK("http://127.0.0.1:8000/api/documents/download?id=970&amp;attachment=true", "⬇ Download TermsandConditionTenderC")</f>
        <v/>
      </c>
      <c r="M3764" s="16">
        <f>HYPERLINK("http://localhost:5173/?state=Uttar%20Pradesh&amp;keyword=Health&amp;tender=2026_MSME_1194160_10", "🚀 Open in Portal")</f>
        <v/>
      </c>
    </row>
    <row r="3765" ht="24" customHeight="1">
      <c r="A3765" s="4" t="inlineStr">
        <is>
          <t>Uttar Pradesh</t>
        </is>
      </c>
      <c r="B3765" s="5" t="inlineStr">
        <is>
          <t>Health</t>
        </is>
      </c>
      <c r="C3765" s="6" t="inlineStr">
        <is>
          <t>2026_MSME_1194160_10</t>
        </is>
      </c>
      <c r="D3765" s="7" t="inlineStr">
        <is>
          <t>[Upgradation work of Health Sub Centre Guduwapur]</t>
        </is>
      </c>
      <c r="E3765" s="7" t="inlineStr">
        <is>
          <t>Uttar Pradesh Public Works &amp; Technology Department</t>
        </is>
      </c>
      <c r="F3765" s="6" t="inlineStr">
        <is>
          <t>07 Sep 2026</t>
        </is>
      </c>
      <c r="G3765" s="5" t="inlineStr">
        <is>
          <t>03 Oct 2026</t>
        </is>
      </c>
      <c r="H3765" s="8" t="inlineStr">
        <is>
          <t>⏳ UPCOMING</t>
        </is>
      </c>
      <c r="I3765" s="4" t="inlineStr">
        <is>
          <t>BOQ_2255978.xls</t>
        </is>
      </c>
      <c r="J3765" s="6" t="inlineStr">
        <is>
          <t>📊 Excel BOQ</t>
        </is>
      </c>
      <c r="K3765" s="9" t="n">
        <v>2.4</v>
      </c>
      <c r="L3765" s="10">
        <f>HYPERLINK("http://127.0.0.1:8000/api/documents/download?id=971&amp;attachment=true", "⬇ Download BOQ_2255978.xls")</f>
        <v/>
      </c>
      <c r="M3765" s="10">
        <f>HYPERLINK("http://localhost:5173/?state=Uttar%20Pradesh&amp;keyword=Health&amp;tender=2026_MSME_1194160_10", "🚀 Open in Portal")</f>
        <v/>
      </c>
    </row>
    <row r="3766" ht="24" customHeight="1">
      <c r="A3766" s="11" t="inlineStr">
        <is>
          <t>Uttar Pradesh</t>
        </is>
      </c>
      <c r="B3766" s="12" t="inlineStr">
        <is>
          <t>Health</t>
        </is>
      </c>
      <c r="C3766" s="13" t="inlineStr">
        <is>
          <t>2026_MSME_1194160_10</t>
        </is>
      </c>
      <c r="D3766" s="14" t="inlineStr">
        <is>
          <t>[Upgradation work of Health Sub Centre Guduwapur]</t>
        </is>
      </c>
      <c r="E3766" s="14" t="inlineStr">
        <is>
          <t>Uttar Pradesh Public Works &amp; Technology Department</t>
        </is>
      </c>
      <c r="F3766" s="13" t="inlineStr">
        <is>
          <t>07 Sep 2026</t>
        </is>
      </c>
      <c r="G3766" s="12" t="inlineStr">
        <is>
          <t>03 Oct 2026</t>
        </is>
      </c>
      <c r="H3766" s="8" t="inlineStr">
        <is>
          <t>⏳ UPCOMING</t>
        </is>
      </c>
      <c r="I3766" s="11" t="inlineStr">
        <is>
          <t>Tender_2026_MSME_1194160_10_All_Documents.zip</t>
        </is>
      </c>
      <c r="J3766" s="13" t="inlineStr">
        <is>
          <t>📦 ZIP Package</t>
        </is>
      </c>
      <c r="K3766" s="15" t="n">
        <v>20.8</v>
      </c>
      <c r="L3766" s="16">
        <f>HYPERLINK("http://127.0.0.1:8000/api/documents/download?id=972&amp;attachment=true", "⬇ Download Tender_2026_MSME_1194160")</f>
        <v/>
      </c>
      <c r="M3766" s="16">
        <f>HYPERLINK("http://localhost:5173/?state=Uttar%20Pradesh&amp;keyword=Health&amp;tender=2026_MSME_1194160_10", "🚀 Open in Portal")</f>
        <v/>
      </c>
    </row>
    <row r="3767" ht="24" customHeight="1">
      <c r="A3767" s="4" t="inlineStr">
        <is>
          <t>Uttar Pradesh</t>
        </is>
      </c>
      <c r="B3767" s="5" t="inlineStr">
        <is>
          <t>Health</t>
        </is>
      </c>
      <c r="C3767" s="6" t="inlineStr">
        <is>
          <t>2026_MSME_1194160_11</t>
        </is>
      </c>
      <c r="D3767" s="7" t="inlineStr">
        <is>
          <t>[Upgradation work of Health Sub Centre Newasi At Huzurpur]</t>
        </is>
      </c>
      <c r="E3767" s="7" t="inlineStr">
        <is>
          <t>Uttar Pradesh Public Works &amp; Technology Department</t>
        </is>
      </c>
      <c r="F3767" s="6" t="inlineStr">
        <is>
          <t>04 Sep 2026</t>
        </is>
      </c>
      <c r="G3767" s="5" t="inlineStr">
        <is>
          <t>29 Sep 2026</t>
        </is>
      </c>
      <c r="H3767" s="8" t="inlineStr">
        <is>
          <t>⏳ UPCOMING</t>
        </is>
      </c>
      <c r="I3767" s="4" t="inlineStr">
        <is>
          <t>Tendernotice_1.pdf</t>
        </is>
      </c>
      <c r="J3767" s="6" t="inlineStr">
        <is>
          <t>📕 PDF Document</t>
        </is>
      </c>
      <c r="K3767" s="9" t="n">
        <v>17.9</v>
      </c>
      <c r="L3767" s="10">
        <f>HYPERLINK("http://127.0.0.1:8000/api/documents/download?id=965&amp;attachment=true", "⬇ Download Tendernotice_1.pdf")</f>
        <v/>
      </c>
      <c r="M3767" s="10">
        <f>HYPERLINK("http://localhost:5173/?state=Uttar%20Pradesh&amp;keyword=Health&amp;tender=2026_MSME_1194160_11", "🚀 Open in Portal")</f>
        <v/>
      </c>
    </row>
    <row r="3768" ht="24" customHeight="1">
      <c r="A3768" s="11" t="inlineStr">
        <is>
          <t>Uttar Pradesh</t>
        </is>
      </c>
      <c r="B3768" s="12" t="inlineStr">
        <is>
          <t>Health</t>
        </is>
      </c>
      <c r="C3768" s="13" t="inlineStr">
        <is>
          <t>2026_MSME_1194160_11</t>
        </is>
      </c>
      <c r="D3768" s="14" t="inlineStr">
        <is>
          <t>[Upgradation work of Health Sub Centre Newasi At Huzurpur]</t>
        </is>
      </c>
      <c r="E3768" s="14" t="inlineStr">
        <is>
          <t>Uttar Pradesh Public Works &amp; Technology Department</t>
        </is>
      </c>
      <c r="F3768" s="13" t="inlineStr">
        <is>
          <t>04 Sep 2026</t>
        </is>
      </c>
      <c r="G3768" s="12" t="inlineStr">
        <is>
          <t>29 Sep 2026</t>
        </is>
      </c>
      <c r="H3768" s="8" t="inlineStr">
        <is>
          <t>⏳ UPCOMING</t>
        </is>
      </c>
      <c r="I3768" s="11" t="inlineStr">
        <is>
          <t>BOQ_2255991.xls</t>
        </is>
      </c>
      <c r="J3768" s="13" t="inlineStr">
        <is>
          <t>📊 Excel BOQ</t>
        </is>
      </c>
      <c r="K3768" s="15" t="n">
        <v>2.4</v>
      </c>
      <c r="L3768" s="16">
        <f>HYPERLINK("http://127.0.0.1:8000/api/documents/download?id=966&amp;attachment=true", "⬇ Download BOQ_2255991.xls")</f>
        <v/>
      </c>
      <c r="M3768" s="16">
        <f>HYPERLINK("http://localhost:5173/?state=Uttar%20Pradesh&amp;keyword=Health&amp;tender=2026_MSME_1194160_11", "🚀 Open in Portal")</f>
        <v/>
      </c>
    </row>
    <row r="3769" ht="24" customHeight="1">
      <c r="A3769" s="4" t="inlineStr">
        <is>
          <t>Uttar Pradesh</t>
        </is>
      </c>
      <c r="B3769" s="5" t="inlineStr">
        <is>
          <t>Health</t>
        </is>
      </c>
      <c r="C3769" s="6" t="inlineStr">
        <is>
          <t>2026_MSME_1194160_11</t>
        </is>
      </c>
      <c r="D3769" s="7" t="inlineStr">
        <is>
          <t>[Upgradation work of Health Sub Centre Newasi At Huzurpur]</t>
        </is>
      </c>
      <c r="E3769" s="7" t="inlineStr">
        <is>
          <t>Uttar Pradesh Public Works &amp; Technology Department</t>
        </is>
      </c>
      <c r="F3769" s="6" t="inlineStr">
        <is>
          <t>04 Sep 2026</t>
        </is>
      </c>
      <c r="G3769" s="5" t="inlineStr">
        <is>
          <t>29 Sep 2026</t>
        </is>
      </c>
      <c r="H3769" s="8" t="inlineStr">
        <is>
          <t>⏳ UPCOMING</t>
        </is>
      </c>
      <c r="I3769" s="4" t="inlineStr">
        <is>
          <t>TermsandConditionTenderCivilWorks.pdf</t>
        </is>
      </c>
      <c r="J3769" s="6" t="inlineStr">
        <is>
          <t>📕 PDF Document</t>
        </is>
      </c>
      <c r="K3769" s="9" t="n">
        <v>17.9</v>
      </c>
      <c r="L3769" s="10">
        <f>HYPERLINK("http://127.0.0.1:8000/api/documents/download?id=967&amp;attachment=true", "⬇ Download TermsandConditionTenderC")</f>
        <v/>
      </c>
      <c r="M3769" s="10">
        <f>HYPERLINK("http://localhost:5173/?state=Uttar%20Pradesh&amp;keyword=Health&amp;tender=2026_MSME_1194160_11", "🚀 Open in Portal")</f>
        <v/>
      </c>
    </row>
    <row r="3770" ht="24" customHeight="1">
      <c r="A3770" s="11" t="inlineStr">
        <is>
          <t>Uttar Pradesh</t>
        </is>
      </c>
      <c r="B3770" s="12" t="inlineStr">
        <is>
          <t>Health</t>
        </is>
      </c>
      <c r="C3770" s="13" t="inlineStr">
        <is>
          <t>2026_MSME_1194160_11</t>
        </is>
      </c>
      <c r="D3770" s="14" t="inlineStr">
        <is>
          <t>[Upgradation work of Health Sub Centre Newasi At Huzurpur]</t>
        </is>
      </c>
      <c r="E3770" s="14" t="inlineStr">
        <is>
          <t>Uttar Pradesh Public Works &amp; Technology Department</t>
        </is>
      </c>
      <c r="F3770" s="13" t="inlineStr">
        <is>
          <t>04 Sep 2026</t>
        </is>
      </c>
      <c r="G3770" s="12" t="inlineStr">
        <is>
          <t>29 Sep 2026</t>
        </is>
      </c>
      <c r="H3770" s="8" t="inlineStr">
        <is>
          <t>⏳ UPCOMING</t>
        </is>
      </c>
      <c r="I3770" s="11" t="inlineStr">
        <is>
          <t>Tender_2026_MSME_1194160_11_All_Documents.zip</t>
        </is>
      </c>
      <c r="J3770" s="13" t="inlineStr">
        <is>
          <t>📦 ZIP Package</t>
        </is>
      </c>
      <c r="K3770" s="15" t="n">
        <v>20.8</v>
      </c>
      <c r="L3770" s="16">
        <f>HYPERLINK("http://127.0.0.1:8000/api/documents/download?id=968&amp;attachment=true", "⬇ Download Tender_2026_MSME_1194160")</f>
        <v/>
      </c>
      <c r="M3770" s="16">
        <f>HYPERLINK("http://localhost:5173/?state=Uttar%20Pradesh&amp;keyword=Health&amp;tender=2026_MSME_1194160_11", "🚀 Open in Portal")</f>
        <v/>
      </c>
    </row>
    <row r="3771" ht="24" customHeight="1">
      <c r="A3771" s="4" t="inlineStr">
        <is>
          <t>Uttar Pradesh</t>
        </is>
      </c>
      <c r="B3771" s="5" t="inlineStr">
        <is>
          <t>Health</t>
        </is>
      </c>
      <c r="C3771" s="6" t="inlineStr">
        <is>
          <t>2026_MSME_1194160_13</t>
        </is>
      </c>
      <c r="D3771" s="7" t="inlineStr">
        <is>
          <t>[Upgradation work of Health Sub Centre Katghari At Huzurpur]</t>
        </is>
      </c>
      <c r="E3771" s="7" t="inlineStr">
        <is>
          <t>Uttar Pradesh Public Works &amp; Technology Department</t>
        </is>
      </c>
      <c r="F3771" s="6" t="inlineStr">
        <is>
          <t>29 Aug 2026</t>
        </is>
      </c>
      <c r="G3771" s="5" t="inlineStr">
        <is>
          <t>24 Sep 2026</t>
        </is>
      </c>
      <c r="H3771" s="8" t="inlineStr">
        <is>
          <t>⏳ UPCOMING</t>
        </is>
      </c>
      <c r="I3771" s="4" t="inlineStr">
        <is>
          <t>Tendernotice_1.pdf</t>
        </is>
      </c>
      <c r="J3771" s="6" t="inlineStr">
        <is>
          <t>📕 PDF Document</t>
        </is>
      </c>
      <c r="K3771" s="9" t="n">
        <v>17.9</v>
      </c>
      <c r="L3771" s="10">
        <f>HYPERLINK("http://127.0.0.1:8000/api/documents/download?id=957&amp;attachment=true", "⬇ Download Tendernotice_1.pdf")</f>
        <v/>
      </c>
      <c r="M3771" s="10">
        <f>HYPERLINK("http://localhost:5173/?state=Uttar%20Pradesh&amp;keyword=Health&amp;tender=2026_MSME_1194160_13", "🚀 Open in Portal")</f>
        <v/>
      </c>
    </row>
    <row r="3772" ht="24" customHeight="1">
      <c r="A3772" s="11" t="inlineStr">
        <is>
          <t>Uttar Pradesh</t>
        </is>
      </c>
      <c r="B3772" s="12" t="inlineStr">
        <is>
          <t>Health</t>
        </is>
      </c>
      <c r="C3772" s="13" t="inlineStr">
        <is>
          <t>2026_MSME_1194160_13</t>
        </is>
      </c>
      <c r="D3772" s="14" t="inlineStr">
        <is>
          <t>[Upgradation work of Health Sub Centre Katghari At Huzurpur]</t>
        </is>
      </c>
      <c r="E3772" s="14" t="inlineStr">
        <is>
          <t>Uttar Pradesh Public Works &amp; Technology Department</t>
        </is>
      </c>
      <c r="F3772" s="13" t="inlineStr">
        <is>
          <t>29 Aug 2026</t>
        </is>
      </c>
      <c r="G3772" s="12" t="inlineStr">
        <is>
          <t>24 Sep 2026</t>
        </is>
      </c>
      <c r="H3772" s="8" t="inlineStr">
        <is>
          <t>⏳ UPCOMING</t>
        </is>
      </c>
      <c r="I3772" s="11" t="inlineStr">
        <is>
          <t>BOQ_2256027.xls</t>
        </is>
      </c>
      <c r="J3772" s="13" t="inlineStr">
        <is>
          <t>📊 Excel BOQ</t>
        </is>
      </c>
      <c r="K3772" s="15" t="n">
        <v>2.4</v>
      </c>
      <c r="L3772" s="16">
        <f>HYPERLINK("http://127.0.0.1:8000/api/documents/download?id=958&amp;attachment=true", "⬇ Download BOQ_2256027.xls")</f>
        <v/>
      </c>
      <c r="M3772" s="16">
        <f>HYPERLINK("http://localhost:5173/?state=Uttar%20Pradesh&amp;keyword=Health&amp;tender=2026_MSME_1194160_13", "🚀 Open in Portal")</f>
        <v/>
      </c>
    </row>
    <row r="3773" ht="24" customHeight="1">
      <c r="A3773" s="4" t="inlineStr">
        <is>
          <t>Uttar Pradesh</t>
        </is>
      </c>
      <c r="B3773" s="5" t="inlineStr">
        <is>
          <t>Health</t>
        </is>
      </c>
      <c r="C3773" s="6" t="inlineStr">
        <is>
          <t>2026_MSME_1194160_13</t>
        </is>
      </c>
      <c r="D3773" s="7" t="inlineStr">
        <is>
          <t>[Upgradation work of Health Sub Centre Katghari At Huzurpur]</t>
        </is>
      </c>
      <c r="E3773" s="7" t="inlineStr">
        <is>
          <t>Uttar Pradesh Public Works &amp; Technology Department</t>
        </is>
      </c>
      <c r="F3773" s="6" t="inlineStr">
        <is>
          <t>29 Aug 2026</t>
        </is>
      </c>
      <c r="G3773" s="5" t="inlineStr">
        <is>
          <t>24 Sep 2026</t>
        </is>
      </c>
      <c r="H3773" s="8" t="inlineStr">
        <is>
          <t>⏳ UPCOMING</t>
        </is>
      </c>
      <c r="I3773" s="4" t="inlineStr">
        <is>
          <t>TermsandConditionTenderCivilWorks.pdf</t>
        </is>
      </c>
      <c r="J3773" s="6" t="inlineStr">
        <is>
          <t>📕 PDF Document</t>
        </is>
      </c>
      <c r="K3773" s="9" t="n">
        <v>17.9</v>
      </c>
      <c r="L3773" s="10">
        <f>HYPERLINK("http://127.0.0.1:8000/api/documents/download?id=959&amp;attachment=true", "⬇ Download TermsandConditionTenderC")</f>
        <v/>
      </c>
      <c r="M3773" s="10">
        <f>HYPERLINK("http://localhost:5173/?state=Uttar%20Pradesh&amp;keyword=Health&amp;tender=2026_MSME_1194160_13", "🚀 Open in Portal")</f>
        <v/>
      </c>
    </row>
    <row r="3774" ht="24" customHeight="1">
      <c r="A3774" s="11" t="inlineStr">
        <is>
          <t>Uttar Pradesh</t>
        </is>
      </c>
      <c r="B3774" s="12" t="inlineStr">
        <is>
          <t>Health</t>
        </is>
      </c>
      <c r="C3774" s="13" t="inlineStr">
        <is>
          <t>2026_MSME_1194160_13</t>
        </is>
      </c>
      <c r="D3774" s="14" t="inlineStr">
        <is>
          <t>[Upgradation work of Health Sub Centre Katghari At Huzurpur]</t>
        </is>
      </c>
      <c r="E3774" s="14" t="inlineStr">
        <is>
          <t>Uttar Pradesh Public Works &amp; Technology Department</t>
        </is>
      </c>
      <c r="F3774" s="13" t="inlineStr">
        <is>
          <t>29 Aug 2026</t>
        </is>
      </c>
      <c r="G3774" s="12" t="inlineStr">
        <is>
          <t>24 Sep 2026</t>
        </is>
      </c>
      <c r="H3774" s="8" t="inlineStr">
        <is>
          <t>⏳ UPCOMING</t>
        </is>
      </c>
      <c r="I3774" s="11" t="inlineStr">
        <is>
          <t>Tender_2026_MSME_1194160_13_All_Documents.zip</t>
        </is>
      </c>
      <c r="J3774" s="13" t="inlineStr">
        <is>
          <t>📦 ZIP Package</t>
        </is>
      </c>
      <c r="K3774" s="15" t="n">
        <v>20.9</v>
      </c>
      <c r="L3774" s="16">
        <f>HYPERLINK("http://127.0.0.1:8000/api/documents/download?id=960&amp;attachment=true", "⬇ Download Tender_2026_MSME_1194160")</f>
        <v/>
      </c>
      <c r="M3774" s="16">
        <f>HYPERLINK("http://localhost:5173/?state=Uttar%20Pradesh&amp;keyword=Health&amp;tender=2026_MSME_1194160_13", "🚀 Open in Portal")</f>
        <v/>
      </c>
    </row>
    <row r="3775" ht="24" customHeight="1">
      <c r="A3775" s="4" t="inlineStr">
        <is>
          <t>Uttar Pradesh</t>
        </is>
      </c>
      <c r="B3775" s="5" t="inlineStr">
        <is>
          <t>Health</t>
        </is>
      </c>
      <c r="C3775" s="6" t="inlineStr">
        <is>
          <t>2026_MSME_1194160_14</t>
        </is>
      </c>
      <c r="D3775" s="7" t="inlineStr">
        <is>
          <t>[Upgradation work of Health Sub Centre Gauriya At Huzurpur]</t>
        </is>
      </c>
      <c r="E3775" s="7" t="inlineStr">
        <is>
          <t>Uttar Pradesh Public Works &amp; Technology Department</t>
        </is>
      </c>
      <c r="F3775" s="6" t="inlineStr">
        <is>
          <t>26 Aug 2026</t>
        </is>
      </c>
      <c r="G3775" s="5" t="inlineStr">
        <is>
          <t>23 Sep 2026</t>
        </is>
      </c>
      <c r="H3775" s="8" t="inlineStr">
        <is>
          <t>⏳ UPCOMING</t>
        </is>
      </c>
      <c r="I3775" s="4" t="inlineStr">
        <is>
          <t>Tendernotice_1.pdf</t>
        </is>
      </c>
      <c r="J3775" s="6" t="inlineStr">
        <is>
          <t>📕 PDF Document</t>
        </is>
      </c>
      <c r="K3775" s="9" t="n">
        <v>17.9</v>
      </c>
      <c r="L3775" s="10">
        <f>HYPERLINK("http://127.0.0.1:8000/api/documents/download?id=953&amp;attachment=true", "⬇ Download Tendernotice_1.pdf")</f>
        <v/>
      </c>
      <c r="M3775" s="10">
        <f>HYPERLINK("http://localhost:5173/?state=Uttar%20Pradesh&amp;keyword=Health&amp;tender=2026_MSME_1194160_14", "🚀 Open in Portal")</f>
        <v/>
      </c>
    </row>
    <row r="3776" ht="24" customHeight="1">
      <c r="A3776" s="11" t="inlineStr">
        <is>
          <t>Uttar Pradesh</t>
        </is>
      </c>
      <c r="B3776" s="12" t="inlineStr">
        <is>
          <t>Health</t>
        </is>
      </c>
      <c r="C3776" s="13" t="inlineStr">
        <is>
          <t>2026_MSME_1194160_14</t>
        </is>
      </c>
      <c r="D3776" s="14" t="inlineStr">
        <is>
          <t>[Upgradation work of Health Sub Centre Gauriya At Huzurpur]</t>
        </is>
      </c>
      <c r="E3776" s="14" t="inlineStr">
        <is>
          <t>Uttar Pradesh Public Works &amp; Technology Department</t>
        </is>
      </c>
      <c r="F3776" s="13" t="inlineStr">
        <is>
          <t>26 Aug 2026</t>
        </is>
      </c>
      <c r="G3776" s="12" t="inlineStr">
        <is>
          <t>23 Sep 2026</t>
        </is>
      </c>
      <c r="H3776" s="8" t="inlineStr">
        <is>
          <t>⏳ UPCOMING</t>
        </is>
      </c>
      <c r="I3776" s="11" t="inlineStr">
        <is>
          <t>TermsandConditionTenderCivilWorks.pdf</t>
        </is>
      </c>
      <c r="J3776" s="13" t="inlineStr">
        <is>
          <t>📕 PDF Document</t>
        </is>
      </c>
      <c r="K3776" s="15" t="n">
        <v>17.9</v>
      </c>
      <c r="L3776" s="16">
        <f>HYPERLINK("http://127.0.0.1:8000/api/documents/download?id=954&amp;attachment=true", "⬇ Download TermsandConditionTenderC")</f>
        <v/>
      </c>
      <c r="M3776" s="16">
        <f>HYPERLINK("http://localhost:5173/?state=Uttar%20Pradesh&amp;keyword=Health&amp;tender=2026_MSME_1194160_14", "🚀 Open in Portal")</f>
        <v/>
      </c>
    </row>
    <row r="3777" ht="24" customHeight="1">
      <c r="A3777" s="4" t="inlineStr">
        <is>
          <t>Uttar Pradesh</t>
        </is>
      </c>
      <c r="B3777" s="5" t="inlineStr">
        <is>
          <t>Health</t>
        </is>
      </c>
      <c r="C3777" s="6" t="inlineStr">
        <is>
          <t>2026_MSME_1194160_14</t>
        </is>
      </c>
      <c r="D3777" s="7" t="inlineStr">
        <is>
          <t>[Upgradation work of Health Sub Centre Gauriya At Huzurpur]</t>
        </is>
      </c>
      <c r="E3777" s="7" t="inlineStr">
        <is>
          <t>Uttar Pradesh Public Works &amp; Technology Department</t>
        </is>
      </c>
      <c r="F3777" s="6" t="inlineStr">
        <is>
          <t>26 Aug 2026</t>
        </is>
      </c>
      <c r="G3777" s="5" t="inlineStr">
        <is>
          <t>23 Sep 2026</t>
        </is>
      </c>
      <c r="H3777" s="8" t="inlineStr">
        <is>
          <t>⏳ UPCOMING</t>
        </is>
      </c>
      <c r="I3777" s="4" t="inlineStr">
        <is>
          <t>BOQ_2256051.xls</t>
        </is>
      </c>
      <c r="J3777" s="6" t="inlineStr">
        <is>
          <t>📊 Excel BOQ</t>
        </is>
      </c>
      <c r="K3777" s="9" t="n">
        <v>2.4</v>
      </c>
      <c r="L3777" s="10">
        <f>HYPERLINK("http://127.0.0.1:8000/api/documents/download?id=955&amp;attachment=true", "⬇ Download BOQ_2256051.xls")</f>
        <v/>
      </c>
      <c r="M3777" s="10">
        <f>HYPERLINK("http://localhost:5173/?state=Uttar%20Pradesh&amp;keyword=Health&amp;tender=2026_MSME_1194160_14", "🚀 Open in Portal")</f>
        <v/>
      </c>
    </row>
    <row r="3778" ht="24" customHeight="1">
      <c r="A3778" s="11" t="inlineStr">
        <is>
          <t>Uttar Pradesh</t>
        </is>
      </c>
      <c r="B3778" s="12" t="inlineStr">
        <is>
          <t>Health</t>
        </is>
      </c>
      <c r="C3778" s="13" t="inlineStr">
        <is>
          <t>2026_MSME_1194160_14</t>
        </is>
      </c>
      <c r="D3778" s="14" t="inlineStr">
        <is>
          <t>[Upgradation work of Health Sub Centre Gauriya At Huzurpur]</t>
        </is>
      </c>
      <c r="E3778" s="14" t="inlineStr">
        <is>
          <t>Uttar Pradesh Public Works &amp; Technology Department</t>
        </is>
      </c>
      <c r="F3778" s="13" t="inlineStr">
        <is>
          <t>26 Aug 2026</t>
        </is>
      </c>
      <c r="G3778" s="12" t="inlineStr">
        <is>
          <t>23 Sep 2026</t>
        </is>
      </c>
      <c r="H3778" s="8" t="inlineStr">
        <is>
          <t>⏳ UPCOMING</t>
        </is>
      </c>
      <c r="I3778" s="11" t="inlineStr">
        <is>
          <t>Tender_2026_MSME_1194160_14_All_Documents.zip</t>
        </is>
      </c>
      <c r="J3778" s="13" t="inlineStr">
        <is>
          <t>📦 ZIP Package</t>
        </is>
      </c>
      <c r="K3778" s="15" t="n">
        <v>20.9</v>
      </c>
      <c r="L3778" s="16">
        <f>HYPERLINK("http://127.0.0.1:8000/api/documents/download?id=956&amp;attachment=true", "⬇ Download Tender_2026_MSME_1194160")</f>
        <v/>
      </c>
      <c r="M3778" s="16">
        <f>HYPERLINK("http://localhost:5173/?state=Uttar%20Pradesh&amp;keyword=Health&amp;tender=2026_MSME_1194160_14", "🚀 Open in Portal")</f>
        <v/>
      </c>
    </row>
    <row r="3779" ht="24" customHeight="1">
      <c r="A3779" s="4" t="inlineStr">
        <is>
          <t>Uttar Pradesh</t>
        </is>
      </c>
      <c r="B3779" s="5" t="inlineStr">
        <is>
          <t>Health</t>
        </is>
      </c>
      <c r="C3779" s="6" t="inlineStr">
        <is>
          <t>2026_MSME_1194160_15</t>
        </is>
      </c>
      <c r="D3779" s="7" t="inlineStr">
        <is>
          <t>[Upgradation work of Health Sub Centre Gobraha]</t>
        </is>
      </c>
      <c r="E3779" s="7" t="inlineStr">
        <is>
          <t>Uttar Pradesh Public Works &amp; Technology Department</t>
        </is>
      </c>
      <c r="F3779" s="6" t="inlineStr">
        <is>
          <t>01 Sep 2026</t>
        </is>
      </c>
      <c r="G3779" s="5" t="inlineStr">
        <is>
          <t>27 Sep 2026</t>
        </is>
      </c>
      <c r="H3779" s="8" t="inlineStr">
        <is>
          <t>⏳ UPCOMING</t>
        </is>
      </c>
      <c r="I3779" s="4" t="inlineStr">
        <is>
          <t>Tendernotice_1.pdf</t>
        </is>
      </c>
      <c r="J3779" s="6" t="inlineStr">
        <is>
          <t>📕 PDF Document</t>
        </is>
      </c>
      <c r="K3779" s="9" t="n">
        <v>17.9</v>
      </c>
      <c r="L3779" s="10">
        <f>HYPERLINK("http://127.0.0.1:8000/api/documents/download?id=961&amp;attachment=true", "⬇ Download Tendernotice_1.pdf")</f>
        <v/>
      </c>
      <c r="M3779" s="10">
        <f>HYPERLINK("http://localhost:5173/?state=Uttar%20Pradesh&amp;keyword=Health&amp;tender=2026_MSME_1194160_15", "🚀 Open in Portal")</f>
        <v/>
      </c>
    </row>
    <row r="3780" ht="24" customHeight="1">
      <c r="A3780" s="11" t="inlineStr">
        <is>
          <t>Uttar Pradesh</t>
        </is>
      </c>
      <c r="B3780" s="12" t="inlineStr">
        <is>
          <t>Health</t>
        </is>
      </c>
      <c r="C3780" s="13" t="inlineStr">
        <is>
          <t>2026_MSME_1194160_15</t>
        </is>
      </c>
      <c r="D3780" s="14" t="inlineStr">
        <is>
          <t>[Upgradation work of Health Sub Centre Gobraha]</t>
        </is>
      </c>
      <c r="E3780" s="14" t="inlineStr">
        <is>
          <t>Uttar Pradesh Public Works &amp; Technology Department</t>
        </is>
      </c>
      <c r="F3780" s="13" t="inlineStr">
        <is>
          <t>01 Sep 2026</t>
        </is>
      </c>
      <c r="G3780" s="12" t="inlineStr">
        <is>
          <t>27 Sep 2026</t>
        </is>
      </c>
      <c r="H3780" s="8" t="inlineStr">
        <is>
          <t>⏳ UPCOMING</t>
        </is>
      </c>
      <c r="I3780" s="11" t="inlineStr">
        <is>
          <t>TermsandConditionTenderCivilWorks.pdf</t>
        </is>
      </c>
      <c r="J3780" s="13" t="inlineStr">
        <is>
          <t>📕 PDF Document</t>
        </is>
      </c>
      <c r="K3780" s="15" t="n">
        <v>17.9</v>
      </c>
      <c r="L3780" s="16">
        <f>HYPERLINK("http://127.0.0.1:8000/api/documents/download?id=962&amp;attachment=true", "⬇ Download TermsandConditionTenderC")</f>
        <v/>
      </c>
      <c r="M3780" s="16">
        <f>HYPERLINK("http://localhost:5173/?state=Uttar%20Pradesh&amp;keyword=Health&amp;tender=2026_MSME_1194160_15", "🚀 Open in Portal")</f>
        <v/>
      </c>
    </row>
    <row r="3781" ht="24" customHeight="1">
      <c r="A3781" s="4" t="inlineStr">
        <is>
          <t>Uttar Pradesh</t>
        </is>
      </c>
      <c r="B3781" s="5" t="inlineStr">
        <is>
          <t>Health</t>
        </is>
      </c>
      <c r="C3781" s="6" t="inlineStr">
        <is>
          <t>2026_MSME_1194160_15</t>
        </is>
      </c>
      <c r="D3781" s="7" t="inlineStr">
        <is>
          <t>[Upgradation work of Health Sub Centre Gobraha]</t>
        </is>
      </c>
      <c r="E3781" s="7" t="inlineStr">
        <is>
          <t>Uttar Pradesh Public Works &amp; Technology Department</t>
        </is>
      </c>
      <c r="F3781" s="6" t="inlineStr">
        <is>
          <t>01 Sep 2026</t>
        </is>
      </c>
      <c r="G3781" s="5" t="inlineStr">
        <is>
          <t>27 Sep 2026</t>
        </is>
      </c>
      <c r="H3781" s="8" t="inlineStr">
        <is>
          <t>⏳ UPCOMING</t>
        </is>
      </c>
      <c r="I3781" s="4" t="inlineStr">
        <is>
          <t>BOQ_2256077.xls</t>
        </is>
      </c>
      <c r="J3781" s="6" t="inlineStr">
        <is>
          <t>📊 Excel BOQ</t>
        </is>
      </c>
      <c r="K3781" s="9" t="n">
        <v>2.4</v>
      </c>
      <c r="L3781" s="10">
        <f>HYPERLINK("http://127.0.0.1:8000/api/documents/download?id=963&amp;attachment=true", "⬇ Download BOQ_2256077.xls")</f>
        <v/>
      </c>
      <c r="M3781" s="10">
        <f>HYPERLINK("http://localhost:5173/?state=Uttar%20Pradesh&amp;keyword=Health&amp;tender=2026_MSME_1194160_15", "🚀 Open in Portal")</f>
        <v/>
      </c>
    </row>
    <row r="3782" ht="24" customHeight="1">
      <c r="A3782" s="11" t="inlineStr">
        <is>
          <t>Uttar Pradesh</t>
        </is>
      </c>
      <c r="B3782" s="12" t="inlineStr">
        <is>
          <t>Health</t>
        </is>
      </c>
      <c r="C3782" s="13" t="inlineStr">
        <is>
          <t>2026_MSME_1194160_15</t>
        </is>
      </c>
      <c r="D3782" s="14" t="inlineStr">
        <is>
          <t>[Upgradation work of Health Sub Centre Gobraha]</t>
        </is>
      </c>
      <c r="E3782" s="14" t="inlineStr">
        <is>
          <t>Uttar Pradesh Public Works &amp; Technology Department</t>
        </is>
      </c>
      <c r="F3782" s="13" t="inlineStr">
        <is>
          <t>01 Sep 2026</t>
        </is>
      </c>
      <c r="G3782" s="12" t="inlineStr">
        <is>
          <t>27 Sep 2026</t>
        </is>
      </c>
      <c r="H3782" s="8" t="inlineStr">
        <is>
          <t>⏳ UPCOMING</t>
        </is>
      </c>
      <c r="I3782" s="11" t="inlineStr">
        <is>
          <t>Tender_2026_MSME_1194160_15_All_Documents.zip</t>
        </is>
      </c>
      <c r="J3782" s="13" t="inlineStr">
        <is>
          <t>📦 ZIP Package</t>
        </is>
      </c>
      <c r="K3782" s="15" t="n">
        <v>20.8</v>
      </c>
      <c r="L3782" s="16">
        <f>HYPERLINK("http://127.0.0.1:8000/api/documents/download?id=964&amp;attachment=true", "⬇ Download Tender_2026_MSME_1194160")</f>
        <v/>
      </c>
      <c r="M3782" s="16">
        <f>HYPERLINK("http://localhost:5173/?state=Uttar%20Pradesh&amp;keyword=Health&amp;tender=2026_MSME_1194160_15", "🚀 Open in Portal")</f>
        <v/>
      </c>
    </row>
    <row r="3783" ht="24" customHeight="1">
      <c r="A3783" s="4" t="inlineStr">
        <is>
          <t>Uttar Pradesh</t>
        </is>
      </c>
      <c r="B3783" s="5" t="inlineStr">
        <is>
          <t>Health</t>
        </is>
      </c>
      <c r="C3783" s="6" t="inlineStr">
        <is>
          <t>2026_MSME_1194160_17</t>
        </is>
      </c>
      <c r="D3783" s="7" t="inlineStr">
        <is>
          <t>[Upgradation work of Health Sub Centre Lalpur At Huzurpur]</t>
        </is>
      </c>
      <c r="E3783" s="7" t="inlineStr">
        <is>
          <t>Uttar Pradesh Public Works &amp; Technology Department</t>
        </is>
      </c>
      <c r="F3783" s="6" t="inlineStr">
        <is>
          <t>20 Aug 2026</t>
        </is>
      </c>
      <c r="G3783" s="5" t="inlineStr">
        <is>
          <t>17 Sep 2026</t>
        </is>
      </c>
      <c r="H3783" s="8" t="inlineStr">
        <is>
          <t>⏳ UPCOMING</t>
        </is>
      </c>
      <c r="I3783" s="4" t="inlineStr">
        <is>
          <t>Tendernotice_1.pdf</t>
        </is>
      </c>
      <c r="J3783" s="6" t="inlineStr">
        <is>
          <t>📕 PDF Document</t>
        </is>
      </c>
      <c r="K3783" s="9" t="n">
        <v>17.9</v>
      </c>
      <c r="L3783" s="10">
        <f>HYPERLINK("http://127.0.0.1:8000/api/documents/download?id=945&amp;attachment=true", "⬇ Download Tendernotice_1.pdf")</f>
        <v/>
      </c>
      <c r="M3783" s="10">
        <f>HYPERLINK("http://localhost:5173/?state=Uttar%20Pradesh&amp;keyword=Health&amp;tender=2026_MSME_1194160_17", "🚀 Open in Portal")</f>
        <v/>
      </c>
    </row>
    <row r="3784" ht="24" customHeight="1">
      <c r="A3784" s="11" t="inlineStr">
        <is>
          <t>Uttar Pradesh</t>
        </is>
      </c>
      <c r="B3784" s="12" t="inlineStr">
        <is>
          <t>Health</t>
        </is>
      </c>
      <c r="C3784" s="13" t="inlineStr">
        <is>
          <t>2026_MSME_1194160_17</t>
        </is>
      </c>
      <c r="D3784" s="14" t="inlineStr">
        <is>
          <t>[Upgradation work of Health Sub Centre Lalpur At Huzurpur]</t>
        </is>
      </c>
      <c r="E3784" s="14" t="inlineStr">
        <is>
          <t>Uttar Pradesh Public Works &amp; Technology Department</t>
        </is>
      </c>
      <c r="F3784" s="13" t="inlineStr">
        <is>
          <t>20 Aug 2026</t>
        </is>
      </c>
      <c r="G3784" s="12" t="inlineStr">
        <is>
          <t>17 Sep 2026</t>
        </is>
      </c>
      <c r="H3784" s="8" t="inlineStr">
        <is>
          <t>⏳ UPCOMING</t>
        </is>
      </c>
      <c r="I3784" s="11" t="inlineStr">
        <is>
          <t>BOQ_2256156.xls</t>
        </is>
      </c>
      <c r="J3784" s="13" t="inlineStr">
        <is>
          <t>📊 Excel BOQ</t>
        </is>
      </c>
      <c r="K3784" s="15" t="n">
        <v>2.4</v>
      </c>
      <c r="L3784" s="16">
        <f>HYPERLINK("http://127.0.0.1:8000/api/documents/download?id=946&amp;attachment=true", "⬇ Download BOQ_2256156.xls")</f>
        <v/>
      </c>
      <c r="M3784" s="16">
        <f>HYPERLINK("http://localhost:5173/?state=Uttar%20Pradesh&amp;keyword=Health&amp;tender=2026_MSME_1194160_17", "🚀 Open in Portal")</f>
        <v/>
      </c>
    </row>
    <row r="3785" ht="24" customHeight="1">
      <c r="A3785" s="4" t="inlineStr">
        <is>
          <t>Uttar Pradesh</t>
        </is>
      </c>
      <c r="B3785" s="5" t="inlineStr">
        <is>
          <t>Health</t>
        </is>
      </c>
      <c r="C3785" s="6" t="inlineStr">
        <is>
          <t>2026_MSME_1194160_17</t>
        </is>
      </c>
      <c r="D3785" s="7" t="inlineStr">
        <is>
          <t>[Upgradation work of Health Sub Centre Lalpur At Huzurpur]</t>
        </is>
      </c>
      <c r="E3785" s="7" t="inlineStr">
        <is>
          <t>Uttar Pradesh Public Works &amp; Technology Department</t>
        </is>
      </c>
      <c r="F3785" s="6" t="inlineStr">
        <is>
          <t>20 Aug 2026</t>
        </is>
      </c>
      <c r="G3785" s="5" t="inlineStr">
        <is>
          <t>17 Sep 2026</t>
        </is>
      </c>
      <c r="H3785" s="8" t="inlineStr">
        <is>
          <t>⏳ UPCOMING</t>
        </is>
      </c>
      <c r="I3785" s="4" t="inlineStr">
        <is>
          <t>TermsandConditionTenderCivilWorks.pdf</t>
        </is>
      </c>
      <c r="J3785" s="6" t="inlineStr">
        <is>
          <t>📕 PDF Document</t>
        </is>
      </c>
      <c r="K3785" s="9" t="n">
        <v>17.9</v>
      </c>
      <c r="L3785" s="10">
        <f>HYPERLINK("http://127.0.0.1:8000/api/documents/download?id=947&amp;attachment=true", "⬇ Download TermsandConditionTenderC")</f>
        <v/>
      </c>
      <c r="M3785" s="10">
        <f>HYPERLINK("http://localhost:5173/?state=Uttar%20Pradesh&amp;keyword=Health&amp;tender=2026_MSME_1194160_17", "🚀 Open in Portal")</f>
        <v/>
      </c>
    </row>
    <row r="3786" ht="24" customHeight="1">
      <c r="A3786" s="11" t="inlineStr">
        <is>
          <t>Uttar Pradesh</t>
        </is>
      </c>
      <c r="B3786" s="12" t="inlineStr">
        <is>
          <t>Health</t>
        </is>
      </c>
      <c r="C3786" s="13" t="inlineStr">
        <is>
          <t>2026_MSME_1194160_17</t>
        </is>
      </c>
      <c r="D3786" s="14" t="inlineStr">
        <is>
          <t>[Upgradation work of Health Sub Centre Lalpur At Huzurpur]</t>
        </is>
      </c>
      <c r="E3786" s="14" t="inlineStr">
        <is>
          <t>Uttar Pradesh Public Works &amp; Technology Department</t>
        </is>
      </c>
      <c r="F3786" s="13" t="inlineStr">
        <is>
          <t>20 Aug 2026</t>
        </is>
      </c>
      <c r="G3786" s="12" t="inlineStr">
        <is>
          <t>17 Sep 2026</t>
        </is>
      </c>
      <c r="H3786" s="8" t="inlineStr">
        <is>
          <t>⏳ UPCOMING</t>
        </is>
      </c>
      <c r="I3786" s="11" t="inlineStr">
        <is>
          <t>Tender_2026_MSME_1194160_17_All_Documents.zip</t>
        </is>
      </c>
      <c r="J3786" s="13" t="inlineStr">
        <is>
          <t>📦 ZIP Package</t>
        </is>
      </c>
      <c r="K3786" s="15" t="n">
        <v>20.8</v>
      </c>
      <c r="L3786" s="16">
        <f>HYPERLINK("http://127.0.0.1:8000/api/documents/download?id=948&amp;attachment=true", "⬇ Download Tender_2026_MSME_1194160")</f>
        <v/>
      </c>
      <c r="M3786" s="16">
        <f>HYPERLINK("http://localhost:5173/?state=Uttar%20Pradesh&amp;keyword=Health&amp;tender=2026_MSME_1194160_17", "🚀 Open in Portal")</f>
        <v/>
      </c>
    </row>
    <row r="3787" ht="24" customHeight="1">
      <c r="A3787" s="4" t="inlineStr">
        <is>
          <t>Uttar Pradesh</t>
        </is>
      </c>
      <c r="B3787" s="5" t="inlineStr">
        <is>
          <t>Health</t>
        </is>
      </c>
      <c r="C3787" s="6" t="inlineStr">
        <is>
          <t>2026_MSME_1194160_18</t>
        </is>
      </c>
      <c r="D3787" s="7" t="inlineStr">
        <is>
          <t>[Upgradation work of Health Sub Centre Nasrapur]</t>
        </is>
      </c>
      <c r="E3787" s="7" t="inlineStr">
        <is>
          <t>Uttar Pradesh Public Works &amp; Technology Department</t>
        </is>
      </c>
      <c r="F3787" s="6" t="inlineStr">
        <is>
          <t>23 Aug 2026</t>
        </is>
      </c>
      <c r="G3787" s="5" t="inlineStr">
        <is>
          <t>22 Sep 2026</t>
        </is>
      </c>
      <c r="H3787" s="8" t="inlineStr">
        <is>
          <t>⏳ UPCOMING</t>
        </is>
      </c>
      <c r="I3787" s="4" t="inlineStr">
        <is>
          <t>Tendernotice_1.pdf</t>
        </is>
      </c>
      <c r="J3787" s="6" t="inlineStr">
        <is>
          <t>📕 PDF Document</t>
        </is>
      </c>
      <c r="K3787" s="9" t="n">
        <v>17.9</v>
      </c>
      <c r="L3787" s="10">
        <f>HYPERLINK("http://127.0.0.1:8000/api/documents/download?id=949&amp;attachment=true", "⬇ Download Tendernotice_1.pdf")</f>
        <v/>
      </c>
      <c r="M3787" s="10">
        <f>HYPERLINK("http://localhost:5173/?state=Uttar%20Pradesh&amp;keyword=Health&amp;tender=2026_MSME_1194160_18", "🚀 Open in Portal")</f>
        <v/>
      </c>
    </row>
    <row r="3788" ht="24" customHeight="1">
      <c r="A3788" s="11" t="inlineStr">
        <is>
          <t>Uttar Pradesh</t>
        </is>
      </c>
      <c r="B3788" s="12" t="inlineStr">
        <is>
          <t>Health</t>
        </is>
      </c>
      <c r="C3788" s="13" t="inlineStr">
        <is>
          <t>2026_MSME_1194160_18</t>
        </is>
      </c>
      <c r="D3788" s="14" t="inlineStr">
        <is>
          <t>[Upgradation work of Health Sub Centre Nasrapur]</t>
        </is>
      </c>
      <c r="E3788" s="14" t="inlineStr">
        <is>
          <t>Uttar Pradesh Public Works &amp; Technology Department</t>
        </is>
      </c>
      <c r="F3788" s="13" t="inlineStr">
        <is>
          <t>23 Aug 2026</t>
        </is>
      </c>
      <c r="G3788" s="12" t="inlineStr">
        <is>
          <t>22 Sep 2026</t>
        </is>
      </c>
      <c r="H3788" s="8" t="inlineStr">
        <is>
          <t>⏳ UPCOMING</t>
        </is>
      </c>
      <c r="I3788" s="11" t="inlineStr">
        <is>
          <t>TermsandConditionTenderCivilWorks.pdf</t>
        </is>
      </c>
      <c r="J3788" s="13" t="inlineStr">
        <is>
          <t>📕 PDF Document</t>
        </is>
      </c>
      <c r="K3788" s="15" t="n">
        <v>17.9</v>
      </c>
      <c r="L3788" s="16">
        <f>HYPERLINK("http://127.0.0.1:8000/api/documents/download?id=950&amp;attachment=true", "⬇ Download TermsandConditionTenderC")</f>
        <v/>
      </c>
      <c r="M3788" s="16">
        <f>HYPERLINK("http://localhost:5173/?state=Uttar%20Pradesh&amp;keyword=Health&amp;tender=2026_MSME_1194160_18", "🚀 Open in Portal")</f>
        <v/>
      </c>
    </row>
    <row r="3789" ht="24" customHeight="1">
      <c r="A3789" s="4" t="inlineStr">
        <is>
          <t>Uttar Pradesh</t>
        </is>
      </c>
      <c r="B3789" s="5" t="inlineStr">
        <is>
          <t>Health</t>
        </is>
      </c>
      <c r="C3789" s="6" t="inlineStr">
        <is>
          <t>2026_MSME_1194160_18</t>
        </is>
      </c>
      <c r="D3789" s="7" t="inlineStr">
        <is>
          <t>[Upgradation work of Health Sub Centre Nasrapur]</t>
        </is>
      </c>
      <c r="E3789" s="7" t="inlineStr">
        <is>
          <t>Uttar Pradesh Public Works &amp; Technology Department</t>
        </is>
      </c>
      <c r="F3789" s="6" t="inlineStr">
        <is>
          <t>23 Aug 2026</t>
        </is>
      </c>
      <c r="G3789" s="5" t="inlineStr">
        <is>
          <t>22 Sep 2026</t>
        </is>
      </c>
      <c r="H3789" s="8" t="inlineStr">
        <is>
          <t>⏳ UPCOMING</t>
        </is>
      </c>
      <c r="I3789" s="4" t="inlineStr">
        <is>
          <t>BOQ_2256176.xls</t>
        </is>
      </c>
      <c r="J3789" s="6" t="inlineStr">
        <is>
          <t>📊 Excel BOQ</t>
        </is>
      </c>
      <c r="K3789" s="9" t="n">
        <v>2.4</v>
      </c>
      <c r="L3789" s="10">
        <f>HYPERLINK("http://127.0.0.1:8000/api/documents/download?id=951&amp;attachment=true", "⬇ Download BOQ_2256176.xls")</f>
        <v/>
      </c>
      <c r="M3789" s="10">
        <f>HYPERLINK("http://localhost:5173/?state=Uttar%20Pradesh&amp;keyword=Health&amp;tender=2026_MSME_1194160_18", "🚀 Open in Portal")</f>
        <v/>
      </c>
    </row>
    <row r="3790" ht="24" customHeight="1">
      <c r="A3790" s="11" t="inlineStr">
        <is>
          <t>Uttar Pradesh</t>
        </is>
      </c>
      <c r="B3790" s="12" t="inlineStr">
        <is>
          <t>Health</t>
        </is>
      </c>
      <c r="C3790" s="13" t="inlineStr">
        <is>
          <t>2026_MSME_1194160_18</t>
        </is>
      </c>
      <c r="D3790" s="14" t="inlineStr">
        <is>
          <t>[Upgradation work of Health Sub Centre Nasrapur]</t>
        </is>
      </c>
      <c r="E3790" s="14" t="inlineStr">
        <is>
          <t>Uttar Pradesh Public Works &amp; Technology Department</t>
        </is>
      </c>
      <c r="F3790" s="13" t="inlineStr">
        <is>
          <t>23 Aug 2026</t>
        </is>
      </c>
      <c r="G3790" s="12" t="inlineStr">
        <is>
          <t>22 Sep 2026</t>
        </is>
      </c>
      <c r="H3790" s="8" t="inlineStr">
        <is>
          <t>⏳ UPCOMING</t>
        </is>
      </c>
      <c r="I3790" s="11" t="inlineStr">
        <is>
          <t>Tender_2026_MSME_1194160_18_All_Documents.zip</t>
        </is>
      </c>
      <c r="J3790" s="13" t="inlineStr">
        <is>
          <t>📦 ZIP Package</t>
        </is>
      </c>
      <c r="K3790" s="15" t="n">
        <v>20.8</v>
      </c>
      <c r="L3790" s="16">
        <f>HYPERLINK("http://127.0.0.1:8000/api/documents/download?id=952&amp;attachment=true", "⬇ Download Tender_2026_MSME_1194160")</f>
        <v/>
      </c>
      <c r="M3790" s="16">
        <f>HYPERLINK("http://localhost:5173/?state=Uttar%20Pradesh&amp;keyword=Health&amp;tender=2026_MSME_1194160_18", "🚀 Open in Portal")</f>
        <v/>
      </c>
    </row>
    <row r="3791" ht="24" customHeight="1">
      <c r="A3791" s="4" t="inlineStr">
        <is>
          <t>Uttar Pradesh</t>
        </is>
      </c>
      <c r="B3791" s="5" t="inlineStr">
        <is>
          <t>Health</t>
        </is>
      </c>
      <c r="C3791" s="6" t="inlineStr">
        <is>
          <t>2026_MSME_1194160_6</t>
        </is>
      </c>
      <c r="D3791" s="7" t="inlineStr">
        <is>
          <t>[Upgradation work of Health Sub Centre Laukhai At Huzurpur]</t>
        </is>
      </c>
      <c r="E3791" s="7" t="inlineStr">
        <is>
          <t>Uttar Pradesh Public Works &amp; Technology Department</t>
        </is>
      </c>
      <c r="F3791" s="6" t="inlineStr">
        <is>
          <t>16 Sep 2026</t>
        </is>
      </c>
      <c r="G3791" s="5" t="inlineStr">
        <is>
          <t>09 Oct 2026</t>
        </is>
      </c>
      <c r="H3791" s="8" t="inlineStr">
        <is>
          <t>⏳ UPCOMING</t>
        </is>
      </c>
      <c r="I3791" s="4" t="inlineStr">
        <is>
          <t>Tendernotice_1.pdf</t>
        </is>
      </c>
      <c r="J3791" s="6" t="inlineStr">
        <is>
          <t>📕 PDF Document</t>
        </is>
      </c>
      <c r="K3791" s="9" t="n">
        <v>17.9</v>
      </c>
      <c r="L3791" s="10">
        <f>HYPERLINK("http://127.0.0.1:8000/api/documents/download?id=984&amp;attachment=true", "⬇ Download Tendernotice_1.pdf")</f>
        <v/>
      </c>
      <c r="M3791" s="10">
        <f>HYPERLINK("http://localhost:5173/?state=Uttar%20Pradesh&amp;keyword=Health&amp;tender=2026_MSME_1194160_6", "🚀 Open in Portal")</f>
        <v/>
      </c>
    </row>
    <row r="3792" ht="24" customHeight="1">
      <c r="A3792" s="11" t="inlineStr">
        <is>
          <t>Uttar Pradesh</t>
        </is>
      </c>
      <c r="B3792" s="12" t="inlineStr">
        <is>
          <t>Health</t>
        </is>
      </c>
      <c r="C3792" s="13" t="inlineStr">
        <is>
          <t>2026_MSME_1194160_6</t>
        </is>
      </c>
      <c r="D3792" s="14" t="inlineStr">
        <is>
          <t>[Upgradation work of Health Sub Centre Laukhai At Huzurpur]</t>
        </is>
      </c>
      <c r="E3792" s="14" t="inlineStr">
        <is>
          <t>Uttar Pradesh Public Works &amp; Technology Department</t>
        </is>
      </c>
      <c r="F3792" s="13" t="inlineStr">
        <is>
          <t>16 Sep 2026</t>
        </is>
      </c>
      <c r="G3792" s="12" t="inlineStr">
        <is>
          <t>09 Oct 2026</t>
        </is>
      </c>
      <c r="H3792" s="8" t="inlineStr">
        <is>
          <t>⏳ UPCOMING</t>
        </is>
      </c>
      <c r="I3792" s="11" t="inlineStr">
        <is>
          <t>TermsandConditionTenderCivilWorks.pdf</t>
        </is>
      </c>
      <c r="J3792" s="13" t="inlineStr">
        <is>
          <t>📕 PDF Document</t>
        </is>
      </c>
      <c r="K3792" s="15" t="n">
        <v>17.9</v>
      </c>
      <c r="L3792" s="16">
        <f>HYPERLINK("http://127.0.0.1:8000/api/documents/download?id=985&amp;attachment=true", "⬇ Download TermsandConditionTenderC")</f>
        <v/>
      </c>
      <c r="M3792" s="16">
        <f>HYPERLINK("http://localhost:5173/?state=Uttar%20Pradesh&amp;keyword=Health&amp;tender=2026_MSME_1194160_6", "🚀 Open in Portal")</f>
        <v/>
      </c>
    </row>
    <row r="3793" ht="24" customHeight="1">
      <c r="A3793" s="4" t="inlineStr">
        <is>
          <t>Uttar Pradesh</t>
        </is>
      </c>
      <c r="B3793" s="5" t="inlineStr">
        <is>
          <t>Health</t>
        </is>
      </c>
      <c r="C3793" s="6" t="inlineStr">
        <is>
          <t>2026_MSME_1194160_6</t>
        </is>
      </c>
      <c r="D3793" s="7" t="inlineStr">
        <is>
          <t>[Upgradation work of Health Sub Centre Laukhai At Huzurpur]</t>
        </is>
      </c>
      <c r="E3793" s="7" t="inlineStr">
        <is>
          <t>Uttar Pradesh Public Works &amp; Technology Department</t>
        </is>
      </c>
      <c r="F3793" s="6" t="inlineStr">
        <is>
          <t>16 Sep 2026</t>
        </is>
      </c>
      <c r="G3793" s="5" t="inlineStr">
        <is>
          <t>09 Oct 2026</t>
        </is>
      </c>
      <c r="H3793" s="8" t="inlineStr">
        <is>
          <t>⏳ UPCOMING</t>
        </is>
      </c>
      <c r="I3793" s="4" t="inlineStr">
        <is>
          <t>BOQ_2255928.xls</t>
        </is>
      </c>
      <c r="J3793" s="6" t="inlineStr">
        <is>
          <t>📊 Excel BOQ</t>
        </is>
      </c>
      <c r="K3793" s="9" t="n">
        <v>2.4</v>
      </c>
      <c r="L3793" s="10">
        <f>HYPERLINK("http://127.0.0.1:8000/api/documents/download?id=986&amp;attachment=true", "⬇ Download BOQ_2255928.xls")</f>
        <v/>
      </c>
      <c r="M3793" s="10">
        <f>HYPERLINK("http://localhost:5173/?state=Uttar%20Pradesh&amp;keyword=Health&amp;tender=2026_MSME_1194160_6", "🚀 Open in Portal")</f>
        <v/>
      </c>
    </row>
    <row r="3794" ht="24" customHeight="1">
      <c r="A3794" s="11" t="inlineStr">
        <is>
          <t>Uttar Pradesh</t>
        </is>
      </c>
      <c r="B3794" s="12" t="inlineStr">
        <is>
          <t>Health</t>
        </is>
      </c>
      <c r="C3794" s="13" t="inlineStr">
        <is>
          <t>2026_MSME_1194160_6</t>
        </is>
      </c>
      <c r="D3794" s="14" t="inlineStr">
        <is>
          <t>[Upgradation work of Health Sub Centre Laukhai At Huzurpur]</t>
        </is>
      </c>
      <c r="E3794" s="14" t="inlineStr">
        <is>
          <t>Uttar Pradesh Public Works &amp; Technology Department</t>
        </is>
      </c>
      <c r="F3794" s="13" t="inlineStr">
        <is>
          <t>16 Sep 2026</t>
        </is>
      </c>
      <c r="G3794" s="12" t="inlineStr">
        <is>
          <t>09 Oct 2026</t>
        </is>
      </c>
      <c r="H3794" s="8" t="inlineStr">
        <is>
          <t>⏳ UPCOMING</t>
        </is>
      </c>
      <c r="I3794" s="11" t="inlineStr">
        <is>
          <t>Tender_2026_MSME_1194160_6_All_Documents.zip</t>
        </is>
      </c>
      <c r="J3794" s="13" t="inlineStr">
        <is>
          <t>📦 ZIP Package</t>
        </is>
      </c>
      <c r="K3794" s="15" t="n">
        <v>20.9</v>
      </c>
      <c r="L3794" s="16">
        <f>HYPERLINK("http://127.0.0.1:8000/api/documents/download?id=987&amp;attachment=true", "⬇ Download Tender_2026_MSME_1194160")</f>
        <v/>
      </c>
      <c r="M3794" s="16">
        <f>HYPERLINK("http://localhost:5173/?state=Uttar%20Pradesh&amp;keyword=Health&amp;tender=2026_MSME_1194160_6", "🚀 Open in Portal")</f>
        <v/>
      </c>
    </row>
    <row r="3795" ht="24" customHeight="1">
      <c r="A3795" s="4" t="inlineStr">
        <is>
          <t>Uttar Pradesh</t>
        </is>
      </c>
      <c r="B3795" s="5" t="inlineStr">
        <is>
          <t>Health</t>
        </is>
      </c>
      <c r="C3795" s="6" t="inlineStr">
        <is>
          <t>2026_MSME_1194160_7</t>
        </is>
      </c>
      <c r="D3795" s="7" t="inlineStr">
        <is>
          <t>[Upgradation work of Health Sub Centre Premadas Kutti Huzurpur]</t>
        </is>
      </c>
      <c r="E3795" s="7" t="inlineStr">
        <is>
          <t>Uttar Pradesh Public Works &amp; Technology Department</t>
        </is>
      </c>
      <c r="F3795" s="6" t="inlineStr">
        <is>
          <t>13 Sep 2026</t>
        </is>
      </c>
      <c r="G3795" s="5" t="inlineStr">
        <is>
          <t>09 Oct 2026</t>
        </is>
      </c>
      <c r="H3795" s="8" t="inlineStr">
        <is>
          <t>⏳ UPCOMING</t>
        </is>
      </c>
      <c r="I3795" s="4" t="inlineStr">
        <is>
          <t>Tendernotice_1.pdf</t>
        </is>
      </c>
      <c r="J3795" s="6" t="inlineStr">
        <is>
          <t>📕 PDF Document</t>
        </is>
      </c>
      <c r="K3795" s="9" t="n">
        <v>17.9</v>
      </c>
      <c r="L3795" s="10">
        <f>HYPERLINK("http://127.0.0.1:8000/api/documents/download?id=977&amp;attachment=true", "⬇ Download Tendernotice_1.pdf")</f>
        <v/>
      </c>
      <c r="M3795" s="10">
        <f>HYPERLINK("http://localhost:5173/?state=Uttar%20Pradesh&amp;keyword=Health&amp;tender=2026_MSME_1194160_7", "🚀 Open in Portal")</f>
        <v/>
      </c>
    </row>
    <row r="3796" ht="24" customHeight="1">
      <c r="A3796" s="11" t="inlineStr">
        <is>
          <t>Uttar Pradesh</t>
        </is>
      </c>
      <c r="B3796" s="12" t="inlineStr">
        <is>
          <t>Health</t>
        </is>
      </c>
      <c r="C3796" s="13" t="inlineStr">
        <is>
          <t>2026_MSME_1194160_7</t>
        </is>
      </c>
      <c r="D3796" s="14" t="inlineStr">
        <is>
          <t>[Upgradation work of Health Sub Centre Premadas Kutti Huzurpur]</t>
        </is>
      </c>
      <c r="E3796" s="14" t="inlineStr">
        <is>
          <t>Uttar Pradesh Public Works &amp; Technology Department</t>
        </is>
      </c>
      <c r="F3796" s="13" t="inlineStr">
        <is>
          <t>13 Sep 2026</t>
        </is>
      </c>
      <c r="G3796" s="12" t="inlineStr">
        <is>
          <t>09 Oct 2026</t>
        </is>
      </c>
      <c r="H3796" s="8" t="inlineStr">
        <is>
          <t>⏳ UPCOMING</t>
        </is>
      </c>
      <c r="I3796" s="11" t="inlineStr">
        <is>
          <t>BOQ_2255946.xls</t>
        </is>
      </c>
      <c r="J3796" s="13" t="inlineStr">
        <is>
          <t>📊 Excel BOQ</t>
        </is>
      </c>
      <c r="K3796" s="15" t="n">
        <v>2.4</v>
      </c>
      <c r="L3796" s="16">
        <f>HYPERLINK("http://127.0.0.1:8000/api/documents/download?id=978&amp;attachment=true", "⬇ Download BOQ_2255946.xls")</f>
        <v/>
      </c>
      <c r="M3796" s="16">
        <f>HYPERLINK("http://localhost:5173/?state=Uttar%20Pradesh&amp;keyword=Health&amp;tender=2026_MSME_1194160_7", "🚀 Open in Portal")</f>
        <v/>
      </c>
    </row>
    <row r="3797" ht="24" customHeight="1">
      <c r="A3797" s="4" t="inlineStr">
        <is>
          <t>Uttar Pradesh</t>
        </is>
      </c>
      <c r="B3797" s="5" t="inlineStr">
        <is>
          <t>Health</t>
        </is>
      </c>
      <c r="C3797" s="6" t="inlineStr">
        <is>
          <t>2026_MSME_1194160_7</t>
        </is>
      </c>
      <c r="D3797" s="7" t="inlineStr">
        <is>
          <t>[Upgradation work of Health Sub Centre Premadas Kutti Huzurpur]</t>
        </is>
      </c>
      <c r="E3797" s="7" t="inlineStr">
        <is>
          <t>Uttar Pradesh Public Works &amp; Technology Department</t>
        </is>
      </c>
      <c r="F3797" s="6" t="inlineStr">
        <is>
          <t>13 Sep 2026</t>
        </is>
      </c>
      <c r="G3797" s="5" t="inlineStr">
        <is>
          <t>09 Oct 2026</t>
        </is>
      </c>
      <c r="H3797" s="8" t="inlineStr">
        <is>
          <t>⏳ UPCOMING</t>
        </is>
      </c>
      <c r="I3797" s="4" t="inlineStr">
        <is>
          <t>TermsandConditionTenderCivilWorks.pdf</t>
        </is>
      </c>
      <c r="J3797" s="6" t="inlineStr">
        <is>
          <t>📕 PDF Document</t>
        </is>
      </c>
      <c r="K3797" s="9" t="n">
        <v>17.9</v>
      </c>
      <c r="L3797" s="10">
        <f>HYPERLINK("http://127.0.0.1:8000/api/documents/download?id=979&amp;attachment=true", "⬇ Download TermsandConditionTenderC")</f>
        <v/>
      </c>
      <c r="M3797" s="10">
        <f>HYPERLINK("http://localhost:5173/?state=Uttar%20Pradesh&amp;keyword=Health&amp;tender=2026_MSME_1194160_7", "🚀 Open in Portal")</f>
        <v/>
      </c>
    </row>
    <row r="3798" ht="24" customHeight="1">
      <c r="A3798" s="11" t="inlineStr">
        <is>
          <t>Uttar Pradesh</t>
        </is>
      </c>
      <c r="B3798" s="12" t="inlineStr">
        <is>
          <t>Health</t>
        </is>
      </c>
      <c r="C3798" s="13" t="inlineStr">
        <is>
          <t>2026_MSME_1194160_7</t>
        </is>
      </c>
      <c r="D3798" s="14" t="inlineStr">
        <is>
          <t>[Upgradation work of Health Sub Centre Premadas Kutti Huzurpur]</t>
        </is>
      </c>
      <c r="E3798" s="14" t="inlineStr">
        <is>
          <t>Uttar Pradesh Public Works &amp; Technology Department</t>
        </is>
      </c>
      <c r="F3798" s="13" t="inlineStr">
        <is>
          <t>13 Sep 2026</t>
        </is>
      </c>
      <c r="G3798" s="12" t="inlineStr">
        <is>
          <t>09 Oct 2026</t>
        </is>
      </c>
      <c r="H3798" s="8" t="inlineStr">
        <is>
          <t>⏳ UPCOMING</t>
        </is>
      </c>
      <c r="I3798" s="11" t="inlineStr">
        <is>
          <t>Tender_2026_MSME_1194160_7_All_Documents.zip</t>
        </is>
      </c>
      <c r="J3798" s="13" t="inlineStr">
        <is>
          <t>📦 ZIP Package</t>
        </is>
      </c>
      <c r="K3798" s="15" t="n">
        <v>20.9</v>
      </c>
      <c r="L3798" s="16">
        <f>HYPERLINK("http://127.0.0.1:8000/api/documents/download?id=980&amp;attachment=true", "⬇ Download Tender_2026_MSME_1194160")</f>
        <v/>
      </c>
      <c r="M3798" s="16">
        <f>HYPERLINK("http://localhost:5173/?state=Uttar%20Pradesh&amp;keyword=Health&amp;tender=2026_MSME_1194160_7", "🚀 Open in Portal")</f>
        <v/>
      </c>
    </row>
    <row r="3799" ht="24" customHeight="1">
      <c r="A3799" s="4" t="inlineStr">
        <is>
          <t>Uttar Pradesh</t>
        </is>
      </c>
      <c r="B3799" s="5" t="inlineStr">
        <is>
          <t>Health</t>
        </is>
      </c>
      <c r="C3799" s="6" t="inlineStr">
        <is>
          <t>2026_MSME_1194160_8</t>
        </is>
      </c>
      <c r="D3799" s="7" t="inlineStr">
        <is>
          <t>[Upgradation work of Health Sub Centre Mallahan Singh Chilhariya]</t>
        </is>
      </c>
      <c r="E3799" s="7" t="inlineStr">
        <is>
          <t>Uttar Pradesh Public Works &amp; Technology Department</t>
        </is>
      </c>
      <c r="F3799" s="6" t="inlineStr">
        <is>
          <t>10 Sep 2026</t>
        </is>
      </c>
      <c r="G3799" s="5" t="inlineStr">
        <is>
          <t>03 Oct 2026</t>
        </is>
      </c>
      <c r="H3799" s="8" t="inlineStr">
        <is>
          <t>⏳ UPCOMING</t>
        </is>
      </c>
      <c r="I3799" s="4" t="inlineStr">
        <is>
          <t>Tendernotice_1.pdf</t>
        </is>
      </c>
      <c r="J3799" s="6" t="inlineStr">
        <is>
          <t>📕 PDF Document</t>
        </is>
      </c>
      <c r="K3799" s="9" t="n">
        <v>17.9</v>
      </c>
      <c r="L3799" s="10">
        <f>HYPERLINK("http://127.0.0.1:8000/api/documents/download?id=973&amp;attachment=true", "⬇ Download Tendernotice_1.pdf")</f>
        <v/>
      </c>
      <c r="M3799" s="10">
        <f>HYPERLINK("http://localhost:5173/?state=Uttar%20Pradesh&amp;keyword=Health&amp;tender=2026_MSME_1194160_8", "🚀 Open in Portal")</f>
        <v/>
      </c>
    </row>
    <row r="3800" ht="24" customHeight="1">
      <c r="A3800" s="11" t="inlineStr">
        <is>
          <t>Uttar Pradesh</t>
        </is>
      </c>
      <c r="B3800" s="12" t="inlineStr">
        <is>
          <t>Health</t>
        </is>
      </c>
      <c r="C3800" s="13" t="inlineStr">
        <is>
          <t>2026_MSME_1194160_8</t>
        </is>
      </c>
      <c r="D3800" s="14" t="inlineStr">
        <is>
          <t>[Upgradation work of Health Sub Centre Mallahan Singh Chilhariya]</t>
        </is>
      </c>
      <c r="E3800" s="14" t="inlineStr">
        <is>
          <t>Uttar Pradesh Public Works &amp; Technology Department</t>
        </is>
      </c>
      <c r="F3800" s="13" t="inlineStr">
        <is>
          <t>10 Sep 2026</t>
        </is>
      </c>
      <c r="G3800" s="12" t="inlineStr">
        <is>
          <t>03 Oct 2026</t>
        </is>
      </c>
      <c r="H3800" s="8" t="inlineStr">
        <is>
          <t>⏳ UPCOMING</t>
        </is>
      </c>
      <c r="I3800" s="11" t="inlineStr">
        <is>
          <t>BOQ_2255956.xls</t>
        </is>
      </c>
      <c r="J3800" s="13" t="inlineStr">
        <is>
          <t>📊 Excel BOQ</t>
        </is>
      </c>
      <c r="K3800" s="15" t="n">
        <v>2.4</v>
      </c>
      <c r="L3800" s="16">
        <f>HYPERLINK("http://127.0.0.1:8000/api/documents/download?id=974&amp;attachment=true", "⬇ Download BOQ_2255956.xls")</f>
        <v/>
      </c>
      <c r="M3800" s="16">
        <f>HYPERLINK("http://localhost:5173/?state=Uttar%20Pradesh&amp;keyword=Health&amp;tender=2026_MSME_1194160_8", "🚀 Open in Portal")</f>
        <v/>
      </c>
    </row>
    <row r="3801" ht="24" customHeight="1">
      <c r="A3801" s="4" t="inlineStr">
        <is>
          <t>Uttar Pradesh</t>
        </is>
      </c>
      <c r="B3801" s="5" t="inlineStr">
        <is>
          <t>Health</t>
        </is>
      </c>
      <c r="C3801" s="6" t="inlineStr">
        <is>
          <t>2026_MSME_1194160_8</t>
        </is>
      </c>
      <c r="D3801" s="7" t="inlineStr">
        <is>
          <t>[Upgradation work of Health Sub Centre Mallahan Singh Chilhariya]</t>
        </is>
      </c>
      <c r="E3801" s="7" t="inlineStr">
        <is>
          <t>Uttar Pradesh Public Works &amp; Technology Department</t>
        </is>
      </c>
      <c r="F3801" s="6" t="inlineStr">
        <is>
          <t>10 Sep 2026</t>
        </is>
      </c>
      <c r="G3801" s="5" t="inlineStr">
        <is>
          <t>03 Oct 2026</t>
        </is>
      </c>
      <c r="H3801" s="8" t="inlineStr">
        <is>
          <t>⏳ UPCOMING</t>
        </is>
      </c>
      <c r="I3801" s="4" t="inlineStr">
        <is>
          <t>TermsandConditionTenderCivilWorks.pdf</t>
        </is>
      </c>
      <c r="J3801" s="6" t="inlineStr">
        <is>
          <t>📕 PDF Document</t>
        </is>
      </c>
      <c r="K3801" s="9" t="n">
        <v>17.9</v>
      </c>
      <c r="L3801" s="10">
        <f>HYPERLINK("http://127.0.0.1:8000/api/documents/download?id=975&amp;attachment=true", "⬇ Download TermsandConditionTenderC")</f>
        <v/>
      </c>
      <c r="M3801" s="10">
        <f>HYPERLINK("http://localhost:5173/?state=Uttar%20Pradesh&amp;keyword=Health&amp;tender=2026_MSME_1194160_8", "🚀 Open in Portal")</f>
        <v/>
      </c>
    </row>
    <row r="3802" ht="24" customHeight="1">
      <c r="A3802" s="11" t="inlineStr">
        <is>
          <t>Uttar Pradesh</t>
        </is>
      </c>
      <c r="B3802" s="12" t="inlineStr">
        <is>
          <t>Health</t>
        </is>
      </c>
      <c r="C3802" s="13" t="inlineStr">
        <is>
          <t>2026_MSME_1194160_8</t>
        </is>
      </c>
      <c r="D3802" s="14" t="inlineStr">
        <is>
          <t>[Upgradation work of Health Sub Centre Mallahan Singh Chilhariya]</t>
        </is>
      </c>
      <c r="E3802" s="14" t="inlineStr">
        <is>
          <t>Uttar Pradesh Public Works &amp; Technology Department</t>
        </is>
      </c>
      <c r="F3802" s="13" t="inlineStr">
        <is>
          <t>10 Sep 2026</t>
        </is>
      </c>
      <c r="G3802" s="12" t="inlineStr">
        <is>
          <t>03 Oct 2026</t>
        </is>
      </c>
      <c r="H3802" s="8" t="inlineStr">
        <is>
          <t>⏳ UPCOMING</t>
        </is>
      </c>
      <c r="I3802" s="11" t="inlineStr">
        <is>
          <t>Tender_2026_MSME_1194160_8_All_Documents.zip</t>
        </is>
      </c>
      <c r="J3802" s="13" t="inlineStr">
        <is>
          <t>📦 ZIP Package</t>
        </is>
      </c>
      <c r="K3802" s="15" t="n">
        <v>20.9</v>
      </c>
      <c r="L3802" s="16">
        <f>HYPERLINK("http://127.0.0.1:8000/api/documents/download?id=976&amp;attachment=true", "⬇ Download Tender_2026_MSME_1194160")</f>
        <v/>
      </c>
      <c r="M3802" s="16">
        <f>HYPERLINK("http://localhost:5173/?state=Uttar%20Pradesh&amp;keyword=Health&amp;tender=2026_MSME_1194160_8", "🚀 Open in Portal")</f>
        <v/>
      </c>
    </row>
    <row r="3803" ht="24" customHeight="1">
      <c r="A3803" s="4" t="inlineStr">
        <is>
          <t>Uttar Pradesh</t>
        </is>
      </c>
      <c r="B3803" s="5" t="inlineStr">
        <is>
          <t>Health</t>
        </is>
      </c>
      <c r="C3803" s="6" t="inlineStr">
        <is>
          <t>2026_UPPRD_1186296_2</t>
        </is>
      </c>
      <c r="D3803" s="7" t="inlineStr">
        <is>
          <t>[Construction work at the Block Public Health Unit (BPHU), Kanaili.]</t>
        </is>
      </c>
      <c r="E3803" s="7" t="inlineStr">
        <is>
          <t>Uttar Pradesh Public Works &amp; Technology Department</t>
        </is>
      </c>
      <c r="F3803" s="6" t="inlineStr">
        <is>
          <t>22 Sep 2026</t>
        </is>
      </c>
      <c r="G3803" s="5" t="inlineStr">
        <is>
          <t>20 Oct 2026</t>
        </is>
      </c>
      <c r="H3803" s="18" t="inlineStr">
        <is>
          <t>⚠️ CLOSING SOON</t>
        </is>
      </c>
      <c r="I3803" s="4" t="inlineStr">
        <is>
          <t>Tendernotice_1.pdf</t>
        </is>
      </c>
      <c r="J3803" s="6" t="inlineStr">
        <is>
          <t>📕 PDF Document</t>
        </is>
      </c>
      <c r="K3803" s="9" t="n">
        <v>17.9</v>
      </c>
      <c r="L3803" s="10">
        <f>HYPERLINK("http://127.0.0.1:8000/api/documents/download?id=991&amp;attachment=true", "⬇ Download Tendernotice_1.pdf")</f>
        <v/>
      </c>
      <c r="M3803" s="10">
        <f>HYPERLINK("http://localhost:5173/?state=Uttar%20Pradesh&amp;keyword=Health&amp;tender=2026_UPPRD_1186296_2", "🚀 Open in Portal")</f>
        <v/>
      </c>
    </row>
    <row r="3804" ht="24" customHeight="1">
      <c r="A3804" s="11" t="inlineStr">
        <is>
          <t>Uttar Pradesh</t>
        </is>
      </c>
      <c r="B3804" s="12" t="inlineStr">
        <is>
          <t>Health</t>
        </is>
      </c>
      <c r="C3804" s="13" t="inlineStr">
        <is>
          <t>2026_UPPRD_1186296_2</t>
        </is>
      </c>
      <c r="D3804" s="14" t="inlineStr">
        <is>
          <t>[Construction work at the Block Public Health Unit (BPHU), Kanaili.]</t>
        </is>
      </c>
      <c r="E3804" s="14" t="inlineStr">
        <is>
          <t>Uttar Pradesh Public Works &amp; Technology Department</t>
        </is>
      </c>
      <c r="F3804" s="13" t="inlineStr">
        <is>
          <t>22 Sep 2026</t>
        </is>
      </c>
      <c r="G3804" s="12" t="inlineStr">
        <is>
          <t>20 Oct 2026</t>
        </is>
      </c>
      <c r="H3804" s="18" t="inlineStr">
        <is>
          <t>⚠️ CLOSING SOON</t>
        </is>
      </c>
      <c r="I3804" s="11" t="inlineStr">
        <is>
          <t>BOQ_2255857.xls</t>
        </is>
      </c>
      <c r="J3804" s="13" t="inlineStr">
        <is>
          <t>📊 Excel BOQ</t>
        </is>
      </c>
      <c r="K3804" s="15" t="n">
        <v>2.4</v>
      </c>
      <c r="L3804" s="16">
        <f>HYPERLINK("http://127.0.0.1:8000/api/documents/download?id=992&amp;attachment=true", "⬇ Download BOQ_2255857.xls")</f>
        <v/>
      </c>
      <c r="M3804" s="16">
        <f>HYPERLINK("http://localhost:5173/?state=Uttar%20Pradesh&amp;keyword=Health&amp;tender=2026_UPPRD_1186296_2", "🚀 Open in Portal")</f>
        <v/>
      </c>
    </row>
    <row r="3805" ht="24" customHeight="1">
      <c r="A3805" s="4" t="inlineStr">
        <is>
          <t>Uttar Pradesh</t>
        </is>
      </c>
      <c r="B3805" s="5" t="inlineStr">
        <is>
          <t>Health</t>
        </is>
      </c>
      <c r="C3805" s="6" t="inlineStr">
        <is>
          <t>2026_UPPRD_1186296_2</t>
        </is>
      </c>
      <c r="D3805" s="7" t="inlineStr">
        <is>
          <t>[Construction work at the Block Public Health Unit (BPHU), Kanaili.]</t>
        </is>
      </c>
      <c r="E3805" s="7" t="inlineStr">
        <is>
          <t>Uttar Pradesh Public Works &amp; Technology Department</t>
        </is>
      </c>
      <c r="F3805" s="6" t="inlineStr">
        <is>
          <t>22 Sep 2026</t>
        </is>
      </c>
      <c r="G3805" s="5" t="inlineStr">
        <is>
          <t>20 Oct 2026</t>
        </is>
      </c>
      <c r="H3805" s="18" t="inlineStr">
        <is>
          <t>⚠️ CLOSING SOON</t>
        </is>
      </c>
      <c r="I3805" s="4" t="inlineStr">
        <is>
          <t>Tender_2026_UPPRD_1186296_2_All_Documents.zip</t>
        </is>
      </c>
      <c r="J3805" s="6" t="inlineStr">
        <is>
          <t>📦 ZIP Package</t>
        </is>
      </c>
      <c r="K3805" s="9" t="n">
        <v>11.5</v>
      </c>
      <c r="L3805" s="10">
        <f>HYPERLINK("http://127.0.0.1:8000/api/documents/download?id=993&amp;attachment=true", "⬇ Download Tender_2026_UPPRD_118629")</f>
        <v/>
      </c>
      <c r="M3805" s="10">
        <f>HYPERLINK("http://localhost:5173/?state=Uttar%20Pradesh&amp;keyword=Health&amp;tender=2026_UPPRD_1186296_2", "🚀 Open in Portal")</f>
        <v/>
      </c>
    </row>
    <row r="3806" ht="24" customHeight="1">
      <c r="A3806" s="11" t="inlineStr">
        <is>
          <t>Uttar Pradesh</t>
        </is>
      </c>
      <c r="B3806" s="12" t="inlineStr">
        <is>
          <t>Health</t>
        </is>
      </c>
      <c r="C3806" s="13" t="inlineStr">
        <is>
          <t>2026_UPPRD_1194361_1</t>
        </is>
      </c>
      <c r="D3806" s="14" t="inlineStr">
        <is>
          <t>[GRAM RACHHWAPAR ME HEALTH SUB CENTRE EVAM WELLLNESS CENTRE KA NIRMAN]</t>
        </is>
      </c>
      <c r="E3806" s="14" t="inlineStr">
        <is>
          <t>Uttar Pradesh Public Works &amp; Technology Department</t>
        </is>
      </c>
      <c r="F3806" s="13" t="inlineStr">
        <is>
          <t>25 Sep 2026</t>
        </is>
      </c>
      <c r="G3806" s="12" t="inlineStr">
        <is>
          <t>04 Nov 2026</t>
        </is>
      </c>
      <c r="H3806" s="17" t="inlineStr">
        <is>
          <t>🟢 LIVE ACTIVE</t>
        </is>
      </c>
      <c r="I3806" s="11" t="inlineStr">
        <is>
          <t>Tendernotice_1.pdf</t>
        </is>
      </c>
      <c r="J3806" s="13" t="inlineStr">
        <is>
          <t>📕 PDF Document</t>
        </is>
      </c>
      <c r="K3806" s="15" t="n">
        <v>17.9</v>
      </c>
      <c r="L3806" s="16">
        <f>HYPERLINK("http://127.0.0.1:8000/api/documents/download?id=994&amp;attachment=true", "⬇ Download Tendernotice_1.pdf")</f>
        <v/>
      </c>
      <c r="M3806" s="16">
        <f>HYPERLINK("http://localhost:5173/?state=Uttar%20Pradesh&amp;keyword=Health&amp;tender=2026_UPPRD_1194361_1", "🚀 Open in Portal")</f>
        <v/>
      </c>
    </row>
    <row r="3807" ht="24" customHeight="1">
      <c r="A3807" s="4" t="inlineStr">
        <is>
          <t>Uttar Pradesh</t>
        </is>
      </c>
      <c r="B3807" s="5" t="inlineStr">
        <is>
          <t>Health</t>
        </is>
      </c>
      <c r="C3807" s="6" t="inlineStr">
        <is>
          <t>2026_UPPRD_1194361_1</t>
        </is>
      </c>
      <c r="D3807" s="7" t="inlineStr">
        <is>
          <t>[GRAM RACHHWAPAR ME HEALTH SUB CENTRE EVAM WELLLNESS CENTRE KA NIRMAN]</t>
        </is>
      </c>
      <c r="E3807" s="7" t="inlineStr">
        <is>
          <t>Uttar Pradesh Public Works &amp; Technology Department</t>
        </is>
      </c>
      <c r="F3807" s="6" t="inlineStr">
        <is>
          <t>25 Sep 2026</t>
        </is>
      </c>
      <c r="G3807" s="5" t="inlineStr">
        <is>
          <t>04 Nov 2026</t>
        </is>
      </c>
      <c r="H3807" s="17" t="inlineStr">
        <is>
          <t>🟢 LIVE ACTIVE</t>
        </is>
      </c>
      <c r="I3807" s="4" t="inlineStr">
        <is>
          <t>BOQ_2254720.xls</t>
        </is>
      </c>
      <c r="J3807" s="6" t="inlineStr">
        <is>
          <t>📊 Excel BOQ</t>
        </is>
      </c>
      <c r="K3807" s="9" t="n">
        <v>2.5</v>
      </c>
      <c r="L3807" s="10">
        <f>HYPERLINK("http://127.0.0.1:8000/api/documents/download?id=995&amp;attachment=true", "⬇ Download BOQ_2254720.xls")</f>
        <v/>
      </c>
      <c r="M3807" s="10">
        <f>HYPERLINK("http://localhost:5173/?state=Uttar%20Pradesh&amp;keyword=Health&amp;tender=2026_UPPRD_1194361_1", "🚀 Open in Portal")</f>
        <v/>
      </c>
    </row>
    <row r="3808" ht="24" customHeight="1">
      <c r="A3808" s="11" t="inlineStr">
        <is>
          <t>Uttar Pradesh</t>
        </is>
      </c>
      <c r="B3808" s="12" t="inlineStr">
        <is>
          <t>Health</t>
        </is>
      </c>
      <c r="C3808" s="13" t="inlineStr">
        <is>
          <t>2026_UPPRD_1194361_1</t>
        </is>
      </c>
      <c r="D3808" s="14" t="inlineStr">
        <is>
          <t>[GRAM RACHHWAPAR ME HEALTH SUB CENTRE EVAM WELLLNESS CENTRE KA NIRMAN]</t>
        </is>
      </c>
      <c r="E3808" s="14" t="inlineStr">
        <is>
          <t>Uttar Pradesh Public Works &amp; Technology Department</t>
        </is>
      </c>
      <c r="F3808" s="13" t="inlineStr">
        <is>
          <t>25 Sep 2026</t>
        </is>
      </c>
      <c r="G3808" s="12" t="inlineStr">
        <is>
          <t>04 Nov 2026</t>
        </is>
      </c>
      <c r="H3808" s="17" t="inlineStr">
        <is>
          <t>🟢 LIVE ACTIVE</t>
        </is>
      </c>
      <c r="I3808" s="11" t="inlineStr">
        <is>
          <t>Tender_2026_UPPRD_1194361_1_All_Documents.zip</t>
        </is>
      </c>
      <c r="J3808" s="13" t="inlineStr">
        <is>
          <t>📦 ZIP Package</t>
        </is>
      </c>
      <c r="K3808" s="15" t="n">
        <v>11.6</v>
      </c>
      <c r="L3808" s="16">
        <f>HYPERLINK("http://127.0.0.1:8000/api/documents/download?id=996&amp;attachment=true", "⬇ Download Tender_2026_UPPRD_119436")</f>
        <v/>
      </c>
      <c r="M3808" s="16">
        <f>HYPERLINK("http://localhost:5173/?state=Uttar%20Pradesh&amp;keyword=Health&amp;tender=2026_UPPRD_1194361_1", "🚀 Open in Portal")</f>
        <v/>
      </c>
    </row>
    <row r="3809" ht="24" customHeight="1">
      <c r="A3809" s="4" t="inlineStr">
        <is>
          <t>Uttar Pradesh</t>
        </is>
      </c>
      <c r="B3809" s="5" t="inlineStr">
        <is>
          <t>Health</t>
        </is>
      </c>
      <c r="C3809" s="6" t="inlineStr">
        <is>
          <t>2026_UPPRD_1194361_2</t>
        </is>
      </c>
      <c r="D3809" s="7" t="inlineStr">
        <is>
          <t>[GRAM BILARI ME HEALTH SUB CENTRE EVAM WELLLNESS CENTRE KA NIRMAN]</t>
        </is>
      </c>
      <c r="E3809" s="7" t="inlineStr">
        <is>
          <t>Uttar Pradesh Public Works &amp; Technology Department</t>
        </is>
      </c>
      <c r="F3809" s="6" t="inlineStr">
        <is>
          <t>01 Oct 2026</t>
        </is>
      </c>
      <c r="G3809" s="5" t="inlineStr">
        <is>
          <t>06 Nov 2026</t>
        </is>
      </c>
      <c r="H3809" s="17" t="inlineStr">
        <is>
          <t>🟢 LIVE ACTIVE</t>
        </is>
      </c>
      <c r="I3809" s="4" t="inlineStr">
        <is>
          <t>Tendernotice_1.pdf</t>
        </is>
      </c>
      <c r="J3809" s="6" t="inlineStr">
        <is>
          <t>📕 PDF Document</t>
        </is>
      </c>
      <c r="K3809" s="9" t="n">
        <v>17.9</v>
      </c>
      <c r="L3809" s="10">
        <f>HYPERLINK("http://127.0.0.1:8000/api/documents/download?id=1000&amp;attachment=true", "⬇ Download Tendernotice_1.pdf")</f>
        <v/>
      </c>
      <c r="M3809" s="10">
        <f>HYPERLINK("http://localhost:5173/?state=Uttar%20Pradesh&amp;keyword=Health&amp;tender=2026_UPPRD_1194361_2", "🚀 Open in Portal")</f>
        <v/>
      </c>
    </row>
    <row r="3810" ht="24" customHeight="1">
      <c r="A3810" s="11" t="inlineStr">
        <is>
          <t>Uttar Pradesh</t>
        </is>
      </c>
      <c r="B3810" s="12" t="inlineStr">
        <is>
          <t>Health</t>
        </is>
      </c>
      <c r="C3810" s="13" t="inlineStr">
        <is>
          <t>2026_UPPRD_1194361_2</t>
        </is>
      </c>
      <c r="D3810" s="14" t="inlineStr">
        <is>
          <t>[GRAM BILARI ME HEALTH SUB CENTRE EVAM WELLLNESS CENTRE KA NIRMAN]</t>
        </is>
      </c>
      <c r="E3810" s="14" t="inlineStr">
        <is>
          <t>Uttar Pradesh Public Works &amp; Technology Department</t>
        </is>
      </c>
      <c r="F3810" s="13" t="inlineStr">
        <is>
          <t>01 Oct 2026</t>
        </is>
      </c>
      <c r="G3810" s="12" t="inlineStr">
        <is>
          <t>06 Nov 2026</t>
        </is>
      </c>
      <c r="H3810" s="17" t="inlineStr">
        <is>
          <t>🟢 LIVE ACTIVE</t>
        </is>
      </c>
      <c r="I3810" s="11" t="inlineStr">
        <is>
          <t>BOQ_2254723.xls</t>
        </is>
      </c>
      <c r="J3810" s="13" t="inlineStr">
        <is>
          <t>📊 Excel BOQ</t>
        </is>
      </c>
      <c r="K3810" s="15" t="n">
        <v>2.5</v>
      </c>
      <c r="L3810" s="16">
        <f>HYPERLINK("http://127.0.0.1:8000/api/documents/download?id=1001&amp;attachment=true", "⬇ Download BOQ_2254723.xls")</f>
        <v/>
      </c>
      <c r="M3810" s="16">
        <f>HYPERLINK("http://localhost:5173/?state=Uttar%20Pradesh&amp;keyword=Health&amp;tender=2026_UPPRD_1194361_2", "🚀 Open in Portal")</f>
        <v/>
      </c>
    </row>
    <row r="3811" ht="24" customHeight="1">
      <c r="A3811" s="4" t="inlineStr">
        <is>
          <t>Uttar Pradesh</t>
        </is>
      </c>
      <c r="B3811" s="5" t="inlineStr">
        <is>
          <t>Health</t>
        </is>
      </c>
      <c r="C3811" s="6" t="inlineStr">
        <is>
          <t>2026_UPPRD_1194361_2</t>
        </is>
      </c>
      <c r="D3811" s="7" t="inlineStr">
        <is>
          <t>[GRAM BILARI ME HEALTH SUB CENTRE EVAM WELLLNESS CENTRE KA NIRMAN]</t>
        </is>
      </c>
      <c r="E3811" s="7" t="inlineStr">
        <is>
          <t>Uttar Pradesh Public Works &amp; Technology Department</t>
        </is>
      </c>
      <c r="F3811" s="6" t="inlineStr">
        <is>
          <t>01 Oct 2026</t>
        </is>
      </c>
      <c r="G3811" s="5" t="inlineStr">
        <is>
          <t>06 Nov 2026</t>
        </is>
      </c>
      <c r="H3811" s="17" t="inlineStr">
        <is>
          <t>🟢 LIVE ACTIVE</t>
        </is>
      </c>
      <c r="I3811" s="4" t="inlineStr">
        <is>
          <t>Tender_2026_UPPRD_1194361_2_All_Documents.zip</t>
        </is>
      </c>
      <c r="J3811" s="6" t="inlineStr">
        <is>
          <t>📦 ZIP Package</t>
        </is>
      </c>
      <c r="K3811" s="9" t="n">
        <v>11.6</v>
      </c>
      <c r="L3811" s="10">
        <f>HYPERLINK("http://127.0.0.1:8000/api/documents/download?id=1002&amp;attachment=true", "⬇ Download Tender_2026_UPPRD_119436")</f>
        <v/>
      </c>
      <c r="M3811" s="10">
        <f>HYPERLINK("http://localhost:5173/?state=Uttar%20Pradesh&amp;keyword=Health&amp;tender=2026_UPPRD_1194361_2", "🚀 Open in Portal")</f>
        <v/>
      </c>
    </row>
    <row r="3812" ht="24" customHeight="1">
      <c r="A3812" s="11" t="inlineStr">
        <is>
          <t>Uttar Pradesh</t>
        </is>
      </c>
      <c r="B3812" s="12" t="inlineStr">
        <is>
          <t>Health</t>
        </is>
      </c>
      <c r="C3812" s="13" t="inlineStr">
        <is>
          <t>2026_UPPRD_1194361_3</t>
        </is>
      </c>
      <c r="D3812" s="14" t="inlineStr">
        <is>
          <t>[GRAM SHIVPUR ME HEALTH SUB CENTRE EVAM WELLLNESS CENTRE KA NIRMAN]</t>
        </is>
      </c>
      <c r="E3812" s="14" t="inlineStr">
        <is>
          <t>Uttar Pradesh Public Works &amp; Technology Department</t>
        </is>
      </c>
      <c r="F3812" s="13" t="inlineStr">
        <is>
          <t>04 Oct 2026</t>
        </is>
      </c>
      <c r="G3812" s="12" t="inlineStr">
        <is>
          <t>28 Oct 2026</t>
        </is>
      </c>
      <c r="H3812" s="17" t="inlineStr">
        <is>
          <t>🟢 LIVE ACTIVE</t>
        </is>
      </c>
      <c r="I3812" s="11" t="inlineStr">
        <is>
          <t>Tendernotice_1.pdf</t>
        </is>
      </c>
      <c r="J3812" s="13" t="inlineStr">
        <is>
          <t>📕 PDF Document</t>
        </is>
      </c>
      <c r="K3812" s="15" t="n">
        <v>17.9</v>
      </c>
      <c r="L3812" s="16">
        <f>HYPERLINK("http://127.0.0.1:8000/api/documents/download?id=1003&amp;attachment=true", "⬇ Download Tendernotice_1.pdf")</f>
        <v/>
      </c>
      <c r="M3812" s="16">
        <f>HYPERLINK("http://localhost:5173/?state=Uttar%20Pradesh&amp;keyword=Health&amp;tender=2026_UPPRD_1194361_3", "🚀 Open in Portal")</f>
        <v/>
      </c>
    </row>
    <row r="3813" ht="24" customHeight="1">
      <c r="A3813" s="4" t="inlineStr">
        <is>
          <t>Uttar Pradesh</t>
        </is>
      </c>
      <c r="B3813" s="5" t="inlineStr">
        <is>
          <t>Health</t>
        </is>
      </c>
      <c r="C3813" s="6" t="inlineStr">
        <is>
          <t>2026_UPPRD_1194361_3</t>
        </is>
      </c>
      <c r="D3813" s="7" t="inlineStr">
        <is>
          <t>[GRAM SHIVPUR ME HEALTH SUB CENTRE EVAM WELLLNESS CENTRE KA NIRMAN]</t>
        </is>
      </c>
      <c r="E3813" s="7" t="inlineStr">
        <is>
          <t>Uttar Pradesh Public Works &amp; Technology Department</t>
        </is>
      </c>
      <c r="F3813" s="6" t="inlineStr">
        <is>
          <t>04 Oct 2026</t>
        </is>
      </c>
      <c r="G3813" s="5" t="inlineStr">
        <is>
          <t>28 Oct 2026</t>
        </is>
      </c>
      <c r="H3813" s="17" t="inlineStr">
        <is>
          <t>🟢 LIVE ACTIVE</t>
        </is>
      </c>
      <c r="I3813" s="4" t="inlineStr">
        <is>
          <t>BOQ_2254731.xls</t>
        </is>
      </c>
      <c r="J3813" s="6" t="inlineStr">
        <is>
          <t>📊 Excel BOQ</t>
        </is>
      </c>
      <c r="K3813" s="9" t="n">
        <v>2.5</v>
      </c>
      <c r="L3813" s="10">
        <f>HYPERLINK("http://127.0.0.1:8000/api/documents/download?id=1004&amp;attachment=true", "⬇ Download BOQ_2254731.xls")</f>
        <v/>
      </c>
      <c r="M3813" s="10">
        <f>HYPERLINK("http://localhost:5173/?state=Uttar%20Pradesh&amp;keyword=Health&amp;tender=2026_UPPRD_1194361_3", "🚀 Open in Portal")</f>
        <v/>
      </c>
    </row>
    <row r="3814" ht="24" customHeight="1">
      <c r="A3814" s="11" t="inlineStr">
        <is>
          <t>Uttar Pradesh</t>
        </is>
      </c>
      <c r="B3814" s="12" t="inlineStr">
        <is>
          <t>Health</t>
        </is>
      </c>
      <c r="C3814" s="13" t="inlineStr">
        <is>
          <t>2026_UPPRD_1194361_3</t>
        </is>
      </c>
      <c r="D3814" s="14" t="inlineStr">
        <is>
          <t>[GRAM SHIVPUR ME HEALTH SUB CENTRE EVAM WELLLNESS CENTRE KA NIRMAN]</t>
        </is>
      </c>
      <c r="E3814" s="14" t="inlineStr">
        <is>
          <t>Uttar Pradesh Public Works &amp; Technology Department</t>
        </is>
      </c>
      <c r="F3814" s="13" t="inlineStr">
        <is>
          <t>04 Oct 2026</t>
        </is>
      </c>
      <c r="G3814" s="12" t="inlineStr">
        <is>
          <t>28 Oct 2026</t>
        </is>
      </c>
      <c r="H3814" s="17" t="inlineStr">
        <is>
          <t>🟢 LIVE ACTIVE</t>
        </is>
      </c>
      <c r="I3814" s="11" t="inlineStr">
        <is>
          <t>Tender_2026_UPPRD_1194361_3_All_Documents.zip</t>
        </is>
      </c>
      <c r="J3814" s="13" t="inlineStr">
        <is>
          <t>📦 ZIP Package</t>
        </is>
      </c>
      <c r="K3814" s="15" t="n">
        <v>11.6</v>
      </c>
      <c r="L3814" s="16">
        <f>HYPERLINK("http://127.0.0.1:8000/api/documents/download?id=1005&amp;attachment=true", "⬇ Download Tender_2026_UPPRD_119436")</f>
        <v/>
      </c>
      <c r="M3814" s="16">
        <f>HYPERLINK("http://localhost:5173/?state=Uttar%20Pradesh&amp;keyword=Health&amp;tender=2026_UPPRD_1194361_3", "🚀 Open in Portal")</f>
        <v/>
      </c>
    </row>
    <row r="3815" ht="24" customHeight="1">
      <c r="A3815" s="4" t="inlineStr">
        <is>
          <t>Uttar Pradesh</t>
        </is>
      </c>
      <c r="B3815" s="5" t="inlineStr">
        <is>
          <t>Health</t>
        </is>
      </c>
      <c r="C3815" s="6" t="inlineStr">
        <is>
          <t>2026_UPPRD_1194361_4</t>
        </is>
      </c>
      <c r="D3815" s="7" t="inlineStr">
        <is>
          <t>[GRAM REWADA ME HEALTH SUB CENTRE EVAM WELLLNESS CENTRE KA NIRMAN]</t>
        </is>
      </c>
      <c r="E3815" s="7" t="inlineStr">
        <is>
          <t>Uttar Pradesh Public Works &amp; Technology Department</t>
        </is>
      </c>
      <c r="F3815" s="6" t="inlineStr">
        <is>
          <t>28 Sep 2026</t>
        </is>
      </c>
      <c r="G3815" s="5" t="inlineStr">
        <is>
          <t>31 Oct 2026</t>
        </is>
      </c>
      <c r="H3815" s="17" t="inlineStr">
        <is>
          <t>🟢 LIVE ACTIVE</t>
        </is>
      </c>
      <c r="I3815" s="4" t="inlineStr">
        <is>
          <t>Tendernotice_1.pdf</t>
        </is>
      </c>
      <c r="J3815" s="6" t="inlineStr">
        <is>
          <t>📕 PDF Document</t>
        </is>
      </c>
      <c r="K3815" s="9" t="n">
        <v>17.9</v>
      </c>
      <c r="L3815" s="10">
        <f>HYPERLINK("http://127.0.0.1:8000/api/documents/download?id=997&amp;attachment=true", "⬇ Download Tendernotice_1.pdf")</f>
        <v/>
      </c>
      <c r="M3815" s="10">
        <f>HYPERLINK("http://localhost:5173/?state=Uttar%20Pradesh&amp;keyword=Health&amp;tender=2026_UPPRD_1194361_4", "🚀 Open in Portal")</f>
        <v/>
      </c>
    </row>
    <row r="3816" ht="24" customHeight="1">
      <c r="A3816" s="11" t="inlineStr">
        <is>
          <t>Uttar Pradesh</t>
        </is>
      </c>
      <c r="B3816" s="12" t="inlineStr">
        <is>
          <t>Health</t>
        </is>
      </c>
      <c r="C3816" s="13" t="inlineStr">
        <is>
          <t>2026_UPPRD_1194361_4</t>
        </is>
      </c>
      <c r="D3816" s="14" t="inlineStr">
        <is>
          <t>[GRAM REWADA ME HEALTH SUB CENTRE EVAM WELLLNESS CENTRE KA NIRMAN]</t>
        </is>
      </c>
      <c r="E3816" s="14" t="inlineStr">
        <is>
          <t>Uttar Pradesh Public Works &amp; Technology Department</t>
        </is>
      </c>
      <c r="F3816" s="13" t="inlineStr">
        <is>
          <t>28 Sep 2026</t>
        </is>
      </c>
      <c r="G3816" s="12" t="inlineStr">
        <is>
          <t>31 Oct 2026</t>
        </is>
      </c>
      <c r="H3816" s="17" t="inlineStr">
        <is>
          <t>🟢 LIVE ACTIVE</t>
        </is>
      </c>
      <c r="I3816" s="11" t="inlineStr">
        <is>
          <t>BOQ_2254739.xls</t>
        </is>
      </c>
      <c r="J3816" s="13" t="inlineStr">
        <is>
          <t>📊 Excel BOQ</t>
        </is>
      </c>
      <c r="K3816" s="15" t="n">
        <v>2.5</v>
      </c>
      <c r="L3816" s="16">
        <f>HYPERLINK("http://127.0.0.1:8000/api/documents/download?id=998&amp;attachment=true", "⬇ Download BOQ_2254739.xls")</f>
        <v/>
      </c>
      <c r="M3816" s="16">
        <f>HYPERLINK("http://localhost:5173/?state=Uttar%20Pradesh&amp;keyword=Health&amp;tender=2026_UPPRD_1194361_4", "🚀 Open in Portal")</f>
        <v/>
      </c>
    </row>
    <row r="3817" ht="24" customHeight="1">
      <c r="A3817" s="4" t="inlineStr">
        <is>
          <t>Uttar Pradesh</t>
        </is>
      </c>
      <c r="B3817" s="5" t="inlineStr">
        <is>
          <t>Health</t>
        </is>
      </c>
      <c r="C3817" s="6" t="inlineStr">
        <is>
          <t>2026_UPPRD_1194361_4</t>
        </is>
      </c>
      <c r="D3817" s="7" t="inlineStr">
        <is>
          <t>[GRAM REWADA ME HEALTH SUB CENTRE EVAM WELLLNESS CENTRE KA NIRMAN]</t>
        </is>
      </c>
      <c r="E3817" s="7" t="inlineStr">
        <is>
          <t>Uttar Pradesh Public Works &amp; Technology Department</t>
        </is>
      </c>
      <c r="F3817" s="6" t="inlineStr">
        <is>
          <t>28 Sep 2026</t>
        </is>
      </c>
      <c r="G3817" s="5" t="inlineStr">
        <is>
          <t>31 Oct 2026</t>
        </is>
      </c>
      <c r="H3817" s="17" t="inlineStr">
        <is>
          <t>🟢 LIVE ACTIVE</t>
        </is>
      </c>
      <c r="I3817" s="4" t="inlineStr">
        <is>
          <t>Tender_2026_UPPRD_1194361_4_All_Documents.zip</t>
        </is>
      </c>
      <c r="J3817" s="6" t="inlineStr">
        <is>
          <t>📦 ZIP Package</t>
        </is>
      </c>
      <c r="K3817" s="9" t="n">
        <v>11.6</v>
      </c>
      <c r="L3817" s="10">
        <f>HYPERLINK("http://127.0.0.1:8000/api/documents/download?id=999&amp;attachment=true", "⬇ Download Tender_2026_UPPRD_119436")</f>
        <v/>
      </c>
      <c r="M3817" s="10">
        <f>HYPERLINK("http://localhost:5173/?state=Uttar%20Pradesh&amp;keyword=Health&amp;tender=2026_UPPRD_1194361_4", "🚀 Open in Portal")</f>
        <v/>
      </c>
    </row>
    <row r="3818" ht="24" customHeight="1">
      <c r="A3818" s="11" t="inlineStr">
        <is>
          <t>Uttar Pradesh</t>
        </is>
      </c>
      <c r="B3818" s="12" t="inlineStr">
        <is>
          <t>Health</t>
        </is>
      </c>
      <c r="C3818" s="13" t="inlineStr">
        <is>
          <t>2026_UPPRD_1194361_5</t>
        </is>
      </c>
      <c r="D3818" s="14" t="inlineStr">
        <is>
          <t>[GRAM BIGAHI ME HEALTH SUB CENTRE EVAM WELLLNESS CENTRE KA NIRMAN]</t>
        </is>
      </c>
      <c r="E3818" s="14" t="inlineStr">
        <is>
          <t>Uttar Pradesh Public Works &amp; Technology Department</t>
        </is>
      </c>
      <c r="F3818" s="13" t="inlineStr">
        <is>
          <t>08 Oct 2026</t>
        </is>
      </c>
      <c r="G3818" s="12" t="inlineStr">
        <is>
          <t>27 Oct 2026</t>
        </is>
      </c>
      <c r="H3818" s="17" t="inlineStr">
        <is>
          <t>🟢 LIVE ACTIVE</t>
        </is>
      </c>
      <c r="I3818" s="11" t="inlineStr">
        <is>
          <t>Tendernotice_1.pdf</t>
        </is>
      </c>
      <c r="J3818" s="13" t="inlineStr">
        <is>
          <t>📕 PDF Document</t>
        </is>
      </c>
      <c r="K3818" s="15" t="n">
        <v>17.9</v>
      </c>
      <c r="L3818" s="16">
        <f>HYPERLINK("http://127.0.0.1:8000/api/documents/download?id=1009&amp;attachment=true", "⬇ Download Tendernotice_1.pdf")</f>
        <v/>
      </c>
      <c r="M3818" s="16">
        <f>HYPERLINK("http://localhost:5173/?state=Uttar%20Pradesh&amp;keyword=Health&amp;tender=2026_UPPRD_1194361_5", "🚀 Open in Portal")</f>
        <v/>
      </c>
    </row>
    <row r="3819" ht="24" customHeight="1">
      <c r="A3819" s="4" t="inlineStr">
        <is>
          <t>Uttar Pradesh</t>
        </is>
      </c>
      <c r="B3819" s="5" t="inlineStr">
        <is>
          <t>Health</t>
        </is>
      </c>
      <c r="C3819" s="6" t="inlineStr">
        <is>
          <t>2026_UPPRD_1194361_5</t>
        </is>
      </c>
      <c r="D3819" s="7" t="inlineStr">
        <is>
          <t>[GRAM BIGAHI ME HEALTH SUB CENTRE EVAM WELLLNESS CENTRE KA NIRMAN]</t>
        </is>
      </c>
      <c r="E3819" s="7" t="inlineStr">
        <is>
          <t>Uttar Pradesh Public Works &amp; Technology Department</t>
        </is>
      </c>
      <c r="F3819" s="6" t="inlineStr">
        <is>
          <t>08 Oct 2026</t>
        </is>
      </c>
      <c r="G3819" s="5" t="inlineStr">
        <is>
          <t>27 Oct 2026</t>
        </is>
      </c>
      <c r="H3819" s="17" t="inlineStr">
        <is>
          <t>🟢 LIVE ACTIVE</t>
        </is>
      </c>
      <c r="I3819" s="4" t="inlineStr">
        <is>
          <t>BOQ_2254745.xls</t>
        </is>
      </c>
      <c r="J3819" s="6" t="inlineStr">
        <is>
          <t>📊 Excel BOQ</t>
        </is>
      </c>
      <c r="K3819" s="9" t="n">
        <v>2.5</v>
      </c>
      <c r="L3819" s="10">
        <f>HYPERLINK("http://127.0.0.1:8000/api/documents/download?id=1010&amp;attachment=true", "⬇ Download BOQ_2254745.xls")</f>
        <v/>
      </c>
      <c r="M3819" s="10">
        <f>HYPERLINK("http://localhost:5173/?state=Uttar%20Pradesh&amp;keyword=Health&amp;tender=2026_UPPRD_1194361_5", "🚀 Open in Portal")</f>
        <v/>
      </c>
    </row>
    <row r="3820" ht="24" customHeight="1">
      <c r="A3820" s="11" t="inlineStr">
        <is>
          <t>Uttar Pradesh</t>
        </is>
      </c>
      <c r="B3820" s="12" t="inlineStr">
        <is>
          <t>Health</t>
        </is>
      </c>
      <c r="C3820" s="13" t="inlineStr">
        <is>
          <t>2026_UPPRD_1194361_5</t>
        </is>
      </c>
      <c r="D3820" s="14" t="inlineStr">
        <is>
          <t>[GRAM BIGAHI ME HEALTH SUB CENTRE EVAM WELLLNESS CENTRE KA NIRMAN]</t>
        </is>
      </c>
      <c r="E3820" s="14" t="inlineStr">
        <is>
          <t>Uttar Pradesh Public Works &amp; Technology Department</t>
        </is>
      </c>
      <c r="F3820" s="13" t="inlineStr">
        <is>
          <t>08 Oct 2026</t>
        </is>
      </c>
      <c r="G3820" s="12" t="inlineStr">
        <is>
          <t>27 Oct 2026</t>
        </is>
      </c>
      <c r="H3820" s="17" t="inlineStr">
        <is>
          <t>🟢 LIVE ACTIVE</t>
        </is>
      </c>
      <c r="I3820" s="11" t="inlineStr">
        <is>
          <t>Tender_2026_UPPRD_1194361_5_All_Documents.zip</t>
        </is>
      </c>
      <c r="J3820" s="13" t="inlineStr">
        <is>
          <t>📦 ZIP Package</t>
        </is>
      </c>
      <c r="K3820" s="15" t="n">
        <v>11.6</v>
      </c>
      <c r="L3820" s="16">
        <f>HYPERLINK("http://127.0.0.1:8000/api/documents/download?id=1011&amp;attachment=true", "⬇ Download Tender_2026_UPPRD_119436")</f>
        <v/>
      </c>
      <c r="M3820" s="16">
        <f>HYPERLINK("http://localhost:5173/?state=Uttar%20Pradesh&amp;keyword=Health&amp;tender=2026_UPPRD_1194361_5", "🚀 Open in Portal")</f>
        <v/>
      </c>
    </row>
    <row r="3821" ht="24" customHeight="1">
      <c r="A3821" s="4" t="inlineStr">
        <is>
          <t>Uttar Pradesh</t>
        </is>
      </c>
      <c r="B3821" s="5" t="inlineStr">
        <is>
          <t>Health</t>
        </is>
      </c>
      <c r="C3821" s="6" t="inlineStr">
        <is>
          <t>2026_UPPRD_1194361_6</t>
        </is>
      </c>
      <c r="D3821" s="7" t="inlineStr">
        <is>
          <t>[GRAM BARGADAHI ME HEALTH SUB CENTRE EVAM WELLLNESS CENTRE KA NIRMAN]</t>
        </is>
      </c>
      <c r="E3821" s="7" t="inlineStr">
        <is>
          <t>Uttar Pradesh Public Works &amp; Technology Department</t>
        </is>
      </c>
      <c r="F3821" s="6" t="inlineStr">
        <is>
          <t>06 Oct 2026</t>
        </is>
      </c>
      <c r="G3821" s="5" t="inlineStr">
        <is>
          <t>09 Nov 2026</t>
        </is>
      </c>
      <c r="H3821" s="17" t="inlineStr">
        <is>
          <t>🟢 LIVE ACTIVE</t>
        </is>
      </c>
      <c r="I3821" s="4" t="inlineStr">
        <is>
          <t>Tendernotice_1.pdf</t>
        </is>
      </c>
      <c r="J3821" s="6" t="inlineStr">
        <is>
          <t>📕 PDF Document</t>
        </is>
      </c>
      <c r="K3821" s="9" t="n">
        <v>17.9</v>
      </c>
      <c r="L3821" s="10">
        <f>HYPERLINK("http://127.0.0.1:8000/api/documents/download?id=1006&amp;attachment=true", "⬇ Download Tendernotice_1.pdf")</f>
        <v/>
      </c>
      <c r="M3821" s="10">
        <f>HYPERLINK("http://localhost:5173/?state=Uttar%20Pradesh&amp;keyword=Health&amp;tender=2026_UPPRD_1194361_6", "🚀 Open in Portal")</f>
        <v/>
      </c>
    </row>
    <row r="3822" ht="24" customHeight="1">
      <c r="A3822" s="11" t="inlineStr">
        <is>
          <t>Uttar Pradesh</t>
        </is>
      </c>
      <c r="B3822" s="12" t="inlineStr">
        <is>
          <t>Health</t>
        </is>
      </c>
      <c r="C3822" s="13" t="inlineStr">
        <is>
          <t>2026_UPPRD_1194361_6</t>
        </is>
      </c>
      <c r="D3822" s="14" t="inlineStr">
        <is>
          <t>[GRAM BARGADAHI ME HEALTH SUB CENTRE EVAM WELLLNESS CENTRE KA NIRMAN]</t>
        </is>
      </c>
      <c r="E3822" s="14" t="inlineStr">
        <is>
          <t>Uttar Pradesh Public Works &amp; Technology Department</t>
        </is>
      </c>
      <c r="F3822" s="13" t="inlineStr">
        <is>
          <t>06 Oct 2026</t>
        </is>
      </c>
      <c r="G3822" s="12" t="inlineStr">
        <is>
          <t>09 Nov 2026</t>
        </is>
      </c>
      <c r="H3822" s="17" t="inlineStr">
        <is>
          <t>🟢 LIVE ACTIVE</t>
        </is>
      </c>
      <c r="I3822" s="11" t="inlineStr">
        <is>
          <t>BOQ_2254750.xls</t>
        </is>
      </c>
      <c r="J3822" s="13" t="inlineStr">
        <is>
          <t>📊 Excel BOQ</t>
        </is>
      </c>
      <c r="K3822" s="15" t="n">
        <v>2.5</v>
      </c>
      <c r="L3822" s="16">
        <f>HYPERLINK("http://127.0.0.1:8000/api/documents/download?id=1007&amp;attachment=true", "⬇ Download BOQ_2254750.xls")</f>
        <v/>
      </c>
      <c r="M3822" s="16">
        <f>HYPERLINK("http://localhost:5173/?state=Uttar%20Pradesh&amp;keyword=Health&amp;tender=2026_UPPRD_1194361_6", "🚀 Open in Portal")</f>
        <v/>
      </c>
    </row>
    <row r="3823" ht="24" customHeight="1">
      <c r="A3823" s="4" t="inlineStr">
        <is>
          <t>Uttar Pradesh</t>
        </is>
      </c>
      <c r="B3823" s="5" t="inlineStr">
        <is>
          <t>Health</t>
        </is>
      </c>
      <c r="C3823" s="6" t="inlineStr">
        <is>
          <t>2026_UPPRD_1194361_6</t>
        </is>
      </c>
      <c r="D3823" s="7" t="inlineStr">
        <is>
          <t>[GRAM BARGADAHI ME HEALTH SUB CENTRE EVAM WELLLNESS CENTRE KA NIRMAN]</t>
        </is>
      </c>
      <c r="E3823" s="7" t="inlineStr">
        <is>
          <t>Uttar Pradesh Public Works &amp; Technology Department</t>
        </is>
      </c>
      <c r="F3823" s="6" t="inlineStr">
        <is>
          <t>06 Oct 2026</t>
        </is>
      </c>
      <c r="G3823" s="5" t="inlineStr">
        <is>
          <t>09 Nov 2026</t>
        </is>
      </c>
      <c r="H3823" s="17" t="inlineStr">
        <is>
          <t>🟢 LIVE ACTIVE</t>
        </is>
      </c>
      <c r="I3823" s="4" t="inlineStr">
        <is>
          <t>Tender_2026_UPPRD_1194361_6_All_Documents.zip</t>
        </is>
      </c>
      <c r="J3823" s="6" t="inlineStr">
        <is>
          <t>📦 ZIP Package</t>
        </is>
      </c>
      <c r="K3823" s="9" t="n">
        <v>11.6</v>
      </c>
      <c r="L3823" s="10">
        <f>HYPERLINK("http://127.0.0.1:8000/api/documents/download?id=1008&amp;attachment=true", "⬇ Download Tender_2026_UPPRD_119436")</f>
        <v/>
      </c>
      <c r="M3823" s="10">
        <f>HYPERLINK("http://localhost:5173/?state=Uttar%20Pradesh&amp;keyword=Health&amp;tender=2026_UPPRD_1194361_6", "🚀 Open in Portal")</f>
        <v/>
      </c>
    </row>
    <row r="3824" ht="24" customHeight="1">
      <c r="A3824" s="11" t="inlineStr">
        <is>
          <t>Uttar Pradesh</t>
        </is>
      </c>
      <c r="B3824" s="12" t="inlineStr">
        <is>
          <t>Spatial</t>
        </is>
      </c>
      <c r="C3824" s="13" t="inlineStr">
        <is>
          <t>2026_UTT_1618757_94</t>
        </is>
      </c>
      <c r="D3824" s="14" t="inlineStr">
        <is>
          <t>Spatial-Based Geospatial Road Asset Inventory &amp; Pavement Condition Digital Survey</t>
        </is>
      </c>
      <c r="E3824" s="14" t="inlineStr">
        <is>
          <t>PUBLIC WORKS &amp; HIGHWAYS DEPARTMENT</t>
        </is>
      </c>
      <c r="F3824" s="13" t="inlineStr">
        <is>
          <t>24 Aug 2026</t>
        </is>
      </c>
      <c r="G3824" s="12" t="inlineStr">
        <is>
          <t>21 Sep 2026</t>
        </is>
      </c>
      <c r="H3824" s="8" t="inlineStr">
        <is>
          <t>⏳ UPCOMING</t>
        </is>
      </c>
      <c r="I3824" s="11" t="inlineStr">
        <is>
          <t>Tendernotice_2026_UTT_1618757_94.pdf</t>
        </is>
      </c>
      <c r="J3824" s="13" t="inlineStr">
        <is>
          <t>📕 PDF Document</t>
        </is>
      </c>
      <c r="K3824" s="15" t="n">
        <v>17.9</v>
      </c>
      <c r="L3824" s="16">
        <f>HYPERLINK("http://127.0.0.1:8000/api/documents/download?id=3165&amp;attachment=true", "⬇ Download Tendernotice_2026_UTT_16")</f>
        <v/>
      </c>
      <c r="M3824" s="16">
        <f>HYPERLINK("http://localhost:5173/?state=Uttar%20Pradesh&amp;keyword=Spatial&amp;tender=2026_UTT_1618757_94", "🚀 Open in Portal")</f>
        <v/>
      </c>
    </row>
    <row r="3825" ht="24" customHeight="1">
      <c r="A3825" s="4" t="inlineStr">
        <is>
          <t>Uttar Pradesh</t>
        </is>
      </c>
      <c r="B3825" s="5" t="inlineStr">
        <is>
          <t>Spatial</t>
        </is>
      </c>
      <c r="C3825" s="6" t="inlineStr">
        <is>
          <t>2026_UTT_1618757_94</t>
        </is>
      </c>
      <c r="D3825" s="7" t="inlineStr">
        <is>
          <t>Spatial-Based Geospatial Road Asset Inventory &amp; Pavement Condition Digital Survey</t>
        </is>
      </c>
      <c r="E3825" s="7" t="inlineStr">
        <is>
          <t>PUBLIC WORKS &amp; HIGHWAYS DEPARTMENT</t>
        </is>
      </c>
      <c r="F3825" s="6" t="inlineStr">
        <is>
          <t>24 Aug 2026</t>
        </is>
      </c>
      <c r="G3825" s="5" t="inlineStr">
        <is>
          <t>21 Sep 2026</t>
        </is>
      </c>
      <c r="H3825" s="8" t="inlineStr">
        <is>
          <t>⏳ UPCOMING</t>
        </is>
      </c>
      <c r="I3825" s="4" t="inlineStr">
        <is>
          <t>Technical_RFP_Specification_Spatial.pdf</t>
        </is>
      </c>
      <c r="J3825" s="6" t="inlineStr">
        <is>
          <t>📕 PDF Document</t>
        </is>
      </c>
      <c r="K3825" s="9" t="n">
        <v>17.9</v>
      </c>
      <c r="L3825" s="10">
        <f>HYPERLINK("http://127.0.0.1:8000/api/documents/download?id=3166&amp;attachment=true", "⬇ Download Technical_RFP_Specificat")</f>
        <v/>
      </c>
      <c r="M3825" s="10">
        <f>HYPERLINK("http://localhost:5173/?state=Uttar%20Pradesh&amp;keyword=Spatial&amp;tender=2026_UTT_1618757_94", "🚀 Open in Portal")</f>
        <v/>
      </c>
    </row>
    <row r="3826" ht="24" customHeight="1">
      <c r="A3826" s="11" t="inlineStr">
        <is>
          <t>Uttar Pradesh</t>
        </is>
      </c>
      <c r="B3826" s="12" t="inlineStr">
        <is>
          <t>Spatial</t>
        </is>
      </c>
      <c r="C3826" s="13" t="inlineStr">
        <is>
          <t>2026_UTT_1618757_94</t>
        </is>
      </c>
      <c r="D3826" s="14" t="inlineStr">
        <is>
          <t>Spatial-Based Geospatial Road Asset Inventory &amp; Pavement Condition Digital Survey</t>
        </is>
      </c>
      <c r="E3826" s="14" t="inlineStr">
        <is>
          <t>PUBLIC WORKS &amp; HIGHWAYS DEPARTMENT</t>
        </is>
      </c>
      <c r="F3826" s="13" t="inlineStr">
        <is>
          <t>24 Aug 2026</t>
        </is>
      </c>
      <c r="G3826" s="12" t="inlineStr">
        <is>
          <t>21 Sep 2026</t>
        </is>
      </c>
      <c r="H3826" s="8" t="inlineStr">
        <is>
          <t>⏳ UPCOMING</t>
        </is>
      </c>
      <c r="I3826" s="11" t="inlineStr">
        <is>
          <t>BOQ_Financial_Schedule_2026_UTT_1618757_94.xlsx</t>
        </is>
      </c>
      <c r="J3826" s="13" t="inlineStr">
        <is>
          <t>📊 Excel BOQ</t>
        </is>
      </c>
      <c r="K3826" s="15" t="n">
        <v>2.4</v>
      </c>
      <c r="L3826" s="16">
        <f>HYPERLINK("http://127.0.0.1:8000/api/documents/download?id=3167&amp;attachment=true", "⬇ Download BOQ_Financial_Schedule_2")</f>
        <v/>
      </c>
      <c r="M3826" s="16">
        <f>HYPERLINK("http://localhost:5173/?state=Uttar%20Pradesh&amp;keyword=Spatial&amp;tender=2026_UTT_1618757_94", "🚀 Open in Portal")</f>
        <v/>
      </c>
    </row>
    <row r="3827" ht="24" customHeight="1">
      <c r="A3827" s="4" t="inlineStr">
        <is>
          <t>Uttar Pradesh</t>
        </is>
      </c>
      <c r="B3827" s="5" t="inlineStr">
        <is>
          <t>Spatial</t>
        </is>
      </c>
      <c r="C3827" s="6" t="inlineStr">
        <is>
          <t>2026_UTT_1618757_94</t>
        </is>
      </c>
      <c r="D3827" s="7" t="inlineStr">
        <is>
          <t>Spatial-Based Geospatial Road Asset Inventory &amp; Pavement Condition Digital Survey</t>
        </is>
      </c>
      <c r="E3827" s="7" t="inlineStr">
        <is>
          <t>PUBLIC WORKS &amp; HIGHWAYS DEPARTMENT</t>
        </is>
      </c>
      <c r="F3827" s="6" t="inlineStr">
        <is>
          <t>24 Aug 2026</t>
        </is>
      </c>
      <c r="G3827" s="5" t="inlineStr">
        <is>
          <t>21 Sep 2026</t>
        </is>
      </c>
      <c r="H3827" s="8" t="inlineStr">
        <is>
          <t>⏳ UPCOMING</t>
        </is>
      </c>
      <c r="I3827" s="4" t="inlineStr">
        <is>
          <t>Tender_2026_UTT_1618757_94_All_Documents.zip</t>
        </is>
      </c>
      <c r="J3827" s="6" t="inlineStr">
        <is>
          <t>📦 ZIP Package</t>
        </is>
      </c>
      <c r="K3827" s="9" t="n">
        <v>45</v>
      </c>
      <c r="L3827" s="10">
        <f>HYPERLINK("https://etender.up.nic.in/tender/2026_UTT_1618757_94", "⬇ Download Tender_2026_UTT_1618757_")</f>
        <v/>
      </c>
      <c r="M3827" s="10">
        <f>HYPERLINK("http://localhost:5173/?state=Uttar%20Pradesh&amp;keyword=Spatial&amp;tender=2026_UTT_1618757_94", "🚀 Open in Portal")</f>
        <v/>
      </c>
    </row>
    <row r="3828" ht="24" customHeight="1">
      <c r="A3828" s="11" t="inlineStr">
        <is>
          <t>Uttar Pradesh</t>
        </is>
      </c>
      <c r="B3828" s="12" t="inlineStr">
        <is>
          <t>Software Development</t>
        </is>
      </c>
      <c r="C3828" s="13" t="inlineStr">
        <is>
          <t>2026_UPPOW_1177931_1</t>
        </is>
      </c>
      <c r="D3828" s="14" t="inlineStr">
        <is>
          <t>[Empanelment of Companies/Firms of Proven Capabilities as Service Provider for Software Development, IT Enabled Services, Hiring Web/Cloud Server Services on rental basis etc.]</t>
        </is>
      </c>
      <c r="E3828" s="14" t="inlineStr">
        <is>
          <t>Uttar Pradesh Public Works &amp; Technology Department</t>
        </is>
      </c>
      <c r="F3828" s="13" t="inlineStr">
        <is>
          <t>12 Oct 2026</t>
        </is>
      </c>
      <c r="G3828" s="12" t="inlineStr">
        <is>
          <t>28 Oct 2026</t>
        </is>
      </c>
      <c r="H3828" s="17" t="inlineStr">
        <is>
          <t>🟢 LIVE ACTIVE</t>
        </is>
      </c>
      <c r="I3828" s="11" t="inlineStr">
        <is>
          <t>Tendernotice_1.pdf</t>
        </is>
      </c>
      <c r="J3828" s="13" t="inlineStr">
        <is>
          <t>📕 PDF Document</t>
        </is>
      </c>
      <c r="K3828" s="15" t="n">
        <v>17.9</v>
      </c>
      <c r="L3828" s="16">
        <f>HYPERLINK("http://127.0.0.1:8000/api/documents/download?id=1016&amp;attachment=true", "⬇ Download Tendernotice_1.pdf")</f>
        <v/>
      </c>
      <c r="M3828" s="16">
        <f>HYPERLINK("http://localhost:5173/?state=Uttar%20Pradesh&amp;keyword=Software%20Development&amp;tender=2026_UPPOW_1177931_1", "🚀 Open in Portal")</f>
        <v/>
      </c>
    </row>
    <row r="3829" ht="24" customHeight="1">
      <c r="A3829" s="4" t="inlineStr">
        <is>
          <t>Uttar Pradesh</t>
        </is>
      </c>
      <c r="B3829" s="5" t="inlineStr">
        <is>
          <t>Software Development</t>
        </is>
      </c>
      <c r="C3829" s="6" t="inlineStr">
        <is>
          <t>2026_UPPOW_1177931_1</t>
        </is>
      </c>
      <c r="D3829" s="7" t="inlineStr">
        <is>
          <t>[Empanelment of Companies/Firms of Proven Capabilities as Service Provider for Software Development, IT Enabled Services, Hiring Web/Cloud Server Services on rental basis etc.]</t>
        </is>
      </c>
      <c r="E3829" s="7" t="inlineStr">
        <is>
          <t>Uttar Pradesh Public Works &amp; Technology Department</t>
        </is>
      </c>
      <c r="F3829" s="6" t="inlineStr">
        <is>
          <t>12 Oct 2026</t>
        </is>
      </c>
      <c r="G3829" s="5" t="inlineStr">
        <is>
          <t>28 Oct 2026</t>
        </is>
      </c>
      <c r="H3829" s="17" t="inlineStr">
        <is>
          <t>🟢 LIVE ACTIVE</t>
        </is>
      </c>
      <c r="I3829" s="4" t="inlineStr">
        <is>
          <t>Tender_sp.pdf</t>
        </is>
      </c>
      <c r="J3829" s="6" t="inlineStr">
        <is>
          <t>📕 PDF Document</t>
        </is>
      </c>
      <c r="K3829" s="9" t="n">
        <v>17.9</v>
      </c>
      <c r="L3829" s="10">
        <f>HYPERLINK("http://127.0.0.1:8000/api/documents/download?id=1017&amp;attachment=true", "⬇ Download Tender_sp.pdf")</f>
        <v/>
      </c>
      <c r="M3829" s="10">
        <f>HYPERLINK("http://localhost:5173/?state=Uttar%20Pradesh&amp;keyword=Software%20Development&amp;tender=2026_UPPOW_1177931_1", "🚀 Open in Portal")</f>
        <v/>
      </c>
    </row>
    <row r="3830" ht="24" customHeight="1">
      <c r="A3830" s="11" t="inlineStr">
        <is>
          <t>Uttar Pradesh</t>
        </is>
      </c>
      <c r="B3830" s="12" t="inlineStr">
        <is>
          <t>Software Development</t>
        </is>
      </c>
      <c r="C3830" s="13" t="inlineStr">
        <is>
          <t>2026_UPPOW_1177931_1</t>
        </is>
      </c>
      <c r="D3830" s="14" t="inlineStr">
        <is>
          <t>[Empanelment of Companies/Firms of Proven Capabilities as Service Provider for Software Development, IT Enabled Services, Hiring Web/Cloud Server Services on rental basis etc.]</t>
        </is>
      </c>
      <c r="E3830" s="14" t="inlineStr">
        <is>
          <t>Uttar Pradesh Public Works &amp; Technology Department</t>
        </is>
      </c>
      <c r="F3830" s="13" t="inlineStr">
        <is>
          <t>12 Oct 2026</t>
        </is>
      </c>
      <c r="G3830" s="12" t="inlineStr">
        <is>
          <t>28 Oct 2026</t>
        </is>
      </c>
      <c r="H3830" s="17" t="inlineStr">
        <is>
          <t>🟢 LIVE ACTIVE</t>
        </is>
      </c>
      <c r="I3830" s="11" t="inlineStr">
        <is>
          <t>Tender_2026_UPPOW_1177931_1_All_Documents.zip</t>
        </is>
      </c>
      <c r="J3830" s="13" t="inlineStr">
        <is>
          <t>📦 ZIP Package</t>
        </is>
      </c>
      <c r="K3830" s="15" t="n">
        <v>18.8</v>
      </c>
      <c r="L3830" s="16">
        <f>HYPERLINK("http://127.0.0.1:8000/api/documents/download?id=1018&amp;attachment=true", "⬇ Download Tender_2026_UPPOW_117793")</f>
        <v/>
      </c>
      <c r="M3830" s="16">
        <f>HYPERLINK("http://localhost:5173/?state=Uttar%20Pradesh&amp;keyword=Software%20Development&amp;tender=2026_UPPOW_1177931_1", "🚀 Open in Portal")</f>
        <v/>
      </c>
    </row>
    <row r="3831" ht="24" customHeight="1">
      <c r="A3831" s="4" t="inlineStr">
        <is>
          <t>Uttar Pradesh</t>
        </is>
      </c>
      <c r="B3831" s="5" t="inlineStr">
        <is>
          <t>MIS</t>
        </is>
      </c>
      <c r="C3831" s="6" t="inlineStr">
        <is>
          <t>2026_BDAUP_1194817_1</t>
        </is>
      </c>
      <c r="D3831" s="7" t="inlineStr">
        <is>
          <t>[Selection of agency for Construction,Establishment and Commissioning of Science Park and Planetarium at Ramganga Nagar, Sector-8 Bareilly, Uttar Pradesh]</t>
        </is>
      </c>
      <c r="E3831" s="7" t="inlineStr">
        <is>
          <t>Uttar Pradesh Public Works &amp; Technology Department</t>
        </is>
      </c>
      <c r="F3831" s="6" t="inlineStr">
        <is>
          <t>16 Aug 2026</t>
        </is>
      </c>
      <c r="G3831" s="5" t="inlineStr">
        <is>
          <t>14 Sep 2026</t>
        </is>
      </c>
      <c r="H3831" s="8" t="inlineStr">
        <is>
          <t>⏳ UPCOMING</t>
        </is>
      </c>
      <c r="I3831" s="4" t="inlineStr">
        <is>
          <t>Tendernotice_1.pdf</t>
        </is>
      </c>
      <c r="J3831" s="6" t="inlineStr">
        <is>
          <t>📕 PDF Document</t>
        </is>
      </c>
      <c r="K3831" s="9" t="n">
        <v>17.9</v>
      </c>
      <c r="L3831" s="10">
        <f>HYPERLINK("http://127.0.0.1:8000/api/documents/download?id=1088&amp;attachment=true", "⬇ Download Tendernotice_1.pdf")</f>
        <v/>
      </c>
      <c r="M3831" s="10">
        <f>HYPERLINK("http://localhost:5173/?state=Uttar%20Pradesh&amp;keyword=MIS&amp;tender=2026_BDAUP_1194817_1", "🚀 Open in Portal")</f>
        <v/>
      </c>
    </row>
    <row r="3832" ht="24" customHeight="1">
      <c r="A3832" s="11" t="inlineStr">
        <is>
          <t>Uttar Pradesh</t>
        </is>
      </c>
      <c r="B3832" s="12" t="inlineStr">
        <is>
          <t>MIS</t>
        </is>
      </c>
      <c r="C3832" s="13" t="inlineStr">
        <is>
          <t>2026_BDAUP_1194817_1</t>
        </is>
      </c>
      <c r="D3832" s="14" t="inlineStr">
        <is>
          <t>[Selection of agency for Construction,Establishment and Commissioning of Science Park and Planetarium at Ramganga Nagar, Sector-8 Bareilly, Uttar Pradesh]</t>
        </is>
      </c>
      <c r="E3832" s="14" t="inlineStr">
        <is>
          <t>Uttar Pradesh Public Works &amp; Technology Department</t>
        </is>
      </c>
      <c r="F3832" s="13" t="inlineStr">
        <is>
          <t>16 Aug 2026</t>
        </is>
      </c>
      <c r="G3832" s="12" t="inlineStr">
        <is>
          <t>14 Sep 2026</t>
        </is>
      </c>
      <c r="H3832" s="8" t="inlineStr">
        <is>
          <t>⏳ UPCOMING</t>
        </is>
      </c>
      <c r="I3832" s="11" t="inlineStr">
        <is>
          <t>TenderDocument1.pdf</t>
        </is>
      </c>
      <c r="J3832" s="13" t="inlineStr">
        <is>
          <t>📕 PDF Document</t>
        </is>
      </c>
      <c r="K3832" s="15" t="n">
        <v>17.9</v>
      </c>
      <c r="L3832" s="16">
        <f>HYPERLINK("http://127.0.0.1:8000/api/documents/download?id=1089&amp;attachment=true", "⬇ Download TenderDocument1.pdf")</f>
        <v/>
      </c>
      <c r="M3832" s="16">
        <f>HYPERLINK("http://localhost:5173/?state=Uttar%20Pradesh&amp;keyword=MIS&amp;tender=2026_BDAUP_1194817_1", "🚀 Open in Portal")</f>
        <v/>
      </c>
    </row>
    <row r="3833" ht="24" customHeight="1">
      <c r="A3833" s="4" t="inlineStr">
        <is>
          <t>Uttar Pradesh</t>
        </is>
      </c>
      <c r="B3833" s="5" t="inlineStr">
        <is>
          <t>MIS</t>
        </is>
      </c>
      <c r="C3833" s="6" t="inlineStr">
        <is>
          <t>2026_BDAUP_1194817_1</t>
        </is>
      </c>
      <c r="D3833" s="7" t="inlineStr">
        <is>
          <t>[Selection of agency for Construction,Establishment and Commissioning of Science Park and Planetarium at Ramganga Nagar, Sector-8 Bareilly, Uttar Pradesh]</t>
        </is>
      </c>
      <c r="E3833" s="7" t="inlineStr">
        <is>
          <t>Uttar Pradesh Public Works &amp; Technology Department</t>
        </is>
      </c>
      <c r="F3833" s="6" t="inlineStr">
        <is>
          <t>16 Aug 2026</t>
        </is>
      </c>
      <c r="G3833" s="5" t="inlineStr">
        <is>
          <t>14 Sep 2026</t>
        </is>
      </c>
      <c r="H3833" s="8" t="inlineStr">
        <is>
          <t>⏳ UPCOMING</t>
        </is>
      </c>
      <c r="I3833" s="4" t="inlineStr">
        <is>
          <t>BOQ_2255997.xls</t>
        </is>
      </c>
      <c r="J3833" s="6" t="inlineStr">
        <is>
          <t>📊 Excel BOQ</t>
        </is>
      </c>
      <c r="K3833" s="9" t="n">
        <v>2.5</v>
      </c>
      <c r="L3833" s="10">
        <f>HYPERLINK("http://127.0.0.1:8000/api/documents/download?id=1090&amp;attachment=true", "⬇ Download BOQ_2255997.xls")</f>
        <v/>
      </c>
      <c r="M3833" s="10">
        <f>HYPERLINK("http://localhost:5173/?state=Uttar%20Pradesh&amp;keyword=MIS&amp;tender=2026_BDAUP_1194817_1", "🚀 Open in Portal")</f>
        <v/>
      </c>
    </row>
    <row r="3834" ht="24" customHeight="1">
      <c r="A3834" s="11" t="inlineStr">
        <is>
          <t>Uttar Pradesh</t>
        </is>
      </c>
      <c r="B3834" s="12" t="inlineStr">
        <is>
          <t>MIS</t>
        </is>
      </c>
      <c r="C3834" s="13" t="inlineStr">
        <is>
          <t>2026_BDAUP_1194817_1</t>
        </is>
      </c>
      <c r="D3834" s="14" t="inlineStr">
        <is>
          <t>[Selection of agency for Construction,Establishment and Commissioning of Science Park and Planetarium at Ramganga Nagar, Sector-8 Bareilly, Uttar Pradesh]</t>
        </is>
      </c>
      <c r="E3834" s="14" t="inlineStr">
        <is>
          <t>Uttar Pradesh Public Works &amp; Technology Department</t>
        </is>
      </c>
      <c r="F3834" s="13" t="inlineStr">
        <is>
          <t>16 Aug 2026</t>
        </is>
      </c>
      <c r="G3834" s="12" t="inlineStr">
        <is>
          <t>14 Sep 2026</t>
        </is>
      </c>
      <c r="H3834" s="8" t="inlineStr">
        <is>
          <t>⏳ UPCOMING</t>
        </is>
      </c>
      <c r="I3834" s="11" t="inlineStr">
        <is>
          <t>Tender_2026_BDAUP_1194817_1_All_Documents.zip</t>
        </is>
      </c>
      <c r="J3834" s="13" t="inlineStr">
        <is>
          <t>📦 ZIP Package</t>
        </is>
      </c>
      <c r="K3834" s="15" t="n">
        <v>20.8</v>
      </c>
      <c r="L3834" s="16">
        <f>HYPERLINK("http://127.0.0.1:8000/api/documents/download?id=1091&amp;attachment=true", "⬇ Download Tender_2026_BDAUP_119481")</f>
        <v/>
      </c>
      <c r="M3834" s="16">
        <f>HYPERLINK("http://localhost:5173/?state=Uttar%20Pradesh&amp;keyword=MIS&amp;tender=2026_BDAUP_1194817_1", "🚀 Open in Portal")</f>
        <v/>
      </c>
    </row>
    <row r="3835" ht="24" customHeight="1">
      <c r="A3835" s="4" t="inlineStr">
        <is>
          <t>Uttar Pradesh</t>
        </is>
      </c>
      <c r="B3835" s="5" t="inlineStr">
        <is>
          <t>MIS</t>
        </is>
      </c>
      <c r="C3835" s="6" t="inlineStr">
        <is>
          <t>2026_CEAGR_1194813_1</t>
        </is>
      </c>
      <c r="D3835" s="7" t="inlineStr">
        <is>
          <t>[CONSTRUCTION OF MISHAN SAKTI KENDRA IN THANA BICHHAWAN]</t>
        </is>
      </c>
      <c r="E3835" s="7" t="inlineStr">
        <is>
          <t>Uttar Pradesh Public Works &amp; Technology Department</t>
        </is>
      </c>
      <c r="F3835" s="6" t="inlineStr">
        <is>
          <t>12 Aug 2026</t>
        </is>
      </c>
      <c r="G3835" s="5" t="inlineStr">
        <is>
          <t>07 Sep 2026</t>
        </is>
      </c>
      <c r="H3835" s="8" t="inlineStr">
        <is>
          <t>⏳ UPCOMING</t>
        </is>
      </c>
      <c r="I3835" s="4" t="inlineStr">
        <is>
          <t>Tendernotice_1.pdf</t>
        </is>
      </c>
      <c r="J3835" s="6" t="inlineStr">
        <is>
          <t>📕 PDF Document</t>
        </is>
      </c>
      <c r="K3835" s="9" t="n">
        <v>17.9</v>
      </c>
      <c r="L3835" s="10">
        <f>HYPERLINK("http://127.0.0.1:8000/api/documents/download?id=1081&amp;attachment=true", "⬇ Download Tendernotice_1.pdf")</f>
        <v/>
      </c>
      <c r="M3835" s="10">
        <f>HYPERLINK("http://localhost:5173/?state=Uttar%20Pradesh&amp;keyword=MIS&amp;tender=2026_CEAGR_1194813_1", "🚀 Open in Portal")</f>
        <v/>
      </c>
    </row>
    <row r="3836" ht="24" customHeight="1">
      <c r="A3836" s="11" t="inlineStr">
        <is>
          <t>Uttar Pradesh</t>
        </is>
      </c>
      <c r="B3836" s="12" t="inlineStr">
        <is>
          <t>MIS</t>
        </is>
      </c>
      <c r="C3836" s="13" t="inlineStr">
        <is>
          <t>2026_CEAGR_1194813_1</t>
        </is>
      </c>
      <c r="D3836" s="14" t="inlineStr">
        <is>
          <t>[CONSTRUCTION OF MISHAN SAKTI KENDRA IN THANA BICHHAWAN]</t>
        </is>
      </c>
      <c r="E3836" s="14" t="inlineStr">
        <is>
          <t>Uttar Pradesh Public Works &amp; Technology Department</t>
        </is>
      </c>
      <c r="F3836" s="13" t="inlineStr">
        <is>
          <t>12 Aug 2026</t>
        </is>
      </c>
      <c r="G3836" s="12" t="inlineStr">
        <is>
          <t>07 Sep 2026</t>
        </is>
      </c>
      <c r="H3836" s="8" t="inlineStr">
        <is>
          <t>⏳ UPCOMING</t>
        </is>
      </c>
      <c r="I3836" s="11" t="inlineStr">
        <is>
          <t>BOQ_2255966.xls</t>
        </is>
      </c>
      <c r="J3836" s="13" t="inlineStr">
        <is>
          <t>📊 Excel BOQ</t>
        </is>
      </c>
      <c r="K3836" s="15" t="n">
        <v>2.4</v>
      </c>
      <c r="L3836" s="16">
        <f>HYPERLINK("http://127.0.0.1:8000/api/documents/download?id=1082&amp;attachment=true", "⬇ Download BOQ_2255966.xls")</f>
        <v/>
      </c>
      <c r="M3836" s="16">
        <f>HYPERLINK("http://localhost:5173/?state=Uttar%20Pradesh&amp;keyword=MIS&amp;tender=2026_CEAGR_1194813_1", "🚀 Open in Portal")</f>
        <v/>
      </c>
    </row>
    <row r="3837" ht="24" customHeight="1">
      <c r="A3837" s="4" t="inlineStr">
        <is>
          <t>Uttar Pradesh</t>
        </is>
      </c>
      <c r="B3837" s="5" t="inlineStr">
        <is>
          <t>MIS</t>
        </is>
      </c>
      <c r="C3837" s="6" t="inlineStr">
        <is>
          <t>2026_CEAGR_1194813_1</t>
        </is>
      </c>
      <c r="D3837" s="7" t="inlineStr">
        <is>
          <t>[CONSTRUCTION OF MISHAN SAKTI KENDRA IN THANA BICHHAWAN]</t>
        </is>
      </c>
      <c r="E3837" s="7" t="inlineStr">
        <is>
          <t>Uttar Pradesh Public Works &amp; Technology Department</t>
        </is>
      </c>
      <c r="F3837" s="6" t="inlineStr">
        <is>
          <t>12 Aug 2026</t>
        </is>
      </c>
      <c r="G3837" s="5" t="inlineStr">
        <is>
          <t>07 Sep 2026</t>
        </is>
      </c>
      <c r="H3837" s="8" t="inlineStr">
        <is>
          <t>⏳ UPCOMING</t>
        </is>
      </c>
      <c r="I3837" s="4" t="inlineStr">
        <is>
          <t>Tender_2026_CEAGR_1194813_1_All_Documents.zip</t>
        </is>
      </c>
      <c r="J3837" s="6" t="inlineStr">
        <is>
          <t>📦 ZIP Package</t>
        </is>
      </c>
      <c r="K3837" s="9" t="n">
        <v>11.5</v>
      </c>
      <c r="L3837" s="10">
        <f>HYPERLINK("http://127.0.0.1:8000/api/documents/download?id=1083&amp;attachment=true", "⬇ Download Tender_2026_CEAGR_119481")</f>
        <v/>
      </c>
      <c r="M3837" s="10">
        <f>HYPERLINK("http://localhost:5173/?state=Uttar%20Pradesh&amp;keyword=MIS&amp;tender=2026_CEAGR_1194813_1", "🚀 Open in Portal")</f>
        <v/>
      </c>
    </row>
    <row r="3838" ht="24" customHeight="1">
      <c r="A3838" s="11" t="inlineStr">
        <is>
          <t>Uttar Pradesh</t>
        </is>
      </c>
      <c r="B3838" s="12" t="inlineStr">
        <is>
          <t>MIS</t>
        </is>
      </c>
      <c r="C3838" s="13" t="inlineStr">
        <is>
          <t>2026_DOLBU_1194538_12</t>
        </is>
      </c>
      <c r="D3838" s="14" t="inlineStr">
        <is>
          <t>[Construction of an interlocking road and an RCC covered drain in Ward No. 6 Pachghara-02 extending from Vinit Mishra house passing by the houses of Sarvesh and Lakhan up to Devidin house.]</t>
        </is>
      </c>
      <c r="E3838" s="14" t="inlineStr">
        <is>
          <t>Uttar Pradesh Public Works &amp; Technology Department</t>
        </is>
      </c>
      <c r="F3838" s="13" t="inlineStr">
        <is>
          <t>23 Jul 2026</t>
        </is>
      </c>
      <c r="G3838" s="12" t="inlineStr">
        <is>
          <t>21 Aug 2026</t>
        </is>
      </c>
      <c r="H3838" s="8" t="inlineStr">
        <is>
          <t>⏳ UPCOMING</t>
        </is>
      </c>
      <c r="I3838" s="11" t="inlineStr">
        <is>
          <t>Tendernotice_1.pdf</t>
        </is>
      </c>
      <c r="J3838" s="13" t="inlineStr">
        <is>
          <t>📕 PDF Document</t>
        </is>
      </c>
      <c r="K3838" s="15" t="n">
        <v>17.9</v>
      </c>
      <c r="L3838" s="16">
        <f>HYPERLINK("http://127.0.0.1:8000/api/documents/download?id=1037&amp;attachment=true", "⬇ Download Tendernotice_1.pdf")</f>
        <v/>
      </c>
      <c r="M3838" s="16">
        <f>HYPERLINK("http://localhost:5173/?state=Uttar%20Pradesh&amp;keyword=MIS&amp;tender=2026_DOLBU_1194538_12", "🚀 Open in Portal")</f>
        <v/>
      </c>
    </row>
    <row r="3839" ht="24" customHeight="1">
      <c r="A3839" s="4" t="inlineStr">
        <is>
          <t>Uttar Pradesh</t>
        </is>
      </c>
      <c r="B3839" s="5" t="inlineStr">
        <is>
          <t>MIS</t>
        </is>
      </c>
      <c r="C3839" s="6" t="inlineStr">
        <is>
          <t>2026_DOLBU_1194538_12</t>
        </is>
      </c>
      <c r="D3839" s="7" t="inlineStr">
        <is>
          <t>[Construction of an interlocking road and an RCC covered drain in Ward No. 6 Pachghara-02 extending from Vinit Mishra house passing by the houses of Sarvesh and Lakhan up to Devidin house.]</t>
        </is>
      </c>
      <c r="E3839" s="7" t="inlineStr">
        <is>
          <t>Uttar Pradesh Public Works &amp; Technology Department</t>
        </is>
      </c>
      <c r="F3839" s="6" t="inlineStr">
        <is>
          <t>23 Jul 2026</t>
        </is>
      </c>
      <c r="G3839" s="5" t="inlineStr">
        <is>
          <t>21 Aug 2026</t>
        </is>
      </c>
      <c r="H3839" s="8" t="inlineStr">
        <is>
          <t>⏳ UPCOMING</t>
        </is>
      </c>
      <c r="I3839" s="4" t="inlineStr">
        <is>
          <t>BOQ_2255428.xls</t>
        </is>
      </c>
      <c r="J3839" s="6" t="inlineStr">
        <is>
          <t>📊 Excel BOQ</t>
        </is>
      </c>
      <c r="K3839" s="9" t="n">
        <v>2.5</v>
      </c>
      <c r="L3839" s="10">
        <f>HYPERLINK("http://127.0.0.1:8000/api/documents/download?id=1038&amp;attachment=true", "⬇ Download BOQ_2255428.xls")</f>
        <v/>
      </c>
      <c r="M3839" s="10">
        <f>HYPERLINK("http://localhost:5173/?state=Uttar%20Pradesh&amp;keyword=MIS&amp;tender=2026_DOLBU_1194538_12", "🚀 Open in Portal")</f>
        <v/>
      </c>
    </row>
    <row r="3840" ht="24" customHeight="1">
      <c r="A3840" s="11" t="inlineStr">
        <is>
          <t>Uttar Pradesh</t>
        </is>
      </c>
      <c r="B3840" s="12" t="inlineStr">
        <is>
          <t>MIS</t>
        </is>
      </c>
      <c r="C3840" s="13" t="inlineStr">
        <is>
          <t>2026_DOLBU_1194538_12</t>
        </is>
      </c>
      <c r="D3840" s="14" t="inlineStr">
        <is>
          <t>[Construction of an interlocking road and an RCC covered drain in Ward No. 6 Pachghara-02 extending from Vinit Mishra house passing by the houses of Sarvesh and Lakhan up to Devidin house.]</t>
        </is>
      </c>
      <c r="E3840" s="14" t="inlineStr">
        <is>
          <t>Uttar Pradesh Public Works &amp; Technology Department</t>
        </is>
      </c>
      <c r="F3840" s="13" t="inlineStr">
        <is>
          <t>23 Jul 2026</t>
        </is>
      </c>
      <c r="G3840" s="12" t="inlineStr">
        <is>
          <t>21 Aug 2026</t>
        </is>
      </c>
      <c r="H3840" s="8" t="inlineStr">
        <is>
          <t>⏳ UPCOMING</t>
        </is>
      </c>
      <c r="I3840" s="11" t="inlineStr">
        <is>
          <t>12.pdf</t>
        </is>
      </c>
      <c r="J3840" s="13" t="inlineStr">
        <is>
          <t>📕 PDF Document</t>
        </is>
      </c>
      <c r="K3840" s="15" t="n">
        <v>17.8</v>
      </c>
      <c r="L3840" s="16">
        <f>HYPERLINK("http://127.0.0.1:8000/api/documents/download?id=1039&amp;attachment=true", "⬇ Download 12.pdf")</f>
        <v/>
      </c>
      <c r="M3840" s="16">
        <f>HYPERLINK("http://localhost:5173/?state=Uttar%20Pradesh&amp;keyword=MIS&amp;tender=2026_DOLBU_1194538_12", "🚀 Open in Portal")</f>
        <v/>
      </c>
    </row>
    <row r="3841" ht="24" customHeight="1">
      <c r="A3841" s="4" t="inlineStr">
        <is>
          <t>Uttar Pradesh</t>
        </is>
      </c>
      <c r="B3841" s="5" t="inlineStr">
        <is>
          <t>MIS</t>
        </is>
      </c>
      <c r="C3841" s="6" t="inlineStr">
        <is>
          <t>2026_DOLBU_1194538_12</t>
        </is>
      </c>
      <c r="D3841" s="7" t="inlineStr">
        <is>
          <t>[Construction of an interlocking road and an RCC covered drain in Ward No. 6 Pachghara-02 extending from Vinit Mishra house passing by the houses of Sarvesh and Lakhan up to Devidin house.]</t>
        </is>
      </c>
      <c r="E3841" s="7" t="inlineStr">
        <is>
          <t>Uttar Pradesh Public Works &amp; Technology Department</t>
        </is>
      </c>
      <c r="F3841" s="6" t="inlineStr">
        <is>
          <t>23 Jul 2026</t>
        </is>
      </c>
      <c r="G3841" s="5" t="inlineStr">
        <is>
          <t>21 Aug 2026</t>
        </is>
      </c>
      <c r="H3841" s="8" t="inlineStr">
        <is>
          <t>⏳ UPCOMING</t>
        </is>
      </c>
      <c r="I3841" s="4" t="inlineStr">
        <is>
          <t>Tender_2026_DOLBU_1194538_12_All_Documents.zip</t>
        </is>
      </c>
      <c r="J3841" s="6" t="inlineStr">
        <is>
          <t>📦 ZIP Package</t>
        </is>
      </c>
      <c r="K3841" s="9" t="n">
        <v>20.9</v>
      </c>
      <c r="L3841" s="10">
        <f>HYPERLINK("http://127.0.0.1:8000/api/documents/download?id=1040&amp;attachment=true", "⬇ Download Tender_2026_DOLBU_119453")</f>
        <v/>
      </c>
      <c r="M3841" s="10">
        <f>HYPERLINK("http://localhost:5173/?state=Uttar%20Pradesh&amp;keyword=MIS&amp;tender=2026_DOLBU_1194538_12", "🚀 Open in Portal")</f>
        <v/>
      </c>
    </row>
    <row r="3842" ht="24" customHeight="1">
      <c r="A3842" s="11" t="inlineStr">
        <is>
          <t>Uttar Pradesh</t>
        </is>
      </c>
      <c r="B3842" s="12" t="inlineStr">
        <is>
          <t>MIS</t>
        </is>
      </c>
      <c r="C3842" s="13" t="inlineStr">
        <is>
          <t>2026_DOLBU_1194538_16</t>
        </is>
      </c>
      <c r="D3842" s="14" t="inlineStr">
        <is>
          <t>[Construction of an interlocking road and covered drain in Ward No. 8 Kazipur 01 Meethi Mata area extending from Manoj Verma house to Pankaj Verma house via Kuldeep Mishra house.]</t>
        </is>
      </c>
      <c r="E3842" s="14" t="inlineStr">
        <is>
          <t>Uttar Pradesh Public Works &amp; Technology Department</t>
        </is>
      </c>
      <c r="F3842" s="13" t="inlineStr">
        <is>
          <t>29 Jul 2026</t>
        </is>
      </c>
      <c r="G3842" s="12" t="inlineStr">
        <is>
          <t>26 Aug 2026</t>
        </is>
      </c>
      <c r="H3842" s="8" t="inlineStr">
        <is>
          <t>⏳ UPCOMING</t>
        </is>
      </c>
      <c r="I3842" s="11" t="inlineStr">
        <is>
          <t>Tendernotice_1.pdf</t>
        </is>
      </c>
      <c r="J3842" s="13" t="inlineStr">
        <is>
          <t>📕 PDF Document</t>
        </is>
      </c>
      <c r="K3842" s="15" t="n">
        <v>17.9</v>
      </c>
      <c r="L3842" s="16">
        <f>HYPERLINK("http://127.0.0.1:8000/api/documents/download?id=1048&amp;attachment=true", "⬇ Download Tendernotice_1.pdf")</f>
        <v/>
      </c>
      <c r="M3842" s="16">
        <f>HYPERLINK("http://localhost:5173/?state=Uttar%20Pradesh&amp;keyword=MIS&amp;tender=2026_DOLBU_1194538_16", "🚀 Open in Portal")</f>
        <v/>
      </c>
    </row>
    <row r="3843" ht="24" customHeight="1">
      <c r="A3843" s="4" t="inlineStr">
        <is>
          <t>Uttar Pradesh</t>
        </is>
      </c>
      <c r="B3843" s="5" t="inlineStr">
        <is>
          <t>MIS</t>
        </is>
      </c>
      <c r="C3843" s="6" t="inlineStr">
        <is>
          <t>2026_DOLBU_1194538_16</t>
        </is>
      </c>
      <c r="D3843" s="7" t="inlineStr">
        <is>
          <t>[Construction of an interlocking road and covered drain in Ward No. 8 Kazipur 01 Meethi Mata area extending from Manoj Verma house to Pankaj Verma house via Kuldeep Mishra house.]</t>
        </is>
      </c>
      <c r="E3843" s="7" t="inlineStr">
        <is>
          <t>Uttar Pradesh Public Works &amp; Technology Department</t>
        </is>
      </c>
      <c r="F3843" s="6" t="inlineStr">
        <is>
          <t>29 Jul 2026</t>
        </is>
      </c>
      <c r="G3843" s="5" t="inlineStr">
        <is>
          <t>26 Aug 2026</t>
        </is>
      </c>
      <c r="H3843" s="8" t="inlineStr">
        <is>
          <t>⏳ UPCOMING</t>
        </is>
      </c>
      <c r="I3843" s="4" t="inlineStr">
        <is>
          <t>BOQ_2255469.xls</t>
        </is>
      </c>
      <c r="J3843" s="6" t="inlineStr">
        <is>
          <t>📊 Excel BOQ</t>
        </is>
      </c>
      <c r="K3843" s="9" t="n">
        <v>2.5</v>
      </c>
      <c r="L3843" s="10">
        <f>HYPERLINK("http://127.0.0.1:8000/api/documents/download?id=1049&amp;attachment=true", "⬇ Download BOQ_2255469.xls")</f>
        <v/>
      </c>
      <c r="M3843" s="10">
        <f>HYPERLINK("http://localhost:5173/?state=Uttar%20Pradesh&amp;keyword=MIS&amp;tender=2026_DOLBU_1194538_16", "🚀 Open in Portal")</f>
        <v/>
      </c>
    </row>
    <row r="3844" ht="24" customHeight="1">
      <c r="A3844" s="11" t="inlineStr">
        <is>
          <t>Uttar Pradesh</t>
        </is>
      </c>
      <c r="B3844" s="12" t="inlineStr">
        <is>
          <t>MIS</t>
        </is>
      </c>
      <c r="C3844" s="13" t="inlineStr">
        <is>
          <t>2026_DOLBU_1194538_16</t>
        </is>
      </c>
      <c r="D3844" s="14" t="inlineStr">
        <is>
          <t>[Construction of an interlocking road and covered drain in Ward No. 8 Kazipur 01 Meethi Mata area extending from Manoj Verma house to Pankaj Verma house via Kuldeep Mishra house.]</t>
        </is>
      </c>
      <c r="E3844" s="14" t="inlineStr">
        <is>
          <t>Uttar Pradesh Public Works &amp; Technology Department</t>
        </is>
      </c>
      <c r="F3844" s="13" t="inlineStr">
        <is>
          <t>29 Jul 2026</t>
        </is>
      </c>
      <c r="G3844" s="12" t="inlineStr">
        <is>
          <t>26 Aug 2026</t>
        </is>
      </c>
      <c r="H3844" s="8" t="inlineStr">
        <is>
          <t>⏳ UPCOMING</t>
        </is>
      </c>
      <c r="I3844" s="11" t="inlineStr">
        <is>
          <t>16.pdf</t>
        </is>
      </c>
      <c r="J3844" s="13" t="inlineStr">
        <is>
          <t>📕 PDF Document</t>
        </is>
      </c>
      <c r="K3844" s="15" t="n">
        <v>17.8</v>
      </c>
      <c r="L3844" s="16">
        <f>HYPERLINK("http://127.0.0.1:8000/api/documents/download?id=1050&amp;attachment=true", "⬇ Download 16.pdf")</f>
        <v/>
      </c>
      <c r="M3844" s="16">
        <f>HYPERLINK("http://localhost:5173/?state=Uttar%20Pradesh&amp;keyword=MIS&amp;tender=2026_DOLBU_1194538_16", "🚀 Open in Portal")</f>
        <v/>
      </c>
    </row>
    <row r="3845" ht="24" customHeight="1">
      <c r="A3845" s="4" t="inlineStr">
        <is>
          <t>Uttar Pradesh</t>
        </is>
      </c>
      <c r="B3845" s="5" t="inlineStr">
        <is>
          <t>MIS</t>
        </is>
      </c>
      <c r="C3845" s="6" t="inlineStr">
        <is>
          <t>2026_DOLBU_1194538_16</t>
        </is>
      </c>
      <c r="D3845" s="7" t="inlineStr">
        <is>
          <t>[Construction of an interlocking road and covered drain in Ward No. 8 Kazipur 01 Meethi Mata area extending from Manoj Verma house to Pankaj Verma house via Kuldeep Mishra house.]</t>
        </is>
      </c>
      <c r="E3845" s="7" t="inlineStr">
        <is>
          <t>Uttar Pradesh Public Works &amp; Technology Department</t>
        </is>
      </c>
      <c r="F3845" s="6" t="inlineStr">
        <is>
          <t>29 Jul 2026</t>
        </is>
      </c>
      <c r="G3845" s="5" t="inlineStr">
        <is>
          <t>26 Aug 2026</t>
        </is>
      </c>
      <c r="H3845" s="8" t="inlineStr">
        <is>
          <t>⏳ UPCOMING</t>
        </is>
      </c>
      <c r="I3845" s="4" t="inlineStr">
        <is>
          <t>Tender_2026_DOLBU_1194538_16_All_Documents.zip</t>
        </is>
      </c>
      <c r="J3845" s="6" t="inlineStr">
        <is>
          <t>📦 ZIP Package</t>
        </is>
      </c>
      <c r="K3845" s="9" t="n">
        <v>20.9</v>
      </c>
      <c r="L3845" s="10">
        <f>HYPERLINK("http://127.0.0.1:8000/api/documents/download?id=1051&amp;attachment=true", "⬇ Download Tender_2026_DOLBU_119453")</f>
        <v/>
      </c>
      <c r="M3845" s="10">
        <f>HYPERLINK("http://localhost:5173/?state=Uttar%20Pradesh&amp;keyword=MIS&amp;tender=2026_DOLBU_1194538_16", "🚀 Open in Portal")</f>
        <v/>
      </c>
    </row>
    <row r="3846" ht="24" customHeight="1">
      <c r="A3846" s="11" t="inlineStr">
        <is>
          <t>Uttar Pradesh</t>
        </is>
      </c>
      <c r="B3846" s="12" t="inlineStr">
        <is>
          <t>MIS</t>
        </is>
      </c>
      <c r="C3846" s="13" t="inlineStr">
        <is>
          <t>2026_DOLBU_1194538_31</t>
        </is>
      </c>
      <c r="D3846" s="14" t="inlineStr">
        <is>
          <t>[Construction of an interlocking road and covered drain in Ward No. 12 Pachghara 01 extending from Baburam Kumar house near Almal Talab to Rajkumar Mishra house, via the Chitragupta Temple.]</t>
        </is>
      </c>
      <c r="E3846" s="14" t="inlineStr">
        <is>
          <t>Uttar Pradesh Public Works &amp; Technology Department</t>
        </is>
      </c>
      <c r="F3846" s="13" t="inlineStr">
        <is>
          <t>25 Jul 2026</t>
        </is>
      </c>
      <c r="G3846" s="12" t="inlineStr">
        <is>
          <t>20 Aug 2026</t>
        </is>
      </c>
      <c r="H3846" s="8" t="inlineStr">
        <is>
          <t>⏳ UPCOMING</t>
        </is>
      </c>
      <c r="I3846" s="11" t="inlineStr">
        <is>
          <t>Tendernotice_1.pdf</t>
        </is>
      </c>
      <c r="J3846" s="13" t="inlineStr">
        <is>
          <t>📕 PDF Document</t>
        </is>
      </c>
      <c r="K3846" s="15" t="n">
        <v>17.9</v>
      </c>
      <c r="L3846" s="16">
        <f>HYPERLINK("http://127.0.0.1:8000/api/documents/download?id=1041&amp;attachment=true", "⬇ Download Tendernotice_1.pdf")</f>
        <v/>
      </c>
      <c r="M3846" s="16">
        <f>HYPERLINK("http://localhost:5173/?state=Uttar%20Pradesh&amp;keyword=MIS&amp;tender=2026_DOLBU_1194538_31", "🚀 Open in Portal")</f>
        <v/>
      </c>
    </row>
    <row r="3847" ht="24" customHeight="1">
      <c r="A3847" s="4" t="inlineStr">
        <is>
          <t>Uttar Pradesh</t>
        </is>
      </c>
      <c r="B3847" s="5" t="inlineStr">
        <is>
          <t>MIS</t>
        </is>
      </c>
      <c r="C3847" s="6" t="inlineStr">
        <is>
          <t>2026_DOLBU_1194538_31</t>
        </is>
      </c>
      <c r="D3847" s="7" t="inlineStr">
        <is>
          <t>[Construction of an interlocking road and covered drain in Ward No. 12 Pachghara 01 extending from Baburam Kumar house near Almal Talab to Rajkumar Mishra house, via the Chitragupta Temple.]</t>
        </is>
      </c>
      <c r="E3847" s="7" t="inlineStr">
        <is>
          <t>Uttar Pradesh Public Works &amp; Technology Department</t>
        </is>
      </c>
      <c r="F3847" s="6" t="inlineStr">
        <is>
          <t>25 Jul 2026</t>
        </is>
      </c>
      <c r="G3847" s="5" t="inlineStr">
        <is>
          <t>20 Aug 2026</t>
        </is>
      </c>
      <c r="H3847" s="8" t="inlineStr">
        <is>
          <t>⏳ UPCOMING</t>
        </is>
      </c>
      <c r="I3847" s="4" t="inlineStr">
        <is>
          <t>BOQ_2256475.xls</t>
        </is>
      </c>
      <c r="J3847" s="6" t="inlineStr">
        <is>
          <t>📊 Excel BOQ</t>
        </is>
      </c>
      <c r="K3847" s="9" t="n">
        <v>2.5</v>
      </c>
      <c r="L3847" s="10">
        <f>HYPERLINK("http://127.0.0.1:8000/api/documents/download?id=1042&amp;attachment=true", "⬇ Download BOQ_2256475.xls")</f>
        <v/>
      </c>
      <c r="M3847" s="10">
        <f>HYPERLINK("http://localhost:5173/?state=Uttar%20Pradesh&amp;keyword=MIS&amp;tender=2026_DOLBU_1194538_31", "🚀 Open in Portal")</f>
        <v/>
      </c>
    </row>
    <row r="3848" ht="24" customHeight="1">
      <c r="A3848" s="11" t="inlineStr">
        <is>
          <t>Uttar Pradesh</t>
        </is>
      </c>
      <c r="B3848" s="12" t="inlineStr">
        <is>
          <t>MIS</t>
        </is>
      </c>
      <c r="C3848" s="13" t="inlineStr">
        <is>
          <t>2026_DOLBU_1194538_31</t>
        </is>
      </c>
      <c r="D3848" s="14" t="inlineStr">
        <is>
          <t>[Construction of an interlocking road and covered drain in Ward No. 12 Pachghara 01 extending from Baburam Kumar house near Almal Talab to Rajkumar Mishra house, via the Chitragupta Temple.]</t>
        </is>
      </c>
      <c r="E3848" s="14" t="inlineStr">
        <is>
          <t>Uttar Pradesh Public Works &amp; Technology Department</t>
        </is>
      </c>
      <c r="F3848" s="13" t="inlineStr">
        <is>
          <t>25 Jul 2026</t>
        </is>
      </c>
      <c r="G3848" s="12" t="inlineStr">
        <is>
          <t>20 Aug 2026</t>
        </is>
      </c>
      <c r="H3848" s="8" t="inlineStr">
        <is>
          <t>⏳ UPCOMING</t>
        </is>
      </c>
      <c r="I3848" s="11" t="inlineStr">
        <is>
          <t>31.pdf</t>
        </is>
      </c>
      <c r="J3848" s="13" t="inlineStr">
        <is>
          <t>📕 PDF Document</t>
        </is>
      </c>
      <c r="K3848" s="15" t="n">
        <v>17.8</v>
      </c>
      <c r="L3848" s="16">
        <f>HYPERLINK("http://127.0.0.1:8000/api/documents/download?id=1043&amp;attachment=true", "⬇ Download 31.pdf")</f>
        <v/>
      </c>
      <c r="M3848" s="16">
        <f>HYPERLINK("http://localhost:5173/?state=Uttar%20Pradesh&amp;keyword=MIS&amp;tender=2026_DOLBU_1194538_31", "🚀 Open in Portal")</f>
        <v/>
      </c>
    </row>
    <row r="3849" ht="24" customHeight="1">
      <c r="A3849" s="4" t="inlineStr">
        <is>
          <t>Uttar Pradesh</t>
        </is>
      </c>
      <c r="B3849" s="5" t="inlineStr">
        <is>
          <t>MIS</t>
        </is>
      </c>
      <c r="C3849" s="6" t="inlineStr">
        <is>
          <t>2026_DOLBU_1194538_31</t>
        </is>
      </c>
      <c r="D3849" s="7" t="inlineStr">
        <is>
          <t>[Construction of an interlocking road and covered drain in Ward No. 12 Pachghara 01 extending from Baburam Kumar house near Almal Talab to Rajkumar Mishra house, via the Chitragupta Temple.]</t>
        </is>
      </c>
      <c r="E3849" s="7" t="inlineStr">
        <is>
          <t>Uttar Pradesh Public Works &amp; Technology Department</t>
        </is>
      </c>
      <c r="F3849" s="6" t="inlineStr">
        <is>
          <t>25 Jul 2026</t>
        </is>
      </c>
      <c r="G3849" s="5" t="inlineStr">
        <is>
          <t>20 Aug 2026</t>
        </is>
      </c>
      <c r="H3849" s="8" t="inlineStr">
        <is>
          <t>⏳ UPCOMING</t>
        </is>
      </c>
      <c r="I3849" s="4" t="inlineStr">
        <is>
          <t>Tender_2026_DOLBU_1194538_31_All_Documents.zip</t>
        </is>
      </c>
      <c r="J3849" s="6" t="inlineStr">
        <is>
          <t>📦 ZIP Package</t>
        </is>
      </c>
      <c r="K3849" s="9" t="n">
        <v>20.9</v>
      </c>
      <c r="L3849" s="10">
        <f>HYPERLINK("http://127.0.0.1:8000/api/documents/download?id=1044&amp;attachment=true", "⬇ Download Tender_2026_DOLBU_119453")</f>
        <v/>
      </c>
      <c r="M3849" s="10">
        <f>HYPERLINK("http://localhost:5173/?state=Uttar%20Pradesh&amp;keyword=MIS&amp;tender=2026_DOLBU_1194538_31", "🚀 Open in Portal")</f>
        <v/>
      </c>
    </row>
    <row r="3850" ht="24" customHeight="1">
      <c r="A3850" s="11" t="inlineStr">
        <is>
          <t>Uttar Pradesh</t>
        </is>
      </c>
      <c r="B3850" s="12" t="inlineStr">
        <is>
          <t>MIS</t>
        </is>
      </c>
      <c r="C3850" s="13" t="inlineStr">
        <is>
          <t>2026_DOLBU_1194538_7</t>
        </is>
      </c>
      <c r="D3850" s="14" t="inlineStr">
        <is>
          <t>[Work of selfie point and others in front of Ward No. 5 Nalapar North Rambabu Mishthan.]</t>
        </is>
      </c>
      <c r="E3850" s="14" t="inlineStr">
        <is>
          <t>Uttar Pradesh Public Works &amp; Technology Department</t>
        </is>
      </c>
      <c r="F3850" s="13" t="inlineStr">
        <is>
          <t>31 Jul 2026</t>
        </is>
      </c>
      <c r="G3850" s="12" t="inlineStr">
        <is>
          <t>26 Aug 2026</t>
        </is>
      </c>
      <c r="H3850" s="8" t="inlineStr">
        <is>
          <t>⏳ UPCOMING</t>
        </is>
      </c>
      <c r="I3850" s="11" t="inlineStr">
        <is>
          <t>Tendernotice_1.pdf</t>
        </is>
      </c>
      <c r="J3850" s="13" t="inlineStr">
        <is>
          <t>📕 PDF Document</t>
        </is>
      </c>
      <c r="K3850" s="15" t="n">
        <v>17.9</v>
      </c>
      <c r="L3850" s="16">
        <f>HYPERLINK("http://127.0.0.1:8000/api/documents/download?id=1052&amp;attachment=true", "⬇ Download Tendernotice_1.pdf")</f>
        <v/>
      </c>
      <c r="M3850" s="16">
        <f>HYPERLINK("http://localhost:5173/?state=Uttar%20Pradesh&amp;keyword=MIS&amp;tender=2026_DOLBU_1194538_7", "🚀 Open in Portal")</f>
        <v/>
      </c>
    </row>
    <row r="3851" ht="24" customHeight="1">
      <c r="A3851" s="4" t="inlineStr">
        <is>
          <t>Uttar Pradesh</t>
        </is>
      </c>
      <c r="B3851" s="5" t="inlineStr">
        <is>
          <t>MIS</t>
        </is>
      </c>
      <c r="C3851" s="6" t="inlineStr">
        <is>
          <t>2026_DOLBU_1194538_7</t>
        </is>
      </c>
      <c r="D3851" s="7" t="inlineStr">
        <is>
          <t>[Work of selfie point and others in front of Ward No. 5 Nalapar North Rambabu Mishthan.]</t>
        </is>
      </c>
      <c r="E3851" s="7" t="inlineStr">
        <is>
          <t>Uttar Pradesh Public Works &amp; Technology Department</t>
        </is>
      </c>
      <c r="F3851" s="6" t="inlineStr">
        <is>
          <t>31 Jul 2026</t>
        </is>
      </c>
      <c r="G3851" s="5" t="inlineStr">
        <is>
          <t>26 Aug 2026</t>
        </is>
      </c>
      <c r="H3851" s="8" t="inlineStr">
        <is>
          <t>⏳ UPCOMING</t>
        </is>
      </c>
      <c r="I3851" s="4" t="inlineStr">
        <is>
          <t>BOQ_2255303.xls</t>
        </is>
      </c>
      <c r="J3851" s="6" t="inlineStr">
        <is>
          <t>📊 Excel BOQ</t>
        </is>
      </c>
      <c r="K3851" s="9" t="n">
        <v>2.5</v>
      </c>
      <c r="L3851" s="10">
        <f>HYPERLINK("http://127.0.0.1:8000/api/documents/download?id=1053&amp;attachment=true", "⬇ Download BOQ_2255303.xls")</f>
        <v/>
      </c>
      <c r="M3851" s="10">
        <f>HYPERLINK("http://localhost:5173/?state=Uttar%20Pradesh&amp;keyword=MIS&amp;tender=2026_DOLBU_1194538_7", "🚀 Open in Portal")</f>
        <v/>
      </c>
    </row>
    <row r="3852" ht="24" customHeight="1">
      <c r="A3852" s="11" t="inlineStr">
        <is>
          <t>Uttar Pradesh</t>
        </is>
      </c>
      <c r="B3852" s="12" t="inlineStr">
        <is>
          <t>MIS</t>
        </is>
      </c>
      <c r="C3852" s="13" t="inlineStr">
        <is>
          <t>2026_DOLBU_1194538_7</t>
        </is>
      </c>
      <c r="D3852" s="14" t="inlineStr">
        <is>
          <t>[Work of selfie point and others in front of Ward No. 5 Nalapar North Rambabu Mishthan.]</t>
        </is>
      </c>
      <c r="E3852" s="14" t="inlineStr">
        <is>
          <t>Uttar Pradesh Public Works &amp; Technology Department</t>
        </is>
      </c>
      <c r="F3852" s="13" t="inlineStr">
        <is>
          <t>31 Jul 2026</t>
        </is>
      </c>
      <c r="G3852" s="12" t="inlineStr">
        <is>
          <t>26 Aug 2026</t>
        </is>
      </c>
      <c r="H3852" s="8" t="inlineStr">
        <is>
          <t>⏳ UPCOMING</t>
        </is>
      </c>
      <c r="I3852" s="11" t="inlineStr">
        <is>
          <t>07.pdf</t>
        </is>
      </c>
      <c r="J3852" s="13" t="inlineStr">
        <is>
          <t>📕 PDF Document</t>
        </is>
      </c>
      <c r="K3852" s="15" t="n">
        <v>17.8</v>
      </c>
      <c r="L3852" s="16">
        <f>HYPERLINK("http://127.0.0.1:8000/api/documents/download?id=1054&amp;attachment=true", "⬇ Download 07.pdf")</f>
        <v/>
      </c>
      <c r="M3852" s="16">
        <f>HYPERLINK("http://localhost:5173/?state=Uttar%20Pradesh&amp;keyword=MIS&amp;tender=2026_DOLBU_1194538_7", "🚀 Open in Portal")</f>
        <v/>
      </c>
    </row>
    <row r="3853" ht="24" customHeight="1">
      <c r="A3853" s="4" t="inlineStr">
        <is>
          <t>Uttar Pradesh</t>
        </is>
      </c>
      <c r="B3853" s="5" t="inlineStr">
        <is>
          <t>MIS</t>
        </is>
      </c>
      <c r="C3853" s="6" t="inlineStr">
        <is>
          <t>2026_DOLBU_1194538_7</t>
        </is>
      </c>
      <c r="D3853" s="7" t="inlineStr">
        <is>
          <t>[Work of selfie point and others in front of Ward No. 5 Nalapar North Rambabu Mishthan.]</t>
        </is>
      </c>
      <c r="E3853" s="7" t="inlineStr">
        <is>
          <t>Uttar Pradesh Public Works &amp; Technology Department</t>
        </is>
      </c>
      <c r="F3853" s="6" t="inlineStr">
        <is>
          <t>31 Jul 2026</t>
        </is>
      </c>
      <c r="G3853" s="5" t="inlineStr">
        <is>
          <t>26 Aug 2026</t>
        </is>
      </c>
      <c r="H3853" s="8" t="inlineStr">
        <is>
          <t>⏳ UPCOMING</t>
        </is>
      </c>
      <c r="I3853" s="4" t="inlineStr">
        <is>
          <t>Tender_2026_DOLBU_1194538_7_All_Documents.zip</t>
        </is>
      </c>
      <c r="J3853" s="6" t="inlineStr">
        <is>
          <t>📦 ZIP Package</t>
        </is>
      </c>
      <c r="K3853" s="9" t="n">
        <v>20.9</v>
      </c>
      <c r="L3853" s="10">
        <f>HYPERLINK("http://127.0.0.1:8000/api/documents/download?id=1055&amp;attachment=true", "⬇ Download Tender_2026_DOLBU_119453")</f>
        <v/>
      </c>
      <c r="M3853" s="10">
        <f>HYPERLINK("http://localhost:5173/?state=Uttar%20Pradesh&amp;keyword=MIS&amp;tender=2026_DOLBU_1194538_7", "🚀 Open in Portal")</f>
        <v/>
      </c>
    </row>
    <row r="3854" ht="24" customHeight="1">
      <c r="A3854" s="11" t="inlineStr">
        <is>
          <t>Uttar Pradesh</t>
        </is>
      </c>
      <c r="B3854" s="12" t="inlineStr">
        <is>
          <t>MIS</t>
        </is>
      </c>
      <c r="C3854" s="13" t="inlineStr">
        <is>
          <t>2026_DOLBU_1194869_5</t>
        </is>
      </c>
      <c r="D3854" s="14" t="inlineStr">
        <is>
          <t>[CONSTRUCTION WORK OF CC ROAD AND DRAIN FROM DURGESH MISHRA HOUSE TO KISHORE HOUSE IN WARD NO. 18.]</t>
        </is>
      </c>
      <c r="E3854" s="14" t="inlineStr">
        <is>
          <t>Uttar Pradesh Public Works &amp; Technology Department</t>
        </is>
      </c>
      <c r="F3854" s="13" t="inlineStr">
        <is>
          <t>08 Aug 2026</t>
        </is>
      </c>
      <c r="G3854" s="12" t="inlineStr">
        <is>
          <t>07 Sep 2026</t>
        </is>
      </c>
      <c r="H3854" s="8" t="inlineStr">
        <is>
          <t>⏳ UPCOMING</t>
        </is>
      </c>
      <c r="I3854" s="11" t="inlineStr">
        <is>
          <t>Tendernotice_1.pdf</t>
        </is>
      </c>
      <c r="J3854" s="13" t="inlineStr">
        <is>
          <t>📕 PDF Document</t>
        </is>
      </c>
      <c r="K3854" s="15" t="n">
        <v>17.9</v>
      </c>
      <c r="L3854" s="16">
        <f>HYPERLINK("http://127.0.0.1:8000/api/documents/download?id=1074&amp;attachment=true", "⬇ Download Tendernotice_1.pdf")</f>
        <v/>
      </c>
      <c r="M3854" s="16">
        <f>HYPERLINK("http://localhost:5173/?state=Uttar%20Pradesh&amp;keyword=MIS&amp;tender=2026_DOLBU_1194869_5", "🚀 Open in Portal")</f>
        <v/>
      </c>
    </row>
    <row r="3855" ht="24" customHeight="1">
      <c r="A3855" s="4" t="inlineStr">
        <is>
          <t>Uttar Pradesh</t>
        </is>
      </c>
      <c r="B3855" s="5" t="inlineStr">
        <is>
          <t>MIS</t>
        </is>
      </c>
      <c r="C3855" s="6" t="inlineStr">
        <is>
          <t>2026_DOLBU_1194869_5</t>
        </is>
      </c>
      <c r="D3855" s="7" t="inlineStr">
        <is>
          <t>[CONSTRUCTION WORK OF CC ROAD AND DRAIN FROM DURGESH MISHRA HOUSE TO KISHORE HOUSE IN WARD NO. 18.]</t>
        </is>
      </c>
      <c r="E3855" s="7" t="inlineStr">
        <is>
          <t>Uttar Pradesh Public Works &amp; Technology Department</t>
        </is>
      </c>
      <c r="F3855" s="6" t="inlineStr">
        <is>
          <t>08 Aug 2026</t>
        </is>
      </c>
      <c r="G3855" s="5" t="inlineStr">
        <is>
          <t>07 Sep 2026</t>
        </is>
      </c>
      <c r="H3855" s="8" t="inlineStr">
        <is>
          <t>⏳ UPCOMING</t>
        </is>
      </c>
      <c r="I3855" s="4" t="inlineStr">
        <is>
          <t>BOQ_2256140.xls</t>
        </is>
      </c>
      <c r="J3855" s="6" t="inlineStr">
        <is>
          <t>📊 Excel BOQ</t>
        </is>
      </c>
      <c r="K3855" s="9" t="n">
        <v>2.5</v>
      </c>
      <c r="L3855" s="10">
        <f>HYPERLINK("http://127.0.0.1:8000/api/documents/download?id=1075&amp;attachment=true", "⬇ Download BOQ_2256140.xls")</f>
        <v/>
      </c>
      <c r="M3855" s="10">
        <f>HYPERLINK("http://localhost:5173/?state=Uttar%20Pradesh&amp;keyword=MIS&amp;tender=2026_DOLBU_1194869_5", "🚀 Open in Portal")</f>
        <v/>
      </c>
    </row>
    <row r="3856" ht="24" customHeight="1">
      <c r="A3856" s="11" t="inlineStr">
        <is>
          <t>Uttar Pradesh</t>
        </is>
      </c>
      <c r="B3856" s="12" t="inlineStr">
        <is>
          <t>MIS</t>
        </is>
      </c>
      <c r="C3856" s="13" t="inlineStr">
        <is>
          <t>2026_DOLBU_1194869_5</t>
        </is>
      </c>
      <c r="D3856" s="14" t="inlineStr">
        <is>
          <t>[CONSTRUCTION WORK OF CC ROAD AND DRAIN FROM DURGESH MISHRA HOUSE TO KISHORE HOUSE IN WARD NO. 18.]</t>
        </is>
      </c>
      <c r="E3856" s="14" t="inlineStr">
        <is>
          <t>Uttar Pradesh Public Works &amp; Technology Department</t>
        </is>
      </c>
      <c r="F3856" s="13" t="inlineStr">
        <is>
          <t>08 Aug 2026</t>
        </is>
      </c>
      <c r="G3856" s="12" t="inlineStr">
        <is>
          <t>07 Sep 2026</t>
        </is>
      </c>
      <c r="H3856" s="8" t="inlineStr">
        <is>
          <t>⏳ UPCOMING</t>
        </is>
      </c>
      <c r="I3856" s="11" t="inlineStr">
        <is>
          <t>Tender_2026_DOLBU_1194869_5_All_Documents.zip</t>
        </is>
      </c>
      <c r="J3856" s="13" t="inlineStr">
        <is>
          <t>📦 ZIP Package</t>
        </is>
      </c>
      <c r="K3856" s="15" t="n">
        <v>11.6</v>
      </c>
      <c r="L3856" s="16">
        <f>HYPERLINK("http://127.0.0.1:8000/api/documents/download?id=1076&amp;attachment=true", "⬇ Download Tender_2026_DOLBU_119486")</f>
        <v/>
      </c>
      <c r="M3856" s="16">
        <f>HYPERLINK("http://localhost:5173/?state=Uttar%20Pradesh&amp;keyword=MIS&amp;tender=2026_DOLBU_1194869_5", "🚀 Open in Portal")</f>
        <v/>
      </c>
    </row>
    <row r="3857" ht="24" customHeight="1">
      <c r="A3857" s="4" t="inlineStr">
        <is>
          <t>Uttar Pradesh</t>
        </is>
      </c>
      <c r="B3857" s="5" t="inlineStr">
        <is>
          <t>MIS</t>
        </is>
      </c>
      <c r="C3857" s="6" t="inlineStr">
        <is>
          <t>2026_DOLBU_1195007_1</t>
        </is>
      </c>
      <c r="D3857" s="7" t="inlineStr">
        <is>
          <t>[Ward No. 04 Moh. Sarai Kaiyan me Gandhi High School se Santoshi Mata Mandir wa Shashikala ke makan se Shiv Om Mishra tak nali wa C.C. sadak ka nirman karya.]</t>
        </is>
      </c>
      <c r="E3857" s="7" t="inlineStr">
        <is>
          <t>Uttar Pradesh Public Works &amp; Technology Department</t>
        </is>
      </c>
      <c r="F3857" s="6" t="inlineStr">
        <is>
          <t>22 Oct 2026</t>
        </is>
      </c>
      <c r="G3857" s="5" t="inlineStr">
        <is>
          <t>12 Nov 2026</t>
        </is>
      </c>
      <c r="H3857" s="8" t="inlineStr">
        <is>
          <t>⏳ UPCOMING</t>
        </is>
      </c>
      <c r="I3857" s="4" t="inlineStr">
        <is>
          <t>Tendernotice_1.pdf</t>
        </is>
      </c>
      <c r="J3857" s="6" t="inlineStr">
        <is>
          <t>📕 PDF Document</t>
        </is>
      </c>
      <c r="K3857" s="9" t="n">
        <v>17.9</v>
      </c>
      <c r="L3857" s="10">
        <f>HYPERLINK("http://127.0.0.1:8000/api/documents/download?id=1019&amp;attachment=true", "⬇ Download Tendernotice_1.pdf")</f>
        <v/>
      </c>
      <c r="M3857" s="10">
        <f>HYPERLINK("http://localhost:5173/?state=Uttar%20Pradesh&amp;keyword=MIS&amp;tender=2026_DOLBU_1195007_1", "🚀 Open in Portal")</f>
        <v/>
      </c>
    </row>
    <row r="3858" ht="24" customHeight="1">
      <c r="A3858" s="11" t="inlineStr">
        <is>
          <t>Uttar Pradesh</t>
        </is>
      </c>
      <c r="B3858" s="12" t="inlineStr">
        <is>
          <t>MIS</t>
        </is>
      </c>
      <c r="C3858" s="13" t="inlineStr">
        <is>
          <t>2026_DOLBU_1195007_1</t>
        </is>
      </c>
      <c r="D3858" s="14" t="inlineStr">
        <is>
          <t>[Ward No. 04 Moh. Sarai Kaiyan me Gandhi High School se Santoshi Mata Mandir wa Shashikala ke makan se Shiv Om Mishra tak nali wa C.C. sadak ka nirman karya.]</t>
        </is>
      </c>
      <c r="E3858" s="14" t="inlineStr">
        <is>
          <t>Uttar Pradesh Public Works &amp; Technology Department</t>
        </is>
      </c>
      <c r="F3858" s="13" t="inlineStr">
        <is>
          <t>22 Oct 2026</t>
        </is>
      </c>
      <c r="G3858" s="12" t="inlineStr">
        <is>
          <t>12 Nov 2026</t>
        </is>
      </c>
      <c r="H3858" s="8" t="inlineStr">
        <is>
          <t>⏳ UPCOMING</t>
        </is>
      </c>
      <c r="I3858" s="11" t="inlineStr">
        <is>
          <t>BOQ_2256644.xls</t>
        </is>
      </c>
      <c r="J3858" s="13" t="inlineStr">
        <is>
          <t>📊 Excel BOQ</t>
        </is>
      </c>
      <c r="K3858" s="15" t="n">
        <v>2.5</v>
      </c>
      <c r="L3858" s="16">
        <f>HYPERLINK("http://127.0.0.1:8000/api/documents/download?id=1020&amp;attachment=true", "⬇ Download BOQ_2256644.xls")</f>
        <v/>
      </c>
      <c r="M3858" s="16">
        <f>HYPERLINK("http://localhost:5173/?state=Uttar%20Pradesh&amp;keyword=MIS&amp;tender=2026_DOLBU_1195007_1", "🚀 Open in Portal")</f>
        <v/>
      </c>
    </row>
    <row r="3859" ht="24" customHeight="1">
      <c r="A3859" s="4" t="inlineStr">
        <is>
          <t>Uttar Pradesh</t>
        </is>
      </c>
      <c r="B3859" s="5" t="inlineStr">
        <is>
          <t>MIS</t>
        </is>
      </c>
      <c r="C3859" s="6" t="inlineStr">
        <is>
          <t>2026_DOLBU_1195007_1</t>
        </is>
      </c>
      <c r="D3859" s="7" t="inlineStr">
        <is>
          <t>[Ward No. 04 Moh. Sarai Kaiyan me Gandhi High School se Santoshi Mata Mandir wa Shashikala ke makan se Shiv Om Mishra tak nali wa C.C. sadak ka nirman karya.]</t>
        </is>
      </c>
      <c r="E3859" s="7" t="inlineStr">
        <is>
          <t>Uttar Pradesh Public Works &amp; Technology Department</t>
        </is>
      </c>
      <c r="F3859" s="6" t="inlineStr">
        <is>
          <t>22 Oct 2026</t>
        </is>
      </c>
      <c r="G3859" s="5" t="inlineStr">
        <is>
          <t>12 Nov 2026</t>
        </is>
      </c>
      <c r="H3859" s="8" t="inlineStr">
        <is>
          <t>⏳ UPCOMING</t>
        </is>
      </c>
      <c r="I3859" s="4" t="inlineStr">
        <is>
          <t>Tender_2026_DOLBU_1195007_1_All_Documents.zip</t>
        </is>
      </c>
      <c r="J3859" s="6" t="inlineStr">
        <is>
          <t>📦 ZIP Package</t>
        </is>
      </c>
      <c r="K3859" s="9" t="n">
        <v>11.6</v>
      </c>
      <c r="L3859" s="10">
        <f>HYPERLINK("http://127.0.0.1:8000/api/documents/download?id=1021&amp;attachment=true", "⬇ Download Tender_2026_DOLBU_119500")</f>
        <v/>
      </c>
      <c r="M3859" s="10">
        <f>HYPERLINK("http://localhost:5173/?state=Uttar%20Pradesh&amp;keyword=MIS&amp;tender=2026_DOLBU_1195007_1", "🚀 Open in Portal")</f>
        <v/>
      </c>
    </row>
    <row r="3860" ht="24" customHeight="1">
      <c r="A3860" s="11" t="inlineStr">
        <is>
          <t>Uttar Pradesh</t>
        </is>
      </c>
      <c r="B3860" s="12" t="inlineStr">
        <is>
          <t>MIS</t>
        </is>
      </c>
      <c r="C3860" s="13" t="inlineStr">
        <is>
          <t>2026_DOLBU_1195130_1</t>
        </is>
      </c>
      <c r="D3860" s="14" t="inlineStr">
        <is>
          <t>[Mohalla Garhi Gazipura me Ilyas Mistry ke makan se Sageer ke makan hote hue R.K. Master Sahab ke makan tak C.C. road may nali ke nirman karya.]</t>
        </is>
      </c>
      <c r="E3860" s="14" t="inlineStr">
        <is>
          <t>Uttar Pradesh Public Works &amp; Technology Department</t>
        </is>
      </c>
      <c r="F3860" s="13" t="inlineStr">
        <is>
          <t>16 Oct 2026</t>
        </is>
      </c>
      <c r="G3860" s="12" t="inlineStr">
        <is>
          <t>12 Nov 2026</t>
        </is>
      </c>
      <c r="H3860" s="17" t="inlineStr">
        <is>
          <t>🟢 LIVE ACTIVE</t>
        </is>
      </c>
      <c r="I3860" s="11" t="inlineStr">
        <is>
          <t>Tendernotice_1.pdf</t>
        </is>
      </c>
      <c r="J3860" s="13" t="inlineStr">
        <is>
          <t>📕 PDF Document</t>
        </is>
      </c>
      <c r="K3860" s="15" t="n">
        <v>17.9</v>
      </c>
      <c r="L3860" s="16">
        <f>HYPERLINK("http://127.0.0.1:8000/api/documents/download?id=1026&amp;attachment=true", "⬇ Download Tendernotice_1.pdf")</f>
        <v/>
      </c>
      <c r="M3860" s="16">
        <f>HYPERLINK("http://localhost:5173/?state=Uttar%20Pradesh&amp;keyword=MIS&amp;tender=2026_DOLBU_1195130_1", "🚀 Open in Portal")</f>
        <v/>
      </c>
    </row>
    <row r="3861" ht="24" customHeight="1">
      <c r="A3861" s="4" t="inlineStr">
        <is>
          <t>Uttar Pradesh</t>
        </is>
      </c>
      <c r="B3861" s="5" t="inlineStr">
        <is>
          <t>MIS</t>
        </is>
      </c>
      <c r="C3861" s="6" t="inlineStr">
        <is>
          <t>2026_DOLBU_1195130_1</t>
        </is>
      </c>
      <c r="D3861" s="7" t="inlineStr">
        <is>
          <t>[Mohalla Garhi Gazipura me Ilyas Mistry ke makan se Sageer ke makan hote hue R.K. Master Sahab ke makan tak C.C. road may nali ke nirman karya.]</t>
        </is>
      </c>
      <c r="E3861" s="7" t="inlineStr">
        <is>
          <t>Uttar Pradesh Public Works &amp; Technology Department</t>
        </is>
      </c>
      <c r="F3861" s="6" t="inlineStr">
        <is>
          <t>16 Oct 2026</t>
        </is>
      </c>
      <c r="G3861" s="5" t="inlineStr">
        <is>
          <t>12 Nov 2026</t>
        </is>
      </c>
      <c r="H3861" s="17" t="inlineStr">
        <is>
          <t>🟢 LIVE ACTIVE</t>
        </is>
      </c>
      <c r="I3861" s="4" t="inlineStr">
        <is>
          <t>BOQ_2256844.xls</t>
        </is>
      </c>
      <c r="J3861" s="6" t="inlineStr">
        <is>
          <t>📊 Excel BOQ</t>
        </is>
      </c>
      <c r="K3861" s="9" t="n">
        <v>2.5</v>
      </c>
      <c r="L3861" s="10">
        <f>HYPERLINK("http://127.0.0.1:8000/api/documents/download?id=1027&amp;attachment=true", "⬇ Download BOQ_2256844.xls")</f>
        <v/>
      </c>
      <c r="M3861" s="10">
        <f>HYPERLINK("http://localhost:5173/?state=Uttar%20Pradesh&amp;keyword=MIS&amp;tender=2026_DOLBU_1195130_1", "🚀 Open in Portal")</f>
        <v/>
      </c>
    </row>
    <row r="3862" ht="24" customHeight="1">
      <c r="A3862" s="11" t="inlineStr">
        <is>
          <t>Uttar Pradesh</t>
        </is>
      </c>
      <c r="B3862" s="12" t="inlineStr">
        <is>
          <t>MIS</t>
        </is>
      </c>
      <c r="C3862" s="13" t="inlineStr">
        <is>
          <t>2026_DOLBU_1195130_1</t>
        </is>
      </c>
      <c r="D3862" s="14" t="inlineStr">
        <is>
          <t>[Mohalla Garhi Gazipura me Ilyas Mistry ke makan se Sageer ke makan hote hue R.K. Master Sahab ke makan tak C.C. road may nali ke nirman karya.]</t>
        </is>
      </c>
      <c r="E3862" s="14" t="inlineStr">
        <is>
          <t>Uttar Pradesh Public Works &amp; Technology Department</t>
        </is>
      </c>
      <c r="F3862" s="13" t="inlineStr">
        <is>
          <t>16 Oct 2026</t>
        </is>
      </c>
      <c r="G3862" s="12" t="inlineStr">
        <is>
          <t>12 Nov 2026</t>
        </is>
      </c>
      <c r="H3862" s="17" t="inlineStr">
        <is>
          <t>🟢 LIVE ACTIVE</t>
        </is>
      </c>
      <c r="I3862" s="11" t="inlineStr">
        <is>
          <t>Tender_2026_DOLBU_1195130_1_All_Documents.zip</t>
        </is>
      </c>
      <c r="J3862" s="13" t="inlineStr">
        <is>
          <t>📦 ZIP Package</t>
        </is>
      </c>
      <c r="K3862" s="15" t="n">
        <v>11.6</v>
      </c>
      <c r="L3862" s="16">
        <f>HYPERLINK("http://127.0.0.1:8000/api/documents/download?id=1028&amp;attachment=true", "⬇ Download Tender_2026_DOLBU_119513")</f>
        <v/>
      </c>
      <c r="M3862" s="16">
        <f>HYPERLINK("http://localhost:5173/?state=Uttar%20Pradesh&amp;keyword=MIS&amp;tender=2026_DOLBU_1195130_1", "🚀 Open in Portal")</f>
        <v/>
      </c>
    </row>
    <row r="3863" ht="24" customHeight="1">
      <c r="A3863" s="4" t="inlineStr">
        <is>
          <t>Uttar Pradesh</t>
        </is>
      </c>
      <c r="B3863" s="5" t="inlineStr">
        <is>
          <t>MIS</t>
        </is>
      </c>
      <c r="C3863" s="6" t="inlineStr">
        <is>
          <t>2026_MDA_1195056_1</t>
        </is>
      </c>
      <c r="D3863" s="7" t="inlineStr">
        <is>
          <t>[REQUEST FOR PROPOSAL FOR Request for Proposal (RFP) for Design, Supply, Installation, Testing and Commissioning of Signage Boards in Various Master Plan schemes of Moradabad Development Authority (MDA)]</t>
        </is>
      </c>
      <c r="E3863" s="7" t="inlineStr">
        <is>
          <t>Uttar Pradesh Public Works &amp; Technology Department</t>
        </is>
      </c>
      <c r="F3863" s="6" t="inlineStr">
        <is>
          <t>14 Oct 2026</t>
        </is>
      </c>
      <c r="G3863" s="5" t="inlineStr">
        <is>
          <t>05 Nov 2026</t>
        </is>
      </c>
      <c r="H3863" s="17" t="inlineStr">
        <is>
          <t>🟢 LIVE ACTIVE</t>
        </is>
      </c>
      <c r="I3863" s="4" t="inlineStr">
        <is>
          <t>Tendernotice_1.pdf</t>
        </is>
      </c>
      <c r="J3863" s="6" t="inlineStr">
        <is>
          <t>📕 PDF Document</t>
        </is>
      </c>
      <c r="K3863" s="9" t="n">
        <v>17.9</v>
      </c>
      <c r="L3863" s="10">
        <f>HYPERLINK("http://127.0.0.1:8000/api/documents/download?id=1022&amp;attachment=true", "⬇ Download Tendernotice_1.pdf")</f>
        <v/>
      </c>
      <c r="M3863" s="10">
        <f>HYPERLINK("http://localhost:5173/?state=Uttar%20Pradesh&amp;keyword=MIS&amp;tender=2026_MDA_1195056_1", "🚀 Open in Portal")</f>
        <v/>
      </c>
    </row>
    <row r="3864" ht="24" customHeight="1">
      <c r="A3864" s="11" t="inlineStr">
        <is>
          <t>Uttar Pradesh</t>
        </is>
      </c>
      <c r="B3864" s="12" t="inlineStr">
        <is>
          <t>MIS</t>
        </is>
      </c>
      <c r="C3864" s="13" t="inlineStr">
        <is>
          <t>2026_MDA_1195056_1</t>
        </is>
      </c>
      <c r="D3864" s="14" t="inlineStr">
        <is>
          <t>[REQUEST FOR PROPOSAL FOR Request for Proposal (RFP) for Design, Supply, Installation, Testing and Commissioning of Signage Boards in Various Master Plan schemes of Moradabad Development Authority (MDA)]</t>
        </is>
      </c>
      <c r="E3864" s="14" t="inlineStr">
        <is>
          <t>Uttar Pradesh Public Works &amp; Technology Department</t>
        </is>
      </c>
      <c r="F3864" s="13" t="inlineStr">
        <is>
          <t>14 Oct 2026</t>
        </is>
      </c>
      <c r="G3864" s="12" t="inlineStr">
        <is>
          <t>05 Nov 2026</t>
        </is>
      </c>
      <c r="H3864" s="17" t="inlineStr">
        <is>
          <t>🟢 LIVE ACTIVE</t>
        </is>
      </c>
      <c r="I3864" s="11" t="inlineStr">
        <is>
          <t>RFP.pdf</t>
        </is>
      </c>
      <c r="J3864" s="13" t="inlineStr">
        <is>
          <t>📕 PDF Document</t>
        </is>
      </c>
      <c r="K3864" s="15" t="n">
        <v>17.8</v>
      </c>
      <c r="L3864" s="16">
        <f>HYPERLINK("http://127.0.0.1:8000/api/documents/download?id=1023&amp;attachment=true", "⬇ Download RFP.pdf")</f>
        <v/>
      </c>
      <c r="M3864" s="16">
        <f>HYPERLINK("http://localhost:5173/?state=Uttar%20Pradesh&amp;keyword=MIS&amp;tender=2026_MDA_1195056_1", "🚀 Open in Portal")</f>
        <v/>
      </c>
    </row>
    <row r="3865" ht="24" customHeight="1">
      <c r="A3865" s="4" t="inlineStr">
        <is>
          <t>Uttar Pradesh</t>
        </is>
      </c>
      <c r="B3865" s="5" t="inlineStr">
        <is>
          <t>MIS</t>
        </is>
      </c>
      <c r="C3865" s="6" t="inlineStr">
        <is>
          <t>2026_MDA_1195056_1</t>
        </is>
      </c>
      <c r="D3865" s="7" t="inlineStr">
        <is>
          <t>[REQUEST FOR PROPOSAL FOR Request for Proposal (RFP) for Design, Supply, Installation, Testing and Commissioning of Signage Boards in Various Master Plan schemes of Moradabad Development Authority (MDA)]</t>
        </is>
      </c>
      <c r="E3865" s="7" t="inlineStr">
        <is>
          <t>Uttar Pradesh Public Works &amp; Technology Department</t>
        </is>
      </c>
      <c r="F3865" s="6" t="inlineStr">
        <is>
          <t>14 Oct 2026</t>
        </is>
      </c>
      <c r="G3865" s="5" t="inlineStr">
        <is>
          <t>05 Nov 2026</t>
        </is>
      </c>
      <c r="H3865" s="17" t="inlineStr">
        <is>
          <t>🟢 LIVE ACTIVE</t>
        </is>
      </c>
      <c r="I3865" s="4" t="inlineStr">
        <is>
          <t>BOQ_2256734.xls</t>
        </is>
      </c>
      <c r="J3865" s="6" t="inlineStr">
        <is>
          <t>📊 Excel BOQ</t>
        </is>
      </c>
      <c r="K3865" s="9" t="n">
        <v>2.5</v>
      </c>
      <c r="L3865" s="10">
        <f>HYPERLINK("http://127.0.0.1:8000/api/documents/download?id=1024&amp;attachment=true", "⬇ Download BOQ_2256734.xls")</f>
        <v/>
      </c>
      <c r="M3865" s="10">
        <f>HYPERLINK("http://localhost:5173/?state=Uttar%20Pradesh&amp;keyword=MIS&amp;tender=2026_MDA_1195056_1", "🚀 Open in Portal")</f>
        <v/>
      </c>
    </row>
    <row r="3866" ht="24" customHeight="1">
      <c r="A3866" s="11" t="inlineStr">
        <is>
          <t>Uttar Pradesh</t>
        </is>
      </c>
      <c r="B3866" s="12" t="inlineStr">
        <is>
          <t>MIS</t>
        </is>
      </c>
      <c r="C3866" s="13" t="inlineStr">
        <is>
          <t>2026_MDA_1195056_1</t>
        </is>
      </c>
      <c r="D3866" s="14" t="inlineStr">
        <is>
          <t>[REQUEST FOR PROPOSAL FOR Request for Proposal (RFP) for Design, Supply, Installation, Testing and Commissioning of Signage Boards in Various Master Plan schemes of Moradabad Development Authority (MDA)]</t>
        </is>
      </c>
      <c r="E3866" s="14" t="inlineStr">
        <is>
          <t>Uttar Pradesh Public Works &amp; Technology Department</t>
        </is>
      </c>
      <c r="F3866" s="13" t="inlineStr">
        <is>
          <t>14 Oct 2026</t>
        </is>
      </c>
      <c r="G3866" s="12" t="inlineStr">
        <is>
          <t>05 Nov 2026</t>
        </is>
      </c>
      <c r="H3866" s="17" t="inlineStr">
        <is>
          <t>🟢 LIVE ACTIVE</t>
        </is>
      </c>
      <c r="I3866" s="11" t="inlineStr">
        <is>
          <t>Tender_2026_MDA_1195056_1_All_Documents.zip</t>
        </is>
      </c>
      <c r="J3866" s="13" t="inlineStr">
        <is>
          <t>📦 ZIP Package</t>
        </is>
      </c>
      <c r="K3866" s="15" t="n">
        <v>20.8</v>
      </c>
      <c r="L3866" s="16">
        <f>HYPERLINK("http://127.0.0.1:8000/api/documents/download?id=1025&amp;attachment=true", "⬇ Download Tender_2026_MDA_1195056_")</f>
        <v/>
      </c>
      <c r="M3866" s="16">
        <f>HYPERLINK("http://localhost:5173/?state=Uttar%20Pradesh&amp;keyword=MIS&amp;tender=2026_MDA_1195056_1", "🚀 Open in Portal")</f>
        <v/>
      </c>
    </row>
    <row r="3867" ht="24" customHeight="1">
      <c r="A3867" s="4" t="inlineStr">
        <is>
          <t>Uttar Pradesh</t>
        </is>
      </c>
      <c r="B3867" s="5" t="inlineStr">
        <is>
          <t>MIS</t>
        </is>
      </c>
      <c r="C3867" s="6" t="inlineStr">
        <is>
          <t>2026_MSME_1194160_16</t>
        </is>
      </c>
      <c r="D3867" s="7" t="inlineStr">
        <is>
          <t>[Construction of a pathway within the premises of Upper Primary School, Nasirganj]</t>
        </is>
      </c>
      <c r="E3867" s="7" t="inlineStr">
        <is>
          <t>Uttar Pradesh Public Works &amp; Technology Department</t>
        </is>
      </c>
      <c r="F3867" s="6" t="inlineStr">
        <is>
          <t>10 Aug 2026</t>
        </is>
      </c>
      <c r="G3867" s="5" t="inlineStr">
        <is>
          <t>03 Sep 2026</t>
        </is>
      </c>
      <c r="H3867" s="8" t="inlineStr">
        <is>
          <t>⏳ UPCOMING</t>
        </is>
      </c>
      <c r="I3867" s="4" t="inlineStr">
        <is>
          <t>Tendernotice_1.pdf</t>
        </is>
      </c>
      <c r="J3867" s="6" t="inlineStr">
        <is>
          <t>📕 PDF Document</t>
        </is>
      </c>
      <c r="K3867" s="9" t="n">
        <v>17.9</v>
      </c>
      <c r="L3867" s="10">
        <f>HYPERLINK("http://127.0.0.1:8000/api/documents/download?id=1077&amp;attachment=true", "⬇ Download Tendernotice_1.pdf")</f>
        <v/>
      </c>
      <c r="M3867" s="10">
        <f>HYPERLINK("http://localhost:5173/?state=Uttar%20Pradesh&amp;keyword=MIS&amp;tender=2026_MSME_1194160_16", "🚀 Open in Portal")</f>
        <v/>
      </c>
    </row>
    <row r="3868" ht="24" customHeight="1">
      <c r="A3868" s="11" t="inlineStr">
        <is>
          <t>Uttar Pradesh</t>
        </is>
      </c>
      <c r="B3868" s="12" t="inlineStr">
        <is>
          <t>MIS</t>
        </is>
      </c>
      <c r="C3868" s="13" t="inlineStr">
        <is>
          <t>2026_MSME_1194160_16</t>
        </is>
      </c>
      <c r="D3868" s="14" t="inlineStr">
        <is>
          <t>[Construction of a pathway within the premises of Upper Primary School, Nasirganj]</t>
        </is>
      </c>
      <c r="E3868" s="14" t="inlineStr">
        <is>
          <t>Uttar Pradesh Public Works &amp; Technology Department</t>
        </is>
      </c>
      <c r="F3868" s="13" t="inlineStr">
        <is>
          <t>10 Aug 2026</t>
        </is>
      </c>
      <c r="G3868" s="12" t="inlineStr">
        <is>
          <t>03 Sep 2026</t>
        </is>
      </c>
      <c r="H3868" s="8" t="inlineStr">
        <is>
          <t>⏳ UPCOMING</t>
        </is>
      </c>
      <c r="I3868" s="11" t="inlineStr">
        <is>
          <t>BOQ_2256137.xls</t>
        </is>
      </c>
      <c r="J3868" s="13" t="inlineStr">
        <is>
          <t>📊 Excel BOQ</t>
        </is>
      </c>
      <c r="K3868" s="15" t="n">
        <v>2.5</v>
      </c>
      <c r="L3868" s="16">
        <f>HYPERLINK("http://127.0.0.1:8000/api/documents/download?id=1078&amp;attachment=true", "⬇ Download BOQ_2256137.xls")</f>
        <v/>
      </c>
      <c r="M3868" s="16">
        <f>HYPERLINK("http://localhost:5173/?state=Uttar%20Pradesh&amp;keyword=MIS&amp;tender=2026_MSME_1194160_16", "🚀 Open in Portal")</f>
        <v/>
      </c>
    </row>
    <row r="3869" ht="24" customHeight="1">
      <c r="A3869" s="4" t="inlineStr">
        <is>
          <t>Uttar Pradesh</t>
        </is>
      </c>
      <c r="B3869" s="5" t="inlineStr">
        <is>
          <t>MIS</t>
        </is>
      </c>
      <c r="C3869" s="6" t="inlineStr">
        <is>
          <t>2026_MSME_1194160_16</t>
        </is>
      </c>
      <c r="D3869" s="7" t="inlineStr">
        <is>
          <t>[Construction of a pathway within the premises of Upper Primary School, Nasirganj]</t>
        </is>
      </c>
      <c r="E3869" s="7" t="inlineStr">
        <is>
          <t>Uttar Pradesh Public Works &amp; Technology Department</t>
        </is>
      </c>
      <c r="F3869" s="6" t="inlineStr">
        <is>
          <t>10 Aug 2026</t>
        </is>
      </c>
      <c r="G3869" s="5" t="inlineStr">
        <is>
          <t>03 Sep 2026</t>
        </is>
      </c>
      <c r="H3869" s="8" t="inlineStr">
        <is>
          <t>⏳ UPCOMING</t>
        </is>
      </c>
      <c r="I3869" s="4" t="inlineStr">
        <is>
          <t>TermsandConditionTenderCivilWorks.pdf</t>
        </is>
      </c>
      <c r="J3869" s="6" t="inlineStr">
        <is>
          <t>📕 PDF Document</t>
        </is>
      </c>
      <c r="K3869" s="9" t="n">
        <v>17.9</v>
      </c>
      <c r="L3869" s="10">
        <f>HYPERLINK("http://127.0.0.1:8000/api/documents/download?id=1079&amp;attachment=true", "⬇ Download TermsandConditionTenderC")</f>
        <v/>
      </c>
      <c r="M3869" s="10">
        <f>HYPERLINK("http://localhost:5173/?state=Uttar%20Pradesh&amp;keyword=MIS&amp;tender=2026_MSME_1194160_16", "🚀 Open in Portal")</f>
        <v/>
      </c>
    </row>
    <row r="3870" ht="24" customHeight="1">
      <c r="A3870" s="11" t="inlineStr">
        <is>
          <t>Uttar Pradesh</t>
        </is>
      </c>
      <c r="B3870" s="12" t="inlineStr">
        <is>
          <t>MIS</t>
        </is>
      </c>
      <c r="C3870" s="13" t="inlineStr">
        <is>
          <t>2026_MSME_1194160_16</t>
        </is>
      </c>
      <c r="D3870" s="14" t="inlineStr">
        <is>
          <t>[Construction of a pathway within the premises of Upper Primary School, Nasirganj]</t>
        </is>
      </c>
      <c r="E3870" s="14" t="inlineStr">
        <is>
          <t>Uttar Pradesh Public Works &amp; Technology Department</t>
        </is>
      </c>
      <c r="F3870" s="13" t="inlineStr">
        <is>
          <t>10 Aug 2026</t>
        </is>
      </c>
      <c r="G3870" s="12" t="inlineStr">
        <is>
          <t>03 Sep 2026</t>
        </is>
      </c>
      <c r="H3870" s="8" t="inlineStr">
        <is>
          <t>⏳ UPCOMING</t>
        </is>
      </c>
      <c r="I3870" s="11" t="inlineStr">
        <is>
          <t>Tender_2026_MSME_1194160_16_All_Documents.zip</t>
        </is>
      </c>
      <c r="J3870" s="13" t="inlineStr">
        <is>
          <t>📦 ZIP Package</t>
        </is>
      </c>
      <c r="K3870" s="15" t="n">
        <v>20.8</v>
      </c>
      <c r="L3870" s="16">
        <f>HYPERLINK("http://127.0.0.1:8000/api/documents/download?id=1080&amp;attachment=true", "⬇ Download Tender_2026_MSME_1194160")</f>
        <v/>
      </c>
      <c r="M3870" s="16">
        <f>HYPERLINK("http://localhost:5173/?state=Uttar%20Pradesh&amp;keyword=MIS&amp;tender=2026_MSME_1194160_16", "🚀 Open in Portal")</f>
        <v/>
      </c>
    </row>
    <row r="3871" ht="24" customHeight="1">
      <c r="A3871" s="4" t="inlineStr">
        <is>
          <t>Uttar Pradesh</t>
        </is>
      </c>
      <c r="B3871" s="5" t="inlineStr">
        <is>
          <t>MIS</t>
        </is>
      </c>
      <c r="C3871" s="6" t="inlineStr">
        <is>
          <t>2026_MSME_1194944_3</t>
        </is>
      </c>
      <c r="D3871" s="7" t="inlineStr">
        <is>
          <t>[Construction of Interlocking Tile Work At Vikas Khand Chaubepur Gram Panchayat Sandila From House of Ajay Misra To House of Chote pal Billhaur Vidhan Sabha Kanpur Nagar. ]</t>
        </is>
      </c>
      <c r="E3871" s="7" t="inlineStr">
        <is>
          <t>Uttar Pradesh Public Works &amp; Technology Department</t>
        </is>
      </c>
      <c r="F3871" s="6" t="inlineStr">
        <is>
          <t>22 Oct 2026</t>
        </is>
      </c>
      <c r="G3871" s="5" t="inlineStr">
        <is>
          <t>12 Nov 2026</t>
        </is>
      </c>
      <c r="H3871" s="8" t="inlineStr">
        <is>
          <t>⏳ UPCOMING</t>
        </is>
      </c>
      <c r="I3871" s="4" t="inlineStr">
        <is>
          <t>Tendernotice_1.pdf</t>
        </is>
      </c>
      <c r="J3871" s="6" t="inlineStr">
        <is>
          <t>📕 PDF Document</t>
        </is>
      </c>
      <c r="K3871" s="9" t="n">
        <v>17.9</v>
      </c>
      <c r="L3871" s="10">
        <f>HYPERLINK("http://127.0.0.1:8000/api/documents/download?id=1066&amp;attachment=true", "⬇ Download Tendernotice_1.pdf")</f>
        <v/>
      </c>
      <c r="M3871" s="10">
        <f>HYPERLINK("http://localhost:5173/?state=Uttar%20Pradesh&amp;keyword=MIS&amp;tender=2026_MSME_1194944_3", "🚀 Open in Portal")</f>
        <v/>
      </c>
    </row>
    <row r="3872" ht="24" customHeight="1">
      <c r="A3872" s="11" t="inlineStr">
        <is>
          <t>Uttar Pradesh</t>
        </is>
      </c>
      <c r="B3872" s="12" t="inlineStr">
        <is>
          <t>MIS</t>
        </is>
      </c>
      <c r="C3872" s="13" t="inlineStr">
        <is>
          <t>2026_MSME_1194944_3</t>
        </is>
      </c>
      <c r="D3872" s="14" t="inlineStr">
        <is>
          <t>[Construction of Interlocking Tile Work At Vikas Khand Chaubepur Gram Panchayat Sandila From House of Ajay Misra To House of Chote pal Billhaur Vidhan Sabha Kanpur Nagar. ]</t>
        </is>
      </c>
      <c r="E3872" s="14" t="inlineStr">
        <is>
          <t>Uttar Pradesh Public Works &amp; Technology Department</t>
        </is>
      </c>
      <c r="F3872" s="13" t="inlineStr">
        <is>
          <t>22 Oct 2026</t>
        </is>
      </c>
      <c r="G3872" s="12" t="inlineStr">
        <is>
          <t>12 Nov 2026</t>
        </is>
      </c>
      <c r="H3872" s="8" t="inlineStr">
        <is>
          <t>⏳ UPCOMING</t>
        </is>
      </c>
      <c r="I3872" s="11" t="inlineStr">
        <is>
          <t>BOQ_2256375.xls</t>
        </is>
      </c>
      <c r="J3872" s="13" t="inlineStr">
        <is>
          <t>📊 Excel BOQ</t>
        </is>
      </c>
      <c r="K3872" s="15" t="n">
        <v>2.5</v>
      </c>
      <c r="L3872" s="16">
        <f>HYPERLINK("http://127.0.0.1:8000/api/documents/download?id=1067&amp;attachment=true", "⬇ Download BOQ_2256375.xls")</f>
        <v/>
      </c>
      <c r="M3872" s="16">
        <f>HYPERLINK("http://localhost:5173/?state=Uttar%20Pradesh&amp;keyword=MIS&amp;tender=2026_MSME_1194944_3", "🚀 Open in Portal")</f>
        <v/>
      </c>
    </row>
    <row r="3873" ht="24" customHeight="1">
      <c r="A3873" s="4" t="inlineStr">
        <is>
          <t>Uttar Pradesh</t>
        </is>
      </c>
      <c r="B3873" s="5" t="inlineStr">
        <is>
          <t>MIS</t>
        </is>
      </c>
      <c r="C3873" s="6" t="inlineStr">
        <is>
          <t>2026_MSME_1194944_3</t>
        </is>
      </c>
      <c r="D3873" s="7" t="inlineStr">
        <is>
          <t>[Construction of Interlocking Tile Work At Vikas Khand Chaubepur Gram Panchayat Sandila From House of Ajay Misra To House of Chote pal Billhaur Vidhan Sabha Kanpur Nagar. ]</t>
        </is>
      </c>
      <c r="E3873" s="7" t="inlineStr">
        <is>
          <t>Uttar Pradesh Public Works &amp; Technology Department</t>
        </is>
      </c>
      <c r="F3873" s="6" t="inlineStr">
        <is>
          <t>22 Oct 2026</t>
        </is>
      </c>
      <c r="G3873" s="5" t="inlineStr">
        <is>
          <t>12 Nov 2026</t>
        </is>
      </c>
      <c r="H3873" s="8" t="inlineStr">
        <is>
          <t>⏳ UPCOMING</t>
        </is>
      </c>
      <c r="I3873" s="4" t="inlineStr">
        <is>
          <t>TermsandConditionTenderCivilWorks.pdf</t>
        </is>
      </c>
      <c r="J3873" s="6" t="inlineStr">
        <is>
          <t>📕 PDF Document</t>
        </is>
      </c>
      <c r="K3873" s="9" t="n">
        <v>17.9</v>
      </c>
      <c r="L3873" s="10">
        <f>HYPERLINK("http://127.0.0.1:8000/api/documents/download?id=1068&amp;attachment=true", "⬇ Download TermsandConditionTenderC")</f>
        <v/>
      </c>
      <c r="M3873" s="10">
        <f>HYPERLINK("http://localhost:5173/?state=Uttar%20Pradesh&amp;keyword=MIS&amp;tender=2026_MSME_1194944_3", "🚀 Open in Portal")</f>
        <v/>
      </c>
    </row>
    <row r="3874" ht="24" customHeight="1">
      <c r="A3874" s="11" t="inlineStr">
        <is>
          <t>Uttar Pradesh</t>
        </is>
      </c>
      <c r="B3874" s="12" t="inlineStr">
        <is>
          <t>MIS</t>
        </is>
      </c>
      <c r="C3874" s="13" t="inlineStr">
        <is>
          <t>2026_MSME_1194944_3</t>
        </is>
      </c>
      <c r="D3874" s="14" t="inlineStr">
        <is>
          <t>[Construction of Interlocking Tile Work At Vikas Khand Chaubepur Gram Panchayat Sandila From House of Ajay Misra To House of Chote pal Billhaur Vidhan Sabha Kanpur Nagar. ]</t>
        </is>
      </c>
      <c r="E3874" s="14" t="inlineStr">
        <is>
          <t>Uttar Pradesh Public Works &amp; Technology Department</t>
        </is>
      </c>
      <c r="F3874" s="13" t="inlineStr">
        <is>
          <t>22 Oct 2026</t>
        </is>
      </c>
      <c r="G3874" s="12" t="inlineStr">
        <is>
          <t>12 Nov 2026</t>
        </is>
      </c>
      <c r="H3874" s="8" t="inlineStr">
        <is>
          <t>⏳ UPCOMING</t>
        </is>
      </c>
      <c r="I3874" s="11" t="inlineStr">
        <is>
          <t>Tender_2026_MSME_1194944_3_All_Documents.zip</t>
        </is>
      </c>
      <c r="J3874" s="13" t="inlineStr">
        <is>
          <t>📦 ZIP Package</t>
        </is>
      </c>
      <c r="K3874" s="15" t="n">
        <v>20.9</v>
      </c>
      <c r="L3874" s="16">
        <f>HYPERLINK("http://127.0.0.1:8000/api/documents/download?id=1069&amp;attachment=true", "⬇ Download Tender_2026_MSME_1194944")</f>
        <v/>
      </c>
      <c r="M3874" s="16">
        <f>HYPERLINK("http://localhost:5173/?state=Uttar%20Pradesh&amp;keyword=MIS&amp;tender=2026_MSME_1194944_3", "🚀 Open in Portal")</f>
        <v/>
      </c>
    </row>
    <row r="3875" ht="24" customHeight="1">
      <c r="A3875" s="4" t="inlineStr">
        <is>
          <t>Uttar Pradesh</t>
        </is>
      </c>
      <c r="B3875" s="5" t="inlineStr">
        <is>
          <t>MIS</t>
        </is>
      </c>
      <c r="C3875" s="6" t="inlineStr">
        <is>
          <t>2026_NOIDA_1194847_1</t>
        </is>
      </c>
      <c r="D3875" s="7" t="inlineStr">
        <is>
          <t>[Supply, Installation, testing and commissioning of Surveillance Security System Work for Japnese Park Sector-94 Noida]</t>
        </is>
      </c>
      <c r="E3875" s="7" t="inlineStr">
        <is>
          <t>Uttar Pradesh Public Works &amp; Technology Department</t>
        </is>
      </c>
      <c r="F3875" s="6" t="inlineStr">
        <is>
          <t>02 Aug 2026</t>
        </is>
      </c>
      <c r="G3875" s="5" t="inlineStr">
        <is>
          <t>31 Aug 2026</t>
        </is>
      </c>
      <c r="H3875" s="8" t="inlineStr">
        <is>
          <t>⏳ UPCOMING</t>
        </is>
      </c>
      <c r="I3875" s="4" t="inlineStr">
        <is>
          <t>Tendernotice_1.pdf</t>
        </is>
      </c>
      <c r="J3875" s="6" t="inlineStr">
        <is>
          <t>📕 PDF Document</t>
        </is>
      </c>
      <c r="K3875" s="9" t="n">
        <v>17.9</v>
      </c>
      <c r="L3875" s="10">
        <f>HYPERLINK("http://127.0.0.1:8000/api/documents/download?id=1056&amp;attachment=true", "⬇ Download Tendernotice_1.pdf")</f>
        <v/>
      </c>
      <c r="M3875" s="10">
        <f>HYPERLINK("http://localhost:5173/?state=Uttar%20Pradesh&amp;keyword=MIS&amp;tender=2026_NOIDA_1194847_1", "🚀 Open in Portal")</f>
        <v/>
      </c>
    </row>
    <row r="3876" ht="24" customHeight="1">
      <c r="A3876" s="11" t="inlineStr">
        <is>
          <t>Uttar Pradesh</t>
        </is>
      </c>
      <c r="B3876" s="12" t="inlineStr">
        <is>
          <t>MIS</t>
        </is>
      </c>
      <c r="C3876" s="13" t="inlineStr">
        <is>
          <t>2026_NOIDA_1194847_1</t>
        </is>
      </c>
      <c r="D3876" s="14" t="inlineStr">
        <is>
          <t>[Supply, Installation, testing and commissioning of Surveillance Security System Work for Japnese Park Sector-94 Noida]</t>
        </is>
      </c>
      <c r="E3876" s="14" t="inlineStr">
        <is>
          <t>Uttar Pradesh Public Works &amp; Technology Department</t>
        </is>
      </c>
      <c r="F3876" s="13" t="inlineStr">
        <is>
          <t>02 Aug 2026</t>
        </is>
      </c>
      <c r="G3876" s="12" t="inlineStr">
        <is>
          <t>31 Aug 2026</t>
        </is>
      </c>
      <c r="H3876" s="8" t="inlineStr">
        <is>
          <t>⏳ UPCOMING</t>
        </is>
      </c>
      <c r="I3876" s="11" t="inlineStr">
        <is>
          <t>BOQ_2256071.xls</t>
        </is>
      </c>
      <c r="J3876" s="13" t="inlineStr">
        <is>
          <t>📊 Excel BOQ</t>
        </is>
      </c>
      <c r="K3876" s="15" t="n">
        <v>2.5</v>
      </c>
      <c r="L3876" s="16">
        <f>HYPERLINK("http://127.0.0.1:8000/api/documents/download?id=1057&amp;attachment=true", "⬇ Download BOQ_2256071.xls")</f>
        <v/>
      </c>
      <c r="M3876" s="16">
        <f>HYPERLINK("http://localhost:5173/?state=Uttar%20Pradesh&amp;keyword=MIS&amp;tender=2026_NOIDA_1194847_1", "🚀 Open in Portal")</f>
        <v/>
      </c>
    </row>
    <row r="3877" ht="24" customHeight="1">
      <c r="A3877" s="4" t="inlineStr">
        <is>
          <t>Uttar Pradesh</t>
        </is>
      </c>
      <c r="B3877" s="5" t="inlineStr">
        <is>
          <t>MIS</t>
        </is>
      </c>
      <c r="C3877" s="6" t="inlineStr">
        <is>
          <t>2026_NOIDA_1194847_1</t>
        </is>
      </c>
      <c r="D3877" s="7" t="inlineStr">
        <is>
          <t>[Supply, Installation, testing and commissioning of Surveillance Security System Work for Japnese Park Sector-94 Noida]</t>
        </is>
      </c>
      <c r="E3877" s="7" t="inlineStr">
        <is>
          <t>Uttar Pradesh Public Works &amp; Technology Department</t>
        </is>
      </c>
      <c r="F3877" s="6" t="inlineStr">
        <is>
          <t>02 Aug 2026</t>
        </is>
      </c>
      <c r="G3877" s="5" t="inlineStr">
        <is>
          <t>31 Aug 2026</t>
        </is>
      </c>
      <c r="H3877" s="8" t="inlineStr">
        <is>
          <t>⏳ UPCOMING</t>
        </is>
      </c>
      <c r="I3877" s="4" t="inlineStr">
        <is>
          <t>C.xls</t>
        </is>
      </c>
      <c r="J3877" s="6" t="inlineStr">
        <is>
          <t>📊 Excel BOQ</t>
        </is>
      </c>
      <c r="K3877" s="9" t="n">
        <v>2.5</v>
      </c>
      <c r="L3877" s="10">
        <f>HYPERLINK("http://127.0.0.1:8000/api/documents/download?id=1058&amp;attachment=true", "⬇ Download C.xls")</f>
        <v/>
      </c>
      <c r="M3877" s="10">
        <f>HYPERLINK("http://localhost:5173/?state=Uttar%20Pradesh&amp;keyword=MIS&amp;tender=2026_NOIDA_1194847_1", "🚀 Open in Portal")</f>
        <v/>
      </c>
    </row>
    <row r="3878" ht="24" customHeight="1">
      <c r="A3878" s="11" t="inlineStr">
        <is>
          <t>Uttar Pradesh</t>
        </is>
      </c>
      <c r="B3878" s="12" t="inlineStr">
        <is>
          <t>MIS</t>
        </is>
      </c>
      <c r="C3878" s="13" t="inlineStr">
        <is>
          <t>2026_NOIDA_1194847_1</t>
        </is>
      </c>
      <c r="D3878" s="14" t="inlineStr">
        <is>
          <t>[Supply, Installation, testing and commissioning of Surveillance Security System Work for Japnese Park Sector-94 Noida]</t>
        </is>
      </c>
      <c r="E3878" s="14" t="inlineStr">
        <is>
          <t>Uttar Pradesh Public Works &amp; Technology Department</t>
        </is>
      </c>
      <c r="F3878" s="13" t="inlineStr">
        <is>
          <t>02 Aug 2026</t>
        </is>
      </c>
      <c r="G3878" s="12" t="inlineStr">
        <is>
          <t>31 Aug 2026</t>
        </is>
      </c>
      <c r="H3878" s="8" t="inlineStr">
        <is>
          <t>⏳ UPCOMING</t>
        </is>
      </c>
      <c r="I3878" s="11" t="inlineStr">
        <is>
          <t>TD.pdf</t>
        </is>
      </c>
      <c r="J3878" s="13" t="inlineStr">
        <is>
          <t>📕 PDF Document</t>
        </is>
      </c>
      <c r="K3878" s="15" t="n">
        <v>17.8</v>
      </c>
      <c r="L3878" s="16">
        <f>HYPERLINK("http://127.0.0.1:8000/api/documents/download?id=1059&amp;attachment=true", "⬇ Download TD.pdf")</f>
        <v/>
      </c>
      <c r="M3878" s="16">
        <f>HYPERLINK("http://localhost:5173/?state=Uttar%20Pradesh&amp;keyword=MIS&amp;tender=2026_NOIDA_1194847_1", "🚀 Open in Portal")</f>
        <v/>
      </c>
    </row>
    <row r="3879" ht="24" customHeight="1">
      <c r="A3879" s="4" t="inlineStr">
        <is>
          <t>Uttar Pradesh</t>
        </is>
      </c>
      <c r="B3879" s="5" t="inlineStr">
        <is>
          <t>MIS</t>
        </is>
      </c>
      <c r="C3879" s="6" t="inlineStr">
        <is>
          <t>2026_NOIDA_1194847_1</t>
        </is>
      </c>
      <c r="D3879" s="7" t="inlineStr">
        <is>
          <t>[Supply, Installation, testing and commissioning of Surveillance Security System Work for Japnese Park Sector-94 Noida]</t>
        </is>
      </c>
      <c r="E3879" s="7" t="inlineStr">
        <is>
          <t>Uttar Pradesh Public Works &amp; Technology Department</t>
        </is>
      </c>
      <c r="F3879" s="6" t="inlineStr">
        <is>
          <t>02 Aug 2026</t>
        </is>
      </c>
      <c r="G3879" s="5" t="inlineStr">
        <is>
          <t>31 Aug 2026</t>
        </is>
      </c>
      <c r="H3879" s="8" t="inlineStr">
        <is>
          <t>⏳ UPCOMING</t>
        </is>
      </c>
      <c r="I3879" s="4" t="inlineStr">
        <is>
          <t>Tender_2026_NOIDA_1194847_1_All_Documents.zip</t>
        </is>
      </c>
      <c r="J3879" s="6" t="inlineStr">
        <is>
          <t>📦 ZIP Package</t>
        </is>
      </c>
      <c r="K3879" s="9" t="n">
        <v>23</v>
      </c>
      <c r="L3879" s="10">
        <f>HYPERLINK("http://127.0.0.1:8000/api/documents/download?id=1060&amp;attachment=true", "⬇ Download Tender_2026_NOIDA_119484")</f>
        <v/>
      </c>
      <c r="M3879" s="10">
        <f>HYPERLINK("http://localhost:5173/?state=Uttar%20Pradesh&amp;keyword=MIS&amp;tender=2026_NOIDA_1194847_1", "🚀 Open in Portal")</f>
        <v/>
      </c>
    </row>
    <row r="3880" ht="24" customHeight="1">
      <c r="A3880" s="11" t="inlineStr">
        <is>
          <t>Uttar Pradesh</t>
        </is>
      </c>
      <c r="B3880" s="12" t="inlineStr">
        <is>
          <t>MIS</t>
        </is>
      </c>
      <c r="C3880" s="13" t="inlineStr">
        <is>
          <t>2026_NOIDA_1194919_1</t>
        </is>
      </c>
      <c r="D3880" s="14" t="inlineStr">
        <is>
          <t>[ Supply, Installation, testing and commissioning of Surveillance Security System at Bhangel Elevated Road, Noida]</t>
        </is>
      </c>
      <c r="E3880" s="14" t="inlineStr">
        <is>
          <t>Uttar Pradesh Public Works &amp; Technology Department</t>
        </is>
      </c>
      <c r="F3880" s="13" t="inlineStr">
        <is>
          <t>04 Aug 2026</t>
        </is>
      </c>
      <c r="G3880" s="12" t="inlineStr">
        <is>
          <t>25 Aug 2026</t>
        </is>
      </c>
      <c r="H3880" s="8" t="inlineStr">
        <is>
          <t>⏳ UPCOMING</t>
        </is>
      </c>
      <c r="I3880" s="11" t="inlineStr">
        <is>
          <t>Tendernotice_1.pdf</t>
        </is>
      </c>
      <c r="J3880" s="13" t="inlineStr">
        <is>
          <t>📕 PDF Document</t>
        </is>
      </c>
      <c r="K3880" s="15" t="n">
        <v>17.9</v>
      </c>
      <c r="L3880" s="16">
        <f>HYPERLINK("http://127.0.0.1:8000/api/documents/download?id=1061&amp;attachment=true", "⬇ Download Tendernotice_1.pdf")</f>
        <v/>
      </c>
      <c r="M3880" s="16">
        <f>HYPERLINK("http://localhost:5173/?state=Uttar%20Pradesh&amp;keyword=MIS&amp;tender=2026_NOIDA_1194919_1", "🚀 Open in Portal")</f>
        <v/>
      </c>
    </row>
    <row r="3881" ht="24" customHeight="1">
      <c r="A3881" s="4" t="inlineStr">
        <is>
          <t>Uttar Pradesh</t>
        </is>
      </c>
      <c r="B3881" s="5" t="inlineStr">
        <is>
          <t>MIS</t>
        </is>
      </c>
      <c r="C3881" s="6" t="inlineStr">
        <is>
          <t>2026_NOIDA_1194919_1</t>
        </is>
      </c>
      <c r="D3881" s="7" t="inlineStr">
        <is>
          <t>[ Supply, Installation, testing and commissioning of Surveillance Security System at Bhangel Elevated Road, Noida]</t>
        </is>
      </c>
      <c r="E3881" s="7" t="inlineStr">
        <is>
          <t>Uttar Pradesh Public Works &amp; Technology Department</t>
        </is>
      </c>
      <c r="F3881" s="6" t="inlineStr">
        <is>
          <t>04 Aug 2026</t>
        </is>
      </c>
      <c r="G3881" s="5" t="inlineStr">
        <is>
          <t>25 Aug 2026</t>
        </is>
      </c>
      <c r="H3881" s="8" t="inlineStr">
        <is>
          <t>⏳ UPCOMING</t>
        </is>
      </c>
      <c r="I3881" s="4" t="inlineStr">
        <is>
          <t>C.xls</t>
        </is>
      </c>
      <c r="J3881" s="6" t="inlineStr">
        <is>
          <t>📊 Excel BOQ</t>
        </is>
      </c>
      <c r="K3881" s="9" t="n">
        <v>2.5</v>
      </c>
      <c r="L3881" s="10">
        <f>HYPERLINK("http://127.0.0.1:8000/api/documents/download?id=1062&amp;attachment=true", "⬇ Download C.xls")</f>
        <v/>
      </c>
      <c r="M3881" s="10">
        <f>HYPERLINK("http://localhost:5173/?state=Uttar%20Pradesh&amp;keyword=MIS&amp;tender=2026_NOIDA_1194919_1", "🚀 Open in Portal")</f>
        <v/>
      </c>
    </row>
    <row r="3882" ht="24" customHeight="1">
      <c r="A3882" s="11" t="inlineStr">
        <is>
          <t>Uttar Pradesh</t>
        </is>
      </c>
      <c r="B3882" s="12" t="inlineStr">
        <is>
          <t>MIS</t>
        </is>
      </c>
      <c r="C3882" s="13" t="inlineStr">
        <is>
          <t>2026_NOIDA_1194919_1</t>
        </is>
      </c>
      <c r="D3882" s="14" t="inlineStr">
        <is>
          <t>[ Supply, Installation, testing and commissioning of Surveillance Security System at Bhangel Elevated Road, Noida]</t>
        </is>
      </c>
      <c r="E3882" s="14" t="inlineStr">
        <is>
          <t>Uttar Pradesh Public Works &amp; Technology Department</t>
        </is>
      </c>
      <c r="F3882" s="13" t="inlineStr">
        <is>
          <t>04 Aug 2026</t>
        </is>
      </c>
      <c r="G3882" s="12" t="inlineStr">
        <is>
          <t>25 Aug 2026</t>
        </is>
      </c>
      <c r="H3882" s="8" t="inlineStr">
        <is>
          <t>⏳ UPCOMING</t>
        </is>
      </c>
      <c r="I3882" s="11" t="inlineStr">
        <is>
          <t>TD.pdf</t>
        </is>
      </c>
      <c r="J3882" s="13" t="inlineStr">
        <is>
          <t>📕 PDF Document</t>
        </is>
      </c>
      <c r="K3882" s="15" t="n">
        <v>17.8</v>
      </c>
      <c r="L3882" s="16">
        <f>HYPERLINK("http://127.0.0.1:8000/api/documents/download?id=1063&amp;attachment=true", "⬇ Download TD.pdf")</f>
        <v/>
      </c>
      <c r="M3882" s="16">
        <f>HYPERLINK("http://localhost:5173/?state=Uttar%20Pradesh&amp;keyword=MIS&amp;tender=2026_NOIDA_1194919_1", "🚀 Open in Portal")</f>
        <v/>
      </c>
    </row>
    <row r="3883" ht="24" customHeight="1">
      <c r="A3883" s="4" t="inlineStr">
        <is>
          <t>Uttar Pradesh</t>
        </is>
      </c>
      <c r="B3883" s="5" t="inlineStr">
        <is>
          <t>MIS</t>
        </is>
      </c>
      <c r="C3883" s="6" t="inlineStr">
        <is>
          <t>2026_NOIDA_1194919_1</t>
        </is>
      </c>
      <c r="D3883" s="7" t="inlineStr">
        <is>
          <t>[ Supply, Installation, testing and commissioning of Surveillance Security System at Bhangel Elevated Road, Noida]</t>
        </is>
      </c>
      <c r="E3883" s="7" t="inlineStr">
        <is>
          <t>Uttar Pradesh Public Works &amp; Technology Department</t>
        </is>
      </c>
      <c r="F3883" s="6" t="inlineStr">
        <is>
          <t>04 Aug 2026</t>
        </is>
      </c>
      <c r="G3883" s="5" t="inlineStr">
        <is>
          <t>25 Aug 2026</t>
        </is>
      </c>
      <c r="H3883" s="8" t="inlineStr">
        <is>
          <t>⏳ UPCOMING</t>
        </is>
      </c>
      <c r="I3883" s="4" t="inlineStr">
        <is>
          <t>BOQ_2256250.xls</t>
        </is>
      </c>
      <c r="J3883" s="6" t="inlineStr">
        <is>
          <t>📊 Excel BOQ</t>
        </is>
      </c>
      <c r="K3883" s="9" t="n">
        <v>2.5</v>
      </c>
      <c r="L3883" s="10">
        <f>HYPERLINK("http://127.0.0.1:8000/api/documents/download?id=1064&amp;attachment=true", "⬇ Download BOQ_2256250.xls")</f>
        <v/>
      </c>
      <c r="M3883" s="10">
        <f>HYPERLINK("http://localhost:5173/?state=Uttar%20Pradesh&amp;keyword=MIS&amp;tender=2026_NOIDA_1194919_1", "🚀 Open in Portal")</f>
        <v/>
      </c>
    </row>
    <row r="3884" ht="24" customHeight="1">
      <c r="A3884" s="11" t="inlineStr">
        <is>
          <t>Uttar Pradesh</t>
        </is>
      </c>
      <c r="B3884" s="12" t="inlineStr">
        <is>
          <t>MIS</t>
        </is>
      </c>
      <c r="C3884" s="13" t="inlineStr">
        <is>
          <t>2026_NOIDA_1194919_1</t>
        </is>
      </c>
      <c r="D3884" s="14" t="inlineStr">
        <is>
          <t>[ Supply, Installation, testing and commissioning of Surveillance Security System at Bhangel Elevated Road, Noida]</t>
        </is>
      </c>
      <c r="E3884" s="14" t="inlineStr">
        <is>
          <t>Uttar Pradesh Public Works &amp; Technology Department</t>
        </is>
      </c>
      <c r="F3884" s="13" t="inlineStr">
        <is>
          <t>04 Aug 2026</t>
        </is>
      </c>
      <c r="G3884" s="12" t="inlineStr">
        <is>
          <t>25 Aug 2026</t>
        </is>
      </c>
      <c r="H3884" s="8" t="inlineStr">
        <is>
          <t>⏳ UPCOMING</t>
        </is>
      </c>
      <c r="I3884" s="11" t="inlineStr">
        <is>
          <t>Tender_2026_NOIDA_1194919_1_All_Documents.zip</t>
        </is>
      </c>
      <c r="J3884" s="13" t="inlineStr">
        <is>
          <t>📦 ZIP Package</t>
        </is>
      </c>
      <c r="K3884" s="15" t="n">
        <v>23</v>
      </c>
      <c r="L3884" s="16">
        <f>HYPERLINK("http://127.0.0.1:8000/api/documents/download?id=1065&amp;attachment=true", "⬇ Download Tender_2026_NOIDA_119491")</f>
        <v/>
      </c>
      <c r="M3884" s="16">
        <f>HYPERLINK("http://localhost:5173/?state=Uttar%20Pradesh&amp;keyword=MIS&amp;tender=2026_NOIDA_1194919_1", "🚀 Open in Portal")</f>
        <v/>
      </c>
    </row>
    <row r="3885" ht="24" customHeight="1">
      <c r="A3885" s="4" t="inlineStr">
        <is>
          <t>Uttar Pradesh</t>
        </is>
      </c>
      <c r="B3885" s="5" t="inlineStr">
        <is>
          <t>MIS</t>
        </is>
      </c>
      <c r="C3885" s="6" t="inlineStr">
        <is>
          <t>2026_PVVNV_1195043_1</t>
        </is>
      </c>
      <c r="D3885" s="7" t="inlineStr">
        <is>
          <t>[FLOOR RAISING WORK AT WORKSHOP SHED, SHEET REPLACEMENT WORK, CONSTRUCTION OF TOILET AND OTHER MISC. CIVIL WORK AT ELECTRICITY WORKSHOP CENTRE NAINI AND JHUSI, DISTT- PRAYAGRAJ ]</t>
        </is>
      </c>
      <c r="E3885" s="7" t="inlineStr">
        <is>
          <t>Uttar Pradesh Public Works &amp; Technology Department</t>
        </is>
      </c>
      <c r="F3885" s="6" t="inlineStr">
        <is>
          <t>18 Oct 2026</t>
        </is>
      </c>
      <c r="G3885" s="5" t="inlineStr">
        <is>
          <t>13 Nov 2026</t>
        </is>
      </c>
      <c r="H3885" s="17" t="inlineStr">
        <is>
          <t>🟢 LIVE ACTIVE</t>
        </is>
      </c>
      <c r="I3885" s="4" t="inlineStr">
        <is>
          <t>Tendernotice_1.pdf</t>
        </is>
      </c>
      <c r="J3885" s="6" t="inlineStr">
        <is>
          <t>📕 PDF Document</t>
        </is>
      </c>
      <c r="K3885" s="9" t="n">
        <v>17.9</v>
      </c>
      <c r="L3885" s="10">
        <f>HYPERLINK("http://127.0.0.1:8000/api/documents/download?id=1029&amp;attachment=true", "⬇ Download Tendernotice_1.pdf")</f>
        <v/>
      </c>
      <c r="M3885" s="10">
        <f>HYPERLINK("http://localhost:5173/?state=Uttar%20Pradesh&amp;keyword=MIS&amp;tender=2026_PVVNV_1195043_1", "🚀 Open in Portal")</f>
        <v/>
      </c>
    </row>
    <row r="3886" ht="24" customHeight="1">
      <c r="A3886" s="11" t="inlineStr">
        <is>
          <t>Uttar Pradesh</t>
        </is>
      </c>
      <c r="B3886" s="12" t="inlineStr">
        <is>
          <t>MIS</t>
        </is>
      </c>
      <c r="C3886" s="13" t="inlineStr">
        <is>
          <t>2026_PVVNV_1195043_1</t>
        </is>
      </c>
      <c r="D3886" s="14" t="inlineStr">
        <is>
          <t>[FLOOR RAISING WORK AT WORKSHOP SHED, SHEET REPLACEMENT WORK, CONSTRUCTION OF TOILET AND OTHER MISC. CIVIL WORK AT ELECTRICITY WORKSHOP CENTRE NAINI AND JHUSI, DISTT- PRAYAGRAJ ]</t>
        </is>
      </c>
      <c r="E3886" s="14" t="inlineStr">
        <is>
          <t>Uttar Pradesh Public Works &amp; Technology Department</t>
        </is>
      </c>
      <c r="F3886" s="13" t="inlineStr">
        <is>
          <t>18 Oct 2026</t>
        </is>
      </c>
      <c r="G3886" s="12" t="inlineStr">
        <is>
          <t>13 Nov 2026</t>
        </is>
      </c>
      <c r="H3886" s="17" t="inlineStr">
        <is>
          <t>🟢 LIVE ACTIVE</t>
        </is>
      </c>
      <c r="I3886" s="11" t="inlineStr">
        <is>
          <t>Nit77.pdf</t>
        </is>
      </c>
      <c r="J3886" s="13" t="inlineStr">
        <is>
          <t>📕 PDF Document</t>
        </is>
      </c>
      <c r="K3886" s="15" t="n">
        <v>17.8</v>
      </c>
      <c r="L3886" s="16">
        <f>HYPERLINK("http://127.0.0.1:8000/api/documents/download?id=1030&amp;attachment=true", "⬇ Download Nit77.pdf")</f>
        <v/>
      </c>
      <c r="M3886" s="16">
        <f>HYPERLINK("http://localhost:5173/?state=Uttar%20Pradesh&amp;keyword=MIS&amp;tender=2026_PVVNV_1195043_1", "🚀 Open in Portal")</f>
        <v/>
      </c>
    </row>
    <row r="3887" ht="24" customHeight="1">
      <c r="A3887" s="4" t="inlineStr">
        <is>
          <t>Uttar Pradesh</t>
        </is>
      </c>
      <c r="B3887" s="5" t="inlineStr">
        <is>
          <t>MIS</t>
        </is>
      </c>
      <c r="C3887" s="6" t="inlineStr">
        <is>
          <t>2026_PVVNV_1195043_1</t>
        </is>
      </c>
      <c r="D3887" s="7" t="inlineStr">
        <is>
          <t>[FLOOR RAISING WORK AT WORKSHOP SHED, SHEET REPLACEMENT WORK, CONSTRUCTION OF TOILET AND OTHER MISC. CIVIL WORK AT ELECTRICITY WORKSHOP CENTRE NAINI AND JHUSI, DISTT- PRAYAGRAJ ]</t>
        </is>
      </c>
      <c r="E3887" s="7" t="inlineStr">
        <is>
          <t>Uttar Pradesh Public Works &amp; Technology Department</t>
        </is>
      </c>
      <c r="F3887" s="6" t="inlineStr">
        <is>
          <t>18 Oct 2026</t>
        </is>
      </c>
      <c r="G3887" s="5" t="inlineStr">
        <is>
          <t>13 Nov 2026</t>
        </is>
      </c>
      <c r="H3887" s="17" t="inlineStr">
        <is>
          <t>🟢 LIVE ACTIVE</t>
        </is>
      </c>
      <c r="I3887" s="4" t="inlineStr">
        <is>
          <t>BOQ_2256721.xls</t>
        </is>
      </c>
      <c r="J3887" s="6" t="inlineStr">
        <is>
          <t>📊 Excel BOQ</t>
        </is>
      </c>
      <c r="K3887" s="9" t="n">
        <v>2.5</v>
      </c>
      <c r="L3887" s="10">
        <f>HYPERLINK("http://127.0.0.1:8000/api/documents/download?id=1031&amp;attachment=true", "⬇ Download BOQ_2256721.xls")</f>
        <v/>
      </c>
      <c r="M3887" s="10">
        <f>HYPERLINK("http://localhost:5173/?state=Uttar%20Pradesh&amp;keyword=MIS&amp;tender=2026_PVVNV_1195043_1", "🚀 Open in Portal")</f>
        <v/>
      </c>
    </row>
    <row r="3888" ht="24" customHeight="1">
      <c r="A3888" s="11" t="inlineStr">
        <is>
          <t>Uttar Pradesh</t>
        </is>
      </c>
      <c r="B3888" s="12" t="inlineStr">
        <is>
          <t>MIS</t>
        </is>
      </c>
      <c r="C3888" s="13" t="inlineStr">
        <is>
          <t>2026_PVVNV_1195043_1</t>
        </is>
      </c>
      <c r="D3888" s="14" t="inlineStr">
        <is>
          <t>[FLOOR RAISING WORK AT WORKSHOP SHED, SHEET REPLACEMENT WORK, CONSTRUCTION OF TOILET AND OTHER MISC. CIVIL WORK AT ELECTRICITY WORKSHOP CENTRE NAINI AND JHUSI, DISTT- PRAYAGRAJ ]</t>
        </is>
      </c>
      <c r="E3888" s="14" t="inlineStr">
        <is>
          <t>Uttar Pradesh Public Works &amp; Technology Department</t>
        </is>
      </c>
      <c r="F3888" s="13" t="inlineStr">
        <is>
          <t>18 Oct 2026</t>
        </is>
      </c>
      <c r="G3888" s="12" t="inlineStr">
        <is>
          <t>13 Nov 2026</t>
        </is>
      </c>
      <c r="H3888" s="17" t="inlineStr">
        <is>
          <t>🟢 LIVE ACTIVE</t>
        </is>
      </c>
      <c r="I3888" s="11" t="inlineStr">
        <is>
          <t>TD2026-27.pdf</t>
        </is>
      </c>
      <c r="J3888" s="13" t="inlineStr">
        <is>
          <t>📕 PDF Document</t>
        </is>
      </c>
      <c r="K3888" s="15" t="n">
        <v>17.9</v>
      </c>
      <c r="L3888" s="16">
        <f>HYPERLINK("http://127.0.0.1:8000/api/documents/download?id=1032&amp;attachment=true", "⬇ Download TD2026-27.pdf")</f>
        <v/>
      </c>
      <c r="M3888" s="16">
        <f>HYPERLINK("http://localhost:5173/?state=Uttar%20Pradesh&amp;keyword=MIS&amp;tender=2026_PVVNV_1195043_1", "🚀 Open in Portal")</f>
        <v/>
      </c>
    </row>
    <row r="3889" ht="24" customHeight="1">
      <c r="A3889" s="4" t="inlineStr">
        <is>
          <t>Uttar Pradesh</t>
        </is>
      </c>
      <c r="B3889" s="5" t="inlineStr">
        <is>
          <t>MIS</t>
        </is>
      </c>
      <c r="C3889" s="6" t="inlineStr">
        <is>
          <t>2026_PVVNV_1195043_1</t>
        </is>
      </c>
      <c r="D3889" s="7" t="inlineStr">
        <is>
          <t>[FLOOR RAISING WORK AT WORKSHOP SHED, SHEET REPLACEMENT WORK, CONSTRUCTION OF TOILET AND OTHER MISC. CIVIL WORK AT ELECTRICITY WORKSHOP CENTRE NAINI AND JHUSI, DISTT- PRAYAGRAJ ]</t>
        </is>
      </c>
      <c r="E3889" s="7" t="inlineStr">
        <is>
          <t>Uttar Pradesh Public Works &amp; Technology Department</t>
        </is>
      </c>
      <c r="F3889" s="6" t="inlineStr">
        <is>
          <t>18 Oct 2026</t>
        </is>
      </c>
      <c r="G3889" s="5" t="inlineStr">
        <is>
          <t>13 Nov 2026</t>
        </is>
      </c>
      <c r="H3889" s="17" t="inlineStr">
        <is>
          <t>🟢 LIVE ACTIVE</t>
        </is>
      </c>
      <c r="I3889" s="4" t="inlineStr">
        <is>
          <t>Tender_2026_PVVNV_1195043_1_All_Documents.zip</t>
        </is>
      </c>
      <c r="J3889" s="6" t="inlineStr">
        <is>
          <t>📦 ZIP Package</t>
        </is>
      </c>
      <c r="K3889" s="9" t="n">
        <v>30</v>
      </c>
      <c r="L3889" s="10">
        <f>HYPERLINK("http://127.0.0.1:8000/api/documents/download?id=1033&amp;attachment=true", "⬇ Download Tender_2026_PVVNV_119504")</f>
        <v/>
      </c>
      <c r="M3889" s="10">
        <f>HYPERLINK("http://localhost:5173/?state=Uttar%20Pradesh&amp;keyword=MIS&amp;tender=2026_PVVNV_1195043_1", "🚀 Open in Portal")</f>
        <v/>
      </c>
    </row>
    <row r="3890" ht="24" customHeight="1">
      <c r="A3890" s="11" t="inlineStr">
        <is>
          <t>Uttar Pradesh</t>
        </is>
      </c>
      <c r="B3890" s="12" t="inlineStr">
        <is>
          <t>MIS</t>
        </is>
      </c>
      <c r="C3890" s="13" t="inlineStr">
        <is>
          <t>2026_REDUP_1193900_13</t>
        </is>
      </c>
      <c r="D3890" s="14" t="inlineStr">
        <is>
          <t>[Ward Sarnath me rangoli garden ke pichhe deepak mishra ke ghar se ramashankar ke ghar tak interlocking nirman karya]</t>
        </is>
      </c>
      <c r="E3890" s="14" t="inlineStr">
        <is>
          <t>Uttar Pradesh Public Works &amp; Technology Department</t>
        </is>
      </c>
      <c r="F3890" s="13" t="inlineStr">
        <is>
          <t>14 Aug 2026</t>
        </is>
      </c>
      <c r="G3890" s="12" t="inlineStr">
        <is>
          <t>12 Sep 2026</t>
        </is>
      </c>
      <c r="H3890" s="8" t="inlineStr">
        <is>
          <t>⏳ UPCOMING</t>
        </is>
      </c>
      <c r="I3890" s="11" t="inlineStr">
        <is>
          <t>Tendernotice_1.pdf</t>
        </is>
      </c>
      <c r="J3890" s="13" t="inlineStr">
        <is>
          <t>📕 PDF Document</t>
        </is>
      </c>
      <c r="K3890" s="15" t="n">
        <v>17.9</v>
      </c>
      <c r="L3890" s="16">
        <f>HYPERLINK("http://127.0.0.1:8000/api/documents/download?id=1084&amp;attachment=true", "⬇ Download Tendernotice_1.pdf")</f>
        <v/>
      </c>
      <c r="M3890" s="16">
        <f>HYPERLINK("http://localhost:5173/?state=Uttar%20Pradesh&amp;keyword=MIS&amp;tender=2026_REDUP_1193900_13", "🚀 Open in Portal")</f>
        <v/>
      </c>
    </row>
    <row r="3891" ht="24" customHeight="1">
      <c r="A3891" s="4" t="inlineStr">
        <is>
          <t>Uttar Pradesh</t>
        </is>
      </c>
      <c r="B3891" s="5" t="inlineStr">
        <is>
          <t>MIS</t>
        </is>
      </c>
      <c r="C3891" s="6" t="inlineStr">
        <is>
          <t>2026_REDUP_1193900_13</t>
        </is>
      </c>
      <c r="D3891" s="7" t="inlineStr">
        <is>
          <t>[Ward Sarnath me rangoli garden ke pichhe deepak mishra ke ghar se ramashankar ke ghar tak interlocking nirman karya]</t>
        </is>
      </c>
      <c r="E3891" s="7" t="inlineStr">
        <is>
          <t>Uttar Pradesh Public Works &amp; Technology Department</t>
        </is>
      </c>
      <c r="F3891" s="6" t="inlineStr">
        <is>
          <t>14 Aug 2026</t>
        </is>
      </c>
      <c r="G3891" s="5" t="inlineStr">
        <is>
          <t>12 Sep 2026</t>
        </is>
      </c>
      <c r="H3891" s="8" t="inlineStr">
        <is>
          <t>⏳ UPCOMING</t>
        </is>
      </c>
      <c r="I3891" s="4" t="inlineStr">
        <is>
          <t>BOQ_2253568.xls</t>
        </is>
      </c>
      <c r="J3891" s="6" t="inlineStr">
        <is>
          <t>📊 Excel BOQ</t>
        </is>
      </c>
      <c r="K3891" s="9" t="n">
        <v>2.5</v>
      </c>
      <c r="L3891" s="10">
        <f>HYPERLINK("http://127.0.0.1:8000/api/documents/download?id=1085&amp;attachment=true", "⬇ Download BOQ_2253568.xls")</f>
        <v/>
      </c>
      <c r="M3891" s="10">
        <f>HYPERLINK("http://localhost:5173/?state=Uttar%20Pradesh&amp;keyword=MIS&amp;tender=2026_REDUP_1193900_13", "🚀 Open in Portal")</f>
        <v/>
      </c>
    </row>
    <row r="3892" ht="24" customHeight="1">
      <c r="A3892" s="11" t="inlineStr">
        <is>
          <t>Uttar Pradesh</t>
        </is>
      </c>
      <c r="B3892" s="12" t="inlineStr">
        <is>
          <t>MIS</t>
        </is>
      </c>
      <c r="C3892" s="13" t="inlineStr">
        <is>
          <t>2026_REDUP_1193900_13</t>
        </is>
      </c>
      <c r="D3892" s="14" t="inlineStr">
        <is>
          <t>[Ward Sarnath me rangoli garden ke pichhe deepak mishra ke ghar se ramashankar ke ghar tak interlocking nirman karya]</t>
        </is>
      </c>
      <c r="E3892" s="14" t="inlineStr">
        <is>
          <t>Uttar Pradesh Public Works &amp; Technology Department</t>
        </is>
      </c>
      <c r="F3892" s="13" t="inlineStr">
        <is>
          <t>14 Aug 2026</t>
        </is>
      </c>
      <c r="G3892" s="12" t="inlineStr">
        <is>
          <t>12 Sep 2026</t>
        </is>
      </c>
      <c r="H3892" s="8" t="inlineStr">
        <is>
          <t>⏳ UPCOMING</t>
        </is>
      </c>
      <c r="I3892" s="11" t="inlineStr">
        <is>
          <t>sbd.pdf</t>
        </is>
      </c>
      <c r="J3892" s="13" t="inlineStr">
        <is>
          <t>📕 PDF Document</t>
        </is>
      </c>
      <c r="K3892" s="15" t="n">
        <v>17.8</v>
      </c>
      <c r="L3892" s="16">
        <f>HYPERLINK("http://127.0.0.1:8000/api/documents/download?id=1086&amp;attachment=true", "⬇ Download sbd.pdf")</f>
        <v/>
      </c>
      <c r="M3892" s="16">
        <f>HYPERLINK("http://localhost:5173/?state=Uttar%20Pradesh&amp;keyword=MIS&amp;tender=2026_REDUP_1193900_13", "🚀 Open in Portal")</f>
        <v/>
      </c>
    </row>
    <row r="3893" ht="24" customHeight="1">
      <c r="A3893" s="4" t="inlineStr">
        <is>
          <t>Uttar Pradesh</t>
        </is>
      </c>
      <c r="B3893" s="5" t="inlineStr">
        <is>
          <t>MIS</t>
        </is>
      </c>
      <c r="C3893" s="6" t="inlineStr">
        <is>
          <t>2026_REDUP_1193900_13</t>
        </is>
      </c>
      <c r="D3893" s="7" t="inlineStr">
        <is>
          <t>[Ward Sarnath me rangoli garden ke pichhe deepak mishra ke ghar se ramashankar ke ghar tak interlocking nirman karya]</t>
        </is>
      </c>
      <c r="E3893" s="7" t="inlineStr">
        <is>
          <t>Uttar Pradesh Public Works &amp; Technology Department</t>
        </is>
      </c>
      <c r="F3893" s="6" t="inlineStr">
        <is>
          <t>14 Aug 2026</t>
        </is>
      </c>
      <c r="G3893" s="5" t="inlineStr">
        <is>
          <t>12 Sep 2026</t>
        </is>
      </c>
      <c r="H3893" s="8" t="inlineStr">
        <is>
          <t>⏳ UPCOMING</t>
        </is>
      </c>
      <c r="I3893" s="4" t="inlineStr">
        <is>
          <t>Tender_2026_REDUP_1193900_13_All_Documents.zip</t>
        </is>
      </c>
      <c r="J3893" s="6" t="inlineStr">
        <is>
          <t>📦 ZIP Package</t>
        </is>
      </c>
      <c r="K3893" s="9" t="n">
        <v>20.8</v>
      </c>
      <c r="L3893" s="10">
        <f>HYPERLINK("http://127.0.0.1:8000/api/documents/download?id=1087&amp;attachment=true", "⬇ Download Tender_2026_REDUP_119390")</f>
        <v/>
      </c>
      <c r="M3893" s="10">
        <f>HYPERLINK("http://localhost:5173/?state=Uttar%20Pradesh&amp;keyword=MIS&amp;tender=2026_REDUP_1193900_13", "🚀 Open in Portal")</f>
        <v/>
      </c>
    </row>
    <row r="3894" ht="24" customHeight="1">
      <c r="A3894" s="11" t="inlineStr">
        <is>
          <t>Uttar Pradesh</t>
        </is>
      </c>
      <c r="B3894" s="12" t="inlineStr">
        <is>
          <t>MIS</t>
        </is>
      </c>
      <c r="C3894" s="13" t="inlineStr">
        <is>
          <t>2026_REDUP_1193900_7</t>
        </is>
      </c>
      <c r="D3894" s="14" t="inlineStr">
        <is>
          <t>[Ward tarana me bharlai me chauka sadak se ramjanaki talab hote hue ramauti mishra ke ghar tak kachche raste par interlocking nirman karya.]</t>
        </is>
      </c>
      <c r="E3894" s="14" t="inlineStr">
        <is>
          <t>Uttar Pradesh Public Works &amp; Technology Department</t>
        </is>
      </c>
      <c r="F3894" s="13" t="inlineStr">
        <is>
          <t>18 Aug 2026</t>
        </is>
      </c>
      <c r="G3894" s="12" t="inlineStr">
        <is>
          <t>10 Sep 2026</t>
        </is>
      </c>
      <c r="H3894" s="8" t="inlineStr">
        <is>
          <t>⏳ UPCOMING</t>
        </is>
      </c>
      <c r="I3894" s="11" t="inlineStr">
        <is>
          <t>Tendernotice_1.pdf</t>
        </is>
      </c>
      <c r="J3894" s="13" t="inlineStr">
        <is>
          <t>📕 PDF Document</t>
        </is>
      </c>
      <c r="K3894" s="15" t="n">
        <v>17.9</v>
      </c>
      <c r="L3894" s="16">
        <f>HYPERLINK("http://127.0.0.1:8000/api/documents/download?id=1092&amp;attachment=true", "⬇ Download Tendernotice_1.pdf")</f>
        <v/>
      </c>
      <c r="M3894" s="16">
        <f>HYPERLINK("http://localhost:5173/?state=Uttar%20Pradesh&amp;keyword=MIS&amp;tender=2026_REDUP_1193900_7", "🚀 Open in Portal")</f>
        <v/>
      </c>
    </row>
    <row r="3895" ht="24" customHeight="1">
      <c r="A3895" s="4" t="inlineStr">
        <is>
          <t>Uttar Pradesh</t>
        </is>
      </c>
      <c r="B3895" s="5" t="inlineStr">
        <is>
          <t>MIS</t>
        </is>
      </c>
      <c r="C3895" s="6" t="inlineStr">
        <is>
          <t>2026_REDUP_1193900_7</t>
        </is>
      </c>
      <c r="D3895" s="7" t="inlineStr">
        <is>
          <t>[Ward tarana me bharlai me chauka sadak se ramjanaki talab hote hue ramauti mishra ke ghar tak kachche raste par interlocking nirman karya.]</t>
        </is>
      </c>
      <c r="E3895" s="7" t="inlineStr">
        <is>
          <t>Uttar Pradesh Public Works &amp; Technology Department</t>
        </is>
      </c>
      <c r="F3895" s="6" t="inlineStr">
        <is>
          <t>18 Aug 2026</t>
        </is>
      </c>
      <c r="G3895" s="5" t="inlineStr">
        <is>
          <t>10 Sep 2026</t>
        </is>
      </c>
      <c r="H3895" s="8" t="inlineStr">
        <is>
          <t>⏳ UPCOMING</t>
        </is>
      </c>
      <c r="I3895" s="4" t="inlineStr">
        <is>
          <t>sbd.pdf</t>
        </is>
      </c>
      <c r="J3895" s="6" t="inlineStr">
        <is>
          <t>📕 PDF Document</t>
        </is>
      </c>
      <c r="K3895" s="9" t="n">
        <v>17.8</v>
      </c>
      <c r="L3895" s="10">
        <f>HYPERLINK("http://127.0.0.1:8000/api/documents/download?id=1093&amp;attachment=true", "⬇ Download sbd.pdf")</f>
        <v/>
      </c>
      <c r="M3895" s="10">
        <f>HYPERLINK("http://localhost:5173/?state=Uttar%20Pradesh&amp;keyword=MIS&amp;tender=2026_REDUP_1193900_7", "🚀 Open in Portal")</f>
        <v/>
      </c>
    </row>
    <row r="3896" ht="24" customHeight="1">
      <c r="A3896" s="11" t="inlineStr">
        <is>
          <t>Uttar Pradesh</t>
        </is>
      </c>
      <c r="B3896" s="12" t="inlineStr">
        <is>
          <t>MIS</t>
        </is>
      </c>
      <c r="C3896" s="13" t="inlineStr">
        <is>
          <t>2026_REDUP_1193900_7</t>
        </is>
      </c>
      <c r="D3896" s="14" t="inlineStr">
        <is>
          <t>[Ward tarana me bharlai me chauka sadak se ramjanaki talab hote hue ramauti mishra ke ghar tak kachche raste par interlocking nirman karya.]</t>
        </is>
      </c>
      <c r="E3896" s="14" t="inlineStr">
        <is>
          <t>Uttar Pradesh Public Works &amp; Technology Department</t>
        </is>
      </c>
      <c r="F3896" s="13" t="inlineStr">
        <is>
          <t>18 Aug 2026</t>
        </is>
      </c>
      <c r="G3896" s="12" t="inlineStr">
        <is>
          <t>10 Sep 2026</t>
        </is>
      </c>
      <c r="H3896" s="8" t="inlineStr">
        <is>
          <t>⏳ UPCOMING</t>
        </is>
      </c>
      <c r="I3896" s="11" t="inlineStr">
        <is>
          <t>BOQ_2253472.xls</t>
        </is>
      </c>
      <c r="J3896" s="13" t="inlineStr">
        <is>
          <t>📊 Excel BOQ</t>
        </is>
      </c>
      <c r="K3896" s="15" t="n">
        <v>2.5</v>
      </c>
      <c r="L3896" s="16">
        <f>HYPERLINK("http://127.0.0.1:8000/api/documents/download?id=1094&amp;attachment=true", "⬇ Download BOQ_2253472.xls")</f>
        <v/>
      </c>
      <c r="M3896" s="16">
        <f>HYPERLINK("http://localhost:5173/?state=Uttar%20Pradesh&amp;keyword=MIS&amp;tender=2026_REDUP_1193900_7", "🚀 Open in Portal")</f>
        <v/>
      </c>
    </row>
    <row r="3897" ht="24" customHeight="1">
      <c r="A3897" s="4" t="inlineStr">
        <is>
          <t>Uttar Pradesh</t>
        </is>
      </c>
      <c r="B3897" s="5" t="inlineStr">
        <is>
          <t>MIS</t>
        </is>
      </c>
      <c r="C3897" s="6" t="inlineStr">
        <is>
          <t>2026_REDUP_1193900_7</t>
        </is>
      </c>
      <c r="D3897" s="7" t="inlineStr">
        <is>
          <t>[Ward tarana me bharlai me chauka sadak se ramjanaki talab hote hue ramauti mishra ke ghar tak kachche raste par interlocking nirman karya.]</t>
        </is>
      </c>
      <c r="E3897" s="7" t="inlineStr">
        <is>
          <t>Uttar Pradesh Public Works &amp; Technology Department</t>
        </is>
      </c>
      <c r="F3897" s="6" t="inlineStr">
        <is>
          <t>18 Aug 2026</t>
        </is>
      </c>
      <c r="G3897" s="5" t="inlineStr">
        <is>
          <t>10 Sep 2026</t>
        </is>
      </c>
      <c r="H3897" s="8" t="inlineStr">
        <is>
          <t>⏳ UPCOMING</t>
        </is>
      </c>
      <c r="I3897" s="4" t="inlineStr">
        <is>
          <t>Tender_2026_REDUP_1193900_7_All_Documents.zip</t>
        </is>
      </c>
      <c r="J3897" s="6" t="inlineStr">
        <is>
          <t>📦 ZIP Package</t>
        </is>
      </c>
      <c r="K3897" s="9" t="n">
        <v>20.9</v>
      </c>
      <c r="L3897" s="10">
        <f>HYPERLINK("http://127.0.0.1:8000/api/documents/download?id=1095&amp;attachment=true", "⬇ Download Tender_2026_REDUP_119390")</f>
        <v/>
      </c>
      <c r="M3897" s="10">
        <f>HYPERLINK("http://localhost:5173/?state=Uttar%20Pradesh&amp;keyword=MIS&amp;tender=2026_REDUP_1193900_7", "🚀 Open in Portal")</f>
        <v/>
      </c>
    </row>
    <row r="3898" ht="24" customHeight="1">
      <c r="A3898" s="11" t="inlineStr">
        <is>
          <t>Uttar Pradesh</t>
        </is>
      </c>
      <c r="B3898" s="12" t="inlineStr">
        <is>
          <t>MIS</t>
        </is>
      </c>
      <c r="C3898" s="13" t="inlineStr">
        <is>
          <t>2026_REDUP_1194908_1</t>
        </is>
      </c>
      <c r="D3898" s="14" t="inlineStr">
        <is>
          <t>[Construction of an RCC drain from the damaged portion near the Treasury Officers First Room to the rear gate of the Collectorate premises.]</t>
        </is>
      </c>
      <c r="E3898" s="14" t="inlineStr">
        <is>
          <t>Uttar Pradesh Public Works &amp; Technology Department</t>
        </is>
      </c>
      <c r="F3898" s="13" t="inlineStr">
        <is>
          <t>06 Aug 2026</t>
        </is>
      </c>
      <c r="G3898" s="12" t="inlineStr">
        <is>
          <t>27 Aug 2026</t>
        </is>
      </c>
      <c r="H3898" s="8" t="inlineStr">
        <is>
          <t>⏳ UPCOMING</t>
        </is>
      </c>
      <c r="I3898" s="11" t="inlineStr">
        <is>
          <t>Tendernotice_1.pdf</t>
        </is>
      </c>
      <c r="J3898" s="13" t="inlineStr">
        <is>
          <t>📕 PDF Document</t>
        </is>
      </c>
      <c r="K3898" s="15" t="n">
        <v>17.9</v>
      </c>
      <c r="L3898" s="16">
        <f>HYPERLINK("http://127.0.0.1:8000/api/documents/download?id=1070&amp;attachment=true", "⬇ Download Tendernotice_1.pdf")</f>
        <v/>
      </c>
      <c r="M3898" s="16">
        <f>HYPERLINK("http://localhost:5173/?state=Uttar%20Pradesh&amp;keyword=MIS&amp;tender=2026_REDUP_1194908_1", "🚀 Open in Portal")</f>
        <v/>
      </c>
    </row>
    <row r="3899" ht="24" customHeight="1">
      <c r="A3899" s="4" t="inlineStr">
        <is>
          <t>Uttar Pradesh</t>
        </is>
      </c>
      <c r="B3899" s="5" t="inlineStr">
        <is>
          <t>MIS</t>
        </is>
      </c>
      <c r="C3899" s="6" t="inlineStr">
        <is>
          <t>2026_REDUP_1194908_1</t>
        </is>
      </c>
      <c r="D3899" s="7" t="inlineStr">
        <is>
          <t>[Construction of an RCC drain from the damaged portion near the Treasury Officers First Room to the rear gate of the Collectorate premises.]</t>
        </is>
      </c>
      <c r="E3899" s="7" t="inlineStr">
        <is>
          <t>Uttar Pradesh Public Works &amp; Technology Department</t>
        </is>
      </c>
      <c r="F3899" s="6" t="inlineStr">
        <is>
          <t>06 Aug 2026</t>
        </is>
      </c>
      <c r="G3899" s="5" t="inlineStr">
        <is>
          <t>27 Aug 2026</t>
        </is>
      </c>
      <c r="H3899" s="8" t="inlineStr">
        <is>
          <t>⏳ UPCOMING</t>
        </is>
      </c>
      <c r="I3899" s="4" t="inlineStr">
        <is>
          <t>sbdcantt.pdf</t>
        </is>
      </c>
      <c r="J3899" s="6" t="inlineStr">
        <is>
          <t>📕 PDF Document</t>
        </is>
      </c>
      <c r="K3899" s="9" t="n">
        <v>17.9</v>
      </c>
      <c r="L3899" s="10">
        <f>HYPERLINK("http://127.0.0.1:8000/api/documents/download?id=1071&amp;attachment=true", "⬇ Download sbdcantt.pdf")</f>
        <v/>
      </c>
      <c r="M3899" s="10">
        <f>HYPERLINK("http://localhost:5173/?state=Uttar%20Pradesh&amp;keyword=MIS&amp;tender=2026_REDUP_1194908_1", "🚀 Open in Portal")</f>
        <v/>
      </c>
    </row>
    <row r="3900" ht="24" customHeight="1">
      <c r="A3900" s="11" t="inlineStr">
        <is>
          <t>Uttar Pradesh</t>
        </is>
      </c>
      <c r="B3900" s="12" t="inlineStr">
        <is>
          <t>MIS</t>
        </is>
      </c>
      <c r="C3900" s="13" t="inlineStr">
        <is>
          <t>2026_REDUP_1194908_1</t>
        </is>
      </c>
      <c r="D3900" s="14" t="inlineStr">
        <is>
          <t>[Construction of an RCC drain from the damaged portion near the Treasury Officers First Room to the rear gate of the Collectorate premises.]</t>
        </is>
      </c>
      <c r="E3900" s="14" t="inlineStr">
        <is>
          <t>Uttar Pradesh Public Works &amp; Technology Department</t>
        </is>
      </c>
      <c r="F3900" s="13" t="inlineStr">
        <is>
          <t>06 Aug 2026</t>
        </is>
      </c>
      <c r="G3900" s="12" t="inlineStr">
        <is>
          <t>27 Aug 2026</t>
        </is>
      </c>
      <c r="H3900" s="8" t="inlineStr">
        <is>
          <t>⏳ UPCOMING</t>
        </is>
      </c>
      <c r="I3900" s="11" t="inlineStr">
        <is>
          <t>BOQ_2256221.xls</t>
        </is>
      </c>
      <c r="J3900" s="13" t="inlineStr">
        <is>
          <t>📊 Excel BOQ</t>
        </is>
      </c>
      <c r="K3900" s="15" t="n">
        <v>2.5</v>
      </c>
      <c r="L3900" s="16">
        <f>HYPERLINK("http://127.0.0.1:8000/api/documents/download?id=1072&amp;attachment=true", "⬇ Download BOQ_2256221.xls")</f>
        <v/>
      </c>
      <c r="M3900" s="16">
        <f>HYPERLINK("http://localhost:5173/?state=Uttar%20Pradesh&amp;keyword=MIS&amp;tender=2026_REDUP_1194908_1", "🚀 Open in Portal")</f>
        <v/>
      </c>
    </row>
    <row r="3901" ht="24" customHeight="1">
      <c r="A3901" s="4" t="inlineStr">
        <is>
          <t>Uttar Pradesh</t>
        </is>
      </c>
      <c r="B3901" s="5" t="inlineStr">
        <is>
          <t>MIS</t>
        </is>
      </c>
      <c r="C3901" s="6" t="inlineStr">
        <is>
          <t>2026_REDUP_1194908_1</t>
        </is>
      </c>
      <c r="D3901" s="7" t="inlineStr">
        <is>
          <t>[Construction of an RCC drain from the damaged portion near the Treasury Officers First Room to the rear gate of the Collectorate premises.]</t>
        </is>
      </c>
      <c r="E3901" s="7" t="inlineStr">
        <is>
          <t>Uttar Pradesh Public Works &amp; Technology Department</t>
        </is>
      </c>
      <c r="F3901" s="6" t="inlineStr">
        <is>
          <t>06 Aug 2026</t>
        </is>
      </c>
      <c r="G3901" s="5" t="inlineStr">
        <is>
          <t>27 Aug 2026</t>
        </is>
      </c>
      <c r="H3901" s="8" t="inlineStr">
        <is>
          <t>⏳ UPCOMING</t>
        </is>
      </c>
      <c r="I3901" s="4" t="inlineStr">
        <is>
          <t>Tender_2026_REDUP_1194908_1_All_Documents.zip</t>
        </is>
      </c>
      <c r="J3901" s="6" t="inlineStr">
        <is>
          <t>📦 ZIP Package</t>
        </is>
      </c>
      <c r="K3901" s="9" t="n">
        <v>20.8</v>
      </c>
      <c r="L3901" s="10">
        <f>HYPERLINK("http://127.0.0.1:8000/api/documents/download?id=1073&amp;attachment=true", "⬇ Download Tender_2026_REDUP_119490")</f>
        <v/>
      </c>
      <c r="M3901" s="10">
        <f>HYPERLINK("http://localhost:5173/?state=Uttar%20Pradesh&amp;keyword=MIS&amp;tender=2026_REDUP_1194908_1", "🚀 Open in Portal")</f>
        <v/>
      </c>
    </row>
    <row r="3902" ht="24" customHeight="1">
      <c r="A3902" s="11" t="inlineStr">
        <is>
          <t>Uttar Pradesh</t>
        </is>
      </c>
      <c r="B3902" s="12" t="inlineStr">
        <is>
          <t>MIS</t>
        </is>
      </c>
      <c r="C3902" s="13" t="inlineStr">
        <is>
          <t>2026_UPPRD_1194821_12</t>
        </is>
      </c>
      <c r="D3902" s="14" t="inlineStr">
        <is>
          <t>[Gram Panchayat Narayanpur Indha Jaini Pakdiya se Mishran Purwa Marg ke shesh bhag me lepan marmmat karya.]</t>
        </is>
      </c>
      <c r="E3902" s="14" t="inlineStr">
        <is>
          <t>Uttar Pradesh Public Works &amp; Technology Department</t>
        </is>
      </c>
      <c r="F3902" s="13" t="inlineStr">
        <is>
          <t>21 Jul 2026</t>
        </is>
      </c>
      <c r="G3902" s="12" t="inlineStr">
        <is>
          <t>16 Aug 2026</t>
        </is>
      </c>
      <c r="H3902" s="8" t="inlineStr">
        <is>
          <t>⏳ UPCOMING</t>
        </is>
      </c>
      <c r="I3902" s="11" t="inlineStr">
        <is>
          <t>Tendernotice_1.pdf</t>
        </is>
      </c>
      <c r="J3902" s="13" t="inlineStr">
        <is>
          <t>📕 PDF Document</t>
        </is>
      </c>
      <c r="K3902" s="15" t="n">
        <v>17.9</v>
      </c>
      <c r="L3902" s="16">
        <f>HYPERLINK("http://127.0.0.1:8000/api/documents/download?id=1034&amp;attachment=true", "⬇ Download Tendernotice_1.pdf")</f>
        <v/>
      </c>
      <c r="M3902" s="16">
        <f>HYPERLINK("http://localhost:5173/?state=Uttar%20Pradesh&amp;keyword=MIS&amp;tender=2026_UPPRD_1194821_12", "🚀 Open in Portal")</f>
        <v/>
      </c>
    </row>
    <row r="3903" ht="24" customHeight="1">
      <c r="A3903" s="4" t="inlineStr">
        <is>
          <t>Uttar Pradesh</t>
        </is>
      </c>
      <c r="B3903" s="5" t="inlineStr">
        <is>
          <t>MIS</t>
        </is>
      </c>
      <c r="C3903" s="6" t="inlineStr">
        <is>
          <t>2026_UPPRD_1194821_12</t>
        </is>
      </c>
      <c r="D3903" s="7" t="inlineStr">
        <is>
          <t>[Gram Panchayat Narayanpur Indha Jaini Pakdiya se Mishran Purwa Marg ke shesh bhag me lepan marmmat karya.]</t>
        </is>
      </c>
      <c r="E3903" s="7" t="inlineStr">
        <is>
          <t>Uttar Pradesh Public Works &amp; Technology Department</t>
        </is>
      </c>
      <c r="F3903" s="6" t="inlineStr">
        <is>
          <t>21 Jul 2026</t>
        </is>
      </c>
      <c r="G3903" s="5" t="inlineStr">
        <is>
          <t>16 Aug 2026</t>
        </is>
      </c>
      <c r="H3903" s="8" t="inlineStr">
        <is>
          <t>⏳ UPCOMING</t>
        </is>
      </c>
      <c r="I3903" s="4" t="inlineStr">
        <is>
          <t>BOQ_2256099.xls</t>
        </is>
      </c>
      <c r="J3903" s="6" t="inlineStr">
        <is>
          <t>📊 Excel BOQ</t>
        </is>
      </c>
      <c r="K3903" s="9" t="n">
        <v>2.5</v>
      </c>
      <c r="L3903" s="10">
        <f>HYPERLINK("http://127.0.0.1:8000/api/documents/download?id=1035&amp;attachment=true", "⬇ Download BOQ_2256099.xls")</f>
        <v/>
      </c>
      <c r="M3903" s="10">
        <f>HYPERLINK("http://localhost:5173/?state=Uttar%20Pradesh&amp;keyword=MIS&amp;tender=2026_UPPRD_1194821_12", "🚀 Open in Portal")</f>
        <v/>
      </c>
    </row>
    <row r="3904" ht="24" customHeight="1">
      <c r="A3904" s="11" t="inlineStr">
        <is>
          <t>Uttar Pradesh</t>
        </is>
      </c>
      <c r="B3904" s="12" t="inlineStr">
        <is>
          <t>MIS</t>
        </is>
      </c>
      <c r="C3904" s="13" t="inlineStr">
        <is>
          <t>2026_UPPRD_1194821_12</t>
        </is>
      </c>
      <c r="D3904" s="14" t="inlineStr">
        <is>
          <t>[Gram Panchayat Narayanpur Indha Jaini Pakdiya se Mishran Purwa Marg ke shesh bhag me lepan marmmat karya.]</t>
        </is>
      </c>
      <c r="E3904" s="14" t="inlineStr">
        <is>
          <t>Uttar Pradesh Public Works &amp; Technology Department</t>
        </is>
      </c>
      <c r="F3904" s="13" t="inlineStr">
        <is>
          <t>21 Jul 2026</t>
        </is>
      </c>
      <c r="G3904" s="12" t="inlineStr">
        <is>
          <t>16 Aug 2026</t>
        </is>
      </c>
      <c r="H3904" s="8" t="inlineStr">
        <is>
          <t>⏳ UPCOMING</t>
        </is>
      </c>
      <c r="I3904" s="11" t="inlineStr">
        <is>
          <t>Tender_2026_UPPRD_1194821_12_All_Documents.zip</t>
        </is>
      </c>
      <c r="J3904" s="13" t="inlineStr">
        <is>
          <t>📦 ZIP Package</t>
        </is>
      </c>
      <c r="K3904" s="15" t="n">
        <v>11.6</v>
      </c>
      <c r="L3904" s="16">
        <f>HYPERLINK("http://127.0.0.1:8000/api/documents/download?id=1036&amp;attachment=true", "⬇ Download Tender_2026_UPPRD_119482")</f>
        <v/>
      </c>
      <c r="M3904" s="16">
        <f>HYPERLINK("http://localhost:5173/?state=Uttar%20Pradesh&amp;keyword=MIS&amp;tender=2026_UPPRD_1194821_12", "🚀 Open in Portal")</f>
        <v/>
      </c>
    </row>
    <row r="3905" ht="24" customHeight="1">
      <c r="A3905" s="4" t="inlineStr">
        <is>
          <t>Uttar Pradesh</t>
        </is>
      </c>
      <c r="B3905" s="5" t="inlineStr">
        <is>
          <t>MIS</t>
        </is>
      </c>
      <c r="C3905" s="6" t="inlineStr">
        <is>
          <t>2026_UPPRD_1194821_16</t>
        </is>
      </c>
      <c r="D3905" s="7" t="inlineStr">
        <is>
          <t>[Gram Panchayat Naubasta me Baleswarganj Majhara marg se Lalapurwa Payagpur Marg par Aatmaram Dubey ke ghar se janardan Mishra pradhan ke ghar wale margg par Lepan marmmat karya.]</t>
        </is>
      </c>
      <c r="E3905" s="7" t="inlineStr">
        <is>
          <t>Uttar Pradesh Public Works &amp; Technology Department</t>
        </is>
      </c>
      <c r="F3905" s="6" t="inlineStr">
        <is>
          <t>27 Jul 2026</t>
        </is>
      </c>
      <c r="G3905" s="5" t="inlineStr">
        <is>
          <t>25 Aug 2026</t>
        </is>
      </c>
      <c r="H3905" s="8" t="inlineStr">
        <is>
          <t>⏳ UPCOMING</t>
        </is>
      </c>
      <c r="I3905" s="4" t="inlineStr">
        <is>
          <t>Tendernotice_1.pdf</t>
        </is>
      </c>
      <c r="J3905" s="6" t="inlineStr">
        <is>
          <t>📕 PDF Document</t>
        </is>
      </c>
      <c r="K3905" s="9" t="n">
        <v>17.9</v>
      </c>
      <c r="L3905" s="10">
        <f>HYPERLINK("http://127.0.0.1:8000/api/documents/download?id=1045&amp;attachment=true", "⬇ Download Tendernotice_1.pdf")</f>
        <v/>
      </c>
      <c r="M3905" s="10">
        <f>HYPERLINK("http://localhost:5173/?state=Uttar%20Pradesh&amp;keyword=MIS&amp;tender=2026_UPPRD_1194821_16", "🚀 Open in Portal")</f>
        <v/>
      </c>
    </row>
    <row r="3906" ht="24" customHeight="1">
      <c r="A3906" s="11" t="inlineStr">
        <is>
          <t>Uttar Pradesh</t>
        </is>
      </c>
      <c r="B3906" s="12" t="inlineStr">
        <is>
          <t>MIS</t>
        </is>
      </c>
      <c r="C3906" s="13" t="inlineStr">
        <is>
          <t>2026_UPPRD_1194821_16</t>
        </is>
      </c>
      <c r="D3906" s="14" t="inlineStr">
        <is>
          <t>[Gram Panchayat Naubasta me Baleswarganj Majhara marg se Lalapurwa Payagpur Marg par Aatmaram Dubey ke ghar se janardan Mishra pradhan ke ghar wale margg par Lepan marmmat karya.]</t>
        </is>
      </c>
      <c r="E3906" s="14" t="inlineStr">
        <is>
          <t>Uttar Pradesh Public Works &amp; Technology Department</t>
        </is>
      </c>
      <c r="F3906" s="13" t="inlineStr">
        <is>
          <t>27 Jul 2026</t>
        </is>
      </c>
      <c r="G3906" s="12" t="inlineStr">
        <is>
          <t>25 Aug 2026</t>
        </is>
      </c>
      <c r="H3906" s="8" t="inlineStr">
        <is>
          <t>⏳ UPCOMING</t>
        </is>
      </c>
      <c r="I3906" s="11" t="inlineStr">
        <is>
          <t>BOQ_2256122.xls</t>
        </is>
      </c>
      <c r="J3906" s="13" t="inlineStr">
        <is>
          <t>📊 Excel BOQ</t>
        </is>
      </c>
      <c r="K3906" s="15" t="n">
        <v>2.5</v>
      </c>
      <c r="L3906" s="16">
        <f>HYPERLINK("http://127.0.0.1:8000/api/documents/download?id=1046&amp;attachment=true", "⬇ Download BOQ_2256122.xls")</f>
        <v/>
      </c>
      <c r="M3906" s="16">
        <f>HYPERLINK("http://localhost:5173/?state=Uttar%20Pradesh&amp;keyword=MIS&amp;tender=2026_UPPRD_1194821_16", "🚀 Open in Portal")</f>
        <v/>
      </c>
    </row>
    <row r="3907" ht="24" customHeight="1">
      <c r="A3907" s="4" t="inlineStr">
        <is>
          <t>Uttar Pradesh</t>
        </is>
      </c>
      <c r="B3907" s="5" t="inlineStr">
        <is>
          <t>MIS</t>
        </is>
      </c>
      <c r="C3907" s="6" t="inlineStr">
        <is>
          <t>2026_UPPRD_1194821_16</t>
        </is>
      </c>
      <c r="D3907" s="7" t="inlineStr">
        <is>
          <t>[Gram Panchayat Naubasta me Baleswarganj Majhara marg se Lalapurwa Payagpur Marg par Aatmaram Dubey ke ghar se janardan Mishra pradhan ke ghar wale margg par Lepan marmmat karya.]</t>
        </is>
      </c>
      <c r="E3907" s="7" t="inlineStr">
        <is>
          <t>Uttar Pradesh Public Works &amp; Technology Department</t>
        </is>
      </c>
      <c r="F3907" s="6" t="inlineStr">
        <is>
          <t>27 Jul 2026</t>
        </is>
      </c>
      <c r="G3907" s="5" t="inlineStr">
        <is>
          <t>25 Aug 2026</t>
        </is>
      </c>
      <c r="H3907" s="8" t="inlineStr">
        <is>
          <t>⏳ UPCOMING</t>
        </is>
      </c>
      <c r="I3907" s="4" t="inlineStr">
        <is>
          <t>Tender_2026_UPPRD_1194821_16_All_Documents.zip</t>
        </is>
      </c>
      <c r="J3907" s="6" t="inlineStr">
        <is>
          <t>📦 ZIP Package</t>
        </is>
      </c>
      <c r="K3907" s="9" t="n">
        <v>11.6</v>
      </c>
      <c r="L3907" s="10">
        <f>HYPERLINK("http://127.0.0.1:8000/api/documents/download?id=1047&amp;attachment=true", "⬇ Download Tender_2026_UPPRD_119482")</f>
        <v/>
      </c>
      <c r="M3907" s="10">
        <f>HYPERLINK("http://localhost:5173/?state=Uttar%20Pradesh&amp;keyword=MIS&amp;tender=2026_UPPRD_1194821_16", "🚀 Open in Portal")</f>
        <v/>
      </c>
    </row>
    <row r="3908" ht="24" customHeight="1">
      <c r="A3908" s="11" t="inlineStr">
        <is>
          <t>Uttar Pradesh</t>
        </is>
      </c>
      <c r="B3908" s="12" t="inlineStr">
        <is>
          <t>Mapping</t>
        </is>
      </c>
      <c r="C3908" s="13" t="inlineStr">
        <is>
          <t>2026_UTT_3622748_80</t>
        </is>
      </c>
      <c r="D3908" s="14" t="inlineStr">
        <is>
          <t>Mapping-Based High Resolution Satellite Imagery Land Use &amp; Land Cover Spatial Mapping</t>
        </is>
      </c>
      <c r="E3908" s="14" t="inlineStr">
        <is>
          <t>DEPARTMENT OF SCIENCE, TECHNOLOGY &amp; REMOTE SENSING</t>
        </is>
      </c>
      <c r="F3908" s="13" t="inlineStr">
        <is>
          <t>22 Aug 2026</t>
        </is>
      </c>
      <c r="G3908" s="12" t="inlineStr">
        <is>
          <t>15 Sep 2026</t>
        </is>
      </c>
      <c r="H3908" s="8" t="inlineStr">
        <is>
          <t>⏳ UPCOMING</t>
        </is>
      </c>
      <c r="I3908" s="11" t="inlineStr">
        <is>
          <t>Tendernotice_2026_UTT_3622748_80.pdf</t>
        </is>
      </c>
      <c r="J3908" s="13" t="inlineStr">
        <is>
          <t>📕 PDF Document</t>
        </is>
      </c>
      <c r="K3908" s="15" t="n">
        <v>17.9</v>
      </c>
      <c r="L3908" s="16">
        <f>HYPERLINK("http://127.0.0.1:8000/api/documents/download?id=3109&amp;attachment=true", "⬇ Download Tendernotice_2026_UTT_36")</f>
        <v/>
      </c>
      <c r="M3908" s="16">
        <f>HYPERLINK("http://localhost:5173/?state=Uttar%20Pradesh&amp;keyword=Mapping&amp;tender=2026_UTT_3622748_80", "🚀 Open in Portal")</f>
        <v/>
      </c>
    </row>
    <row r="3909" ht="24" customHeight="1">
      <c r="A3909" s="4" t="inlineStr">
        <is>
          <t>Uttar Pradesh</t>
        </is>
      </c>
      <c r="B3909" s="5" t="inlineStr">
        <is>
          <t>Mapping</t>
        </is>
      </c>
      <c r="C3909" s="6" t="inlineStr">
        <is>
          <t>2026_UTT_3622748_80</t>
        </is>
      </c>
      <c r="D3909" s="7" t="inlineStr">
        <is>
          <t>Mapping-Based High Resolution Satellite Imagery Land Use &amp; Land Cover Spatial Mapping</t>
        </is>
      </c>
      <c r="E3909" s="7" t="inlineStr">
        <is>
          <t>DEPARTMENT OF SCIENCE, TECHNOLOGY &amp; REMOTE SENSING</t>
        </is>
      </c>
      <c r="F3909" s="6" t="inlineStr">
        <is>
          <t>22 Aug 2026</t>
        </is>
      </c>
      <c r="G3909" s="5" t="inlineStr">
        <is>
          <t>15 Sep 2026</t>
        </is>
      </c>
      <c r="H3909" s="8" t="inlineStr">
        <is>
          <t>⏳ UPCOMING</t>
        </is>
      </c>
      <c r="I3909" s="4" t="inlineStr">
        <is>
          <t>Technical_RFP_Specification_Mapping.pdf</t>
        </is>
      </c>
      <c r="J3909" s="6" t="inlineStr">
        <is>
          <t>📕 PDF Document</t>
        </is>
      </c>
      <c r="K3909" s="9" t="n">
        <v>18</v>
      </c>
      <c r="L3909" s="10">
        <f>HYPERLINK("http://127.0.0.1:8000/api/documents/download?id=3110&amp;attachment=true", "⬇ Download Technical_RFP_Specificat")</f>
        <v/>
      </c>
      <c r="M3909" s="10">
        <f>HYPERLINK("http://localhost:5173/?state=Uttar%20Pradesh&amp;keyword=Mapping&amp;tender=2026_UTT_3622748_80", "🚀 Open in Portal")</f>
        <v/>
      </c>
    </row>
    <row r="3910" ht="24" customHeight="1">
      <c r="A3910" s="11" t="inlineStr">
        <is>
          <t>Uttar Pradesh</t>
        </is>
      </c>
      <c r="B3910" s="12" t="inlineStr">
        <is>
          <t>Mapping</t>
        </is>
      </c>
      <c r="C3910" s="13" t="inlineStr">
        <is>
          <t>2026_UTT_3622748_80</t>
        </is>
      </c>
      <c r="D3910" s="14" t="inlineStr">
        <is>
          <t>Mapping-Based High Resolution Satellite Imagery Land Use &amp; Land Cover Spatial Mapping</t>
        </is>
      </c>
      <c r="E3910" s="14" t="inlineStr">
        <is>
          <t>DEPARTMENT OF SCIENCE, TECHNOLOGY &amp; REMOTE SENSING</t>
        </is>
      </c>
      <c r="F3910" s="13" t="inlineStr">
        <is>
          <t>22 Aug 2026</t>
        </is>
      </c>
      <c r="G3910" s="12" t="inlineStr">
        <is>
          <t>15 Sep 2026</t>
        </is>
      </c>
      <c r="H3910" s="8" t="inlineStr">
        <is>
          <t>⏳ UPCOMING</t>
        </is>
      </c>
      <c r="I3910" s="11" t="inlineStr">
        <is>
          <t>BOQ_Financial_Schedule_2026_UTT_3622748_80.xlsx</t>
        </is>
      </c>
      <c r="J3910" s="13" t="inlineStr">
        <is>
          <t>📊 Excel BOQ</t>
        </is>
      </c>
      <c r="K3910" s="15" t="n">
        <v>2.5</v>
      </c>
      <c r="L3910" s="16">
        <f>HYPERLINK("http://127.0.0.1:8000/api/documents/download?id=3111&amp;attachment=true", "⬇ Download BOQ_Financial_Schedule_2")</f>
        <v/>
      </c>
      <c r="M3910" s="16">
        <f>HYPERLINK("http://localhost:5173/?state=Uttar%20Pradesh&amp;keyword=Mapping&amp;tender=2026_UTT_3622748_80", "🚀 Open in Portal")</f>
        <v/>
      </c>
    </row>
    <row r="3911" ht="24" customHeight="1">
      <c r="A3911" s="4" t="inlineStr">
        <is>
          <t>Uttar Pradesh</t>
        </is>
      </c>
      <c r="B3911" s="5" t="inlineStr">
        <is>
          <t>Mapping</t>
        </is>
      </c>
      <c r="C3911" s="6" t="inlineStr">
        <is>
          <t>2026_UTT_3622748_80</t>
        </is>
      </c>
      <c r="D3911" s="7" t="inlineStr">
        <is>
          <t>Mapping-Based High Resolution Satellite Imagery Land Use &amp; Land Cover Spatial Mapping</t>
        </is>
      </c>
      <c r="E3911" s="7" t="inlineStr">
        <is>
          <t>DEPARTMENT OF SCIENCE, TECHNOLOGY &amp; REMOTE SENSING</t>
        </is>
      </c>
      <c r="F3911" s="6" t="inlineStr">
        <is>
          <t>22 Aug 2026</t>
        </is>
      </c>
      <c r="G3911" s="5" t="inlineStr">
        <is>
          <t>15 Sep 2026</t>
        </is>
      </c>
      <c r="H3911" s="8" t="inlineStr">
        <is>
          <t>⏳ UPCOMING</t>
        </is>
      </c>
      <c r="I3911" s="4" t="inlineStr">
        <is>
          <t>Tender_2026_UTT_3622748_80_All_Documents.zip</t>
        </is>
      </c>
      <c r="J3911" s="6" t="inlineStr">
        <is>
          <t>📦 ZIP Package</t>
        </is>
      </c>
      <c r="K3911" s="9" t="n">
        <v>45</v>
      </c>
      <c r="L3911" s="10">
        <f>HYPERLINK("https://etender.up.nic.in/tender/2026_UTT_3622748_80", "⬇ Download Tender_2026_UTT_3622748_")</f>
        <v/>
      </c>
      <c r="M3911" s="10">
        <f>HYPERLINK("http://localhost:5173/?state=Uttar%20Pradesh&amp;keyword=Mapping&amp;tender=2026_UTT_3622748_80", "🚀 Open in Portal")</f>
        <v/>
      </c>
    </row>
    <row r="3912" ht="24" customHeight="1">
      <c r="A3912" s="11" t="inlineStr">
        <is>
          <t>Uttar Pradesh</t>
        </is>
      </c>
      <c r="B3912" s="12" t="inlineStr">
        <is>
          <t>Mapping</t>
        </is>
      </c>
      <c r="C3912" s="13" t="inlineStr">
        <is>
          <t>2026_UTT_6254736_92</t>
        </is>
      </c>
      <c r="D3912" s="14" t="inlineStr">
        <is>
          <t>Mapping-Based High Resolution Satellite Imagery Land Use &amp; Land Cover Spatial Mapping</t>
        </is>
      </c>
      <c r="E3912" s="14" t="inlineStr">
        <is>
          <t>DEPARTMENT OF SCIENCE, TECHNOLOGY &amp; REMOTE SENSING</t>
        </is>
      </c>
      <c r="F3912" s="13" t="inlineStr">
        <is>
          <t>29 Aug 2026</t>
        </is>
      </c>
      <c r="G3912" s="12" t="inlineStr">
        <is>
          <t>23 Sep 2026</t>
        </is>
      </c>
      <c r="H3912" s="8" t="inlineStr">
        <is>
          <t>⏳ UPCOMING</t>
        </is>
      </c>
      <c r="I3912" s="11" t="inlineStr">
        <is>
          <t>Tendernotice_2026_UTT_6254736_92.pdf</t>
        </is>
      </c>
      <c r="J3912" s="13" t="inlineStr">
        <is>
          <t>📕 PDF Document</t>
        </is>
      </c>
      <c r="K3912" s="15" t="n">
        <v>7.7</v>
      </c>
      <c r="L3912" s="16">
        <f>HYPERLINK("http://127.0.0.1:8000/api/documents/download?id=3429&amp;attachment=true", "⬇ Download Tendernotice_2026_UTT_62")</f>
        <v/>
      </c>
      <c r="M3912" s="16">
        <f>HYPERLINK("http://localhost:5173/?state=Uttar%20Pradesh&amp;keyword=Mapping&amp;tender=2026_UTT_6254736_92", "🚀 Open in Portal")</f>
        <v/>
      </c>
    </row>
    <row r="3913" ht="24" customHeight="1">
      <c r="A3913" s="4" t="inlineStr">
        <is>
          <t>Uttar Pradesh</t>
        </is>
      </c>
      <c r="B3913" s="5" t="inlineStr">
        <is>
          <t>Mapping</t>
        </is>
      </c>
      <c r="C3913" s="6" t="inlineStr">
        <is>
          <t>2026_UTT_6254736_92</t>
        </is>
      </c>
      <c r="D3913" s="7" t="inlineStr">
        <is>
          <t>Mapping-Based High Resolution Satellite Imagery Land Use &amp; Land Cover Spatial Mapping</t>
        </is>
      </c>
      <c r="E3913" s="7" t="inlineStr">
        <is>
          <t>DEPARTMENT OF SCIENCE, TECHNOLOGY &amp; REMOTE SENSING</t>
        </is>
      </c>
      <c r="F3913" s="6" t="inlineStr">
        <is>
          <t>29 Aug 2026</t>
        </is>
      </c>
      <c r="G3913" s="5" t="inlineStr">
        <is>
          <t>23 Sep 2026</t>
        </is>
      </c>
      <c r="H3913" s="8" t="inlineStr">
        <is>
          <t>⏳ UPCOMING</t>
        </is>
      </c>
      <c r="I3913" s="4" t="inlineStr">
        <is>
          <t>Technical_RFP_Specification_Mapping.pdf</t>
        </is>
      </c>
      <c r="J3913" s="6" t="inlineStr">
        <is>
          <t>📕 PDF Document</t>
        </is>
      </c>
      <c r="K3913" s="9" t="n">
        <v>7.7</v>
      </c>
      <c r="L3913" s="10">
        <f>HYPERLINK("http://127.0.0.1:8000/api/documents/download?id=3430&amp;attachment=true", "⬇ Download Technical_RFP_Specificat")</f>
        <v/>
      </c>
      <c r="M3913" s="10">
        <f>HYPERLINK("http://localhost:5173/?state=Uttar%20Pradesh&amp;keyword=Mapping&amp;tender=2026_UTT_6254736_92", "🚀 Open in Portal")</f>
        <v/>
      </c>
    </row>
    <row r="3914" ht="24" customHeight="1">
      <c r="A3914" s="11" t="inlineStr">
        <is>
          <t>Uttar Pradesh</t>
        </is>
      </c>
      <c r="B3914" s="12" t="inlineStr">
        <is>
          <t>Mapping</t>
        </is>
      </c>
      <c r="C3914" s="13" t="inlineStr">
        <is>
          <t>2026_UTT_6254736_92</t>
        </is>
      </c>
      <c r="D3914" s="14" t="inlineStr">
        <is>
          <t>Mapping-Based High Resolution Satellite Imagery Land Use &amp; Land Cover Spatial Mapping</t>
        </is>
      </c>
      <c r="E3914" s="14" t="inlineStr">
        <is>
          <t>DEPARTMENT OF SCIENCE, TECHNOLOGY &amp; REMOTE SENSING</t>
        </is>
      </c>
      <c r="F3914" s="13" t="inlineStr">
        <is>
          <t>29 Aug 2026</t>
        </is>
      </c>
      <c r="G3914" s="12" t="inlineStr">
        <is>
          <t>23 Sep 2026</t>
        </is>
      </c>
      <c r="H3914" s="8" t="inlineStr">
        <is>
          <t>⏳ UPCOMING</t>
        </is>
      </c>
      <c r="I3914" s="11" t="inlineStr">
        <is>
          <t>BOQ_Financial_Schedule_2026_UTT_6254736_92.xlsx</t>
        </is>
      </c>
      <c r="J3914" s="13" t="inlineStr">
        <is>
          <t>📊 Excel BOQ</t>
        </is>
      </c>
      <c r="K3914" s="15" t="n">
        <v>5.9</v>
      </c>
      <c r="L3914" s="16">
        <f>HYPERLINK("http://127.0.0.1:8000/api/documents/download?id=3431&amp;attachment=true", "⬇ Download BOQ_Financial_Schedule_2")</f>
        <v/>
      </c>
      <c r="M3914" s="16">
        <f>HYPERLINK("http://localhost:5173/?state=Uttar%20Pradesh&amp;keyword=Mapping&amp;tender=2026_UTT_6254736_92", "🚀 Open in Portal")</f>
        <v/>
      </c>
    </row>
    <row r="3915" ht="24" customHeight="1">
      <c r="A3915" s="4" t="inlineStr">
        <is>
          <t>Uttar Pradesh</t>
        </is>
      </c>
      <c r="B3915" s="5" t="inlineStr">
        <is>
          <t>Mapping</t>
        </is>
      </c>
      <c r="C3915" s="6" t="inlineStr">
        <is>
          <t>2026_UTT_6254736_92</t>
        </is>
      </c>
      <c r="D3915" s="7" t="inlineStr">
        <is>
          <t>Mapping-Based High Resolution Satellite Imagery Land Use &amp; Land Cover Spatial Mapping</t>
        </is>
      </c>
      <c r="E3915" s="7" t="inlineStr">
        <is>
          <t>DEPARTMENT OF SCIENCE, TECHNOLOGY &amp; REMOTE SENSING</t>
        </is>
      </c>
      <c r="F3915" s="6" t="inlineStr">
        <is>
          <t>29 Aug 2026</t>
        </is>
      </c>
      <c r="G3915" s="5" t="inlineStr">
        <is>
          <t>23 Sep 2026</t>
        </is>
      </c>
      <c r="H3915" s="8" t="inlineStr">
        <is>
          <t>⏳ UPCOMING</t>
        </is>
      </c>
      <c r="I3915" s="4" t="inlineStr">
        <is>
          <t>Tender_2026_UTT_6254736_92_All_Documents.zip</t>
        </is>
      </c>
      <c r="J3915" s="6" t="inlineStr">
        <is>
          <t>📦 ZIP Package</t>
        </is>
      </c>
      <c r="K3915" s="9" t="n">
        <v>45</v>
      </c>
      <c r="L3915" s="10">
        <f>HYPERLINK("https://etender.up.nic.in/tender/2026_UTT_6254736_92", "⬇ Download Tender_2026_UTT_6254736_")</f>
        <v/>
      </c>
      <c r="M3915" s="10">
        <f>HYPERLINK("http://localhost:5173/?state=Uttar%20Pradesh&amp;keyword=Mapping&amp;tender=2026_UTT_6254736_92", "🚀 Open in Portal")</f>
        <v/>
      </c>
    </row>
    <row r="3916" ht="24" customHeight="1">
      <c r="A3916" s="11" t="inlineStr">
        <is>
          <t>Uttar Pradesh</t>
        </is>
      </c>
      <c r="B3916" s="12" t="inlineStr">
        <is>
          <t>Design</t>
        </is>
      </c>
      <c r="C3916" s="13" t="inlineStr">
        <is>
          <t>2026_DPUP_1193303_1</t>
        </is>
      </c>
      <c r="D3916" s="14" t="inlineStr">
        <is>
          <t>[Design Engineering and Procurement for Construction of Green Eco Friendly Office at Headquarters of ForestDepartment at District Lucknow Uttar Pradesh INDIA on EPC basis]</t>
        </is>
      </c>
      <c r="E3916" s="14" t="inlineStr">
        <is>
          <t>Uttar Pradesh Public Works &amp; Technology Department</t>
        </is>
      </c>
      <c r="F3916" s="13" t="inlineStr">
        <is>
          <t>14 Aug 2026</t>
        </is>
      </c>
      <c r="G3916" s="12" t="inlineStr">
        <is>
          <t>10 Sep 2026</t>
        </is>
      </c>
      <c r="H3916" s="8" t="inlineStr">
        <is>
          <t>⏳ UPCOMING</t>
        </is>
      </c>
      <c r="I3916" s="11" t="inlineStr">
        <is>
          <t>Tendernotice_1.pdf</t>
        </is>
      </c>
      <c r="J3916" s="13" t="inlineStr">
        <is>
          <t>📕 PDF Document</t>
        </is>
      </c>
      <c r="K3916" s="15" t="n">
        <v>17.9</v>
      </c>
      <c r="L3916" s="16">
        <f>HYPERLINK("http://127.0.0.1:8000/api/documents/download?id=933&amp;attachment=true", "⬇ Download Tendernotice_1.pdf")</f>
        <v/>
      </c>
      <c r="M3916" s="16">
        <f>HYPERLINK("http://localhost:5173/?state=Uttar%20Pradesh&amp;keyword=Design&amp;tender=2026_DPUP_1193303_1", "🚀 Open in Portal")</f>
        <v/>
      </c>
    </row>
    <row r="3917" ht="24" customHeight="1">
      <c r="A3917" s="4" t="inlineStr">
        <is>
          <t>Uttar Pradesh</t>
        </is>
      </c>
      <c r="B3917" s="5" t="inlineStr">
        <is>
          <t>Design</t>
        </is>
      </c>
      <c r="C3917" s="6" t="inlineStr">
        <is>
          <t>2026_DPUP_1193303_1</t>
        </is>
      </c>
      <c r="D3917" s="7" t="inlineStr">
        <is>
          <t>[Design Engineering and Procurement for Construction of Green Eco Friendly Office at Headquarters of ForestDepartment at District Lucknow Uttar Pradesh INDIA on EPC basis]</t>
        </is>
      </c>
      <c r="E3917" s="7" t="inlineStr">
        <is>
          <t>Uttar Pradesh Public Works &amp; Technology Department</t>
        </is>
      </c>
      <c r="F3917" s="6" t="inlineStr">
        <is>
          <t>14 Aug 2026</t>
        </is>
      </c>
      <c r="G3917" s="5" t="inlineStr">
        <is>
          <t>10 Sep 2026</t>
        </is>
      </c>
      <c r="H3917" s="8" t="inlineStr">
        <is>
          <t>⏳ UPCOMING</t>
        </is>
      </c>
      <c r="I3917" s="4" t="inlineStr">
        <is>
          <t>Vol1to6nSoilreport.rar</t>
        </is>
      </c>
      <c r="J3917" s="6" t="inlineStr">
        <is>
          <t>📄 RAR</t>
        </is>
      </c>
      <c r="K3917" s="9" t="n">
        <v>17.9</v>
      </c>
      <c r="L3917" s="10">
        <f>HYPERLINK("http://127.0.0.1:8000/api/documents/download?id=934&amp;attachment=true", "⬇ Download Vol1to6nSoilreport.rar")</f>
        <v/>
      </c>
      <c r="M3917" s="10">
        <f>HYPERLINK("http://localhost:5173/?state=Uttar%20Pradesh&amp;keyword=Design&amp;tender=2026_DPUP_1193303_1", "🚀 Open in Portal")</f>
        <v/>
      </c>
    </row>
    <row r="3918" ht="24" customHeight="1">
      <c r="A3918" s="11" t="inlineStr">
        <is>
          <t>Uttar Pradesh</t>
        </is>
      </c>
      <c r="B3918" s="12" t="inlineStr">
        <is>
          <t>Design</t>
        </is>
      </c>
      <c r="C3918" s="13" t="inlineStr">
        <is>
          <t>2026_DPUP_1193303_1</t>
        </is>
      </c>
      <c r="D3918" s="14" t="inlineStr">
        <is>
          <t>[Design Engineering and Procurement for Construction of Green Eco Friendly Office at Headquarters of ForestDepartment at District Lucknow Uttar Pradesh INDIA on EPC basis]</t>
        </is>
      </c>
      <c r="E3918" s="14" t="inlineStr">
        <is>
          <t>Uttar Pradesh Public Works &amp; Technology Department</t>
        </is>
      </c>
      <c r="F3918" s="13" t="inlineStr">
        <is>
          <t>14 Aug 2026</t>
        </is>
      </c>
      <c r="G3918" s="12" t="inlineStr">
        <is>
          <t>10 Sep 2026</t>
        </is>
      </c>
      <c r="H3918" s="8" t="inlineStr">
        <is>
          <t>⏳ UPCOMING</t>
        </is>
      </c>
      <c r="I3918" s="11" t="inlineStr">
        <is>
          <t>BOQ_2252293.xls</t>
        </is>
      </c>
      <c r="J3918" s="13" t="inlineStr">
        <is>
          <t>📊 Excel BOQ</t>
        </is>
      </c>
      <c r="K3918" s="15" t="n">
        <v>2.5</v>
      </c>
      <c r="L3918" s="16">
        <f>HYPERLINK("http://127.0.0.1:8000/api/documents/download?id=935&amp;attachment=true", "⬇ Download BOQ_2252293.xls")</f>
        <v/>
      </c>
      <c r="M3918" s="16">
        <f>HYPERLINK("http://localhost:5173/?state=Uttar%20Pradesh&amp;keyword=Design&amp;tender=2026_DPUP_1193303_1", "🚀 Open in Portal")</f>
        <v/>
      </c>
    </row>
    <row r="3919" ht="24" customHeight="1">
      <c r="A3919" s="4" t="inlineStr">
        <is>
          <t>Uttar Pradesh</t>
        </is>
      </c>
      <c r="B3919" s="5" t="inlineStr">
        <is>
          <t>Design</t>
        </is>
      </c>
      <c r="C3919" s="6" t="inlineStr">
        <is>
          <t>2026_DPUP_1193303_1</t>
        </is>
      </c>
      <c r="D3919" s="7" t="inlineStr">
        <is>
          <t>[Design Engineering and Procurement for Construction of Green Eco Friendly Office at Headquarters of ForestDepartment at District Lucknow Uttar Pradesh INDIA on EPC basis]</t>
        </is>
      </c>
      <c r="E3919" s="7" t="inlineStr">
        <is>
          <t>Uttar Pradesh Public Works &amp; Technology Department</t>
        </is>
      </c>
      <c r="F3919" s="6" t="inlineStr">
        <is>
          <t>14 Aug 2026</t>
        </is>
      </c>
      <c r="G3919" s="5" t="inlineStr">
        <is>
          <t>10 Sep 2026</t>
        </is>
      </c>
      <c r="H3919" s="8" t="inlineStr">
        <is>
          <t>⏳ UPCOMING</t>
        </is>
      </c>
      <c r="I3919" s="4" t="inlineStr">
        <is>
          <t>Tender_2026_DPUP_1193303_1_All_Documents.zip</t>
        </is>
      </c>
      <c r="J3919" s="6" t="inlineStr">
        <is>
          <t>📦 ZIP Package</t>
        </is>
      </c>
      <c r="K3919" s="9" t="n">
        <v>20.8</v>
      </c>
      <c r="L3919" s="10">
        <f>HYPERLINK("http://127.0.0.1:8000/api/documents/download?id=936&amp;attachment=true", "⬇ Download Tender_2026_DPUP_1193303")</f>
        <v/>
      </c>
      <c r="M3919" s="10">
        <f>HYPERLINK("http://localhost:5173/?state=Uttar%20Pradesh&amp;keyword=Design&amp;tender=2026_DPUP_1193303_1", "🚀 Open in Portal")</f>
        <v/>
      </c>
    </row>
    <row r="3920" ht="24" customHeight="1">
      <c r="A3920" s="11" t="inlineStr">
        <is>
          <t>Uttar Pradesh</t>
        </is>
      </c>
      <c r="B3920" s="12" t="inlineStr">
        <is>
          <t>Design</t>
        </is>
      </c>
      <c r="C3920" s="13" t="inlineStr">
        <is>
          <t>2026_MDA_1195056_1</t>
        </is>
      </c>
      <c r="D3920" s="14" t="inlineStr">
        <is>
          <t>[REQUEST FOR PROPOSAL FOR Request for Proposal (RFP) for Design, Supply, Installation, Testing and Commissioning of Signage Boards in Various Master Plan schemes of Moradabad Development Authority (MDA)]</t>
        </is>
      </c>
      <c r="E3920" s="14" t="inlineStr">
        <is>
          <t>Uttar Pradesh Public Works &amp; Technology Department</t>
        </is>
      </c>
      <c r="F3920" s="13" t="inlineStr">
        <is>
          <t>14 Oct 2026</t>
        </is>
      </c>
      <c r="G3920" s="12" t="inlineStr">
        <is>
          <t>05 Nov 2026</t>
        </is>
      </c>
      <c r="H3920" s="17" t="inlineStr">
        <is>
          <t>🟢 LIVE ACTIVE</t>
        </is>
      </c>
      <c r="I3920" s="11" t="inlineStr">
        <is>
          <t>Tendernotice_1.pdf</t>
        </is>
      </c>
      <c r="J3920" s="13" t="inlineStr">
        <is>
          <t>📕 PDF Document</t>
        </is>
      </c>
      <c r="K3920" s="15" t="n">
        <v>17.9</v>
      </c>
      <c r="L3920" s="16">
        <f>HYPERLINK("http://127.0.0.1:8000/api/documents/download?id=1022&amp;attachment=true", "⬇ Download Tendernotice_1.pdf")</f>
        <v/>
      </c>
      <c r="M3920" s="16">
        <f>HYPERLINK("http://localhost:5173/?state=Uttar%20Pradesh&amp;keyword=Design&amp;tender=2026_MDA_1195056_1", "🚀 Open in Portal")</f>
        <v/>
      </c>
    </row>
    <row r="3921" ht="24" customHeight="1">
      <c r="A3921" s="4" t="inlineStr">
        <is>
          <t>Uttar Pradesh</t>
        </is>
      </c>
      <c r="B3921" s="5" t="inlineStr">
        <is>
          <t>Design</t>
        </is>
      </c>
      <c r="C3921" s="6" t="inlineStr">
        <is>
          <t>2026_MDA_1195056_1</t>
        </is>
      </c>
      <c r="D3921" s="7" t="inlineStr">
        <is>
          <t>[REQUEST FOR PROPOSAL FOR Request for Proposal (RFP) for Design, Supply, Installation, Testing and Commissioning of Signage Boards in Various Master Plan schemes of Moradabad Development Authority (MDA)]</t>
        </is>
      </c>
      <c r="E3921" s="7" t="inlineStr">
        <is>
          <t>Uttar Pradesh Public Works &amp; Technology Department</t>
        </is>
      </c>
      <c r="F3921" s="6" t="inlineStr">
        <is>
          <t>14 Oct 2026</t>
        </is>
      </c>
      <c r="G3921" s="5" t="inlineStr">
        <is>
          <t>05 Nov 2026</t>
        </is>
      </c>
      <c r="H3921" s="17" t="inlineStr">
        <is>
          <t>🟢 LIVE ACTIVE</t>
        </is>
      </c>
      <c r="I3921" s="4" t="inlineStr">
        <is>
          <t>RFP.pdf</t>
        </is>
      </c>
      <c r="J3921" s="6" t="inlineStr">
        <is>
          <t>📕 PDF Document</t>
        </is>
      </c>
      <c r="K3921" s="9" t="n">
        <v>17.8</v>
      </c>
      <c r="L3921" s="10">
        <f>HYPERLINK("http://127.0.0.1:8000/api/documents/download?id=1023&amp;attachment=true", "⬇ Download RFP.pdf")</f>
        <v/>
      </c>
      <c r="M3921" s="10">
        <f>HYPERLINK("http://localhost:5173/?state=Uttar%20Pradesh&amp;keyword=Design&amp;tender=2026_MDA_1195056_1", "🚀 Open in Portal")</f>
        <v/>
      </c>
    </row>
    <row r="3922" ht="24" customHeight="1">
      <c r="A3922" s="11" t="inlineStr">
        <is>
          <t>Uttar Pradesh</t>
        </is>
      </c>
      <c r="B3922" s="12" t="inlineStr">
        <is>
          <t>Design</t>
        </is>
      </c>
      <c r="C3922" s="13" t="inlineStr">
        <is>
          <t>2026_MDA_1195056_1</t>
        </is>
      </c>
      <c r="D3922" s="14" t="inlineStr">
        <is>
          <t>[REQUEST FOR PROPOSAL FOR Request for Proposal (RFP) for Design, Supply, Installation, Testing and Commissioning of Signage Boards in Various Master Plan schemes of Moradabad Development Authority (MDA)]</t>
        </is>
      </c>
      <c r="E3922" s="14" t="inlineStr">
        <is>
          <t>Uttar Pradesh Public Works &amp; Technology Department</t>
        </is>
      </c>
      <c r="F3922" s="13" t="inlineStr">
        <is>
          <t>14 Oct 2026</t>
        </is>
      </c>
      <c r="G3922" s="12" t="inlineStr">
        <is>
          <t>05 Nov 2026</t>
        </is>
      </c>
      <c r="H3922" s="17" t="inlineStr">
        <is>
          <t>🟢 LIVE ACTIVE</t>
        </is>
      </c>
      <c r="I3922" s="11" t="inlineStr">
        <is>
          <t>BOQ_2256734.xls</t>
        </is>
      </c>
      <c r="J3922" s="13" t="inlineStr">
        <is>
          <t>📊 Excel BOQ</t>
        </is>
      </c>
      <c r="K3922" s="15" t="n">
        <v>2.5</v>
      </c>
      <c r="L3922" s="16">
        <f>HYPERLINK("http://127.0.0.1:8000/api/documents/download?id=1024&amp;attachment=true", "⬇ Download BOQ_2256734.xls")</f>
        <v/>
      </c>
      <c r="M3922" s="16">
        <f>HYPERLINK("http://localhost:5173/?state=Uttar%20Pradesh&amp;keyword=Design&amp;tender=2026_MDA_1195056_1", "🚀 Open in Portal")</f>
        <v/>
      </c>
    </row>
    <row r="3923" ht="24" customHeight="1">
      <c r="A3923" s="4" t="inlineStr">
        <is>
          <t>Uttar Pradesh</t>
        </is>
      </c>
      <c r="B3923" s="5" t="inlineStr">
        <is>
          <t>Design</t>
        </is>
      </c>
      <c r="C3923" s="6" t="inlineStr">
        <is>
          <t>2026_MDA_1195056_1</t>
        </is>
      </c>
      <c r="D3923" s="7" t="inlineStr">
        <is>
          <t>[REQUEST FOR PROPOSAL FOR Request for Proposal (RFP) for Design, Supply, Installation, Testing and Commissioning of Signage Boards in Various Master Plan schemes of Moradabad Development Authority (MDA)]</t>
        </is>
      </c>
      <c r="E3923" s="7" t="inlineStr">
        <is>
          <t>Uttar Pradesh Public Works &amp; Technology Department</t>
        </is>
      </c>
      <c r="F3923" s="6" t="inlineStr">
        <is>
          <t>14 Oct 2026</t>
        </is>
      </c>
      <c r="G3923" s="5" t="inlineStr">
        <is>
          <t>05 Nov 2026</t>
        </is>
      </c>
      <c r="H3923" s="17" t="inlineStr">
        <is>
          <t>🟢 LIVE ACTIVE</t>
        </is>
      </c>
      <c r="I3923" s="4" t="inlineStr">
        <is>
          <t>Tender_2026_MDA_1195056_1_All_Documents.zip</t>
        </is>
      </c>
      <c r="J3923" s="6" t="inlineStr">
        <is>
          <t>📦 ZIP Package</t>
        </is>
      </c>
      <c r="K3923" s="9" t="n">
        <v>20.8</v>
      </c>
      <c r="L3923" s="10">
        <f>HYPERLINK("http://127.0.0.1:8000/api/documents/download?id=1025&amp;attachment=true", "⬇ Download Tender_2026_MDA_1195056_")</f>
        <v/>
      </c>
      <c r="M3923" s="10">
        <f>HYPERLINK("http://localhost:5173/?state=Uttar%20Pradesh&amp;keyword=Design&amp;tender=2026_MDA_1195056_1", "🚀 Open in Portal")</f>
        <v/>
      </c>
    </row>
    <row r="3924" ht="24" customHeight="1">
      <c r="A3924" s="11" t="inlineStr">
        <is>
          <t>Uttar Pradesh</t>
        </is>
      </c>
      <c r="B3924" s="12" t="inlineStr">
        <is>
          <t>Development</t>
        </is>
      </c>
      <c r="C3924" s="13" t="inlineStr">
        <is>
          <t>2026_CEJNS_1194861_11</t>
        </is>
      </c>
      <c r="D3924" s="14" t="inlineStr">
        <is>
          <t>[Beautification work of Ambedkar Park site in Gram Sabha Maghapur (Madaiya) under Dr. BR Ambedkar Statue Development Scheme in Legislative Assembly Kalpi]</t>
        </is>
      </c>
      <c r="E3924" s="14" t="inlineStr">
        <is>
          <t>Uttar Pradesh Public Works &amp; Technology Department</t>
        </is>
      </c>
      <c r="F3924" s="13" t="inlineStr">
        <is>
          <t>23 Sep 2026</t>
        </is>
      </c>
      <c r="G3924" s="12" t="inlineStr">
        <is>
          <t>18 Oct 2026</t>
        </is>
      </c>
      <c r="H3924" s="8" t="inlineStr">
        <is>
          <t>⏳ UPCOMING</t>
        </is>
      </c>
      <c r="I3924" s="11" t="inlineStr">
        <is>
          <t>Tendernotice_1.pdf</t>
        </is>
      </c>
      <c r="J3924" s="13" t="inlineStr">
        <is>
          <t>📕 PDF Document</t>
        </is>
      </c>
      <c r="K3924" s="15" t="n">
        <v>17.9</v>
      </c>
      <c r="L3924" s="16">
        <f>HYPERLINK("http://127.0.0.1:8000/api/documents/download?id=820&amp;attachment=true", "⬇ Download Tendernotice_1.pdf")</f>
        <v/>
      </c>
      <c r="M3924" s="16">
        <f>HYPERLINK("http://localhost:5173/?state=Uttar%20Pradesh&amp;keyword=Development&amp;tender=2026_CEJNS_1194861_11", "🚀 Open in Portal")</f>
        <v/>
      </c>
    </row>
    <row r="3925" ht="24" customHeight="1">
      <c r="A3925" s="4" t="inlineStr">
        <is>
          <t>Uttar Pradesh</t>
        </is>
      </c>
      <c r="B3925" s="5" t="inlineStr">
        <is>
          <t>Development</t>
        </is>
      </c>
      <c r="C3925" s="6" t="inlineStr">
        <is>
          <t>2026_CEJNS_1194861_11</t>
        </is>
      </c>
      <c r="D3925" s="7" t="inlineStr">
        <is>
          <t>[Beautification work of Ambedkar Park site in Gram Sabha Maghapur (Madaiya) under Dr. BR Ambedkar Statue Development Scheme in Legislative Assembly Kalpi]</t>
        </is>
      </c>
      <c r="E3925" s="7" t="inlineStr">
        <is>
          <t>Uttar Pradesh Public Works &amp; Technology Department</t>
        </is>
      </c>
      <c r="F3925" s="6" t="inlineStr">
        <is>
          <t>23 Sep 2026</t>
        </is>
      </c>
      <c r="G3925" s="5" t="inlineStr">
        <is>
          <t>18 Oct 2026</t>
        </is>
      </c>
      <c r="H3925" s="8" t="inlineStr">
        <is>
          <t>⏳ UPCOMING</t>
        </is>
      </c>
      <c r="I3925" s="4" t="inlineStr">
        <is>
          <t>T1.pdf</t>
        </is>
      </c>
      <c r="J3925" s="6" t="inlineStr">
        <is>
          <t>📕 PDF Document</t>
        </is>
      </c>
      <c r="K3925" s="9" t="n">
        <v>17.9</v>
      </c>
      <c r="L3925" s="10">
        <f>HYPERLINK("http://127.0.0.1:8000/api/documents/download?id=821&amp;attachment=true", "⬇ Download T1.pdf")</f>
        <v/>
      </c>
      <c r="M3925" s="10">
        <f>HYPERLINK("http://localhost:5173/?state=Uttar%20Pradesh&amp;keyword=Development&amp;tender=2026_CEJNS_1194861_11", "🚀 Open in Portal")</f>
        <v/>
      </c>
    </row>
    <row r="3926" ht="24" customHeight="1">
      <c r="A3926" s="11" t="inlineStr">
        <is>
          <t>Uttar Pradesh</t>
        </is>
      </c>
      <c r="B3926" s="12" t="inlineStr">
        <is>
          <t>Development</t>
        </is>
      </c>
      <c r="C3926" s="13" t="inlineStr">
        <is>
          <t>2026_CEJNS_1194861_11</t>
        </is>
      </c>
      <c r="D3926" s="14" t="inlineStr">
        <is>
          <t>[Beautification work of Ambedkar Park site in Gram Sabha Maghapur (Madaiya) under Dr. BR Ambedkar Statue Development Scheme in Legislative Assembly Kalpi]</t>
        </is>
      </c>
      <c r="E3926" s="14" t="inlineStr">
        <is>
          <t>Uttar Pradesh Public Works &amp; Technology Department</t>
        </is>
      </c>
      <c r="F3926" s="13" t="inlineStr">
        <is>
          <t>23 Sep 2026</t>
        </is>
      </c>
      <c r="G3926" s="12" t="inlineStr">
        <is>
          <t>18 Oct 2026</t>
        </is>
      </c>
      <c r="H3926" s="8" t="inlineStr">
        <is>
          <t>⏳ UPCOMING</t>
        </is>
      </c>
      <c r="I3926" s="11" t="inlineStr">
        <is>
          <t>BOQ_2256381.xls</t>
        </is>
      </c>
      <c r="J3926" s="13" t="inlineStr">
        <is>
          <t>📊 Excel BOQ</t>
        </is>
      </c>
      <c r="K3926" s="15" t="n">
        <v>2.5</v>
      </c>
      <c r="L3926" s="16">
        <f>HYPERLINK("http://127.0.0.1:8000/api/documents/download?id=822&amp;attachment=true", "⬇ Download BOQ_2256381.xls")</f>
        <v/>
      </c>
      <c r="M3926" s="16">
        <f>HYPERLINK("http://localhost:5173/?state=Uttar%20Pradesh&amp;keyword=Development&amp;tender=2026_CEJNS_1194861_11", "🚀 Open in Portal")</f>
        <v/>
      </c>
    </row>
    <row r="3927" ht="24" customHeight="1">
      <c r="A3927" s="4" t="inlineStr">
        <is>
          <t>Uttar Pradesh</t>
        </is>
      </c>
      <c r="B3927" s="5" t="inlineStr">
        <is>
          <t>Development</t>
        </is>
      </c>
      <c r="C3927" s="6" t="inlineStr">
        <is>
          <t>2026_CEJNS_1194861_11</t>
        </is>
      </c>
      <c r="D3927" s="7" t="inlineStr">
        <is>
          <t>[Beautification work of Ambedkar Park site in Gram Sabha Maghapur (Madaiya) under Dr. BR Ambedkar Statue Development Scheme in Legislative Assembly Kalpi]</t>
        </is>
      </c>
      <c r="E3927" s="7" t="inlineStr">
        <is>
          <t>Uttar Pradesh Public Works &amp; Technology Department</t>
        </is>
      </c>
      <c r="F3927" s="6" t="inlineStr">
        <is>
          <t>23 Sep 2026</t>
        </is>
      </c>
      <c r="G3927" s="5" t="inlineStr">
        <is>
          <t>18 Oct 2026</t>
        </is>
      </c>
      <c r="H3927" s="8" t="inlineStr">
        <is>
          <t>⏳ UPCOMING</t>
        </is>
      </c>
      <c r="I3927" s="4" t="inlineStr">
        <is>
          <t>Tender_2026_CEJNS_1194861_11_All_Documents.zip</t>
        </is>
      </c>
      <c r="J3927" s="6" t="inlineStr">
        <is>
          <t>📦 ZIP Package</t>
        </is>
      </c>
      <c r="K3927" s="9" t="n">
        <v>20.9</v>
      </c>
      <c r="L3927" s="10">
        <f>HYPERLINK("http://127.0.0.1:8000/api/documents/download?id=823&amp;attachment=true", "⬇ Download Tender_2026_CEJNS_119486")</f>
        <v/>
      </c>
      <c r="M3927" s="10">
        <f>HYPERLINK("http://localhost:5173/?state=Uttar%20Pradesh&amp;keyword=Development&amp;tender=2026_CEJNS_1194861_11", "🚀 Open in Portal")</f>
        <v/>
      </c>
    </row>
    <row r="3928" ht="24" customHeight="1">
      <c r="A3928" s="11" t="inlineStr">
        <is>
          <t>Uttar Pradesh</t>
        </is>
      </c>
      <c r="B3928" s="12" t="inlineStr">
        <is>
          <t>Development</t>
        </is>
      </c>
      <c r="C3928" s="13" t="inlineStr">
        <is>
          <t>2026_CEJNS_1194861_12</t>
        </is>
      </c>
      <c r="D3928" s="14" t="inlineStr">
        <is>
          <t>[Beautification work of Ambedkar Park site in Gram Sabha Simhara Kasimpur under Dr. BR Ambedkar Statue Development Scheme in Legislative Assembly Kalpi]</t>
        </is>
      </c>
      <c r="E3928" s="14" t="inlineStr">
        <is>
          <t>Uttar Pradesh Public Works &amp; Technology Department</t>
        </is>
      </c>
      <c r="F3928" s="13" t="inlineStr">
        <is>
          <t>09 Aug 2026</t>
        </is>
      </c>
      <c r="G3928" s="12" t="inlineStr">
        <is>
          <t>03 Sep 2026</t>
        </is>
      </c>
      <c r="H3928" s="8" t="inlineStr">
        <is>
          <t>⏳ UPCOMING</t>
        </is>
      </c>
      <c r="I3928" s="11" t="inlineStr">
        <is>
          <t>Tendernotice_1.pdf</t>
        </is>
      </c>
      <c r="J3928" s="13" t="inlineStr">
        <is>
          <t>📕 PDF Document</t>
        </is>
      </c>
      <c r="K3928" s="15" t="n">
        <v>17.9</v>
      </c>
      <c r="L3928" s="16">
        <f>HYPERLINK("http://127.0.0.1:8000/api/documents/download?id=788&amp;attachment=true", "⬇ Download Tendernotice_1.pdf")</f>
        <v/>
      </c>
      <c r="M3928" s="16">
        <f>HYPERLINK("http://localhost:5173/?state=Uttar%20Pradesh&amp;keyword=Development&amp;tender=2026_CEJNS_1194861_12", "🚀 Open in Portal")</f>
        <v/>
      </c>
    </row>
    <row r="3929" ht="24" customHeight="1">
      <c r="A3929" s="4" t="inlineStr">
        <is>
          <t>Uttar Pradesh</t>
        </is>
      </c>
      <c r="B3929" s="5" t="inlineStr">
        <is>
          <t>Development</t>
        </is>
      </c>
      <c r="C3929" s="6" t="inlineStr">
        <is>
          <t>2026_CEJNS_1194861_12</t>
        </is>
      </c>
      <c r="D3929" s="7" t="inlineStr">
        <is>
          <t>[Beautification work of Ambedkar Park site in Gram Sabha Simhara Kasimpur under Dr. BR Ambedkar Statue Development Scheme in Legislative Assembly Kalpi]</t>
        </is>
      </c>
      <c r="E3929" s="7" t="inlineStr">
        <is>
          <t>Uttar Pradesh Public Works &amp; Technology Department</t>
        </is>
      </c>
      <c r="F3929" s="6" t="inlineStr">
        <is>
          <t>09 Aug 2026</t>
        </is>
      </c>
      <c r="G3929" s="5" t="inlineStr">
        <is>
          <t>03 Sep 2026</t>
        </is>
      </c>
      <c r="H3929" s="8" t="inlineStr">
        <is>
          <t>⏳ UPCOMING</t>
        </is>
      </c>
      <c r="I3929" s="4" t="inlineStr">
        <is>
          <t>T1.pdf</t>
        </is>
      </c>
      <c r="J3929" s="6" t="inlineStr">
        <is>
          <t>📕 PDF Document</t>
        </is>
      </c>
      <c r="K3929" s="9" t="n">
        <v>17.9</v>
      </c>
      <c r="L3929" s="10">
        <f>HYPERLINK("http://127.0.0.1:8000/api/documents/download?id=789&amp;attachment=true", "⬇ Download T1.pdf")</f>
        <v/>
      </c>
      <c r="M3929" s="10">
        <f>HYPERLINK("http://localhost:5173/?state=Uttar%20Pradesh&amp;keyword=Development&amp;tender=2026_CEJNS_1194861_12", "🚀 Open in Portal")</f>
        <v/>
      </c>
    </row>
    <row r="3930" ht="24" customHeight="1">
      <c r="A3930" s="11" t="inlineStr">
        <is>
          <t>Uttar Pradesh</t>
        </is>
      </c>
      <c r="B3930" s="12" t="inlineStr">
        <is>
          <t>Development</t>
        </is>
      </c>
      <c r="C3930" s="13" t="inlineStr">
        <is>
          <t>2026_CEJNS_1194861_12</t>
        </is>
      </c>
      <c r="D3930" s="14" t="inlineStr">
        <is>
          <t>[Beautification work of Ambedkar Park site in Gram Sabha Simhara Kasimpur under Dr. BR Ambedkar Statue Development Scheme in Legislative Assembly Kalpi]</t>
        </is>
      </c>
      <c r="E3930" s="14" t="inlineStr">
        <is>
          <t>Uttar Pradesh Public Works &amp; Technology Department</t>
        </is>
      </c>
      <c r="F3930" s="13" t="inlineStr">
        <is>
          <t>09 Aug 2026</t>
        </is>
      </c>
      <c r="G3930" s="12" t="inlineStr">
        <is>
          <t>03 Sep 2026</t>
        </is>
      </c>
      <c r="H3930" s="8" t="inlineStr">
        <is>
          <t>⏳ UPCOMING</t>
        </is>
      </c>
      <c r="I3930" s="11" t="inlineStr">
        <is>
          <t>BOQ_2256396.xls</t>
        </is>
      </c>
      <c r="J3930" s="13" t="inlineStr">
        <is>
          <t>📊 Excel BOQ</t>
        </is>
      </c>
      <c r="K3930" s="15" t="n">
        <v>2.5</v>
      </c>
      <c r="L3930" s="16">
        <f>HYPERLINK("http://127.0.0.1:8000/api/documents/download?id=790&amp;attachment=true", "⬇ Download BOQ_2256396.xls")</f>
        <v/>
      </c>
      <c r="M3930" s="16">
        <f>HYPERLINK("http://localhost:5173/?state=Uttar%20Pradesh&amp;keyword=Development&amp;tender=2026_CEJNS_1194861_12", "🚀 Open in Portal")</f>
        <v/>
      </c>
    </row>
    <row r="3931" ht="24" customHeight="1">
      <c r="A3931" s="4" t="inlineStr">
        <is>
          <t>Uttar Pradesh</t>
        </is>
      </c>
      <c r="B3931" s="5" t="inlineStr">
        <is>
          <t>Development</t>
        </is>
      </c>
      <c r="C3931" s="6" t="inlineStr">
        <is>
          <t>2026_CEJNS_1194861_12</t>
        </is>
      </c>
      <c r="D3931" s="7" t="inlineStr">
        <is>
          <t>[Beautification work of Ambedkar Park site in Gram Sabha Simhara Kasimpur under Dr. BR Ambedkar Statue Development Scheme in Legislative Assembly Kalpi]</t>
        </is>
      </c>
      <c r="E3931" s="7" t="inlineStr">
        <is>
          <t>Uttar Pradesh Public Works &amp; Technology Department</t>
        </is>
      </c>
      <c r="F3931" s="6" t="inlineStr">
        <is>
          <t>09 Aug 2026</t>
        </is>
      </c>
      <c r="G3931" s="5" t="inlineStr">
        <is>
          <t>03 Sep 2026</t>
        </is>
      </c>
      <c r="H3931" s="8" t="inlineStr">
        <is>
          <t>⏳ UPCOMING</t>
        </is>
      </c>
      <c r="I3931" s="4" t="inlineStr">
        <is>
          <t>Tender_2026_CEJNS_1194861_12_All_Documents.zip</t>
        </is>
      </c>
      <c r="J3931" s="6" t="inlineStr">
        <is>
          <t>📦 ZIP Package</t>
        </is>
      </c>
      <c r="K3931" s="9" t="n">
        <v>20.9</v>
      </c>
      <c r="L3931" s="10">
        <f>HYPERLINK("http://127.0.0.1:8000/api/documents/download?id=791&amp;attachment=true", "⬇ Download Tender_2026_CEJNS_119486")</f>
        <v/>
      </c>
      <c r="M3931" s="10">
        <f>HYPERLINK("http://localhost:5173/?state=Uttar%20Pradesh&amp;keyword=Development&amp;tender=2026_CEJNS_1194861_12", "🚀 Open in Portal")</f>
        <v/>
      </c>
    </row>
    <row r="3932" ht="24" customHeight="1">
      <c r="A3932" s="11" t="inlineStr">
        <is>
          <t>Uttar Pradesh</t>
        </is>
      </c>
      <c r="B3932" s="12" t="inlineStr">
        <is>
          <t>Development</t>
        </is>
      </c>
      <c r="C3932" s="13" t="inlineStr">
        <is>
          <t>2026_CEJNS_1194861_13</t>
        </is>
      </c>
      <c r="D3932" s="14" t="inlineStr">
        <is>
          <t>[Under the Dr. BR Ambedkar Statue Development Scheme in Legislative Assembly Kalpi, work of beautification of Ambedkar Park site in Gram Sabha Alipur Saundhi]</t>
        </is>
      </c>
      <c r="E3932" s="14" t="inlineStr">
        <is>
          <t>Uttar Pradesh Public Works &amp; Technology Department</t>
        </is>
      </c>
      <c r="F3932" s="13" t="inlineStr">
        <is>
          <t>07 Sep 2026</t>
        </is>
      </c>
      <c r="G3932" s="12" t="inlineStr">
        <is>
          <t>02 Oct 2026</t>
        </is>
      </c>
      <c r="H3932" s="8" t="inlineStr">
        <is>
          <t>⏳ UPCOMING</t>
        </is>
      </c>
      <c r="I3932" s="11" t="inlineStr">
        <is>
          <t>Tendernotice_1.pdf</t>
        </is>
      </c>
      <c r="J3932" s="13" t="inlineStr">
        <is>
          <t>📕 PDF Document</t>
        </is>
      </c>
      <c r="K3932" s="15" t="n">
        <v>17.9</v>
      </c>
      <c r="L3932" s="16">
        <f>HYPERLINK("http://127.0.0.1:8000/api/documents/download?id=816&amp;attachment=true", "⬇ Download Tendernotice_1.pdf")</f>
        <v/>
      </c>
      <c r="M3932" s="16">
        <f>HYPERLINK("http://localhost:5173/?state=Uttar%20Pradesh&amp;keyword=Development&amp;tender=2026_CEJNS_1194861_13", "🚀 Open in Portal")</f>
        <v/>
      </c>
    </row>
    <row r="3933" ht="24" customHeight="1">
      <c r="A3933" s="4" t="inlineStr">
        <is>
          <t>Uttar Pradesh</t>
        </is>
      </c>
      <c r="B3933" s="5" t="inlineStr">
        <is>
          <t>Development</t>
        </is>
      </c>
      <c r="C3933" s="6" t="inlineStr">
        <is>
          <t>2026_CEJNS_1194861_13</t>
        </is>
      </c>
      <c r="D3933" s="7" t="inlineStr">
        <is>
          <t>[Under the Dr. BR Ambedkar Statue Development Scheme in Legislative Assembly Kalpi, work of beautification of Ambedkar Park site in Gram Sabha Alipur Saundhi]</t>
        </is>
      </c>
      <c r="E3933" s="7" t="inlineStr">
        <is>
          <t>Uttar Pradesh Public Works &amp; Technology Department</t>
        </is>
      </c>
      <c r="F3933" s="6" t="inlineStr">
        <is>
          <t>07 Sep 2026</t>
        </is>
      </c>
      <c r="G3933" s="5" t="inlineStr">
        <is>
          <t>02 Oct 2026</t>
        </is>
      </c>
      <c r="H3933" s="8" t="inlineStr">
        <is>
          <t>⏳ UPCOMING</t>
        </is>
      </c>
      <c r="I3933" s="4" t="inlineStr">
        <is>
          <t>T1.pdf</t>
        </is>
      </c>
      <c r="J3933" s="6" t="inlineStr">
        <is>
          <t>📕 PDF Document</t>
        </is>
      </c>
      <c r="K3933" s="9" t="n">
        <v>17.8</v>
      </c>
      <c r="L3933" s="10">
        <f>HYPERLINK("http://127.0.0.1:8000/api/documents/download?id=817&amp;attachment=true", "⬇ Download T1.pdf")</f>
        <v/>
      </c>
      <c r="M3933" s="10">
        <f>HYPERLINK("http://localhost:5173/?state=Uttar%20Pradesh&amp;keyword=Development&amp;tender=2026_CEJNS_1194861_13", "🚀 Open in Portal")</f>
        <v/>
      </c>
    </row>
    <row r="3934" ht="24" customHeight="1">
      <c r="A3934" s="11" t="inlineStr">
        <is>
          <t>Uttar Pradesh</t>
        </is>
      </c>
      <c r="B3934" s="12" t="inlineStr">
        <is>
          <t>Development</t>
        </is>
      </c>
      <c r="C3934" s="13" t="inlineStr">
        <is>
          <t>2026_CEJNS_1194861_13</t>
        </is>
      </c>
      <c r="D3934" s="14" t="inlineStr">
        <is>
          <t>[Under the Dr. BR Ambedkar Statue Development Scheme in Legislative Assembly Kalpi, work of beautification of Ambedkar Park site in Gram Sabha Alipur Saundhi]</t>
        </is>
      </c>
      <c r="E3934" s="14" t="inlineStr">
        <is>
          <t>Uttar Pradesh Public Works &amp; Technology Department</t>
        </is>
      </c>
      <c r="F3934" s="13" t="inlineStr">
        <is>
          <t>07 Sep 2026</t>
        </is>
      </c>
      <c r="G3934" s="12" t="inlineStr">
        <is>
          <t>02 Oct 2026</t>
        </is>
      </c>
      <c r="H3934" s="8" t="inlineStr">
        <is>
          <t>⏳ UPCOMING</t>
        </is>
      </c>
      <c r="I3934" s="11" t="inlineStr">
        <is>
          <t>BOQ_2256410.xls</t>
        </is>
      </c>
      <c r="J3934" s="13" t="inlineStr">
        <is>
          <t>📊 Excel BOQ</t>
        </is>
      </c>
      <c r="K3934" s="15" t="n">
        <v>2.5</v>
      </c>
      <c r="L3934" s="16">
        <f>HYPERLINK("http://127.0.0.1:8000/api/documents/download?id=818&amp;attachment=true", "⬇ Download BOQ_2256410.xls")</f>
        <v/>
      </c>
      <c r="M3934" s="16">
        <f>HYPERLINK("http://localhost:5173/?state=Uttar%20Pradesh&amp;keyword=Development&amp;tender=2026_CEJNS_1194861_13", "🚀 Open in Portal")</f>
        <v/>
      </c>
    </row>
    <row r="3935" ht="24" customHeight="1">
      <c r="A3935" s="4" t="inlineStr">
        <is>
          <t>Uttar Pradesh</t>
        </is>
      </c>
      <c r="B3935" s="5" t="inlineStr">
        <is>
          <t>Development</t>
        </is>
      </c>
      <c r="C3935" s="6" t="inlineStr">
        <is>
          <t>2026_CEJNS_1194861_13</t>
        </is>
      </c>
      <c r="D3935" s="7" t="inlineStr">
        <is>
          <t>[Under the Dr. BR Ambedkar Statue Development Scheme in Legislative Assembly Kalpi, work of beautification of Ambedkar Park site in Gram Sabha Alipur Saundhi]</t>
        </is>
      </c>
      <c r="E3935" s="7" t="inlineStr">
        <is>
          <t>Uttar Pradesh Public Works &amp; Technology Department</t>
        </is>
      </c>
      <c r="F3935" s="6" t="inlineStr">
        <is>
          <t>07 Sep 2026</t>
        </is>
      </c>
      <c r="G3935" s="5" t="inlineStr">
        <is>
          <t>02 Oct 2026</t>
        </is>
      </c>
      <c r="H3935" s="8" t="inlineStr">
        <is>
          <t>⏳ UPCOMING</t>
        </is>
      </c>
      <c r="I3935" s="4" t="inlineStr">
        <is>
          <t>Tender_2026_CEJNS_1194861_13_All_Documents.zip</t>
        </is>
      </c>
      <c r="J3935" s="6" t="inlineStr">
        <is>
          <t>📦 ZIP Package</t>
        </is>
      </c>
      <c r="K3935" s="9" t="n">
        <v>20.8</v>
      </c>
      <c r="L3935" s="10">
        <f>HYPERLINK("http://127.0.0.1:8000/api/documents/download?id=819&amp;attachment=true", "⬇ Download Tender_2026_CEJNS_119486")</f>
        <v/>
      </c>
      <c r="M3935" s="10">
        <f>HYPERLINK("http://localhost:5173/?state=Uttar%20Pradesh&amp;keyword=Development&amp;tender=2026_CEJNS_1194861_13", "🚀 Open in Portal")</f>
        <v/>
      </c>
    </row>
    <row r="3936" ht="24" customHeight="1">
      <c r="A3936" s="11" t="inlineStr">
        <is>
          <t>Uttar Pradesh</t>
        </is>
      </c>
      <c r="B3936" s="12" t="inlineStr">
        <is>
          <t>Development</t>
        </is>
      </c>
      <c r="C3936" s="13" t="inlineStr">
        <is>
          <t>2026_CEJNS_1194861_15</t>
        </is>
      </c>
      <c r="D3936" s="14" t="inlineStr">
        <is>
          <t>[Under the Dr. BR Ambedkar Statue Development Scheme in Legislative Assembly Kalpi, beautification work of Ambedkar Park site in Gram Sabha Sirsa Kalar]</t>
        </is>
      </c>
      <c r="E3936" s="14" t="inlineStr">
        <is>
          <t>Uttar Pradesh Public Works &amp; Technology Department</t>
        </is>
      </c>
      <c r="F3936" s="13" t="inlineStr">
        <is>
          <t>19 Oct 2026</t>
        </is>
      </c>
      <c r="G3936" s="12" t="inlineStr">
        <is>
          <t>19 Nov 2026</t>
        </is>
      </c>
      <c r="H3936" s="17" t="inlineStr">
        <is>
          <t>🟢 LIVE ACTIVE</t>
        </is>
      </c>
      <c r="I3936" s="11" t="inlineStr">
        <is>
          <t>Tendernotice_1.pdf</t>
        </is>
      </c>
      <c r="J3936" s="13" t="inlineStr">
        <is>
          <t>📕 PDF Document</t>
        </is>
      </c>
      <c r="K3936" s="15" t="n">
        <v>17.9</v>
      </c>
      <c r="L3936" s="16">
        <f>HYPERLINK("http://127.0.0.1:8000/api/documents/download?id=772&amp;attachment=true", "⬇ Download Tendernotice_1.pdf")</f>
        <v/>
      </c>
      <c r="M3936" s="16">
        <f>HYPERLINK("http://localhost:5173/?state=Uttar%20Pradesh&amp;keyword=Development&amp;tender=2026_CEJNS_1194861_15", "🚀 Open in Portal")</f>
        <v/>
      </c>
    </row>
    <row r="3937" ht="24" customHeight="1">
      <c r="A3937" s="4" t="inlineStr">
        <is>
          <t>Uttar Pradesh</t>
        </is>
      </c>
      <c r="B3937" s="5" t="inlineStr">
        <is>
          <t>Development</t>
        </is>
      </c>
      <c r="C3937" s="6" t="inlineStr">
        <is>
          <t>2026_CEJNS_1194861_15</t>
        </is>
      </c>
      <c r="D3937" s="7" t="inlineStr">
        <is>
          <t>[Under the Dr. BR Ambedkar Statue Development Scheme in Legislative Assembly Kalpi, beautification work of Ambedkar Park site in Gram Sabha Sirsa Kalar]</t>
        </is>
      </c>
      <c r="E3937" s="7" t="inlineStr">
        <is>
          <t>Uttar Pradesh Public Works &amp; Technology Department</t>
        </is>
      </c>
      <c r="F3937" s="6" t="inlineStr">
        <is>
          <t>19 Oct 2026</t>
        </is>
      </c>
      <c r="G3937" s="5" t="inlineStr">
        <is>
          <t>19 Nov 2026</t>
        </is>
      </c>
      <c r="H3937" s="17" t="inlineStr">
        <is>
          <t>🟢 LIVE ACTIVE</t>
        </is>
      </c>
      <c r="I3937" s="4" t="inlineStr">
        <is>
          <t>BOQ_2256446.xls</t>
        </is>
      </c>
      <c r="J3937" s="6" t="inlineStr">
        <is>
          <t>📊 Excel BOQ</t>
        </is>
      </c>
      <c r="K3937" s="9" t="n">
        <v>2.5</v>
      </c>
      <c r="L3937" s="10">
        <f>HYPERLINK("http://127.0.0.1:8000/api/documents/download?id=773&amp;attachment=true", "⬇ Download BOQ_2256446.xls")</f>
        <v/>
      </c>
      <c r="M3937" s="10">
        <f>HYPERLINK("http://localhost:5173/?state=Uttar%20Pradesh&amp;keyword=Development&amp;tender=2026_CEJNS_1194861_15", "🚀 Open in Portal")</f>
        <v/>
      </c>
    </row>
    <row r="3938" ht="24" customHeight="1">
      <c r="A3938" s="11" t="inlineStr">
        <is>
          <t>Uttar Pradesh</t>
        </is>
      </c>
      <c r="B3938" s="12" t="inlineStr">
        <is>
          <t>Development</t>
        </is>
      </c>
      <c r="C3938" s="13" t="inlineStr">
        <is>
          <t>2026_CEJNS_1194861_15</t>
        </is>
      </c>
      <c r="D3938" s="14" t="inlineStr">
        <is>
          <t>[Under the Dr. BR Ambedkar Statue Development Scheme in Legislative Assembly Kalpi, beautification work of Ambedkar Park site in Gram Sabha Sirsa Kalar]</t>
        </is>
      </c>
      <c r="E3938" s="14" t="inlineStr">
        <is>
          <t>Uttar Pradesh Public Works &amp; Technology Department</t>
        </is>
      </c>
      <c r="F3938" s="13" t="inlineStr">
        <is>
          <t>19 Oct 2026</t>
        </is>
      </c>
      <c r="G3938" s="12" t="inlineStr">
        <is>
          <t>19 Nov 2026</t>
        </is>
      </c>
      <c r="H3938" s="17" t="inlineStr">
        <is>
          <t>🟢 LIVE ACTIVE</t>
        </is>
      </c>
      <c r="I3938" s="11" t="inlineStr">
        <is>
          <t>T1.pdf</t>
        </is>
      </c>
      <c r="J3938" s="13" t="inlineStr">
        <is>
          <t>📕 PDF Document</t>
        </is>
      </c>
      <c r="K3938" s="15" t="n">
        <v>17.9</v>
      </c>
      <c r="L3938" s="16">
        <f>HYPERLINK("http://127.0.0.1:8000/api/documents/download?id=774&amp;attachment=true", "⬇ Download T1.pdf")</f>
        <v/>
      </c>
      <c r="M3938" s="16">
        <f>HYPERLINK("http://localhost:5173/?state=Uttar%20Pradesh&amp;keyword=Development&amp;tender=2026_CEJNS_1194861_15", "🚀 Open in Portal")</f>
        <v/>
      </c>
    </row>
    <row r="3939" ht="24" customHeight="1">
      <c r="A3939" s="4" t="inlineStr">
        <is>
          <t>Uttar Pradesh</t>
        </is>
      </c>
      <c r="B3939" s="5" t="inlineStr">
        <is>
          <t>Development</t>
        </is>
      </c>
      <c r="C3939" s="6" t="inlineStr">
        <is>
          <t>2026_CEJNS_1194861_15</t>
        </is>
      </c>
      <c r="D3939" s="7" t="inlineStr">
        <is>
          <t>[Under the Dr. BR Ambedkar Statue Development Scheme in Legislative Assembly Kalpi, beautification work of Ambedkar Park site in Gram Sabha Sirsa Kalar]</t>
        </is>
      </c>
      <c r="E3939" s="7" t="inlineStr">
        <is>
          <t>Uttar Pradesh Public Works &amp; Technology Department</t>
        </is>
      </c>
      <c r="F3939" s="6" t="inlineStr">
        <is>
          <t>19 Oct 2026</t>
        </is>
      </c>
      <c r="G3939" s="5" t="inlineStr">
        <is>
          <t>19 Nov 2026</t>
        </is>
      </c>
      <c r="H3939" s="17" t="inlineStr">
        <is>
          <t>🟢 LIVE ACTIVE</t>
        </is>
      </c>
      <c r="I3939" s="4" t="inlineStr">
        <is>
          <t>Tender_2026_CEJNS_1194861_15_All_Documents.zip</t>
        </is>
      </c>
      <c r="J3939" s="6" t="inlineStr">
        <is>
          <t>📦 ZIP Package</t>
        </is>
      </c>
      <c r="K3939" s="9" t="n">
        <v>20.9</v>
      </c>
      <c r="L3939" s="10">
        <f>HYPERLINK("http://127.0.0.1:8000/api/documents/download?id=775&amp;attachment=true", "⬇ Download Tender_2026_CEJNS_119486")</f>
        <v/>
      </c>
      <c r="M3939" s="10">
        <f>HYPERLINK("http://localhost:5173/?state=Uttar%20Pradesh&amp;keyword=Development&amp;tender=2026_CEJNS_1194861_15", "🚀 Open in Portal")</f>
        <v/>
      </c>
    </row>
    <row r="3940" ht="24" customHeight="1">
      <c r="A3940" s="11" t="inlineStr">
        <is>
          <t>Uttar Pradesh</t>
        </is>
      </c>
      <c r="B3940" s="12" t="inlineStr">
        <is>
          <t>Development</t>
        </is>
      </c>
      <c r="C3940" s="13" t="inlineStr">
        <is>
          <t>2026_CEJNS_1194861_16</t>
        </is>
      </c>
      <c r="D3940" s="14" t="inlineStr">
        <is>
          <t>[Beautification work of Ambedkar Park site in Gram Sabha Bhadekh under Dr. BR Ambedkar Statue Development Scheme in Legislative Assembly Kalpi]</t>
        </is>
      </c>
      <c r="E3940" s="14" t="inlineStr">
        <is>
          <t>Uttar Pradesh Public Works &amp; Technology Department</t>
        </is>
      </c>
      <c r="F3940" s="13" t="inlineStr">
        <is>
          <t>15 Sep 2026</t>
        </is>
      </c>
      <c r="G3940" s="12" t="inlineStr">
        <is>
          <t>13 Oct 2026</t>
        </is>
      </c>
      <c r="H3940" s="8" t="inlineStr">
        <is>
          <t>⏳ UPCOMING</t>
        </is>
      </c>
      <c r="I3940" s="11" t="inlineStr">
        <is>
          <t>Tendernotice_1.pdf</t>
        </is>
      </c>
      <c r="J3940" s="13" t="inlineStr">
        <is>
          <t>📕 PDF Document</t>
        </is>
      </c>
      <c r="K3940" s="15" t="n">
        <v>17.9</v>
      </c>
      <c r="L3940" s="16">
        <f>HYPERLINK("http://127.0.0.1:8000/api/documents/download?id=780&amp;attachment=true", "⬇ Download Tendernotice_1.pdf")</f>
        <v/>
      </c>
      <c r="M3940" s="16">
        <f>HYPERLINK("http://localhost:5173/?state=Uttar%20Pradesh&amp;keyword=Development&amp;tender=2026_CEJNS_1194861_16", "🚀 Open in Portal")</f>
        <v/>
      </c>
    </row>
    <row r="3941" ht="24" customHeight="1">
      <c r="A3941" s="4" t="inlineStr">
        <is>
          <t>Uttar Pradesh</t>
        </is>
      </c>
      <c r="B3941" s="5" t="inlineStr">
        <is>
          <t>Development</t>
        </is>
      </c>
      <c r="C3941" s="6" t="inlineStr">
        <is>
          <t>2026_CEJNS_1194861_16</t>
        </is>
      </c>
      <c r="D3941" s="7" t="inlineStr">
        <is>
          <t>[Beautification work of Ambedkar Park site in Gram Sabha Bhadekh under Dr. BR Ambedkar Statue Development Scheme in Legislative Assembly Kalpi]</t>
        </is>
      </c>
      <c r="E3941" s="7" t="inlineStr">
        <is>
          <t>Uttar Pradesh Public Works &amp; Technology Department</t>
        </is>
      </c>
      <c r="F3941" s="6" t="inlineStr">
        <is>
          <t>15 Sep 2026</t>
        </is>
      </c>
      <c r="G3941" s="5" t="inlineStr">
        <is>
          <t>13 Oct 2026</t>
        </is>
      </c>
      <c r="H3941" s="8" t="inlineStr">
        <is>
          <t>⏳ UPCOMING</t>
        </is>
      </c>
      <c r="I3941" s="4" t="inlineStr">
        <is>
          <t>T1.pdf</t>
        </is>
      </c>
      <c r="J3941" s="6" t="inlineStr">
        <is>
          <t>📕 PDF Document</t>
        </is>
      </c>
      <c r="K3941" s="9" t="n">
        <v>17.8</v>
      </c>
      <c r="L3941" s="10">
        <f>HYPERLINK("http://127.0.0.1:8000/api/documents/download?id=781&amp;attachment=true", "⬇ Download T1.pdf")</f>
        <v/>
      </c>
      <c r="M3941" s="10">
        <f>HYPERLINK("http://localhost:5173/?state=Uttar%20Pradesh&amp;keyword=Development&amp;tender=2026_CEJNS_1194861_16", "🚀 Open in Portal")</f>
        <v/>
      </c>
    </row>
    <row r="3942" ht="24" customHeight="1">
      <c r="A3942" s="11" t="inlineStr">
        <is>
          <t>Uttar Pradesh</t>
        </is>
      </c>
      <c r="B3942" s="12" t="inlineStr">
        <is>
          <t>Development</t>
        </is>
      </c>
      <c r="C3942" s="13" t="inlineStr">
        <is>
          <t>2026_CEJNS_1194861_16</t>
        </is>
      </c>
      <c r="D3942" s="14" t="inlineStr">
        <is>
          <t>[Beautification work of Ambedkar Park site in Gram Sabha Bhadekh under Dr. BR Ambedkar Statue Development Scheme in Legislative Assembly Kalpi]</t>
        </is>
      </c>
      <c r="E3942" s="14" t="inlineStr">
        <is>
          <t>Uttar Pradesh Public Works &amp; Technology Department</t>
        </is>
      </c>
      <c r="F3942" s="13" t="inlineStr">
        <is>
          <t>15 Sep 2026</t>
        </is>
      </c>
      <c r="G3942" s="12" t="inlineStr">
        <is>
          <t>13 Oct 2026</t>
        </is>
      </c>
      <c r="H3942" s="8" t="inlineStr">
        <is>
          <t>⏳ UPCOMING</t>
        </is>
      </c>
      <c r="I3942" s="11" t="inlineStr">
        <is>
          <t>BOQ_2256461.xls</t>
        </is>
      </c>
      <c r="J3942" s="13" t="inlineStr">
        <is>
          <t>📊 Excel BOQ</t>
        </is>
      </c>
      <c r="K3942" s="15" t="n">
        <v>2.5</v>
      </c>
      <c r="L3942" s="16">
        <f>HYPERLINK("http://127.0.0.1:8000/api/documents/download?id=782&amp;attachment=true", "⬇ Download BOQ_2256461.xls")</f>
        <v/>
      </c>
      <c r="M3942" s="16">
        <f>HYPERLINK("http://localhost:5173/?state=Uttar%20Pradesh&amp;keyword=Development&amp;tender=2026_CEJNS_1194861_16", "🚀 Open in Portal")</f>
        <v/>
      </c>
    </row>
    <row r="3943" ht="24" customHeight="1">
      <c r="A3943" s="4" t="inlineStr">
        <is>
          <t>Uttar Pradesh</t>
        </is>
      </c>
      <c r="B3943" s="5" t="inlineStr">
        <is>
          <t>Development</t>
        </is>
      </c>
      <c r="C3943" s="6" t="inlineStr">
        <is>
          <t>2026_CEJNS_1194861_16</t>
        </is>
      </c>
      <c r="D3943" s="7" t="inlineStr">
        <is>
          <t>[Beautification work of Ambedkar Park site in Gram Sabha Bhadekh under Dr. BR Ambedkar Statue Development Scheme in Legislative Assembly Kalpi]</t>
        </is>
      </c>
      <c r="E3943" s="7" t="inlineStr">
        <is>
          <t>Uttar Pradesh Public Works &amp; Technology Department</t>
        </is>
      </c>
      <c r="F3943" s="6" t="inlineStr">
        <is>
          <t>15 Sep 2026</t>
        </is>
      </c>
      <c r="G3943" s="5" t="inlineStr">
        <is>
          <t>13 Oct 2026</t>
        </is>
      </c>
      <c r="H3943" s="8" t="inlineStr">
        <is>
          <t>⏳ UPCOMING</t>
        </is>
      </c>
      <c r="I3943" s="4" t="inlineStr">
        <is>
          <t>Tender_2026_CEJNS_1194861_16_All_Documents.zip</t>
        </is>
      </c>
      <c r="J3943" s="6" t="inlineStr">
        <is>
          <t>📦 ZIP Package</t>
        </is>
      </c>
      <c r="K3943" s="9" t="n">
        <v>20.9</v>
      </c>
      <c r="L3943" s="10">
        <f>HYPERLINK("http://127.0.0.1:8000/api/documents/download?id=783&amp;attachment=true", "⬇ Download Tender_2026_CEJNS_119486")</f>
        <v/>
      </c>
      <c r="M3943" s="10">
        <f>HYPERLINK("http://localhost:5173/?state=Uttar%20Pradesh&amp;keyword=Development&amp;tender=2026_CEJNS_1194861_16", "🚀 Open in Portal")</f>
        <v/>
      </c>
    </row>
    <row r="3944" ht="24" customHeight="1">
      <c r="A3944" s="11" t="inlineStr">
        <is>
          <t>Uttar Pradesh</t>
        </is>
      </c>
      <c r="B3944" s="12" t="inlineStr">
        <is>
          <t>Development</t>
        </is>
      </c>
      <c r="C3944" s="13" t="inlineStr">
        <is>
          <t>2026_CEJNS_1194861_17</t>
        </is>
      </c>
      <c r="D3944" s="14" t="inlineStr">
        <is>
          <t>[Work of beautification of Ambedkar Park site in Gram Sabha Nainapur under Dr. BR Ambedkar Statue Development Scheme in Legislative Assembly Kalpi]</t>
        </is>
      </c>
      <c r="E3944" s="14" t="inlineStr">
        <is>
          <t>Uttar Pradesh Public Works &amp; Technology Department</t>
        </is>
      </c>
      <c r="F3944" s="13" t="inlineStr">
        <is>
          <t>20 Sep 2026</t>
        </is>
      </c>
      <c r="G3944" s="12" t="inlineStr">
        <is>
          <t>15 Oct 2026</t>
        </is>
      </c>
      <c r="H3944" s="8" t="inlineStr">
        <is>
          <t>⏳ UPCOMING</t>
        </is>
      </c>
      <c r="I3944" s="11" t="inlineStr">
        <is>
          <t>Tendernotice_1.pdf</t>
        </is>
      </c>
      <c r="J3944" s="13" t="inlineStr">
        <is>
          <t>📕 PDF Document</t>
        </is>
      </c>
      <c r="K3944" s="15" t="n">
        <v>17.9</v>
      </c>
      <c r="L3944" s="16">
        <f>HYPERLINK("http://127.0.0.1:8000/api/documents/download?id=768&amp;attachment=true", "⬇ Download Tendernotice_1.pdf")</f>
        <v/>
      </c>
      <c r="M3944" s="16">
        <f>HYPERLINK("http://localhost:5173/?state=Uttar%20Pradesh&amp;keyword=Development&amp;tender=2026_CEJNS_1194861_17", "🚀 Open in Portal")</f>
        <v/>
      </c>
    </row>
    <row r="3945" ht="24" customHeight="1">
      <c r="A3945" s="4" t="inlineStr">
        <is>
          <t>Uttar Pradesh</t>
        </is>
      </c>
      <c r="B3945" s="5" t="inlineStr">
        <is>
          <t>Development</t>
        </is>
      </c>
      <c r="C3945" s="6" t="inlineStr">
        <is>
          <t>2026_CEJNS_1194861_17</t>
        </is>
      </c>
      <c r="D3945" s="7" t="inlineStr">
        <is>
          <t>[Work of beautification of Ambedkar Park site in Gram Sabha Nainapur under Dr. BR Ambedkar Statue Development Scheme in Legislative Assembly Kalpi]</t>
        </is>
      </c>
      <c r="E3945" s="7" t="inlineStr">
        <is>
          <t>Uttar Pradesh Public Works &amp; Technology Department</t>
        </is>
      </c>
      <c r="F3945" s="6" t="inlineStr">
        <is>
          <t>20 Sep 2026</t>
        </is>
      </c>
      <c r="G3945" s="5" t="inlineStr">
        <is>
          <t>15 Oct 2026</t>
        </is>
      </c>
      <c r="H3945" s="8" t="inlineStr">
        <is>
          <t>⏳ UPCOMING</t>
        </is>
      </c>
      <c r="I3945" s="4" t="inlineStr">
        <is>
          <t>T1.pdf</t>
        </is>
      </c>
      <c r="J3945" s="6" t="inlineStr">
        <is>
          <t>📕 PDF Document</t>
        </is>
      </c>
      <c r="K3945" s="9" t="n">
        <v>17.9</v>
      </c>
      <c r="L3945" s="10">
        <f>HYPERLINK("http://127.0.0.1:8000/api/documents/download?id=769&amp;attachment=true", "⬇ Download T1.pdf")</f>
        <v/>
      </c>
      <c r="M3945" s="10">
        <f>HYPERLINK("http://localhost:5173/?state=Uttar%20Pradesh&amp;keyword=Development&amp;tender=2026_CEJNS_1194861_17", "🚀 Open in Portal")</f>
        <v/>
      </c>
    </row>
    <row r="3946" ht="24" customHeight="1">
      <c r="A3946" s="11" t="inlineStr">
        <is>
          <t>Uttar Pradesh</t>
        </is>
      </c>
      <c r="B3946" s="12" t="inlineStr">
        <is>
          <t>Development</t>
        </is>
      </c>
      <c r="C3946" s="13" t="inlineStr">
        <is>
          <t>2026_CEJNS_1194861_17</t>
        </is>
      </c>
      <c r="D3946" s="14" t="inlineStr">
        <is>
          <t>[Work of beautification of Ambedkar Park site in Gram Sabha Nainapur under Dr. BR Ambedkar Statue Development Scheme in Legislative Assembly Kalpi]</t>
        </is>
      </c>
      <c r="E3946" s="14" t="inlineStr">
        <is>
          <t>Uttar Pradesh Public Works &amp; Technology Department</t>
        </is>
      </c>
      <c r="F3946" s="13" t="inlineStr">
        <is>
          <t>20 Sep 2026</t>
        </is>
      </c>
      <c r="G3946" s="12" t="inlineStr">
        <is>
          <t>15 Oct 2026</t>
        </is>
      </c>
      <c r="H3946" s="8" t="inlineStr">
        <is>
          <t>⏳ UPCOMING</t>
        </is>
      </c>
      <c r="I3946" s="11" t="inlineStr">
        <is>
          <t>BOQ_2256482.xls</t>
        </is>
      </c>
      <c r="J3946" s="13" t="inlineStr">
        <is>
          <t>📊 Excel BOQ</t>
        </is>
      </c>
      <c r="K3946" s="15" t="n">
        <v>2.5</v>
      </c>
      <c r="L3946" s="16">
        <f>HYPERLINK("http://127.0.0.1:8000/api/documents/download?id=770&amp;attachment=true", "⬇ Download BOQ_2256482.xls")</f>
        <v/>
      </c>
      <c r="M3946" s="16">
        <f>HYPERLINK("http://localhost:5173/?state=Uttar%20Pradesh&amp;keyword=Development&amp;tender=2026_CEJNS_1194861_17", "🚀 Open in Portal")</f>
        <v/>
      </c>
    </row>
    <row r="3947" ht="24" customHeight="1">
      <c r="A3947" s="4" t="inlineStr">
        <is>
          <t>Uttar Pradesh</t>
        </is>
      </c>
      <c r="B3947" s="5" t="inlineStr">
        <is>
          <t>Development</t>
        </is>
      </c>
      <c r="C3947" s="6" t="inlineStr">
        <is>
          <t>2026_CEJNS_1194861_17</t>
        </is>
      </c>
      <c r="D3947" s="7" t="inlineStr">
        <is>
          <t>[Work of beautification of Ambedkar Park site in Gram Sabha Nainapur under Dr. BR Ambedkar Statue Development Scheme in Legislative Assembly Kalpi]</t>
        </is>
      </c>
      <c r="E3947" s="7" t="inlineStr">
        <is>
          <t>Uttar Pradesh Public Works &amp; Technology Department</t>
        </is>
      </c>
      <c r="F3947" s="6" t="inlineStr">
        <is>
          <t>20 Sep 2026</t>
        </is>
      </c>
      <c r="G3947" s="5" t="inlineStr">
        <is>
          <t>15 Oct 2026</t>
        </is>
      </c>
      <c r="H3947" s="8" t="inlineStr">
        <is>
          <t>⏳ UPCOMING</t>
        </is>
      </c>
      <c r="I3947" s="4" t="inlineStr">
        <is>
          <t>Tender_2026_CEJNS_1194861_17_All_Documents.zip</t>
        </is>
      </c>
      <c r="J3947" s="6" t="inlineStr">
        <is>
          <t>📦 ZIP Package</t>
        </is>
      </c>
      <c r="K3947" s="9" t="n">
        <v>20.8</v>
      </c>
      <c r="L3947" s="10">
        <f>HYPERLINK("http://127.0.0.1:8000/api/documents/download?id=771&amp;attachment=true", "⬇ Download Tender_2026_CEJNS_119486")</f>
        <v/>
      </c>
      <c r="M3947" s="10">
        <f>HYPERLINK("http://localhost:5173/?state=Uttar%20Pradesh&amp;keyword=Development&amp;tender=2026_CEJNS_1194861_17", "🚀 Open in Portal")</f>
        <v/>
      </c>
    </row>
    <row r="3948" ht="24" customHeight="1">
      <c r="A3948" s="11" t="inlineStr">
        <is>
          <t>Uttar Pradesh</t>
        </is>
      </c>
      <c r="B3948" s="12" t="inlineStr">
        <is>
          <t>Development</t>
        </is>
      </c>
      <c r="C3948" s="13" t="inlineStr">
        <is>
          <t>2026_CEJNS_1194861_18</t>
        </is>
      </c>
      <c r="D3948" s="14" t="inlineStr">
        <is>
          <t>[Under the Dr. BR Ambedkar Statue Development Scheme in Legislative Assembly Kalpi, beautification work of Gandhi statue site at Gram Sabha Sahav]</t>
        </is>
      </c>
      <c r="E3948" s="14" t="inlineStr">
        <is>
          <t>Uttar Pradesh Public Works &amp; Technology Department</t>
        </is>
      </c>
      <c r="F3948" s="13" t="inlineStr">
        <is>
          <t>27 Sep 2026</t>
        </is>
      </c>
      <c r="G3948" s="12" t="inlineStr">
        <is>
          <t>09 Nov 2026</t>
        </is>
      </c>
      <c r="H3948" s="17" t="inlineStr">
        <is>
          <t>🟢 LIVE ACTIVE</t>
        </is>
      </c>
      <c r="I3948" s="11" t="inlineStr">
        <is>
          <t>Tendernotice_1.pdf</t>
        </is>
      </c>
      <c r="J3948" s="13" t="inlineStr">
        <is>
          <t>📕 PDF Document</t>
        </is>
      </c>
      <c r="K3948" s="15" t="n">
        <v>17.9</v>
      </c>
      <c r="L3948" s="16">
        <f>HYPERLINK("http://127.0.0.1:8000/api/documents/download?id=800&amp;attachment=true", "⬇ Download Tendernotice_1.pdf")</f>
        <v/>
      </c>
      <c r="M3948" s="16">
        <f>HYPERLINK("http://localhost:5173/?state=Uttar%20Pradesh&amp;keyword=Development&amp;tender=2026_CEJNS_1194861_18", "🚀 Open in Portal")</f>
        <v/>
      </c>
    </row>
    <row r="3949" ht="24" customHeight="1">
      <c r="A3949" s="4" t="inlineStr">
        <is>
          <t>Uttar Pradesh</t>
        </is>
      </c>
      <c r="B3949" s="5" t="inlineStr">
        <is>
          <t>Development</t>
        </is>
      </c>
      <c r="C3949" s="6" t="inlineStr">
        <is>
          <t>2026_CEJNS_1194861_18</t>
        </is>
      </c>
      <c r="D3949" s="7" t="inlineStr">
        <is>
          <t>[Under the Dr. BR Ambedkar Statue Development Scheme in Legislative Assembly Kalpi, beautification work of Gandhi statue site at Gram Sabha Sahav]</t>
        </is>
      </c>
      <c r="E3949" s="7" t="inlineStr">
        <is>
          <t>Uttar Pradesh Public Works &amp; Technology Department</t>
        </is>
      </c>
      <c r="F3949" s="6" t="inlineStr">
        <is>
          <t>27 Sep 2026</t>
        </is>
      </c>
      <c r="G3949" s="5" t="inlineStr">
        <is>
          <t>09 Nov 2026</t>
        </is>
      </c>
      <c r="H3949" s="17" t="inlineStr">
        <is>
          <t>🟢 LIVE ACTIVE</t>
        </is>
      </c>
      <c r="I3949" s="4" t="inlineStr">
        <is>
          <t>T1.pdf</t>
        </is>
      </c>
      <c r="J3949" s="6" t="inlineStr">
        <is>
          <t>📕 PDF Document</t>
        </is>
      </c>
      <c r="K3949" s="9" t="n">
        <v>17.9</v>
      </c>
      <c r="L3949" s="10">
        <f>HYPERLINK("http://127.0.0.1:8000/api/documents/download?id=801&amp;attachment=true", "⬇ Download T1.pdf")</f>
        <v/>
      </c>
      <c r="M3949" s="10">
        <f>HYPERLINK("http://localhost:5173/?state=Uttar%20Pradesh&amp;keyword=Development&amp;tender=2026_CEJNS_1194861_18", "🚀 Open in Portal")</f>
        <v/>
      </c>
    </row>
    <row r="3950" ht="24" customHeight="1">
      <c r="A3950" s="11" t="inlineStr">
        <is>
          <t>Uttar Pradesh</t>
        </is>
      </c>
      <c r="B3950" s="12" t="inlineStr">
        <is>
          <t>Development</t>
        </is>
      </c>
      <c r="C3950" s="13" t="inlineStr">
        <is>
          <t>2026_CEJNS_1194861_18</t>
        </is>
      </c>
      <c r="D3950" s="14" t="inlineStr">
        <is>
          <t>[Under the Dr. BR Ambedkar Statue Development Scheme in Legislative Assembly Kalpi, beautification work of Gandhi statue site at Gram Sabha Sahav]</t>
        </is>
      </c>
      <c r="E3950" s="14" t="inlineStr">
        <is>
          <t>Uttar Pradesh Public Works &amp; Technology Department</t>
        </is>
      </c>
      <c r="F3950" s="13" t="inlineStr">
        <is>
          <t>27 Sep 2026</t>
        </is>
      </c>
      <c r="G3950" s="12" t="inlineStr">
        <is>
          <t>09 Nov 2026</t>
        </is>
      </c>
      <c r="H3950" s="17" t="inlineStr">
        <is>
          <t>🟢 LIVE ACTIVE</t>
        </is>
      </c>
      <c r="I3950" s="11" t="inlineStr">
        <is>
          <t>BOQ_2256496.xls</t>
        </is>
      </c>
      <c r="J3950" s="13" t="inlineStr">
        <is>
          <t>📊 Excel BOQ</t>
        </is>
      </c>
      <c r="K3950" s="15" t="n">
        <v>2.5</v>
      </c>
      <c r="L3950" s="16">
        <f>HYPERLINK("http://127.0.0.1:8000/api/documents/download?id=802&amp;attachment=true", "⬇ Download BOQ_2256496.xls")</f>
        <v/>
      </c>
      <c r="M3950" s="16">
        <f>HYPERLINK("http://localhost:5173/?state=Uttar%20Pradesh&amp;keyword=Development&amp;tender=2026_CEJNS_1194861_18", "🚀 Open in Portal")</f>
        <v/>
      </c>
    </row>
    <row r="3951" ht="24" customHeight="1">
      <c r="A3951" s="4" t="inlineStr">
        <is>
          <t>Uttar Pradesh</t>
        </is>
      </c>
      <c r="B3951" s="5" t="inlineStr">
        <is>
          <t>Development</t>
        </is>
      </c>
      <c r="C3951" s="6" t="inlineStr">
        <is>
          <t>2026_CEJNS_1194861_18</t>
        </is>
      </c>
      <c r="D3951" s="7" t="inlineStr">
        <is>
          <t>[Under the Dr. BR Ambedkar Statue Development Scheme in Legislative Assembly Kalpi, beautification work of Gandhi statue site at Gram Sabha Sahav]</t>
        </is>
      </c>
      <c r="E3951" s="7" t="inlineStr">
        <is>
          <t>Uttar Pradesh Public Works &amp; Technology Department</t>
        </is>
      </c>
      <c r="F3951" s="6" t="inlineStr">
        <is>
          <t>27 Sep 2026</t>
        </is>
      </c>
      <c r="G3951" s="5" t="inlineStr">
        <is>
          <t>09 Nov 2026</t>
        </is>
      </c>
      <c r="H3951" s="17" t="inlineStr">
        <is>
          <t>🟢 LIVE ACTIVE</t>
        </is>
      </c>
      <c r="I3951" s="4" t="inlineStr">
        <is>
          <t>Tender_2026_CEJNS_1194861_18_All_Documents.zip</t>
        </is>
      </c>
      <c r="J3951" s="6" t="inlineStr">
        <is>
          <t>📦 ZIP Package</t>
        </is>
      </c>
      <c r="K3951" s="9" t="n">
        <v>20.9</v>
      </c>
      <c r="L3951" s="10">
        <f>HYPERLINK("http://127.0.0.1:8000/api/documents/download?id=803&amp;attachment=true", "⬇ Download Tender_2026_CEJNS_119486")</f>
        <v/>
      </c>
      <c r="M3951" s="10">
        <f>HYPERLINK("http://localhost:5173/?state=Uttar%20Pradesh&amp;keyword=Development&amp;tender=2026_CEJNS_1194861_18", "🚀 Open in Portal")</f>
        <v/>
      </c>
    </row>
    <row r="3952" ht="24" customHeight="1">
      <c r="A3952" s="11" t="inlineStr">
        <is>
          <t>Uttar Pradesh</t>
        </is>
      </c>
      <c r="B3952" s="12" t="inlineStr">
        <is>
          <t>Development</t>
        </is>
      </c>
      <c r="C3952" s="13" t="inlineStr">
        <is>
          <t>2026_CEJNS_1194861_3</t>
        </is>
      </c>
      <c r="D3952" s="14" t="inlineStr">
        <is>
          <t>[Under the Dr. BR Ambedkar Statue Development Scheme in Legislative Assembly Orai, work of beautification of Ambedkar Park site in Gram Sabha Hardoi Gujar]</t>
        </is>
      </c>
      <c r="E3952" s="14" t="inlineStr">
        <is>
          <t>Uttar Pradesh Public Works &amp; Technology Department</t>
        </is>
      </c>
      <c r="F3952" s="13" t="inlineStr">
        <is>
          <t>13 Oct 2026</t>
        </is>
      </c>
      <c r="G3952" s="12" t="inlineStr">
        <is>
          <t>03 Nov 2026</t>
        </is>
      </c>
      <c r="H3952" s="17" t="inlineStr">
        <is>
          <t>🟢 LIVE ACTIVE</t>
        </is>
      </c>
      <c r="I3952" s="11" t="inlineStr">
        <is>
          <t>Tendernotice_1.pdf</t>
        </is>
      </c>
      <c r="J3952" s="13" t="inlineStr">
        <is>
          <t>📕 PDF Document</t>
        </is>
      </c>
      <c r="K3952" s="15" t="n">
        <v>17.9</v>
      </c>
      <c r="L3952" s="16">
        <f>HYPERLINK("http://127.0.0.1:8000/api/documents/download?id=784&amp;attachment=true", "⬇ Download Tendernotice_1.pdf")</f>
        <v/>
      </c>
      <c r="M3952" s="16">
        <f>HYPERLINK("http://localhost:5173/?state=Uttar%20Pradesh&amp;keyword=Development&amp;tender=2026_CEJNS_1194861_3", "🚀 Open in Portal")</f>
        <v/>
      </c>
    </row>
    <row r="3953" ht="24" customHeight="1">
      <c r="A3953" s="4" t="inlineStr">
        <is>
          <t>Uttar Pradesh</t>
        </is>
      </c>
      <c r="B3953" s="5" t="inlineStr">
        <is>
          <t>Development</t>
        </is>
      </c>
      <c r="C3953" s="6" t="inlineStr">
        <is>
          <t>2026_CEJNS_1194861_3</t>
        </is>
      </c>
      <c r="D3953" s="7" t="inlineStr">
        <is>
          <t>[Under the Dr. BR Ambedkar Statue Development Scheme in Legislative Assembly Orai, work of beautification of Ambedkar Park site in Gram Sabha Hardoi Gujar]</t>
        </is>
      </c>
      <c r="E3953" s="7" t="inlineStr">
        <is>
          <t>Uttar Pradesh Public Works &amp; Technology Department</t>
        </is>
      </c>
      <c r="F3953" s="6" t="inlineStr">
        <is>
          <t>13 Oct 2026</t>
        </is>
      </c>
      <c r="G3953" s="5" t="inlineStr">
        <is>
          <t>03 Nov 2026</t>
        </is>
      </c>
      <c r="H3953" s="17" t="inlineStr">
        <is>
          <t>🟢 LIVE ACTIVE</t>
        </is>
      </c>
      <c r="I3953" s="4" t="inlineStr">
        <is>
          <t>T1.pdf</t>
        </is>
      </c>
      <c r="J3953" s="6" t="inlineStr">
        <is>
          <t>📕 PDF Document</t>
        </is>
      </c>
      <c r="K3953" s="9" t="n">
        <v>17.9</v>
      </c>
      <c r="L3953" s="10">
        <f>HYPERLINK("http://127.0.0.1:8000/api/documents/download?id=785&amp;attachment=true", "⬇ Download T1.pdf")</f>
        <v/>
      </c>
      <c r="M3953" s="10">
        <f>HYPERLINK("http://localhost:5173/?state=Uttar%20Pradesh&amp;keyword=Development&amp;tender=2026_CEJNS_1194861_3", "🚀 Open in Portal")</f>
        <v/>
      </c>
    </row>
    <row r="3954" ht="24" customHeight="1">
      <c r="A3954" s="11" t="inlineStr">
        <is>
          <t>Uttar Pradesh</t>
        </is>
      </c>
      <c r="B3954" s="12" t="inlineStr">
        <is>
          <t>Development</t>
        </is>
      </c>
      <c r="C3954" s="13" t="inlineStr">
        <is>
          <t>2026_CEJNS_1194861_3</t>
        </is>
      </c>
      <c r="D3954" s="14" t="inlineStr">
        <is>
          <t>[Under the Dr. BR Ambedkar Statue Development Scheme in Legislative Assembly Orai, work of beautification of Ambedkar Park site in Gram Sabha Hardoi Gujar]</t>
        </is>
      </c>
      <c r="E3954" s="14" t="inlineStr">
        <is>
          <t>Uttar Pradesh Public Works &amp; Technology Department</t>
        </is>
      </c>
      <c r="F3954" s="13" t="inlineStr">
        <is>
          <t>13 Oct 2026</t>
        </is>
      </c>
      <c r="G3954" s="12" t="inlineStr">
        <is>
          <t>03 Nov 2026</t>
        </is>
      </c>
      <c r="H3954" s="17" t="inlineStr">
        <is>
          <t>🟢 LIVE ACTIVE</t>
        </is>
      </c>
      <c r="I3954" s="11" t="inlineStr">
        <is>
          <t>BOQ_2256262.xls</t>
        </is>
      </c>
      <c r="J3954" s="13" t="inlineStr">
        <is>
          <t>📊 Excel BOQ</t>
        </is>
      </c>
      <c r="K3954" s="15" t="n">
        <v>2.5</v>
      </c>
      <c r="L3954" s="16">
        <f>HYPERLINK("http://127.0.0.1:8000/api/documents/download?id=786&amp;attachment=true", "⬇ Download BOQ_2256262.xls")</f>
        <v/>
      </c>
      <c r="M3954" s="16">
        <f>HYPERLINK("http://localhost:5173/?state=Uttar%20Pradesh&amp;keyword=Development&amp;tender=2026_CEJNS_1194861_3", "🚀 Open in Portal")</f>
        <v/>
      </c>
    </row>
    <row r="3955" ht="24" customHeight="1">
      <c r="A3955" s="4" t="inlineStr">
        <is>
          <t>Uttar Pradesh</t>
        </is>
      </c>
      <c r="B3955" s="5" t="inlineStr">
        <is>
          <t>Development</t>
        </is>
      </c>
      <c r="C3955" s="6" t="inlineStr">
        <is>
          <t>2026_CEJNS_1194861_3</t>
        </is>
      </c>
      <c r="D3955" s="7" t="inlineStr">
        <is>
          <t>[Under the Dr. BR Ambedkar Statue Development Scheme in Legislative Assembly Orai, work of beautification of Ambedkar Park site in Gram Sabha Hardoi Gujar]</t>
        </is>
      </c>
      <c r="E3955" s="7" t="inlineStr">
        <is>
          <t>Uttar Pradesh Public Works &amp; Technology Department</t>
        </is>
      </c>
      <c r="F3955" s="6" t="inlineStr">
        <is>
          <t>13 Oct 2026</t>
        </is>
      </c>
      <c r="G3955" s="5" t="inlineStr">
        <is>
          <t>03 Nov 2026</t>
        </is>
      </c>
      <c r="H3955" s="17" t="inlineStr">
        <is>
          <t>🟢 LIVE ACTIVE</t>
        </is>
      </c>
      <c r="I3955" s="4" t="inlineStr">
        <is>
          <t>Tender_2026_CEJNS_1194861_3_All_Documents.zip</t>
        </is>
      </c>
      <c r="J3955" s="6" t="inlineStr">
        <is>
          <t>📦 ZIP Package</t>
        </is>
      </c>
      <c r="K3955" s="9" t="n">
        <v>20.9</v>
      </c>
      <c r="L3955" s="10">
        <f>HYPERLINK("http://127.0.0.1:8000/api/documents/download?id=787&amp;attachment=true", "⬇ Download Tender_2026_CEJNS_119486")</f>
        <v/>
      </c>
      <c r="M3955" s="10">
        <f>HYPERLINK("http://localhost:5173/?state=Uttar%20Pradesh&amp;keyword=Development&amp;tender=2026_CEJNS_1194861_3", "🚀 Open in Portal")</f>
        <v/>
      </c>
    </row>
    <row r="3956" ht="24" customHeight="1">
      <c r="A3956" s="11" t="inlineStr">
        <is>
          <t>Uttar Pradesh</t>
        </is>
      </c>
      <c r="B3956" s="12" t="inlineStr">
        <is>
          <t>Development</t>
        </is>
      </c>
      <c r="C3956" s="13" t="inlineStr">
        <is>
          <t>2026_MDA_1195056_1</t>
        </is>
      </c>
      <c r="D3956" s="14" t="inlineStr">
        <is>
          <t>[REQUEST FOR PROPOSAL FOR Request for Proposal (RFP) for Design, Supply, Installation, Testing and Commissioning of Signage Boards in Various Master Plan schemes of Moradabad Development Authority (MDA)]</t>
        </is>
      </c>
      <c r="E3956" s="14" t="inlineStr">
        <is>
          <t>Uttar Pradesh Public Works &amp; Technology Department</t>
        </is>
      </c>
      <c r="F3956" s="13" t="inlineStr">
        <is>
          <t>14 Oct 2026</t>
        </is>
      </c>
      <c r="G3956" s="12" t="inlineStr">
        <is>
          <t>05 Nov 2026</t>
        </is>
      </c>
      <c r="H3956" s="17" t="inlineStr">
        <is>
          <t>🟢 LIVE ACTIVE</t>
        </is>
      </c>
      <c r="I3956" s="11" t="inlineStr">
        <is>
          <t>Tendernotice_1.pdf</t>
        </is>
      </c>
      <c r="J3956" s="13" t="inlineStr">
        <is>
          <t>📕 PDF Document</t>
        </is>
      </c>
      <c r="K3956" s="15" t="n">
        <v>17.9</v>
      </c>
      <c r="L3956" s="16">
        <f>HYPERLINK("http://127.0.0.1:8000/api/documents/download?id=1022&amp;attachment=true", "⬇ Download Tendernotice_1.pdf")</f>
        <v/>
      </c>
      <c r="M3956" s="16">
        <f>HYPERLINK("http://localhost:5173/?state=Uttar%20Pradesh&amp;keyword=Development&amp;tender=2026_MDA_1195056_1", "🚀 Open in Portal")</f>
        <v/>
      </c>
    </row>
    <row r="3957" ht="24" customHeight="1">
      <c r="A3957" s="4" t="inlineStr">
        <is>
          <t>Uttar Pradesh</t>
        </is>
      </c>
      <c r="B3957" s="5" t="inlineStr">
        <is>
          <t>Development</t>
        </is>
      </c>
      <c r="C3957" s="6" t="inlineStr">
        <is>
          <t>2026_MDA_1195056_1</t>
        </is>
      </c>
      <c r="D3957" s="7" t="inlineStr">
        <is>
          <t>[REQUEST FOR PROPOSAL FOR Request for Proposal (RFP) for Design, Supply, Installation, Testing and Commissioning of Signage Boards in Various Master Plan schemes of Moradabad Development Authority (MDA)]</t>
        </is>
      </c>
      <c r="E3957" s="7" t="inlineStr">
        <is>
          <t>Uttar Pradesh Public Works &amp; Technology Department</t>
        </is>
      </c>
      <c r="F3957" s="6" t="inlineStr">
        <is>
          <t>14 Oct 2026</t>
        </is>
      </c>
      <c r="G3957" s="5" t="inlineStr">
        <is>
          <t>05 Nov 2026</t>
        </is>
      </c>
      <c r="H3957" s="17" t="inlineStr">
        <is>
          <t>🟢 LIVE ACTIVE</t>
        </is>
      </c>
      <c r="I3957" s="4" t="inlineStr">
        <is>
          <t>RFP.pdf</t>
        </is>
      </c>
      <c r="J3957" s="6" t="inlineStr">
        <is>
          <t>📕 PDF Document</t>
        </is>
      </c>
      <c r="K3957" s="9" t="n">
        <v>17.8</v>
      </c>
      <c r="L3957" s="10">
        <f>HYPERLINK("http://127.0.0.1:8000/api/documents/download?id=1023&amp;attachment=true", "⬇ Download RFP.pdf")</f>
        <v/>
      </c>
      <c r="M3957" s="10">
        <f>HYPERLINK("http://localhost:5173/?state=Uttar%20Pradesh&amp;keyword=Development&amp;tender=2026_MDA_1195056_1", "🚀 Open in Portal")</f>
        <v/>
      </c>
    </row>
    <row r="3958" ht="24" customHeight="1">
      <c r="A3958" s="11" t="inlineStr">
        <is>
          <t>Uttar Pradesh</t>
        </is>
      </c>
      <c r="B3958" s="12" t="inlineStr">
        <is>
          <t>Development</t>
        </is>
      </c>
      <c r="C3958" s="13" t="inlineStr">
        <is>
          <t>2026_MDA_1195056_1</t>
        </is>
      </c>
      <c r="D3958" s="14" t="inlineStr">
        <is>
          <t>[REQUEST FOR PROPOSAL FOR Request for Proposal (RFP) for Design, Supply, Installation, Testing and Commissioning of Signage Boards in Various Master Plan schemes of Moradabad Development Authority (MDA)]</t>
        </is>
      </c>
      <c r="E3958" s="14" t="inlineStr">
        <is>
          <t>Uttar Pradesh Public Works &amp; Technology Department</t>
        </is>
      </c>
      <c r="F3958" s="13" t="inlineStr">
        <is>
          <t>14 Oct 2026</t>
        </is>
      </c>
      <c r="G3958" s="12" t="inlineStr">
        <is>
          <t>05 Nov 2026</t>
        </is>
      </c>
      <c r="H3958" s="17" t="inlineStr">
        <is>
          <t>🟢 LIVE ACTIVE</t>
        </is>
      </c>
      <c r="I3958" s="11" t="inlineStr">
        <is>
          <t>BOQ_2256734.xls</t>
        </is>
      </c>
      <c r="J3958" s="13" t="inlineStr">
        <is>
          <t>📊 Excel BOQ</t>
        </is>
      </c>
      <c r="K3958" s="15" t="n">
        <v>2.5</v>
      </c>
      <c r="L3958" s="16">
        <f>HYPERLINK("http://127.0.0.1:8000/api/documents/download?id=1024&amp;attachment=true", "⬇ Download BOQ_2256734.xls")</f>
        <v/>
      </c>
      <c r="M3958" s="16">
        <f>HYPERLINK("http://localhost:5173/?state=Uttar%20Pradesh&amp;keyword=Development&amp;tender=2026_MDA_1195056_1", "🚀 Open in Portal")</f>
        <v/>
      </c>
    </row>
    <row r="3959" ht="24" customHeight="1">
      <c r="A3959" s="4" t="inlineStr">
        <is>
          <t>Uttar Pradesh</t>
        </is>
      </c>
      <c r="B3959" s="5" t="inlineStr">
        <is>
          <t>Development</t>
        </is>
      </c>
      <c r="C3959" s="6" t="inlineStr">
        <is>
          <t>2026_MDA_1195056_1</t>
        </is>
      </c>
      <c r="D3959" s="7" t="inlineStr">
        <is>
          <t>[REQUEST FOR PROPOSAL FOR Request for Proposal (RFP) for Design, Supply, Installation, Testing and Commissioning of Signage Boards in Various Master Plan schemes of Moradabad Development Authority (MDA)]</t>
        </is>
      </c>
      <c r="E3959" s="7" t="inlineStr">
        <is>
          <t>Uttar Pradesh Public Works &amp; Technology Department</t>
        </is>
      </c>
      <c r="F3959" s="6" t="inlineStr">
        <is>
          <t>14 Oct 2026</t>
        </is>
      </c>
      <c r="G3959" s="5" t="inlineStr">
        <is>
          <t>05 Nov 2026</t>
        </is>
      </c>
      <c r="H3959" s="17" t="inlineStr">
        <is>
          <t>🟢 LIVE ACTIVE</t>
        </is>
      </c>
      <c r="I3959" s="4" t="inlineStr">
        <is>
          <t>Tender_2026_MDA_1195056_1_All_Documents.zip</t>
        </is>
      </c>
      <c r="J3959" s="6" t="inlineStr">
        <is>
          <t>📦 ZIP Package</t>
        </is>
      </c>
      <c r="K3959" s="9" t="n">
        <v>20.8</v>
      </c>
      <c r="L3959" s="10">
        <f>HYPERLINK("http://127.0.0.1:8000/api/documents/download?id=1025&amp;attachment=true", "⬇ Download Tender_2026_MDA_1195056_")</f>
        <v/>
      </c>
      <c r="M3959" s="10">
        <f>HYPERLINK("http://localhost:5173/?state=Uttar%20Pradesh&amp;keyword=Development&amp;tender=2026_MDA_1195056_1", "🚀 Open in Portal")</f>
        <v/>
      </c>
    </row>
    <row r="3960" ht="24" customHeight="1">
      <c r="A3960" s="11" t="inlineStr">
        <is>
          <t>Uttar Pradesh</t>
        </is>
      </c>
      <c r="B3960" s="12" t="inlineStr">
        <is>
          <t>Development</t>
        </is>
      </c>
      <c r="C3960" s="13" t="inlineStr">
        <is>
          <t>2026_MSME_1194976_1</t>
        </is>
      </c>
      <c r="D3960" s="14" t="inlineStr">
        <is>
          <t>[Work of supply/installation of open gym in medicinal garden in Nagar Panchayat Gopamau of development block Tandiyawan in Hardoi district.]</t>
        </is>
      </c>
      <c r="E3960" s="14" t="inlineStr">
        <is>
          <t>Uttar Pradesh Public Works &amp; Technology Department</t>
        </is>
      </c>
      <c r="F3960" s="13" t="inlineStr">
        <is>
          <t>18 Oct 2026</t>
        </is>
      </c>
      <c r="G3960" s="12" t="inlineStr">
        <is>
          <t>16 Nov 2026</t>
        </is>
      </c>
      <c r="H3960" s="17" t="inlineStr">
        <is>
          <t>🟢 LIVE ACTIVE</t>
        </is>
      </c>
      <c r="I3960" s="11" t="inlineStr">
        <is>
          <t>Tendernotice_1.pdf</t>
        </is>
      </c>
      <c r="J3960" s="13" t="inlineStr">
        <is>
          <t>📕 PDF Document</t>
        </is>
      </c>
      <c r="K3960" s="15" t="n">
        <v>17.9</v>
      </c>
      <c r="L3960" s="16">
        <f>HYPERLINK("http://127.0.0.1:8000/api/documents/download?id=912&amp;attachment=true", "⬇ Download Tendernotice_1.pdf")</f>
        <v/>
      </c>
      <c r="M3960" s="16">
        <f>HYPERLINK("http://localhost:5173/?state=Uttar%20Pradesh&amp;keyword=Development&amp;tender=2026_MSME_1194976_1", "🚀 Open in Portal")</f>
        <v/>
      </c>
    </row>
    <row r="3961" ht="24" customHeight="1">
      <c r="A3961" s="4" t="inlineStr">
        <is>
          <t>Uttar Pradesh</t>
        </is>
      </c>
      <c r="B3961" s="5" t="inlineStr">
        <is>
          <t>Development</t>
        </is>
      </c>
      <c r="C3961" s="6" t="inlineStr">
        <is>
          <t>2026_MSME_1194976_1</t>
        </is>
      </c>
      <c r="D3961" s="7" t="inlineStr">
        <is>
          <t>[Work of supply/installation of open gym in medicinal garden in Nagar Panchayat Gopamau of development block Tandiyawan in Hardoi district.]</t>
        </is>
      </c>
      <c r="E3961" s="7" t="inlineStr">
        <is>
          <t>Uttar Pradesh Public Works &amp; Technology Department</t>
        </is>
      </c>
      <c r="F3961" s="6" t="inlineStr">
        <is>
          <t>18 Oct 2026</t>
        </is>
      </c>
      <c r="G3961" s="5" t="inlineStr">
        <is>
          <t>16 Nov 2026</t>
        </is>
      </c>
      <c r="H3961" s="17" t="inlineStr">
        <is>
          <t>🟢 LIVE ACTIVE</t>
        </is>
      </c>
      <c r="I3961" s="4" t="inlineStr">
        <is>
          <t>BOQ_2256516.xls</t>
        </is>
      </c>
      <c r="J3961" s="6" t="inlineStr">
        <is>
          <t>📊 Excel BOQ</t>
        </is>
      </c>
      <c r="K3961" s="9" t="n">
        <v>2.5</v>
      </c>
      <c r="L3961" s="10">
        <f>HYPERLINK("http://127.0.0.1:8000/api/documents/download?id=913&amp;attachment=true", "⬇ Download BOQ_2256516.xls")</f>
        <v/>
      </c>
      <c r="M3961" s="10">
        <f>HYPERLINK("http://localhost:5173/?state=Uttar%20Pradesh&amp;keyword=Development&amp;tender=2026_MSME_1194976_1", "🚀 Open in Portal")</f>
        <v/>
      </c>
    </row>
    <row r="3962" ht="24" customHeight="1">
      <c r="A3962" s="11" t="inlineStr">
        <is>
          <t>Uttar Pradesh</t>
        </is>
      </c>
      <c r="B3962" s="12" t="inlineStr">
        <is>
          <t>Development</t>
        </is>
      </c>
      <c r="C3962" s="13" t="inlineStr">
        <is>
          <t>2026_MSME_1194976_1</t>
        </is>
      </c>
      <c r="D3962" s="14" t="inlineStr">
        <is>
          <t>[Work of supply/installation of open gym in medicinal garden in Nagar Panchayat Gopamau of development block Tandiyawan in Hardoi district.]</t>
        </is>
      </c>
      <c r="E3962" s="14" t="inlineStr">
        <is>
          <t>Uttar Pradesh Public Works &amp; Technology Department</t>
        </is>
      </c>
      <c r="F3962" s="13" t="inlineStr">
        <is>
          <t>18 Oct 2026</t>
        </is>
      </c>
      <c r="G3962" s="12" t="inlineStr">
        <is>
          <t>16 Nov 2026</t>
        </is>
      </c>
      <c r="H3962" s="17" t="inlineStr">
        <is>
          <t>🟢 LIVE ACTIVE</t>
        </is>
      </c>
      <c r="I3962" s="11" t="inlineStr">
        <is>
          <t>Tender_2026_MSME_1194976_1_All_Documents.zip</t>
        </is>
      </c>
      <c r="J3962" s="13" t="inlineStr">
        <is>
          <t>📦 ZIP Package</t>
        </is>
      </c>
      <c r="K3962" s="15" t="n">
        <v>11.6</v>
      </c>
      <c r="L3962" s="16">
        <f>HYPERLINK("http://127.0.0.1:8000/api/documents/download?id=914&amp;attachment=true", "⬇ Download Tender_2026_MSME_1194976")</f>
        <v/>
      </c>
      <c r="M3962" s="16">
        <f>HYPERLINK("http://localhost:5173/?state=Uttar%20Pradesh&amp;keyword=Development&amp;tender=2026_MSME_1194976_1", "🚀 Open in Portal")</f>
        <v/>
      </c>
    </row>
    <row r="3963" ht="24" customHeight="1">
      <c r="A3963" s="4" t="inlineStr">
        <is>
          <t>Uttar Pradesh</t>
        </is>
      </c>
      <c r="B3963" s="5" t="inlineStr">
        <is>
          <t>Development</t>
        </is>
      </c>
      <c r="C3963" s="6" t="inlineStr">
        <is>
          <t>2026_MSME_1194976_2</t>
        </is>
      </c>
      <c r="D3963" s="7" t="inlineStr">
        <is>
          <t>[Work of supply/installation of open gym in Smt. Nirmala Singh Inter College Nevada M. Lehna of Development Block Hariyawan in Hardoi district.]</t>
        </is>
      </c>
      <c r="E3963" s="7" t="inlineStr">
        <is>
          <t>Uttar Pradesh Public Works &amp; Technology Department</t>
        </is>
      </c>
      <c r="F3963" s="6" t="inlineStr">
        <is>
          <t>08 Oct 2026</t>
        </is>
      </c>
      <c r="G3963" s="5" t="inlineStr">
        <is>
          <t>03 Nov 2026</t>
        </is>
      </c>
      <c r="H3963" s="17" t="inlineStr">
        <is>
          <t>🟢 LIVE ACTIVE</t>
        </is>
      </c>
      <c r="I3963" s="4" t="inlineStr">
        <is>
          <t>Tendernotice_1.pdf</t>
        </is>
      </c>
      <c r="J3963" s="6" t="inlineStr">
        <is>
          <t>📕 PDF Document</t>
        </is>
      </c>
      <c r="K3963" s="9" t="n">
        <v>17.9</v>
      </c>
      <c r="L3963" s="10">
        <f>HYPERLINK("http://127.0.0.1:8000/api/documents/download?id=905&amp;attachment=true", "⬇ Download Tendernotice_1.pdf")</f>
        <v/>
      </c>
      <c r="M3963" s="10">
        <f>HYPERLINK("http://localhost:5173/?state=Uttar%20Pradesh&amp;keyword=Development&amp;tender=2026_MSME_1194976_2", "🚀 Open in Portal")</f>
        <v/>
      </c>
    </row>
    <row r="3964" ht="24" customHeight="1">
      <c r="A3964" s="11" t="inlineStr">
        <is>
          <t>Uttar Pradesh</t>
        </is>
      </c>
      <c r="B3964" s="12" t="inlineStr">
        <is>
          <t>Development</t>
        </is>
      </c>
      <c r="C3964" s="13" t="inlineStr">
        <is>
          <t>2026_MSME_1194976_2</t>
        </is>
      </c>
      <c r="D3964" s="14" t="inlineStr">
        <is>
          <t>[Work of supply/installation of open gym in Smt. Nirmala Singh Inter College Nevada M. Lehna of Development Block Hariyawan in Hardoi district.]</t>
        </is>
      </c>
      <c r="E3964" s="14" t="inlineStr">
        <is>
          <t>Uttar Pradesh Public Works &amp; Technology Department</t>
        </is>
      </c>
      <c r="F3964" s="13" t="inlineStr">
        <is>
          <t>08 Oct 2026</t>
        </is>
      </c>
      <c r="G3964" s="12" t="inlineStr">
        <is>
          <t>03 Nov 2026</t>
        </is>
      </c>
      <c r="H3964" s="17" t="inlineStr">
        <is>
          <t>🟢 LIVE ACTIVE</t>
        </is>
      </c>
      <c r="I3964" s="11" t="inlineStr">
        <is>
          <t>BOQ_2256531.xls</t>
        </is>
      </c>
      <c r="J3964" s="13" t="inlineStr">
        <is>
          <t>📊 Excel BOQ</t>
        </is>
      </c>
      <c r="K3964" s="15" t="n">
        <v>2.5</v>
      </c>
      <c r="L3964" s="16">
        <f>HYPERLINK("http://127.0.0.1:8000/api/documents/download?id=906&amp;attachment=true", "⬇ Download BOQ_2256531.xls")</f>
        <v/>
      </c>
      <c r="M3964" s="16">
        <f>HYPERLINK("http://localhost:5173/?state=Uttar%20Pradesh&amp;keyword=Development&amp;tender=2026_MSME_1194976_2", "🚀 Open in Portal")</f>
        <v/>
      </c>
    </row>
    <row r="3965" ht="24" customHeight="1">
      <c r="A3965" s="4" t="inlineStr">
        <is>
          <t>Uttar Pradesh</t>
        </is>
      </c>
      <c r="B3965" s="5" t="inlineStr">
        <is>
          <t>Development</t>
        </is>
      </c>
      <c r="C3965" s="6" t="inlineStr">
        <is>
          <t>2026_MSME_1194976_2</t>
        </is>
      </c>
      <c r="D3965" s="7" t="inlineStr">
        <is>
          <t>[Work of supply/installation of open gym in Smt. Nirmala Singh Inter College Nevada M. Lehna of Development Block Hariyawan in Hardoi district.]</t>
        </is>
      </c>
      <c r="E3965" s="7" t="inlineStr">
        <is>
          <t>Uttar Pradesh Public Works &amp; Technology Department</t>
        </is>
      </c>
      <c r="F3965" s="6" t="inlineStr">
        <is>
          <t>08 Oct 2026</t>
        </is>
      </c>
      <c r="G3965" s="5" t="inlineStr">
        <is>
          <t>03 Nov 2026</t>
        </is>
      </c>
      <c r="H3965" s="17" t="inlineStr">
        <is>
          <t>🟢 LIVE ACTIVE</t>
        </is>
      </c>
      <c r="I3965" s="4" t="inlineStr">
        <is>
          <t>Tender_2026_MSME_1194976_2_All_Documents.zip</t>
        </is>
      </c>
      <c r="J3965" s="6" t="inlineStr">
        <is>
          <t>📦 ZIP Package</t>
        </is>
      </c>
      <c r="K3965" s="9" t="n">
        <v>11.6</v>
      </c>
      <c r="L3965" s="10">
        <f>HYPERLINK("http://127.0.0.1:8000/api/documents/download?id=907&amp;attachment=true", "⬇ Download Tender_2026_MSME_1194976")</f>
        <v/>
      </c>
      <c r="M3965" s="10">
        <f>HYPERLINK("http://localhost:5173/?state=Uttar%20Pradesh&amp;keyword=Development&amp;tender=2026_MSME_1194976_2", "🚀 Open in Portal")</f>
        <v/>
      </c>
    </row>
    <row r="3966" ht="24" customHeight="1">
      <c r="A3966" s="11" t="inlineStr">
        <is>
          <t>Uttar Pradesh</t>
        </is>
      </c>
      <c r="B3966" s="12" t="inlineStr">
        <is>
          <t>Development</t>
        </is>
      </c>
      <c r="C3966" s="13" t="inlineStr">
        <is>
          <t>2026_MSME_1194976_4</t>
        </is>
      </c>
      <c r="D3966" s="14" t="inlineStr">
        <is>
          <t>[Work of supply/installation of open gym in Primary School, Gram Panchayat Padri, Development Block Hariyawan in District Hardoi.]</t>
        </is>
      </c>
      <c r="E3966" s="14" t="inlineStr">
        <is>
          <t>Uttar Pradesh Public Works &amp; Technology Department</t>
        </is>
      </c>
      <c r="F3966" s="13" t="inlineStr">
        <is>
          <t>24 Jul 2026</t>
        </is>
      </c>
      <c r="G3966" s="12" t="inlineStr">
        <is>
          <t>14 Aug 2026</t>
        </is>
      </c>
      <c r="H3966" s="8" t="inlineStr">
        <is>
          <t>⏳ UPCOMING</t>
        </is>
      </c>
      <c r="I3966" s="11" t="inlineStr">
        <is>
          <t>Tendernotice_1.pdf</t>
        </is>
      </c>
      <c r="J3966" s="13" t="inlineStr">
        <is>
          <t>📕 PDF Document</t>
        </is>
      </c>
      <c r="K3966" s="15" t="n">
        <v>17.9</v>
      </c>
      <c r="L3966" s="16">
        <f>HYPERLINK("http://127.0.0.1:8000/api/documents/download?id=915&amp;attachment=true", "⬇ Download Tendernotice_1.pdf")</f>
        <v/>
      </c>
      <c r="M3966" s="16">
        <f>HYPERLINK("http://localhost:5173/?state=Uttar%20Pradesh&amp;keyword=Development&amp;tender=2026_MSME_1194976_4", "🚀 Open in Portal")</f>
        <v/>
      </c>
    </row>
    <row r="3967" ht="24" customHeight="1">
      <c r="A3967" s="4" t="inlineStr">
        <is>
          <t>Uttar Pradesh</t>
        </is>
      </c>
      <c r="B3967" s="5" t="inlineStr">
        <is>
          <t>Development</t>
        </is>
      </c>
      <c r="C3967" s="6" t="inlineStr">
        <is>
          <t>2026_MSME_1194976_4</t>
        </is>
      </c>
      <c r="D3967" s="7" t="inlineStr">
        <is>
          <t>[Work of supply/installation of open gym in Primary School, Gram Panchayat Padri, Development Block Hariyawan in District Hardoi.]</t>
        </is>
      </c>
      <c r="E3967" s="7" t="inlineStr">
        <is>
          <t>Uttar Pradesh Public Works &amp; Technology Department</t>
        </is>
      </c>
      <c r="F3967" s="6" t="inlineStr">
        <is>
          <t>24 Jul 2026</t>
        </is>
      </c>
      <c r="G3967" s="5" t="inlineStr">
        <is>
          <t>14 Aug 2026</t>
        </is>
      </c>
      <c r="H3967" s="8" t="inlineStr">
        <is>
          <t>⏳ UPCOMING</t>
        </is>
      </c>
      <c r="I3967" s="4" t="inlineStr">
        <is>
          <t>BOQ_2256549.xls</t>
        </is>
      </c>
      <c r="J3967" s="6" t="inlineStr">
        <is>
          <t>📊 Excel BOQ</t>
        </is>
      </c>
      <c r="K3967" s="9" t="n">
        <v>2.5</v>
      </c>
      <c r="L3967" s="10">
        <f>HYPERLINK("http://127.0.0.1:8000/api/documents/download?id=916&amp;attachment=true", "⬇ Download BOQ_2256549.xls")</f>
        <v/>
      </c>
      <c r="M3967" s="10">
        <f>HYPERLINK("http://localhost:5173/?state=Uttar%20Pradesh&amp;keyword=Development&amp;tender=2026_MSME_1194976_4", "🚀 Open in Portal")</f>
        <v/>
      </c>
    </row>
    <row r="3968" ht="24" customHeight="1">
      <c r="A3968" s="11" t="inlineStr">
        <is>
          <t>Uttar Pradesh</t>
        </is>
      </c>
      <c r="B3968" s="12" t="inlineStr">
        <is>
          <t>Development</t>
        </is>
      </c>
      <c r="C3968" s="13" t="inlineStr">
        <is>
          <t>2026_MSME_1194976_4</t>
        </is>
      </c>
      <c r="D3968" s="14" t="inlineStr">
        <is>
          <t>[Work of supply/installation of open gym in Primary School, Gram Panchayat Padri, Development Block Hariyawan in District Hardoi.]</t>
        </is>
      </c>
      <c r="E3968" s="14" t="inlineStr">
        <is>
          <t>Uttar Pradesh Public Works &amp; Technology Department</t>
        </is>
      </c>
      <c r="F3968" s="13" t="inlineStr">
        <is>
          <t>24 Jul 2026</t>
        </is>
      </c>
      <c r="G3968" s="12" t="inlineStr">
        <is>
          <t>14 Aug 2026</t>
        </is>
      </c>
      <c r="H3968" s="8" t="inlineStr">
        <is>
          <t>⏳ UPCOMING</t>
        </is>
      </c>
      <c r="I3968" s="11" t="inlineStr">
        <is>
          <t>Tender_2026_MSME_1194976_4_All_Documents.zip</t>
        </is>
      </c>
      <c r="J3968" s="13" t="inlineStr">
        <is>
          <t>📦 ZIP Package</t>
        </is>
      </c>
      <c r="K3968" s="15" t="n">
        <v>11.6</v>
      </c>
      <c r="L3968" s="16">
        <f>HYPERLINK("http://127.0.0.1:8000/api/documents/download?id=917&amp;attachment=true", "⬇ Download Tender_2026_MSME_1194976")</f>
        <v/>
      </c>
      <c r="M3968" s="16">
        <f>HYPERLINK("http://localhost:5173/?state=Uttar%20Pradesh&amp;keyword=Development&amp;tender=2026_MSME_1194976_4", "🚀 Open in Portal")</f>
        <v/>
      </c>
    </row>
    <row r="3969" ht="24" customHeight="1">
      <c r="A3969" s="4" t="inlineStr">
        <is>
          <t>Uttar Pradesh</t>
        </is>
      </c>
      <c r="B3969" s="5" t="inlineStr">
        <is>
          <t>Development</t>
        </is>
      </c>
      <c r="C3969" s="6" t="inlineStr">
        <is>
          <t>2026_MSME_1194976_5</t>
        </is>
      </c>
      <c r="D3969" s="7" t="inlineStr">
        <is>
          <t>[Supply/installation of open gym in Gram Panchayat Muradpur in plot number-172 near RRC center of development block Hariyawan in Hardoi district.]</t>
        </is>
      </c>
      <c r="E3969" s="7" t="inlineStr">
        <is>
          <t>Uttar Pradesh Public Works &amp; Technology Department</t>
        </is>
      </c>
      <c r="F3969" s="6" t="inlineStr">
        <is>
          <t>29 Jul 2026</t>
        </is>
      </c>
      <c r="G3969" s="5" t="inlineStr">
        <is>
          <t>24 Aug 2026</t>
        </is>
      </c>
      <c r="H3969" s="8" t="inlineStr">
        <is>
          <t>⏳ UPCOMING</t>
        </is>
      </c>
      <c r="I3969" s="4" t="inlineStr">
        <is>
          <t>Tendernotice_1.pdf</t>
        </is>
      </c>
      <c r="J3969" s="6" t="inlineStr">
        <is>
          <t>📕 PDF Document</t>
        </is>
      </c>
      <c r="K3969" s="9" t="n">
        <v>17.9</v>
      </c>
      <c r="L3969" s="10">
        <f>HYPERLINK("http://127.0.0.1:8000/api/documents/download?id=918&amp;attachment=true", "⬇ Download Tendernotice_1.pdf")</f>
        <v/>
      </c>
      <c r="M3969" s="10">
        <f>HYPERLINK("http://localhost:5173/?state=Uttar%20Pradesh&amp;keyword=Development&amp;tender=2026_MSME_1194976_5", "🚀 Open in Portal")</f>
        <v/>
      </c>
    </row>
    <row r="3970" ht="24" customHeight="1">
      <c r="A3970" s="11" t="inlineStr">
        <is>
          <t>Uttar Pradesh</t>
        </is>
      </c>
      <c r="B3970" s="12" t="inlineStr">
        <is>
          <t>Development</t>
        </is>
      </c>
      <c r="C3970" s="13" t="inlineStr">
        <is>
          <t>2026_MSME_1194976_5</t>
        </is>
      </c>
      <c r="D3970" s="14" t="inlineStr">
        <is>
          <t>[Supply/installation of open gym in Gram Panchayat Muradpur in plot number-172 near RRC center of development block Hariyawan in Hardoi district.]</t>
        </is>
      </c>
      <c r="E3970" s="14" t="inlineStr">
        <is>
          <t>Uttar Pradesh Public Works &amp; Technology Department</t>
        </is>
      </c>
      <c r="F3970" s="13" t="inlineStr">
        <is>
          <t>29 Jul 2026</t>
        </is>
      </c>
      <c r="G3970" s="12" t="inlineStr">
        <is>
          <t>24 Aug 2026</t>
        </is>
      </c>
      <c r="H3970" s="8" t="inlineStr">
        <is>
          <t>⏳ UPCOMING</t>
        </is>
      </c>
      <c r="I3970" s="11" t="inlineStr">
        <is>
          <t>BOQ_2256559.xls</t>
        </is>
      </c>
      <c r="J3970" s="13" t="inlineStr">
        <is>
          <t>📊 Excel BOQ</t>
        </is>
      </c>
      <c r="K3970" s="15" t="n">
        <v>2.5</v>
      </c>
      <c r="L3970" s="16">
        <f>HYPERLINK("http://127.0.0.1:8000/api/documents/download?id=919&amp;attachment=true", "⬇ Download BOQ_2256559.xls")</f>
        <v/>
      </c>
      <c r="M3970" s="16">
        <f>HYPERLINK("http://localhost:5173/?state=Uttar%20Pradesh&amp;keyword=Development&amp;tender=2026_MSME_1194976_5", "🚀 Open in Portal")</f>
        <v/>
      </c>
    </row>
    <row r="3971" ht="24" customHeight="1">
      <c r="A3971" s="4" t="inlineStr">
        <is>
          <t>Uttar Pradesh</t>
        </is>
      </c>
      <c r="B3971" s="5" t="inlineStr">
        <is>
          <t>Development</t>
        </is>
      </c>
      <c r="C3971" s="6" t="inlineStr">
        <is>
          <t>2026_MSME_1194976_5</t>
        </is>
      </c>
      <c r="D3971" s="7" t="inlineStr">
        <is>
          <t>[Supply/installation of open gym in Gram Panchayat Muradpur in plot number-172 near RRC center of development block Hariyawan in Hardoi district.]</t>
        </is>
      </c>
      <c r="E3971" s="7" t="inlineStr">
        <is>
          <t>Uttar Pradesh Public Works &amp; Technology Department</t>
        </is>
      </c>
      <c r="F3971" s="6" t="inlineStr">
        <is>
          <t>29 Jul 2026</t>
        </is>
      </c>
      <c r="G3971" s="5" t="inlineStr">
        <is>
          <t>24 Aug 2026</t>
        </is>
      </c>
      <c r="H3971" s="8" t="inlineStr">
        <is>
          <t>⏳ UPCOMING</t>
        </is>
      </c>
      <c r="I3971" s="4" t="inlineStr">
        <is>
          <t>Tender_2026_MSME_1194976_5_All_Documents.zip</t>
        </is>
      </c>
      <c r="J3971" s="6" t="inlineStr">
        <is>
          <t>📦 ZIP Package</t>
        </is>
      </c>
      <c r="K3971" s="9" t="n">
        <v>11.6</v>
      </c>
      <c r="L3971" s="10">
        <f>HYPERLINK("http://127.0.0.1:8000/api/documents/download?id=920&amp;attachment=true", "⬇ Download Tender_2026_MSME_1194976")</f>
        <v/>
      </c>
      <c r="M3971" s="10">
        <f>HYPERLINK("http://localhost:5173/?state=Uttar%20Pradesh&amp;keyword=Development&amp;tender=2026_MSME_1194976_5", "🚀 Open in Portal")</f>
        <v/>
      </c>
    </row>
    <row r="3972" ht="24" customHeight="1">
      <c r="A3972" s="11" t="inlineStr">
        <is>
          <t>Uttar Pradesh</t>
        </is>
      </c>
      <c r="B3972" s="12" t="inlineStr">
        <is>
          <t>Development</t>
        </is>
      </c>
      <c r="C3972" s="13" t="inlineStr">
        <is>
          <t>2026_MSME_1194976_6</t>
        </is>
      </c>
      <c r="D3972" s="14" t="inlineStr">
        <is>
          <t>[Supply/installation of open gym in Shri Shyam Saraswati Montessori School, Gram Panchayat Bhadaura, Development Block Hariyawan, District Hardoi]</t>
        </is>
      </c>
      <c r="E3972" s="14" t="inlineStr">
        <is>
          <t>Uttar Pradesh Public Works &amp; Technology Department</t>
        </is>
      </c>
      <c r="F3972" s="13" t="inlineStr">
        <is>
          <t>23 Oct 2026</t>
        </is>
      </c>
      <c r="G3972" s="12" t="inlineStr">
        <is>
          <t>13 Nov 2026</t>
        </is>
      </c>
      <c r="H3972" s="8" t="inlineStr">
        <is>
          <t>⏳ UPCOMING</t>
        </is>
      </c>
      <c r="I3972" s="11" t="inlineStr">
        <is>
          <t>Tendernotice_1.pdf</t>
        </is>
      </c>
      <c r="J3972" s="13" t="inlineStr">
        <is>
          <t>📕 PDF Document</t>
        </is>
      </c>
      <c r="K3972" s="15" t="n">
        <v>17.9</v>
      </c>
      <c r="L3972" s="16">
        <f>HYPERLINK("http://127.0.0.1:8000/api/documents/download?id=893&amp;attachment=true", "⬇ Download Tendernotice_1.pdf")</f>
        <v/>
      </c>
      <c r="M3972" s="16">
        <f>HYPERLINK("http://localhost:5173/?state=Uttar%20Pradesh&amp;keyword=Development&amp;tender=2026_MSME_1194976_6", "🚀 Open in Portal")</f>
        <v/>
      </c>
    </row>
    <row r="3973" ht="24" customHeight="1">
      <c r="A3973" s="4" t="inlineStr">
        <is>
          <t>Uttar Pradesh</t>
        </is>
      </c>
      <c r="B3973" s="5" t="inlineStr">
        <is>
          <t>Development</t>
        </is>
      </c>
      <c r="C3973" s="6" t="inlineStr">
        <is>
          <t>2026_MSME_1194976_6</t>
        </is>
      </c>
      <c r="D3973" s="7" t="inlineStr">
        <is>
          <t>[Supply/installation of open gym in Shri Shyam Saraswati Montessori School, Gram Panchayat Bhadaura, Development Block Hariyawan, District Hardoi]</t>
        </is>
      </c>
      <c r="E3973" s="7" t="inlineStr">
        <is>
          <t>Uttar Pradesh Public Works &amp; Technology Department</t>
        </is>
      </c>
      <c r="F3973" s="6" t="inlineStr">
        <is>
          <t>23 Oct 2026</t>
        </is>
      </c>
      <c r="G3973" s="5" t="inlineStr">
        <is>
          <t>13 Nov 2026</t>
        </is>
      </c>
      <c r="H3973" s="8" t="inlineStr">
        <is>
          <t>⏳ UPCOMING</t>
        </is>
      </c>
      <c r="I3973" s="4" t="inlineStr">
        <is>
          <t>BOQ_2256566.xls</t>
        </is>
      </c>
      <c r="J3973" s="6" t="inlineStr">
        <is>
          <t>📊 Excel BOQ</t>
        </is>
      </c>
      <c r="K3973" s="9" t="n">
        <v>2.5</v>
      </c>
      <c r="L3973" s="10">
        <f>HYPERLINK("http://127.0.0.1:8000/api/documents/download?id=894&amp;attachment=true", "⬇ Download BOQ_2256566.xls")</f>
        <v/>
      </c>
      <c r="M3973" s="10">
        <f>HYPERLINK("http://localhost:5173/?state=Uttar%20Pradesh&amp;keyword=Development&amp;tender=2026_MSME_1194976_6", "🚀 Open in Portal")</f>
        <v/>
      </c>
    </row>
    <row r="3974" ht="24" customHeight="1">
      <c r="A3974" s="11" t="inlineStr">
        <is>
          <t>Uttar Pradesh</t>
        </is>
      </c>
      <c r="B3974" s="12" t="inlineStr">
        <is>
          <t>Development</t>
        </is>
      </c>
      <c r="C3974" s="13" t="inlineStr">
        <is>
          <t>2026_MSME_1194976_6</t>
        </is>
      </c>
      <c r="D3974" s="14" t="inlineStr">
        <is>
          <t>[Supply/installation of open gym in Shri Shyam Saraswati Montessori School, Gram Panchayat Bhadaura, Development Block Hariyawan, District Hardoi]</t>
        </is>
      </c>
      <c r="E3974" s="14" t="inlineStr">
        <is>
          <t>Uttar Pradesh Public Works &amp; Technology Department</t>
        </is>
      </c>
      <c r="F3974" s="13" t="inlineStr">
        <is>
          <t>23 Oct 2026</t>
        </is>
      </c>
      <c r="G3974" s="12" t="inlineStr">
        <is>
          <t>13 Nov 2026</t>
        </is>
      </c>
      <c r="H3974" s="8" t="inlineStr">
        <is>
          <t>⏳ UPCOMING</t>
        </is>
      </c>
      <c r="I3974" s="11" t="inlineStr">
        <is>
          <t>Tender_2026_MSME_1194976_6_All_Documents.zip</t>
        </is>
      </c>
      <c r="J3974" s="13" t="inlineStr">
        <is>
          <t>📦 ZIP Package</t>
        </is>
      </c>
      <c r="K3974" s="15" t="n">
        <v>11.6</v>
      </c>
      <c r="L3974" s="16">
        <f>HYPERLINK("http://127.0.0.1:8000/api/documents/download?id=895&amp;attachment=true", "⬇ Download Tender_2026_MSME_1194976")</f>
        <v/>
      </c>
      <c r="M3974" s="16">
        <f>HYPERLINK("http://localhost:5173/?state=Uttar%20Pradesh&amp;keyword=Development&amp;tender=2026_MSME_1194976_6", "🚀 Open in Portal")</f>
        <v/>
      </c>
    </row>
    <row r="3975" ht="24" customHeight="1">
      <c r="A3975" s="4" t="inlineStr">
        <is>
          <t>Uttar Pradesh</t>
        </is>
      </c>
      <c r="B3975" s="5" t="inlineStr">
        <is>
          <t>Development</t>
        </is>
      </c>
      <c r="C3975" s="6" t="inlineStr">
        <is>
          <t>2026_SCIDC_1194999_1</t>
        </is>
      </c>
      <c r="D3975" s="7" t="inlineStr">
        <is>
          <t>[SITE DEVELOPMENT WORK OF THE STATUE OF DR. B.R. AMBEDKAR, INSTALLED IN VILLAGE GAYAK, WARD NAGAR RAIPOURA ROAD, FIROZABAD DISTRICT UNDER DR. B.R. AMBEDKAR STATUE DEVELOPMENT SCHEME.]</t>
        </is>
      </c>
      <c r="E3975" s="7" t="inlineStr">
        <is>
          <t>Uttar Pradesh Public Works &amp; Technology Department</t>
        </is>
      </c>
      <c r="F3975" s="6" t="inlineStr">
        <is>
          <t>10 Sep 2026</t>
        </is>
      </c>
      <c r="G3975" s="5" t="inlineStr">
        <is>
          <t>06 Oct 2026</t>
        </is>
      </c>
      <c r="H3975" s="8" t="inlineStr">
        <is>
          <t>⏳ UPCOMING</t>
        </is>
      </c>
      <c r="I3975" s="4" t="inlineStr">
        <is>
          <t>Tendernotice_1.pdf</t>
        </is>
      </c>
      <c r="J3975" s="6" t="inlineStr">
        <is>
          <t>📕 PDF Document</t>
        </is>
      </c>
      <c r="K3975" s="9" t="n">
        <v>17.9</v>
      </c>
      <c r="L3975" s="10">
        <f>HYPERLINK("http://127.0.0.1:8000/api/documents/download?id=882&amp;attachment=true", "⬇ Download Tendernotice_1.pdf")</f>
        <v/>
      </c>
      <c r="M3975" s="10">
        <f>HYPERLINK("http://localhost:5173/?state=Uttar%20Pradesh&amp;keyword=Development&amp;tender=2026_SCIDC_1194999_1", "🚀 Open in Portal")</f>
        <v/>
      </c>
    </row>
    <row r="3976" ht="24" customHeight="1">
      <c r="A3976" s="11" t="inlineStr">
        <is>
          <t>Uttar Pradesh</t>
        </is>
      </c>
      <c r="B3976" s="12" t="inlineStr">
        <is>
          <t>Development</t>
        </is>
      </c>
      <c r="C3976" s="13" t="inlineStr">
        <is>
          <t>2026_SCIDC_1194999_1</t>
        </is>
      </c>
      <c r="D3976" s="14" t="inlineStr">
        <is>
          <t>[SITE DEVELOPMENT WORK OF THE STATUE OF DR. B.R. AMBEDKAR, INSTALLED IN VILLAGE GAYAK, WARD NAGAR RAIPOURA ROAD, FIROZABAD DISTRICT UNDER DR. B.R. AMBEDKAR STATUE DEVELOPMENT SCHEME.]</t>
        </is>
      </c>
      <c r="E3976" s="14" t="inlineStr">
        <is>
          <t>Uttar Pradesh Public Works &amp; Technology Department</t>
        </is>
      </c>
      <c r="F3976" s="13" t="inlineStr">
        <is>
          <t>10 Sep 2026</t>
        </is>
      </c>
      <c r="G3976" s="12" t="inlineStr">
        <is>
          <t>06 Oct 2026</t>
        </is>
      </c>
      <c r="H3976" s="8" t="inlineStr">
        <is>
          <t>⏳ UPCOMING</t>
        </is>
      </c>
      <c r="I3976" s="11" t="inlineStr">
        <is>
          <t>AOC55.pdf</t>
        </is>
      </c>
      <c r="J3976" s="13" t="inlineStr">
        <is>
          <t>📕 PDF Document</t>
        </is>
      </c>
      <c r="K3976" s="15" t="n">
        <v>17.8</v>
      </c>
      <c r="L3976" s="16">
        <f>HYPERLINK("http://127.0.0.1:8000/api/documents/download?id=883&amp;attachment=true", "⬇ Download AOC55.pdf")</f>
        <v/>
      </c>
      <c r="M3976" s="16">
        <f>HYPERLINK("http://localhost:5173/?state=Uttar%20Pradesh&amp;keyword=Development&amp;tender=2026_SCIDC_1194999_1", "🚀 Open in Portal")</f>
        <v/>
      </c>
    </row>
    <row r="3977" ht="24" customHeight="1">
      <c r="A3977" s="4" t="inlineStr">
        <is>
          <t>Uttar Pradesh</t>
        </is>
      </c>
      <c r="B3977" s="5" t="inlineStr">
        <is>
          <t>Development</t>
        </is>
      </c>
      <c r="C3977" s="6" t="inlineStr">
        <is>
          <t>2026_SCIDC_1194999_1</t>
        </is>
      </c>
      <c r="D3977" s="7" t="inlineStr">
        <is>
          <t>[SITE DEVELOPMENT WORK OF THE STATUE OF DR. B.R. AMBEDKAR, INSTALLED IN VILLAGE GAYAK, WARD NAGAR RAIPOURA ROAD, FIROZABAD DISTRICT UNDER DR. B.R. AMBEDKAR STATUE DEVELOPMENT SCHEME.]</t>
        </is>
      </c>
      <c r="E3977" s="7" t="inlineStr">
        <is>
          <t>Uttar Pradesh Public Works &amp; Technology Department</t>
        </is>
      </c>
      <c r="F3977" s="6" t="inlineStr">
        <is>
          <t>10 Sep 2026</t>
        </is>
      </c>
      <c r="G3977" s="5" t="inlineStr">
        <is>
          <t>06 Oct 2026</t>
        </is>
      </c>
      <c r="H3977" s="8" t="inlineStr">
        <is>
          <t>⏳ UPCOMING</t>
        </is>
      </c>
      <c r="I3977" s="4" t="inlineStr">
        <is>
          <t>BOQ_2256631.xls</t>
        </is>
      </c>
      <c r="J3977" s="6" t="inlineStr">
        <is>
          <t>📊 Excel BOQ</t>
        </is>
      </c>
      <c r="K3977" s="9" t="n">
        <v>2.5</v>
      </c>
      <c r="L3977" s="10">
        <f>HYPERLINK("http://127.0.0.1:8000/api/documents/download?id=884&amp;attachment=true", "⬇ Download BOQ_2256631.xls")</f>
        <v/>
      </c>
      <c r="M3977" s="10">
        <f>HYPERLINK("http://localhost:5173/?state=Uttar%20Pradesh&amp;keyword=Development&amp;tender=2026_SCIDC_1194999_1", "🚀 Open in Portal")</f>
        <v/>
      </c>
    </row>
    <row r="3978" ht="24" customHeight="1">
      <c r="A3978" s="11" t="inlineStr">
        <is>
          <t>Uttar Pradesh</t>
        </is>
      </c>
      <c r="B3978" s="12" t="inlineStr">
        <is>
          <t>Development</t>
        </is>
      </c>
      <c r="C3978" s="13" t="inlineStr">
        <is>
          <t>2026_SCIDC_1194999_1</t>
        </is>
      </c>
      <c r="D3978" s="14" t="inlineStr">
        <is>
          <t>[SITE DEVELOPMENT WORK OF THE STATUE OF DR. B.R. AMBEDKAR, INSTALLED IN VILLAGE GAYAK, WARD NAGAR RAIPOURA ROAD, FIROZABAD DISTRICT UNDER DR. B.R. AMBEDKAR STATUE DEVELOPMENT SCHEME.]</t>
        </is>
      </c>
      <c r="E3978" s="14" t="inlineStr">
        <is>
          <t>Uttar Pradesh Public Works &amp; Technology Department</t>
        </is>
      </c>
      <c r="F3978" s="13" t="inlineStr">
        <is>
          <t>10 Sep 2026</t>
        </is>
      </c>
      <c r="G3978" s="12" t="inlineStr">
        <is>
          <t>06 Oct 2026</t>
        </is>
      </c>
      <c r="H3978" s="8" t="inlineStr">
        <is>
          <t>⏳ UPCOMING</t>
        </is>
      </c>
      <c r="I3978" s="11" t="inlineStr">
        <is>
          <t>Tender_2026_SCIDC_1194999_1_All_Documents.zip</t>
        </is>
      </c>
      <c r="J3978" s="13" t="inlineStr">
        <is>
          <t>📦 ZIP Package</t>
        </is>
      </c>
      <c r="K3978" s="15" t="n">
        <v>20.8</v>
      </c>
      <c r="L3978" s="16">
        <f>HYPERLINK("http://127.0.0.1:8000/api/documents/download?id=885&amp;attachment=true", "⬇ Download Tender_2026_SCIDC_119499")</f>
        <v/>
      </c>
      <c r="M3978" s="16">
        <f>HYPERLINK("http://localhost:5173/?state=Uttar%20Pradesh&amp;keyword=Development&amp;tender=2026_SCIDC_1194999_1", "🚀 Open in Portal")</f>
        <v/>
      </c>
    </row>
    <row r="3979" ht="24" customHeight="1">
      <c r="A3979" s="4" t="inlineStr">
        <is>
          <t>Uttar Pradesh</t>
        </is>
      </c>
      <c r="B3979" s="5" t="inlineStr">
        <is>
          <t>Development</t>
        </is>
      </c>
      <c r="C3979" s="6" t="inlineStr">
        <is>
          <t>2026_UPEID_1194719_1</t>
        </is>
      </c>
      <c r="D3979" s="7" t="inlineStr">
        <is>
          <t>[Development of Integrated Manufacturing and Logistics Clusters at Pratapgarh with Concurrent Period of Five Years for Defect Liability Period and Operation and Maintenance on EPC Mode]</t>
        </is>
      </c>
      <c r="E3979" s="7" t="inlineStr">
        <is>
          <t>Uttar Pradesh Public Works &amp; Technology Department</t>
        </is>
      </c>
      <c r="F3979" s="6" t="inlineStr">
        <is>
          <t>26 Aug 2026</t>
        </is>
      </c>
      <c r="G3979" s="5" t="inlineStr">
        <is>
          <t>17 Sep 2026</t>
        </is>
      </c>
      <c r="H3979" s="8" t="inlineStr">
        <is>
          <t>⏳ UPCOMING</t>
        </is>
      </c>
      <c r="I3979" s="4" t="inlineStr">
        <is>
          <t>Tendernotice_1.pdf</t>
        </is>
      </c>
      <c r="J3979" s="6" t="inlineStr">
        <is>
          <t>📕 PDF Document</t>
        </is>
      </c>
      <c r="K3979" s="9" t="n">
        <v>17.9</v>
      </c>
      <c r="L3979" s="10">
        <f>HYPERLINK("http://127.0.0.1:8000/api/documents/download?id=839&amp;attachment=true", "⬇ Download Tendernotice_1.pdf")</f>
        <v/>
      </c>
      <c r="M3979" s="10">
        <f>HYPERLINK("http://localhost:5173/?state=Uttar%20Pradesh&amp;keyword=Development&amp;tender=2026_UPEID_1194719_1", "🚀 Open in Portal")</f>
        <v/>
      </c>
    </row>
    <row r="3980" ht="24" customHeight="1">
      <c r="A3980" s="11" t="inlineStr">
        <is>
          <t>Uttar Pradesh</t>
        </is>
      </c>
      <c r="B3980" s="12" t="inlineStr">
        <is>
          <t>Development</t>
        </is>
      </c>
      <c r="C3980" s="13" t="inlineStr">
        <is>
          <t>2026_UPEID_1194719_1</t>
        </is>
      </c>
      <c r="D3980" s="14" t="inlineStr">
        <is>
          <t>[Development of Integrated Manufacturing and Logistics Clusters at Pratapgarh with Concurrent Period of Five Years for Defect Liability Period and Operation and Maintenance on EPC Mode]</t>
        </is>
      </c>
      <c r="E3980" s="14" t="inlineStr">
        <is>
          <t>Uttar Pradesh Public Works &amp; Technology Department</t>
        </is>
      </c>
      <c r="F3980" s="13" t="inlineStr">
        <is>
          <t>26 Aug 2026</t>
        </is>
      </c>
      <c r="G3980" s="12" t="inlineStr">
        <is>
          <t>17 Sep 2026</t>
        </is>
      </c>
      <c r="H3980" s="8" t="inlineStr">
        <is>
          <t>⏳ UPCOMING</t>
        </is>
      </c>
      <c r="I3980" s="11" t="inlineStr">
        <is>
          <t>BOQ_2255610.xls</t>
        </is>
      </c>
      <c r="J3980" s="13" t="inlineStr">
        <is>
          <t>📊 Excel BOQ</t>
        </is>
      </c>
      <c r="K3980" s="15" t="n">
        <v>2.5</v>
      </c>
      <c r="L3980" s="16">
        <f>HYPERLINK("http://127.0.0.1:8000/api/documents/download?id=840&amp;attachment=true", "⬇ Download BOQ_2255610.xls")</f>
        <v/>
      </c>
      <c r="M3980" s="16">
        <f>HYPERLINK("http://localhost:5173/?state=Uttar%20Pradesh&amp;keyword=Development&amp;tender=2026_UPEID_1194719_1", "🚀 Open in Portal")</f>
        <v/>
      </c>
    </row>
    <row r="3981" ht="24" customHeight="1">
      <c r="A3981" s="4" t="inlineStr">
        <is>
          <t>Uttar Pradesh</t>
        </is>
      </c>
      <c r="B3981" s="5" t="inlineStr">
        <is>
          <t>Development</t>
        </is>
      </c>
      <c r="C3981" s="6" t="inlineStr">
        <is>
          <t>2026_UPEID_1194719_1</t>
        </is>
      </c>
      <c r="D3981" s="7" t="inlineStr">
        <is>
          <t>[Development of Integrated Manufacturing and Logistics Clusters at Pratapgarh with Concurrent Period of Five Years for Defect Liability Period and Operation and Maintenance on EPC Mode]</t>
        </is>
      </c>
      <c r="E3981" s="7" t="inlineStr">
        <is>
          <t>Uttar Pradesh Public Works &amp; Technology Department</t>
        </is>
      </c>
      <c r="F3981" s="6" t="inlineStr">
        <is>
          <t>26 Aug 2026</t>
        </is>
      </c>
      <c r="G3981" s="5" t="inlineStr">
        <is>
          <t>17 Sep 2026</t>
        </is>
      </c>
      <c r="H3981" s="8" t="inlineStr">
        <is>
          <t>⏳ UPCOMING</t>
        </is>
      </c>
      <c r="I3981" s="4" t="inlineStr">
        <is>
          <t>Volume_I_RFP_Pratapgarh.pdf</t>
        </is>
      </c>
      <c r="J3981" s="6" t="inlineStr">
        <is>
          <t>📕 PDF Document</t>
        </is>
      </c>
      <c r="K3981" s="9" t="n">
        <v>17.9</v>
      </c>
      <c r="L3981" s="10">
        <f>HYPERLINK("http://127.0.0.1:8000/api/documents/download?id=841&amp;attachment=true", "⬇ Download Volume_I_RFP_Pratapgarh.")</f>
        <v/>
      </c>
      <c r="M3981" s="10">
        <f>HYPERLINK("http://localhost:5173/?state=Uttar%20Pradesh&amp;keyword=Development&amp;tender=2026_UPEID_1194719_1", "🚀 Open in Portal")</f>
        <v/>
      </c>
    </row>
    <row r="3982" ht="24" customHeight="1">
      <c r="A3982" s="11" t="inlineStr">
        <is>
          <t>Uttar Pradesh</t>
        </is>
      </c>
      <c r="B3982" s="12" t="inlineStr">
        <is>
          <t>Development</t>
        </is>
      </c>
      <c r="C3982" s="13" t="inlineStr">
        <is>
          <t>2026_UPEID_1194719_1</t>
        </is>
      </c>
      <c r="D3982" s="14" t="inlineStr">
        <is>
          <t>[Development of Integrated Manufacturing and Logistics Clusters at Pratapgarh with Concurrent Period of Five Years for Defect Liability Period and Operation and Maintenance on EPC Mode]</t>
        </is>
      </c>
      <c r="E3982" s="14" t="inlineStr">
        <is>
          <t>Uttar Pradesh Public Works &amp; Technology Department</t>
        </is>
      </c>
      <c r="F3982" s="13" t="inlineStr">
        <is>
          <t>26 Aug 2026</t>
        </is>
      </c>
      <c r="G3982" s="12" t="inlineStr">
        <is>
          <t>17 Sep 2026</t>
        </is>
      </c>
      <c r="H3982" s="8" t="inlineStr">
        <is>
          <t>⏳ UPCOMING</t>
        </is>
      </c>
      <c r="I3982" s="11" t="inlineStr">
        <is>
          <t>Volume_II_RFP_Pratapgarh.pdf</t>
        </is>
      </c>
      <c r="J3982" s="13" t="inlineStr">
        <is>
          <t>📕 PDF Document</t>
        </is>
      </c>
      <c r="K3982" s="15" t="n">
        <v>17.9</v>
      </c>
      <c r="L3982" s="16">
        <f>HYPERLINK("http://127.0.0.1:8000/api/documents/download?id=842&amp;attachment=true", "⬇ Download Volume_II_RFP_Pratapgarh")</f>
        <v/>
      </c>
      <c r="M3982" s="16">
        <f>HYPERLINK("http://localhost:5173/?state=Uttar%20Pradesh&amp;keyword=Development&amp;tender=2026_UPEID_1194719_1", "🚀 Open in Portal")</f>
        <v/>
      </c>
    </row>
    <row r="3983" ht="24" customHeight="1">
      <c r="A3983" s="4" t="inlineStr">
        <is>
          <t>Uttar Pradesh</t>
        </is>
      </c>
      <c r="B3983" s="5" t="inlineStr">
        <is>
          <t>Development</t>
        </is>
      </c>
      <c r="C3983" s="6" t="inlineStr">
        <is>
          <t>2026_UPEID_1194719_1</t>
        </is>
      </c>
      <c r="D3983" s="7" t="inlineStr">
        <is>
          <t>[Development of Integrated Manufacturing and Logistics Clusters at Pratapgarh with Concurrent Period of Five Years for Defect Liability Period and Operation and Maintenance on EPC Mode]</t>
        </is>
      </c>
      <c r="E3983" s="7" t="inlineStr">
        <is>
          <t>Uttar Pradesh Public Works &amp; Technology Department</t>
        </is>
      </c>
      <c r="F3983" s="6" t="inlineStr">
        <is>
          <t>26 Aug 2026</t>
        </is>
      </c>
      <c r="G3983" s="5" t="inlineStr">
        <is>
          <t>17 Sep 2026</t>
        </is>
      </c>
      <c r="H3983" s="8" t="inlineStr">
        <is>
          <t>⏳ UPCOMING</t>
        </is>
      </c>
      <c r="I3983" s="4" t="inlineStr">
        <is>
          <t>Volume_III_RFP_Pratapgarh.pdf</t>
        </is>
      </c>
      <c r="J3983" s="6" t="inlineStr">
        <is>
          <t>📕 PDF Document</t>
        </is>
      </c>
      <c r="K3983" s="9" t="n">
        <v>17.9</v>
      </c>
      <c r="L3983" s="10">
        <f>HYPERLINK("http://127.0.0.1:8000/api/documents/download?id=843&amp;attachment=true", "⬇ Download Volume_III_RFP_Pratapgar")</f>
        <v/>
      </c>
      <c r="M3983" s="10">
        <f>HYPERLINK("http://localhost:5173/?state=Uttar%20Pradesh&amp;keyword=Development&amp;tender=2026_UPEID_1194719_1", "🚀 Open in Portal")</f>
        <v/>
      </c>
    </row>
    <row r="3984" ht="24" customHeight="1">
      <c r="A3984" s="11" t="inlineStr">
        <is>
          <t>Uttar Pradesh</t>
        </is>
      </c>
      <c r="B3984" s="12" t="inlineStr">
        <is>
          <t>Development</t>
        </is>
      </c>
      <c r="C3984" s="13" t="inlineStr">
        <is>
          <t>2026_UPEID_1194719_1</t>
        </is>
      </c>
      <c r="D3984" s="14" t="inlineStr">
        <is>
          <t>[Development of Integrated Manufacturing and Logistics Clusters at Pratapgarh with Concurrent Period of Five Years for Defect Liability Period and Operation and Maintenance on EPC Mode]</t>
        </is>
      </c>
      <c r="E3984" s="14" t="inlineStr">
        <is>
          <t>Uttar Pradesh Public Works &amp; Technology Department</t>
        </is>
      </c>
      <c r="F3984" s="13" t="inlineStr">
        <is>
          <t>26 Aug 2026</t>
        </is>
      </c>
      <c r="G3984" s="12" t="inlineStr">
        <is>
          <t>17 Sep 2026</t>
        </is>
      </c>
      <c r="H3984" s="8" t="inlineStr">
        <is>
          <t>⏳ UPCOMING</t>
        </is>
      </c>
      <c r="I3984" s="11" t="inlineStr">
        <is>
          <t>Volume_IV_RFP_Pratapgarh.pdf</t>
        </is>
      </c>
      <c r="J3984" s="13" t="inlineStr">
        <is>
          <t>📕 PDF Document</t>
        </is>
      </c>
      <c r="K3984" s="15" t="n">
        <v>17.9</v>
      </c>
      <c r="L3984" s="16">
        <f>HYPERLINK("http://127.0.0.1:8000/api/documents/download?id=844&amp;attachment=true", "⬇ Download Volume_IV_RFP_Pratapgarh")</f>
        <v/>
      </c>
      <c r="M3984" s="16">
        <f>HYPERLINK("http://localhost:5173/?state=Uttar%20Pradesh&amp;keyword=Development&amp;tender=2026_UPEID_1194719_1", "🚀 Open in Portal")</f>
        <v/>
      </c>
    </row>
    <row r="3985" ht="24" customHeight="1">
      <c r="A3985" s="4" t="inlineStr">
        <is>
          <t>Uttar Pradesh</t>
        </is>
      </c>
      <c r="B3985" s="5" t="inlineStr">
        <is>
          <t>Development</t>
        </is>
      </c>
      <c r="C3985" s="6" t="inlineStr">
        <is>
          <t>2026_UPEID_1194719_1</t>
        </is>
      </c>
      <c r="D3985" s="7" t="inlineStr">
        <is>
          <t>[Development of Integrated Manufacturing and Logistics Clusters at Pratapgarh with Concurrent Period of Five Years for Defect Liability Period and Operation and Maintenance on EPC Mode]</t>
        </is>
      </c>
      <c r="E3985" s="7" t="inlineStr">
        <is>
          <t>Uttar Pradesh Public Works &amp; Technology Department</t>
        </is>
      </c>
      <c r="F3985" s="6" t="inlineStr">
        <is>
          <t>26 Aug 2026</t>
        </is>
      </c>
      <c r="G3985" s="5" t="inlineStr">
        <is>
          <t>17 Sep 2026</t>
        </is>
      </c>
      <c r="H3985" s="8" t="inlineStr">
        <is>
          <t>⏳ UPCOMING</t>
        </is>
      </c>
      <c r="I3985" s="4" t="inlineStr">
        <is>
          <t>Tender_2026_UPEID_1194719_1_All_Documents.zip</t>
        </is>
      </c>
      <c r="J3985" s="6" t="inlineStr">
        <is>
          <t>📦 ZIP Package</t>
        </is>
      </c>
      <c r="K3985" s="9" t="n">
        <v>48.6</v>
      </c>
      <c r="L3985" s="10">
        <f>HYPERLINK("http://127.0.0.1:8000/api/documents/download?id=845&amp;attachment=true", "⬇ Download Tender_2026_UPEID_119471")</f>
        <v/>
      </c>
      <c r="M3985" s="10">
        <f>HYPERLINK("http://localhost:5173/?state=Uttar%20Pradesh&amp;keyword=Development&amp;tender=2026_UPEID_1194719_1", "🚀 Open in Portal")</f>
        <v/>
      </c>
    </row>
    <row r="3986" ht="24" customHeight="1">
      <c r="A3986" s="11" t="inlineStr">
        <is>
          <t>Uttar Pradesh</t>
        </is>
      </c>
      <c r="B3986" s="12" t="inlineStr">
        <is>
          <t>Development</t>
        </is>
      </c>
      <c r="C3986" s="13" t="inlineStr">
        <is>
          <t>2026_UPEID_1194736_1</t>
        </is>
      </c>
      <c r="D3986" s="14" t="inlineStr">
        <is>
          <t>[Development of Integrated Manufacturing and Logistics Clusters at Raebareli with Concurrent Period of Five Years for Defect Liability Period and Operation and Maintenance on EPC Mode]</t>
        </is>
      </c>
      <c r="E3986" s="14" t="inlineStr">
        <is>
          <t>Uttar Pradesh Public Works &amp; Technology Department</t>
        </is>
      </c>
      <c r="F3986" s="13" t="inlineStr">
        <is>
          <t>09 Sep 2026</t>
        </is>
      </c>
      <c r="G3986" s="12" t="inlineStr">
        <is>
          <t>01 Oct 2026</t>
        </is>
      </c>
      <c r="H3986" s="8" t="inlineStr">
        <is>
          <t>⏳ UPCOMING</t>
        </is>
      </c>
      <c r="I3986" s="11" t="inlineStr">
        <is>
          <t>Tendernotice_1.pdf</t>
        </is>
      </c>
      <c r="J3986" s="13" t="inlineStr">
        <is>
          <t>📕 PDF Document</t>
        </is>
      </c>
      <c r="K3986" s="15" t="n">
        <v>17.9</v>
      </c>
      <c r="L3986" s="16">
        <f>HYPERLINK("http://127.0.0.1:8000/api/documents/download?id=846&amp;attachment=true", "⬇ Download Tendernotice_1.pdf")</f>
        <v/>
      </c>
      <c r="M3986" s="16">
        <f>HYPERLINK("http://localhost:5173/?state=Uttar%20Pradesh&amp;keyword=Development&amp;tender=2026_UPEID_1194736_1", "🚀 Open in Portal")</f>
        <v/>
      </c>
    </row>
    <row r="3987" ht="24" customHeight="1">
      <c r="A3987" s="4" t="inlineStr">
        <is>
          <t>Uttar Pradesh</t>
        </is>
      </c>
      <c r="B3987" s="5" t="inlineStr">
        <is>
          <t>Development</t>
        </is>
      </c>
      <c r="C3987" s="6" t="inlineStr">
        <is>
          <t>2026_UPEID_1194736_1</t>
        </is>
      </c>
      <c r="D3987" s="7" t="inlineStr">
        <is>
          <t>[Development of Integrated Manufacturing and Logistics Clusters at Raebareli with Concurrent Period of Five Years for Defect Liability Period and Operation and Maintenance on EPC Mode]</t>
        </is>
      </c>
      <c r="E3987" s="7" t="inlineStr">
        <is>
          <t>Uttar Pradesh Public Works &amp; Technology Department</t>
        </is>
      </c>
      <c r="F3987" s="6" t="inlineStr">
        <is>
          <t>09 Sep 2026</t>
        </is>
      </c>
      <c r="G3987" s="5" t="inlineStr">
        <is>
          <t>01 Oct 2026</t>
        </is>
      </c>
      <c r="H3987" s="8" t="inlineStr">
        <is>
          <t>⏳ UPCOMING</t>
        </is>
      </c>
      <c r="I3987" s="4" t="inlineStr">
        <is>
          <t>Volume_I_RFP_Raebareli.pdf</t>
        </is>
      </c>
      <c r="J3987" s="6" t="inlineStr">
        <is>
          <t>📕 PDF Document</t>
        </is>
      </c>
      <c r="K3987" s="9" t="n">
        <v>17.9</v>
      </c>
      <c r="L3987" s="10">
        <f>HYPERLINK("http://127.0.0.1:8000/api/documents/download?id=847&amp;attachment=true", "⬇ Download Volume_I_RFP_Raebareli.p")</f>
        <v/>
      </c>
      <c r="M3987" s="10">
        <f>HYPERLINK("http://localhost:5173/?state=Uttar%20Pradesh&amp;keyword=Development&amp;tender=2026_UPEID_1194736_1", "🚀 Open in Portal")</f>
        <v/>
      </c>
    </row>
    <row r="3988" ht="24" customHeight="1">
      <c r="A3988" s="11" t="inlineStr">
        <is>
          <t>Uttar Pradesh</t>
        </is>
      </c>
      <c r="B3988" s="12" t="inlineStr">
        <is>
          <t>Development</t>
        </is>
      </c>
      <c r="C3988" s="13" t="inlineStr">
        <is>
          <t>2026_UPEID_1194736_1</t>
        </is>
      </c>
      <c r="D3988" s="14" t="inlineStr">
        <is>
          <t>[Development of Integrated Manufacturing and Logistics Clusters at Raebareli with Concurrent Period of Five Years for Defect Liability Period and Operation and Maintenance on EPC Mode]</t>
        </is>
      </c>
      <c r="E3988" s="14" t="inlineStr">
        <is>
          <t>Uttar Pradesh Public Works &amp; Technology Department</t>
        </is>
      </c>
      <c r="F3988" s="13" t="inlineStr">
        <is>
          <t>09 Sep 2026</t>
        </is>
      </c>
      <c r="G3988" s="12" t="inlineStr">
        <is>
          <t>01 Oct 2026</t>
        </is>
      </c>
      <c r="H3988" s="8" t="inlineStr">
        <is>
          <t>⏳ UPCOMING</t>
        </is>
      </c>
      <c r="I3988" s="11" t="inlineStr">
        <is>
          <t>Volume_II_RFP_Raebareli.pdf</t>
        </is>
      </c>
      <c r="J3988" s="13" t="inlineStr">
        <is>
          <t>📕 PDF Document</t>
        </is>
      </c>
      <c r="K3988" s="15" t="n">
        <v>17.9</v>
      </c>
      <c r="L3988" s="16">
        <f>HYPERLINK("http://127.0.0.1:8000/api/documents/download?id=848&amp;attachment=true", "⬇ Download Volume_II_RFP_Raebareli.")</f>
        <v/>
      </c>
      <c r="M3988" s="16">
        <f>HYPERLINK("http://localhost:5173/?state=Uttar%20Pradesh&amp;keyword=Development&amp;tender=2026_UPEID_1194736_1", "🚀 Open in Portal")</f>
        <v/>
      </c>
    </row>
    <row r="3989" ht="24" customHeight="1">
      <c r="A3989" s="4" t="inlineStr">
        <is>
          <t>Uttar Pradesh</t>
        </is>
      </c>
      <c r="B3989" s="5" t="inlineStr">
        <is>
          <t>Development</t>
        </is>
      </c>
      <c r="C3989" s="6" t="inlineStr">
        <is>
          <t>2026_UPEID_1194736_1</t>
        </is>
      </c>
      <c r="D3989" s="7" t="inlineStr">
        <is>
          <t>[Development of Integrated Manufacturing and Logistics Clusters at Raebareli with Concurrent Period of Five Years for Defect Liability Period and Operation and Maintenance on EPC Mode]</t>
        </is>
      </c>
      <c r="E3989" s="7" t="inlineStr">
        <is>
          <t>Uttar Pradesh Public Works &amp; Technology Department</t>
        </is>
      </c>
      <c r="F3989" s="6" t="inlineStr">
        <is>
          <t>09 Sep 2026</t>
        </is>
      </c>
      <c r="G3989" s="5" t="inlineStr">
        <is>
          <t>01 Oct 2026</t>
        </is>
      </c>
      <c r="H3989" s="8" t="inlineStr">
        <is>
          <t>⏳ UPCOMING</t>
        </is>
      </c>
      <c r="I3989" s="4" t="inlineStr">
        <is>
          <t>Volume_III_RFP_Raebareli.pdf</t>
        </is>
      </c>
      <c r="J3989" s="6" t="inlineStr">
        <is>
          <t>📕 PDF Document</t>
        </is>
      </c>
      <c r="K3989" s="9" t="n">
        <v>17.9</v>
      </c>
      <c r="L3989" s="10">
        <f>HYPERLINK("http://127.0.0.1:8000/api/documents/download?id=849&amp;attachment=true", "⬇ Download Volume_III_RFP_Raebareli")</f>
        <v/>
      </c>
      <c r="M3989" s="10">
        <f>HYPERLINK("http://localhost:5173/?state=Uttar%20Pradesh&amp;keyword=Development&amp;tender=2026_UPEID_1194736_1", "🚀 Open in Portal")</f>
        <v/>
      </c>
    </row>
    <row r="3990" ht="24" customHeight="1">
      <c r="A3990" s="11" t="inlineStr">
        <is>
          <t>Uttar Pradesh</t>
        </is>
      </c>
      <c r="B3990" s="12" t="inlineStr">
        <is>
          <t>Development</t>
        </is>
      </c>
      <c r="C3990" s="13" t="inlineStr">
        <is>
          <t>2026_UPEID_1194736_1</t>
        </is>
      </c>
      <c r="D3990" s="14" t="inlineStr">
        <is>
          <t>[Development of Integrated Manufacturing and Logistics Clusters at Raebareli with Concurrent Period of Five Years for Defect Liability Period and Operation and Maintenance on EPC Mode]</t>
        </is>
      </c>
      <c r="E3990" s="14" t="inlineStr">
        <is>
          <t>Uttar Pradesh Public Works &amp; Technology Department</t>
        </is>
      </c>
      <c r="F3990" s="13" t="inlineStr">
        <is>
          <t>09 Sep 2026</t>
        </is>
      </c>
      <c r="G3990" s="12" t="inlineStr">
        <is>
          <t>01 Oct 2026</t>
        </is>
      </c>
      <c r="H3990" s="8" t="inlineStr">
        <is>
          <t>⏳ UPCOMING</t>
        </is>
      </c>
      <c r="I3990" s="11" t="inlineStr">
        <is>
          <t>Volume_IV_RFP_Raebareli.pdf</t>
        </is>
      </c>
      <c r="J3990" s="13" t="inlineStr">
        <is>
          <t>📕 PDF Document</t>
        </is>
      </c>
      <c r="K3990" s="15" t="n">
        <v>17.9</v>
      </c>
      <c r="L3990" s="16">
        <f>HYPERLINK("http://127.0.0.1:8000/api/documents/download?id=850&amp;attachment=true", "⬇ Download Volume_IV_RFP_Raebareli.")</f>
        <v/>
      </c>
      <c r="M3990" s="16">
        <f>HYPERLINK("http://localhost:5173/?state=Uttar%20Pradesh&amp;keyword=Development&amp;tender=2026_UPEID_1194736_1", "🚀 Open in Portal")</f>
        <v/>
      </c>
    </row>
    <row r="3991" ht="24" customHeight="1">
      <c r="A3991" s="4" t="inlineStr">
        <is>
          <t>Uttar Pradesh</t>
        </is>
      </c>
      <c r="B3991" s="5" t="inlineStr">
        <is>
          <t>Development</t>
        </is>
      </c>
      <c r="C3991" s="6" t="inlineStr">
        <is>
          <t>2026_UPEID_1194736_1</t>
        </is>
      </c>
      <c r="D3991" s="7" t="inlineStr">
        <is>
          <t>[Development of Integrated Manufacturing and Logistics Clusters at Raebareli with Concurrent Period of Five Years for Defect Liability Period and Operation and Maintenance on EPC Mode]</t>
        </is>
      </c>
      <c r="E3991" s="7" t="inlineStr">
        <is>
          <t>Uttar Pradesh Public Works &amp; Technology Department</t>
        </is>
      </c>
      <c r="F3991" s="6" t="inlineStr">
        <is>
          <t>09 Sep 2026</t>
        </is>
      </c>
      <c r="G3991" s="5" t="inlineStr">
        <is>
          <t>01 Oct 2026</t>
        </is>
      </c>
      <c r="H3991" s="8" t="inlineStr">
        <is>
          <t>⏳ UPCOMING</t>
        </is>
      </c>
      <c r="I3991" s="4" t="inlineStr">
        <is>
          <t>BOQ_2255636.xls</t>
        </is>
      </c>
      <c r="J3991" s="6" t="inlineStr">
        <is>
          <t>📊 Excel BOQ</t>
        </is>
      </c>
      <c r="K3991" s="9" t="n">
        <v>2.5</v>
      </c>
      <c r="L3991" s="10">
        <f>HYPERLINK("http://127.0.0.1:8000/api/documents/download?id=851&amp;attachment=true", "⬇ Download BOQ_2255636.xls")</f>
        <v/>
      </c>
      <c r="M3991" s="10">
        <f>HYPERLINK("http://localhost:5173/?state=Uttar%20Pradesh&amp;keyword=Development&amp;tender=2026_UPEID_1194736_1", "🚀 Open in Portal")</f>
        <v/>
      </c>
    </row>
    <row r="3992" ht="24" customHeight="1">
      <c r="A3992" s="11" t="inlineStr">
        <is>
          <t>Uttar Pradesh</t>
        </is>
      </c>
      <c r="B3992" s="12" t="inlineStr">
        <is>
          <t>Development</t>
        </is>
      </c>
      <c r="C3992" s="13" t="inlineStr">
        <is>
          <t>2026_UPEID_1194736_1</t>
        </is>
      </c>
      <c r="D3992" s="14" t="inlineStr">
        <is>
          <t>[Development of Integrated Manufacturing and Logistics Clusters at Raebareli with Concurrent Period of Five Years for Defect Liability Period and Operation and Maintenance on EPC Mode]</t>
        </is>
      </c>
      <c r="E3992" s="14" t="inlineStr">
        <is>
          <t>Uttar Pradesh Public Works &amp; Technology Department</t>
        </is>
      </c>
      <c r="F3992" s="13" t="inlineStr">
        <is>
          <t>09 Sep 2026</t>
        </is>
      </c>
      <c r="G3992" s="12" t="inlineStr">
        <is>
          <t>01 Oct 2026</t>
        </is>
      </c>
      <c r="H3992" s="8" t="inlineStr">
        <is>
          <t>⏳ UPCOMING</t>
        </is>
      </c>
      <c r="I3992" s="11" t="inlineStr">
        <is>
          <t>Tender_2026_UPEID_1194736_1_All_Documents.zip</t>
        </is>
      </c>
      <c r="J3992" s="13" t="inlineStr">
        <is>
          <t>📦 ZIP Package</t>
        </is>
      </c>
      <c r="K3992" s="15" t="n">
        <v>48.9</v>
      </c>
      <c r="L3992" s="16">
        <f>HYPERLINK("http://127.0.0.1:8000/api/documents/download?id=852&amp;attachment=true", "⬇ Download Tender_2026_UPEID_119473")</f>
        <v/>
      </c>
      <c r="M3992" s="16">
        <f>HYPERLINK("http://localhost:5173/?state=Uttar%20Pradesh&amp;keyword=Development&amp;tender=2026_UPEID_1194736_1", "🚀 Open in Portal")</f>
        <v/>
      </c>
    </row>
    <row r="3993" ht="24" customHeight="1">
      <c r="A3993" s="4" t="inlineStr">
        <is>
          <t>Uttar Pradesh</t>
        </is>
      </c>
      <c r="B3993" s="5" t="inlineStr">
        <is>
          <t>Development</t>
        </is>
      </c>
      <c r="C3993" s="6" t="inlineStr">
        <is>
          <t>2026_UPEID_1194743_1</t>
        </is>
      </c>
      <c r="D3993" s="7" t="inlineStr">
        <is>
          <t>[Development of Integrated Manufacturing and Logistics Clusters at Chitrakoot with Concurrent Period of Five Years for Defect Liability Period and Operation and Maintenance on EPC Mode]</t>
        </is>
      </c>
      <c r="E3993" s="7" t="inlineStr">
        <is>
          <t>Uttar Pradesh Public Works &amp; Technology Department</t>
        </is>
      </c>
      <c r="F3993" s="6" t="inlineStr">
        <is>
          <t>11 Aug 2026</t>
        </is>
      </c>
      <c r="G3993" s="5" t="inlineStr">
        <is>
          <t>09 Sep 2026</t>
        </is>
      </c>
      <c r="H3993" s="8" t="inlineStr">
        <is>
          <t>⏳ UPCOMING</t>
        </is>
      </c>
      <c r="I3993" s="4" t="inlineStr">
        <is>
          <t>Tendernotice_1.pdf</t>
        </is>
      </c>
      <c r="J3993" s="6" t="inlineStr">
        <is>
          <t>📕 PDF Document</t>
        </is>
      </c>
      <c r="K3993" s="9" t="n">
        <v>17.9</v>
      </c>
      <c r="L3993" s="10">
        <f>HYPERLINK("http://127.0.0.1:8000/api/documents/download?id=832&amp;attachment=true", "⬇ Download Tendernotice_1.pdf")</f>
        <v/>
      </c>
      <c r="M3993" s="10">
        <f>HYPERLINK("http://localhost:5173/?state=Uttar%20Pradesh&amp;keyword=Development&amp;tender=2026_UPEID_1194743_1", "🚀 Open in Portal")</f>
        <v/>
      </c>
    </row>
    <row r="3994" ht="24" customHeight="1">
      <c r="A3994" s="11" t="inlineStr">
        <is>
          <t>Uttar Pradesh</t>
        </is>
      </c>
      <c r="B3994" s="12" t="inlineStr">
        <is>
          <t>Development</t>
        </is>
      </c>
      <c r="C3994" s="13" t="inlineStr">
        <is>
          <t>2026_UPEID_1194743_1</t>
        </is>
      </c>
      <c r="D3994" s="14" t="inlineStr">
        <is>
          <t>[Development of Integrated Manufacturing and Logistics Clusters at Chitrakoot with Concurrent Period of Five Years for Defect Liability Period and Operation and Maintenance on EPC Mode]</t>
        </is>
      </c>
      <c r="E3994" s="14" t="inlineStr">
        <is>
          <t>Uttar Pradesh Public Works &amp; Technology Department</t>
        </is>
      </c>
      <c r="F3994" s="13" t="inlineStr">
        <is>
          <t>11 Aug 2026</t>
        </is>
      </c>
      <c r="G3994" s="12" t="inlineStr">
        <is>
          <t>09 Sep 2026</t>
        </is>
      </c>
      <c r="H3994" s="8" t="inlineStr">
        <is>
          <t>⏳ UPCOMING</t>
        </is>
      </c>
      <c r="I3994" s="11" t="inlineStr">
        <is>
          <t>Volume_I_RFP_Chitrakoot.pdf</t>
        </is>
      </c>
      <c r="J3994" s="13" t="inlineStr">
        <is>
          <t>📕 PDF Document</t>
        </is>
      </c>
      <c r="K3994" s="15" t="n">
        <v>17.9</v>
      </c>
      <c r="L3994" s="16">
        <f>HYPERLINK("http://127.0.0.1:8000/api/documents/download?id=833&amp;attachment=true", "⬇ Download Volume_I_RFP_Chitrakoot.")</f>
        <v/>
      </c>
      <c r="M3994" s="16">
        <f>HYPERLINK("http://localhost:5173/?state=Uttar%20Pradesh&amp;keyword=Development&amp;tender=2026_UPEID_1194743_1", "🚀 Open in Portal")</f>
        <v/>
      </c>
    </row>
    <row r="3995" ht="24" customHeight="1">
      <c r="A3995" s="4" t="inlineStr">
        <is>
          <t>Uttar Pradesh</t>
        </is>
      </c>
      <c r="B3995" s="5" t="inlineStr">
        <is>
          <t>Development</t>
        </is>
      </c>
      <c r="C3995" s="6" t="inlineStr">
        <is>
          <t>2026_UPEID_1194743_1</t>
        </is>
      </c>
      <c r="D3995" s="7" t="inlineStr">
        <is>
          <t>[Development of Integrated Manufacturing and Logistics Clusters at Chitrakoot with Concurrent Period of Five Years for Defect Liability Period and Operation and Maintenance on EPC Mode]</t>
        </is>
      </c>
      <c r="E3995" s="7" t="inlineStr">
        <is>
          <t>Uttar Pradesh Public Works &amp; Technology Department</t>
        </is>
      </c>
      <c r="F3995" s="6" t="inlineStr">
        <is>
          <t>11 Aug 2026</t>
        </is>
      </c>
      <c r="G3995" s="5" t="inlineStr">
        <is>
          <t>09 Sep 2026</t>
        </is>
      </c>
      <c r="H3995" s="8" t="inlineStr">
        <is>
          <t>⏳ UPCOMING</t>
        </is>
      </c>
      <c r="I3995" s="4" t="inlineStr">
        <is>
          <t>Volume_II_RFP_Chitrakoot.pdf</t>
        </is>
      </c>
      <c r="J3995" s="6" t="inlineStr">
        <is>
          <t>📕 PDF Document</t>
        </is>
      </c>
      <c r="K3995" s="9" t="n">
        <v>17.9</v>
      </c>
      <c r="L3995" s="10">
        <f>HYPERLINK("http://127.0.0.1:8000/api/documents/download?id=834&amp;attachment=true", "⬇ Download Volume_II_RFP_Chitrakoot")</f>
        <v/>
      </c>
      <c r="M3995" s="10">
        <f>HYPERLINK("http://localhost:5173/?state=Uttar%20Pradesh&amp;keyword=Development&amp;tender=2026_UPEID_1194743_1", "🚀 Open in Portal")</f>
        <v/>
      </c>
    </row>
    <row r="3996" ht="24" customHeight="1">
      <c r="A3996" s="11" t="inlineStr">
        <is>
          <t>Uttar Pradesh</t>
        </is>
      </c>
      <c r="B3996" s="12" t="inlineStr">
        <is>
          <t>Development</t>
        </is>
      </c>
      <c r="C3996" s="13" t="inlineStr">
        <is>
          <t>2026_UPEID_1194743_1</t>
        </is>
      </c>
      <c r="D3996" s="14" t="inlineStr">
        <is>
          <t>[Development of Integrated Manufacturing and Logistics Clusters at Chitrakoot with Concurrent Period of Five Years for Defect Liability Period and Operation and Maintenance on EPC Mode]</t>
        </is>
      </c>
      <c r="E3996" s="14" t="inlineStr">
        <is>
          <t>Uttar Pradesh Public Works &amp; Technology Department</t>
        </is>
      </c>
      <c r="F3996" s="13" t="inlineStr">
        <is>
          <t>11 Aug 2026</t>
        </is>
      </c>
      <c r="G3996" s="12" t="inlineStr">
        <is>
          <t>09 Sep 2026</t>
        </is>
      </c>
      <c r="H3996" s="8" t="inlineStr">
        <is>
          <t>⏳ UPCOMING</t>
        </is>
      </c>
      <c r="I3996" s="11" t="inlineStr">
        <is>
          <t>Volume_IV_RFP_Chitrakoot.pdf</t>
        </is>
      </c>
      <c r="J3996" s="13" t="inlineStr">
        <is>
          <t>📕 PDF Document</t>
        </is>
      </c>
      <c r="K3996" s="15" t="n">
        <v>17.9</v>
      </c>
      <c r="L3996" s="16">
        <f>HYPERLINK("http://127.0.0.1:8000/api/documents/download?id=835&amp;attachment=true", "⬇ Download Volume_IV_RFP_Chitrakoot")</f>
        <v/>
      </c>
      <c r="M3996" s="16">
        <f>HYPERLINK("http://localhost:5173/?state=Uttar%20Pradesh&amp;keyword=Development&amp;tender=2026_UPEID_1194743_1", "🚀 Open in Portal")</f>
        <v/>
      </c>
    </row>
    <row r="3997" ht="24" customHeight="1">
      <c r="A3997" s="4" t="inlineStr">
        <is>
          <t>Uttar Pradesh</t>
        </is>
      </c>
      <c r="B3997" s="5" t="inlineStr">
        <is>
          <t>Development</t>
        </is>
      </c>
      <c r="C3997" s="6" t="inlineStr">
        <is>
          <t>2026_UPEID_1194743_1</t>
        </is>
      </c>
      <c r="D3997" s="7" t="inlineStr">
        <is>
          <t>[Development of Integrated Manufacturing and Logistics Clusters at Chitrakoot with Concurrent Period of Five Years for Defect Liability Period and Operation and Maintenance on EPC Mode]</t>
        </is>
      </c>
      <c r="E3997" s="7" t="inlineStr">
        <is>
          <t>Uttar Pradesh Public Works &amp; Technology Department</t>
        </is>
      </c>
      <c r="F3997" s="6" t="inlineStr">
        <is>
          <t>11 Aug 2026</t>
        </is>
      </c>
      <c r="G3997" s="5" t="inlineStr">
        <is>
          <t>09 Sep 2026</t>
        </is>
      </c>
      <c r="H3997" s="8" t="inlineStr">
        <is>
          <t>⏳ UPCOMING</t>
        </is>
      </c>
      <c r="I3997" s="4" t="inlineStr">
        <is>
          <t>BOQ_2255647.xls</t>
        </is>
      </c>
      <c r="J3997" s="6" t="inlineStr">
        <is>
          <t>📊 Excel BOQ</t>
        </is>
      </c>
      <c r="K3997" s="9" t="n">
        <v>2.5</v>
      </c>
      <c r="L3997" s="10">
        <f>HYPERLINK("http://127.0.0.1:8000/api/documents/download?id=836&amp;attachment=true", "⬇ Download BOQ_2255647.xls")</f>
        <v/>
      </c>
      <c r="M3997" s="10">
        <f>HYPERLINK("http://localhost:5173/?state=Uttar%20Pradesh&amp;keyword=Development&amp;tender=2026_UPEID_1194743_1", "🚀 Open in Portal")</f>
        <v/>
      </c>
    </row>
    <row r="3998" ht="24" customHeight="1">
      <c r="A3998" s="11" t="inlineStr">
        <is>
          <t>Uttar Pradesh</t>
        </is>
      </c>
      <c r="B3998" s="12" t="inlineStr">
        <is>
          <t>Development</t>
        </is>
      </c>
      <c r="C3998" s="13" t="inlineStr">
        <is>
          <t>2026_UPEID_1194743_1</t>
        </is>
      </c>
      <c r="D3998" s="14" t="inlineStr">
        <is>
          <t>[Development of Integrated Manufacturing and Logistics Clusters at Chitrakoot with Concurrent Period of Five Years for Defect Liability Period and Operation and Maintenance on EPC Mode]</t>
        </is>
      </c>
      <c r="E3998" s="14" t="inlineStr">
        <is>
          <t>Uttar Pradesh Public Works &amp; Technology Department</t>
        </is>
      </c>
      <c r="F3998" s="13" t="inlineStr">
        <is>
          <t>11 Aug 2026</t>
        </is>
      </c>
      <c r="G3998" s="12" t="inlineStr">
        <is>
          <t>09 Sep 2026</t>
        </is>
      </c>
      <c r="H3998" s="8" t="inlineStr">
        <is>
          <t>⏳ UPCOMING</t>
        </is>
      </c>
      <c r="I3998" s="11" t="inlineStr">
        <is>
          <t>Volume_III_RFP_Chitrakoot.pdf</t>
        </is>
      </c>
      <c r="J3998" s="13" t="inlineStr">
        <is>
          <t>📕 PDF Document</t>
        </is>
      </c>
      <c r="K3998" s="15" t="n">
        <v>17.9</v>
      </c>
      <c r="L3998" s="16">
        <f>HYPERLINK("http://127.0.0.1:8000/api/documents/download?id=837&amp;attachment=true", "⬇ Download Volume_III_RFP_Chitrakoo")</f>
        <v/>
      </c>
      <c r="M3998" s="16">
        <f>HYPERLINK("http://localhost:5173/?state=Uttar%20Pradesh&amp;keyword=Development&amp;tender=2026_UPEID_1194743_1", "🚀 Open in Portal")</f>
        <v/>
      </c>
    </row>
    <row r="3999" ht="24" customHeight="1">
      <c r="A3999" s="4" t="inlineStr">
        <is>
          <t>Uttar Pradesh</t>
        </is>
      </c>
      <c r="B3999" s="5" t="inlineStr">
        <is>
          <t>Development</t>
        </is>
      </c>
      <c r="C3999" s="6" t="inlineStr">
        <is>
          <t>2026_UPEID_1194743_1</t>
        </is>
      </c>
      <c r="D3999" s="7" t="inlineStr">
        <is>
          <t>[Development of Integrated Manufacturing and Logistics Clusters at Chitrakoot with Concurrent Period of Five Years for Defect Liability Period and Operation and Maintenance on EPC Mode]</t>
        </is>
      </c>
      <c r="E3999" s="7" t="inlineStr">
        <is>
          <t>Uttar Pradesh Public Works &amp; Technology Department</t>
        </is>
      </c>
      <c r="F3999" s="6" t="inlineStr">
        <is>
          <t>11 Aug 2026</t>
        </is>
      </c>
      <c r="G3999" s="5" t="inlineStr">
        <is>
          <t>09 Sep 2026</t>
        </is>
      </c>
      <c r="H3999" s="8" t="inlineStr">
        <is>
          <t>⏳ UPCOMING</t>
        </is>
      </c>
      <c r="I3999" s="4" t="inlineStr">
        <is>
          <t>Tender_2026_UPEID_1194743_1_All_Documents.zip</t>
        </is>
      </c>
      <c r="J3999" s="6" t="inlineStr">
        <is>
          <t>📦 ZIP Package</t>
        </is>
      </c>
      <c r="K3999" s="9" t="n">
        <v>48.7</v>
      </c>
      <c r="L3999" s="10">
        <f>HYPERLINK("http://127.0.0.1:8000/api/documents/download?id=838&amp;attachment=true", "⬇ Download Tender_2026_UPEID_119474")</f>
        <v/>
      </c>
      <c r="M3999" s="10">
        <f>HYPERLINK("http://localhost:5173/?state=Uttar%20Pradesh&amp;keyword=Development&amp;tender=2026_UPEID_1194743_1", "🚀 Open in Portal")</f>
        <v/>
      </c>
    </row>
    <row r="4000" ht="24" customHeight="1">
      <c r="A4000" s="11" t="inlineStr">
        <is>
          <t>Uttar Pradesh</t>
        </is>
      </c>
      <c r="B4000" s="12" t="inlineStr">
        <is>
          <t>Development</t>
        </is>
      </c>
      <c r="C4000" s="13" t="inlineStr">
        <is>
          <t>2026_UPPOW_1177931_1</t>
        </is>
      </c>
      <c r="D4000" s="14" t="inlineStr">
        <is>
          <t>[Empanelment of Companies/Firms of Proven Capabilities as Service Provider for Software Development, IT Enabled Services, Hiring Web/Cloud Server Services on rental basis etc.]</t>
        </is>
      </c>
      <c r="E4000" s="14" t="inlineStr">
        <is>
          <t>Uttar Pradesh Public Works &amp; Technology Department</t>
        </is>
      </c>
      <c r="F4000" s="13" t="inlineStr">
        <is>
          <t>12 Oct 2026</t>
        </is>
      </c>
      <c r="G4000" s="12" t="inlineStr">
        <is>
          <t>28 Oct 2026</t>
        </is>
      </c>
      <c r="H4000" s="17" t="inlineStr">
        <is>
          <t>🟢 LIVE ACTIVE</t>
        </is>
      </c>
      <c r="I4000" s="11" t="inlineStr">
        <is>
          <t>Tendernotice_1.pdf</t>
        </is>
      </c>
      <c r="J4000" s="13" t="inlineStr">
        <is>
          <t>📕 PDF Document</t>
        </is>
      </c>
      <c r="K4000" s="15" t="n">
        <v>17.9</v>
      </c>
      <c r="L4000" s="16">
        <f>HYPERLINK("http://127.0.0.1:8000/api/documents/download?id=1016&amp;attachment=true", "⬇ Download Tendernotice_1.pdf")</f>
        <v/>
      </c>
      <c r="M4000" s="16">
        <f>HYPERLINK("http://localhost:5173/?state=Uttar%20Pradesh&amp;keyword=Development&amp;tender=2026_UPPOW_1177931_1", "🚀 Open in Portal")</f>
        <v/>
      </c>
    </row>
    <row r="4001" ht="24" customHeight="1">
      <c r="A4001" s="4" t="inlineStr">
        <is>
          <t>Uttar Pradesh</t>
        </is>
      </c>
      <c r="B4001" s="5" t="inlineStr">
        <is>
          <t>Development</t>
        </is>
      </c>
      <c r="C4001" s="6" t="inlineStr">
        <is>
          <t>2026_UPPOW_1177931_1</t>
        </is>
      </c>
      <c r="D4001" s="7" t="inlineStr">
        <is>
          <t>[Empanelment of Companies/Firms of Proven Capabilities as Service Provider for Software Development, IT Enabled Services, Hiring Web/Cloud Server Services on rental basis etc.]</t>
        </is>
      </c>
      <c r="E4001" s="7" t="inlineStr">
        <is>
          <t>Uttar Pradesh Public Works &amp; Technology Department</t>
        </is>
      </c>
      <c r="F4001" s="6" t="inlineStr">
        <is>
          <t>12 Oct 2026</t>
        </is>
      </c>
      <c r="G4001" s="5" t="inlineStr">
        <is>
          <t>28 Oct 2026</t>
        </is>
      </c>
      <c r="H4001" s="17" t="inlineStr">
        <is>
          <t>🟢 LIVE ACTIVE</t>
        </is>
      </c>
      <c r="I4001" s="4" t="inlineStr">
        <is>
          <t>Tender_sp.pdf</t>
        </is>
      </c>
      <c r="J4001" s="6" t="inlineStr">
        <is>
          <t>📕 PDF Document</t>
        </is>
      </c>
      <c r="K4001" s="9" t="n">
        <v>17.9</v>
      </c>
      <c r="L4001" s="10">
        <f>HYPERLINK("http://127.0.0.1:8000/api/documents/download?id=1017&amp;attachment=true", "⬇ Download Tender_sp.pdf")</f>
        <v/>
      </c>
      <c r="M4001" s="10">
        <f>HYPERLINK("http://localhost:5173/?state=Uttar%20Pradesh&amp;keyword=Development&amp;tender=2026_UPPOW_1177931_1", "🚀 Open in Portal")</f>
        <v/>
      </c>
    </row>
    <row r="4002" ht="24" customHeight="1">
      <c r="A4002" s="11" t="inlineStr">
        <is>
          <t>Uttar Pradesh</t>
        </is>
      </c>
      <c r="B4002" s="12" t="inlineStr">
        <is>
          <t>Development</t>
        </is>
      </c>
      <c r="C4002" s="13" t="inlineStr">
        <is>
          <t>2026_UPPOW_1177931_1</t>
        </is>
      </c>
      <c r="D4002" s="14" t="inlineStr">
        <is>
          <t>[Empanelment of Companies/Firms of Proven Capabilities as Service Provider for Software Development, IT Enabled Services, Hiring Web/Cloud Server Services on rental basis etc.]</t>
        </is>
      </c>
      <c r="E4002" s="14" t="inlineStr">
        <is>
          <t>Uttar Pradesh Public Works &amp; Technology Department</t>
        </is>
      </c>
      <c r="F4002" s="13" t="inlineStr">
        <is>
          <t>12 Oct 2026</t>
        </is>
      </c>
      <c r="G4002" s="12" t="inlineStr">
        <is>
          <t>28 Oct 2026</t>
        </is>
      </c>
      <c r="H4002" s="17" t="inlineStr">
        <is>
          <t>🟢 LIVE ACTIVE</t>
        </is>
      </c>
      <c r="I4002" s="11" t="inlineStr">
        <is>
          <t>Tender_2026_UPPOW_1177931_1_All_Documents.zip</t>
        </is>
      </c>
      <c r="J4002" s="13" t="inlineStr">
        <is>
          <t>📦 ZIP Package</t>
        </is>
      </c>
      <c r="K4002" s="15" t="n">
        <v>18.8</v>
      </c>
      <c r="L4002" s="16">
        <f>HYPERLINK("http://127.0.0.1:8000/api/documents/download?id=1018&amp;attachment=true", "⬇ Download Tender_2026_UPPOW_117793")</f>
        <v/>
      </c>
      <c r="M4002" s="16">
        <f>HYPERLINK("http://localhost:5173/?state=Uttar%20Pradesh&amp;keyword=Development&amp;tender=2026_UPPOW_1177931_1", "🚀 Open in Portal")</f>
        <v/>
      </c>
    </row>
    <row r="4003" ht="24" customHeight="1">
      <c r="A4003" s="4" t="inlineStr">
        <is>
          <t>Uttar Pradesh</t>
        </is>
      </c>
      <c r="B4003" s="5" t="inlineStr">
        <is>
          <t>Development</t>
        </is>
      </c>
      <c r="C4003" s="6" t="inlineStr">
        <is>
          <t>2026_UPRNS_1194975_1</t>
        </is>
      </c>
      <c r="D4003" s="7" t="inlineStr">
        <is>
          <t>[PROPOSED CONSTRUCTION OF CHAUDHARY CHARAN SINGH STATUE DEVELOPMENT SCHEME WORKS AT KAREEL, MURSAN DISTRICT HATHRAS]</t>
        </is>
      </c>
      <c r="E4003" s="7" t="inlineStr">
        <is>
          <t>Uttar Pradesh Public Works &amp; Technology Department</t>
        </is>
      </c>
      <c r="F4003" s="6" t="inlineStr">
        <is>
          <t>13 Oct 2026</t>
        </is>
      </c>
      <c r="G4003" s="5" t="inlineStr">
        <is>
          <t>10 Nov 2026</t>
        </is>
      </c>
      <c r="H4003" s="17" t="inlineStr">
        <is>
          <t>🟢 LIVE ACTIVE</t>
        </is>
      </c>
      <c r="I4003" s="4" t="inlineStr">
        <is>
          <t>Tendernotice_1.pdf</t>
        </is>
      </c>
      <c r="J4003" s="6" t="inlineStr">
        <is>
          <t>📕 PDF Document</t>
        </is>
      </c>
      <c r="K4003" s="9" t="n">
        <v>17.9</v>
      </c>
      <c r="L4003" s="10">
        <f>HYPERLINK("http://127.0.0.1:8000/api/documents/download?id=908&amp;attachment=true", "⬇ Download Tendernotice_1.pdf")</f>
        <v/>
      </c>
      <c r="M4003" s="10">
        <f>HYPERLINK("http://localhost:5173/?state=Uttar%20Pradesh&amp;keyword=Development&amp;tender=2026_UPRNS_1194975_1", "🚀 Open in Portal")</f>
        <v/>
      </c>
    </row>
    <row r="4004" ht="24" customHeight="1">
      <c r="A4004" s="11" t="inlineStr">
        <is>
          <t>Uttar Pradesh</t>
        </is>
      </c>
      <c r="B4004" s="12" t="inlineStr">
        <is>
          <t>Development</t>
        </is>
      </c>
      <c r="C4004" s="13" t="inlineStr">
        <is>
          <t>2026_UPRNS_1194975_1</t>
        </is>
      </c>
      <c r="D4004" s="14" t="inlineStr">
        <is>
          <t>[PROPOSED CONSTRUCTION OF CHAUDHARY CHARAN SINGH STATUE DEVELOPMENT SCHEME WORKS AT KAREEL, MURSAN DISTRICT HATHRAS]</t>
        </is>
      </c>
      <c r="E4004" s="14" t="inlineStr">
        <is>
          <t>Uttar Pradesh Public Works &amp; Technology Department</t>
        </is>
      </c>
      <c r="F4004" s="13" t="inlineStr">
        <is>
          <t>13 Oct 2026</t>
        </is>
      </c>
      <c r="G4004" s="12" t="inlineStr">
        <is>
          <t>10 Nov 2026</t>
        </is>
      </c>
      <c r="H4004" s="17" t="inlineStr">
        <is>
          <t>🟢 LIVE ACTIVE</t>
        </is>
      </c>
      <c r="I4004" s="11" t="inlineStr">
        <is>
          <t>ANULAGNAK.pdf</t>
        </is>
      </c>
      <c r="J4004" s="13" t="inlineStr">
        <is>
          <t>📕 PDF Document</t>
        </is>
      </c>
      <c r="K4004" s="15" t="n">
        <v>17.9</v>
      </c>
      <c r="L4004" s="16">
        <f>HYPERLINK("http://127.0.0.1:8000/api/documents/download?id=909&amp;attachment=true", "⬇ Download ANULAGNAK.pdf")</f>
        <v/>
      </c>
      <c r="M4004" s="16">
        <f>HYPERLINK("http://localhost:5173/?state=Uttar%20Pradesh&amp;keyword=Development&amp;tender=2026_UPRNS_1194975_1", "🚀 Open in Portal")</f>
        <v/>
      </c>
    </row>
    <row r="4005" ht="24" customHeight="1">
      <c r="A4005" s="4" t="inlineStr">
        <is>
          <t>Uttar Pradesh</t>
        </is>
      </c>
      <c r="B4005" s="5" t="inlineStr">
        <is>
          <t>Development</t>
        </is>
      </c>
      <c r="C4005" s="6" t="inlineStr">
        <is>
          <t>2026_UPRNS_1194975_1</t>
        </is>
      </c>
      <c r="D4005" s="7" t="inlineStr">
        <is>
          <t>[PROPOSED CONSTRUCTION OF CHAUDHARY CHARAN SINGH STATUE DEVELOPMENT SCHEME WORKS AT KAREEL, MURSAN DISTRICT HATHRAS]</t>
        </is>
      </c>
      <c r="E4005" s="7" t="inlineStr">
        <is>
          <t>Uttar Pradesh Public Works &amp; Technology Department</t>
        </is>
      </c>
      <c r="F4005" s="6" t="inlineStr">
        <is>
          <t>13 Oct 2026</t>
        </is>
      </c>
      <c r="G4005" s="5" t="inlineStr">
        <is>
          <t>10 Nov 2026</t>
        </is>
      </c>
      <c r="H4005" s="17" t="inlineStr">
        <is>
          <t>🟢 LIVE ACTIVE</t>
        </is>
      </c>
      <c r="I4005" s="4" t="inlineStr">
        <is>
          <t>BOQ_2256518.xls</t>
        </is>
      </c>
      <c r="J4005" s="6" t="inlineStr">
        <is>
          <t>📊 Excel BOQ</t>
        </is>
      </c>
      <c r="K4005" s="9" t="n">
        <v>2.5</v>
      </c>
      <c r="L4005" s="10">
        <f>HYPERLINK("http://127.0.0.1:8000/api/documents/download?id=910&amp;attachment=true", "⬇ Download BOQ_2256518.xls")</f>
        <v/>
      </c>
      <c r="M4005" s="10">
        <f>HYPERLINK("http://localhost:5173/?state=Uttar%20Pradesh&amp;keyword=Development&amp;tender=2026_UPRNS_1194975_1", "🚀 Open in Portal")</f>
        <v/>
      </c>
    </row>
    <row r="4006" ht="24" customHeight="1">
      <c r="A4006" s="11" t="inlineStr">
        <is>
          <t>Uttar Pradesh</t>
        </is>
      </c>
      <c r="B4006" s="12" t="inlineStr">
        <is>
          <t>Development</t>
        </is>
      </c>
      <c r="C4006" s="13" t="inlineStr">
        <is>
          <t>2026_UPRNS_1194975_1</t>
        </is>
      </c>
      <c r="D4006" s="14" t="inlineStr">
        <is>
          <t>[PROPOSED CONSTRUCTION OF CHAUDHARY CHARAN SINGH STATUE DEVELOPMENT SCHEME WORKS AT KAREEL, MURSAN DISTRICT HATHRAS]</t>
        </is>
      </c>
      <c r="E4006" s="14" t="inlineStr">
        <is>
          <t>Uttar Pradesh Public Works &amp; Technology Department</t>
        </is>
      </c>
      <c r="F4006" s="13" t="inlineStr">
        <is>
          <t>13 Oct 2026</t>
        </is>
      </c>
      <c r="G4006" s="12" t="inlineStr">
        <is>
          <t>10 Nov 2026</t>
        </is>
      </c>
      <c r="H4006" s="17" t="inlineStr">
        <is>
          <t>🟢 LIVE ACTIVE</t>
        </is>
      </c>
      <c r="I4006" s="11" t="inlineStr">
        <is>
          <t>Tender_2026_UPRNS_1194975_1_All_Documents.zip</t>
        </is>
      </c>
      <c r="J4006" s="13" t="inlineStr">
        <is>
          <t>📦 ZIP Package</t>
        </is>
      </c>
      <c r="K4006" s="15" t="n">
        <v>20.9</v>
      </c>
      <c r="L4006" s="16">
        <f>HYPERLINK("http://127.0.0.1:8000/api/documents/download?id=911&amp;attachment=true", "⬇ Download Tender_2026_UPRNS_119497")</f>
        <v/>
      </c>
      <c r="M4006" s="16">
        <f>HYPERLINK("http://localhost:5173/?state=Uttar%20Pradesh&amp;keyword=Development&amp;tender=2026_UPRNS_1194975_1", "🚀 Open in Portal")</f>
        <v/>
      </c>
    </row>
    <row r="4007" ht="24" customHeight="1">
      <c r="A4007" s="4" t="inlineStr">
        <is>
          <t>Uttar Pradesh</t>
        </is>
      </c>
      <c r="B4007" s="5" t="inlineStr">
        <is>
          <t>Development</t>
        </is>
      </c>
      <c r="C4007" s="6" t="inlineStr">
        <is>
          <t>2026_UPRNS_1194982_1</t>
        </is>
      </c>
      <c r="D4007" s="7" t="inlineStr">
        <is>
          <t>[PROPOSED CONSTRUCTION OF BR AMBEDKAR STATUE DEVELOPMENT SCHEME WORKS AT AHRAI, MURSAN DISTRICT HATHRAS]</t>
        </is>
      </c>
      <c r="E4007" s="7" t="inlineStr">
        <is>
          <t>Uttar Pradesh Public Works &amp; Technology Department</t>
        </is>
      </c>
      <c r="F4007" s="6" t="inlineStr">
        <is>
          <t>22 Sep 2026</t>
        </is>
      </c>
      <c r="G4007" s="5" t="inlineStr">
        <is>
          <t>19 Oct 2026</t>
        </is>
      </c>
      <c r="H4007" s="8" t="inlineStr">
        <is>
          <t>⏳ UPCOMING</t>
        </is>
      </c>
      <c r="I4007" s="4" t="inlineStr">
        <is>
          <t>Tendernotice_1.pdf</t>
        </is>
      </c>
      <c r="J4007" s="6" t="inlineStr">
        <is>
          <t>📕 PDF Document</t>
        </is>
      </c>
      <c r="K4007" s="9" t="n">
        <v>17.9</v>
      </c>
      <c r="L4007" s="10">
        <f>HYPERLINK("http://127.0.0.1:8000/api/documents/download?id=889&amp;attachment=true", "⬇ Download Tendernotice_1.pdf")</f>
        <v/>
      </c>
      <c r="M4007" s="10">
        <f>HYPERLINK("http://localhost:5173/?state=Uttar%20Pradesh&amp;keyword=Development&amp;tender=2026_UPRNS_1194982_1", "🚀 Open in Portal")</f>
        <v/>
      </c>
    </row>
    <row r="4008" ht="24" customHeight="1">
      <c r="A4008" s="11" t="inlineStr">
        <is>
          <t>Uttar Pradesh</t>
        </is>
      </c>
      <c r="B4008" s="12" t="inlineStr">
        <is>
          <t>Development</t>
        </is>
      </c>
      <c r="C4008" s="13" t="inlineStr">
        <is>
          <t>2026_UPRNS_1194982_1</t>
        </is>
      </c>
      <c r="D4008" s="14" t="inlineStr">
        <is>
          <t>[PROPOSED CONSTRUCTION OF BR AMBEDKAR STATUE DEVELOPMENT SCHEME WORKS AT AHRAI, MURSAN DISTRICT HATHRAS]</t>
        </is>
      </c>
      <c r="E4008" s="14" t="inlineStr">
        <is>
          <t>Uttar Pradesh Public Works &amp; Technology Department</t>
        </is>
      </c>
      <c r="F4008" s="13" t="inlineStr">
        <is>
          <t>22 Sep 2026</t>
        </is>
      </c>
      <c r="G4008" s="12" t="inlineStr">
        <is>
          <t>19 Oct 2026</t>
        </is>
      </c>
      <c r="H4008" s="8" t="inlineStr">
        <is>
          <t>⏳ UPCOMING</t>
        </is>
      </c>
      <c r="I4008" s="11" t="inlineStr">
        <is>
          <t>ANULAGNAK.pdf</t>
        </is>
      </c>
      <c r="J4008" s="13" t="inlineStr">
        <is>
          <t>📕 PDF Document</t>
        </is>
      </c>
      <c r="K4008" s="15" t="n">
        <v>17.9</v>
      </c>
      <c r="L4008" s="16">
        <f>HYPERLINK("http://127.0.0.1:8000/api/documents/download?id=890&amp;attachment=true", "⬇ Download ANULAGNAK.pdf")</f>
        <v/>
      </c>
      <c r="M4008" s="16">
        <f>HYPERLINK("http://localhost:5173/?state=Uttar%20Pradesh&amp;keyword=Development&amp;tender=2026_UPRNS_1194982_1", "🚀 Open in Portal")</f>
        <v/>
      </c>
    </row>
    <row r="4009" ht="24" customHeight="1">
      <c r="A4009" s="4" t="inlineStr">
        <is>
          <t>Uttar Pradesh</t>
        </is>
      </c>
      <c r="B4009" s="5" t="inlineStr">
        <is>
          <t>Development</t>
        </is>
      </c>
      <c r="C4009" s="6" t="inlineStr">
        <is>
          <t>2026_UPRNS_1194982_1</t>
        </is>
      </c>
      <c r="D4009" s="7" t="inlineStr">
        <is>
          <t>[PROPOSED CONSTRUCTION OF BR AMBEDKAR STATUE DEVELOPMENT SCHEME WORKS AT AHRAI, MURSAN DISTRICT HATHRAS]</t>
        </is>
      </c>
      <c r="E4009" s="7" t="inlineStr">
        <is>
          <t>Uttar Pradesh Public Works &amp; Technology Department</t>
        </is>
      </c>
      <c r="F4009" s="6" t="inlineStr">
        <is>
          <t>22 Sep 2026</t>
        </is>
      </c>
      <c r="G4009" s="5" t="inlineStr">
        <is>
          <t>19 Oct 2026</t>
        </is>
      </c>
      <c r="H4009" s="8" t="inlineStr">
        <is>
          <t>⏳ UPCOMING</t>
        </is>
      </c>
      <c r="I4009" s="4" t="inlineStr">
        <is>
          <t>BOQ_2256561.xls</t>
        </is>
      </c>
      <c r="J4009" s="6" t="inlineStr">
        <is>
          <t>📊 Excel BOQ</t>
        </is>
      </c>
      <c r="K4009" s="9" t="n">
        <v>2.5</v>
      </c>
      <c r="L4009" s="10">
        <f>HYPERLINK("http://127.0.0.1:8000/api/documents/download?id=891&amp;attachment=true", "⬇ Download BOQ_2256561.xls")</f>
        <v/>
      </c>
      <c r="M4009" s="10">
        <f>HYPERLINK("http://localhost:5173/?state=Uttar%20Pradesh&amp;keyword=Development&amp;tender=2026_UPRNS_1194982_1", "🚀 Open in Portal")</f>
        <v/>
      </c>
    </row>
    <row r="4010" ht="24" customHeight="1">
      <c r="A4010" s="11" t="inlineStr">
        <is>
          <t>Uttar Pradesh</t>
        </is>
      </c>
      <c r="B4010" s="12" t="inlineStr">
        <is>
          <t>Development</t>
        </is>
      </c>
      <c r="C4010" s="13" t="inlineStr">
        <is>
          <t>2026_UPRNS_1194982_1</t>
        </is>
      </c>
      <c r="D4010" s="14" t="inlineStr">
        <is>
          <t>[PROPOSED CONSTRUCTION OF BR AMBEDKAR STATUE DEVELOPMENT SCHEME WORKS AT AHRAI, MURSAN DISTRICT HATHRAS]</t>
        </is>
      </c>
      <c r="E4010" s="14" t="inlineStr">
        <is>
          <t>Uttar Pradesh Public Works &amp; Technology Department</t>
        </is>
      </c>
      <c r="F4010" s="13" t="inlineStr">
        <is>
          <t>22 Sep 2026</t>
        </is>
      </c>
      <c r="G4010" s="12" t="inlineStr">
        <is>
          <t>19 Oct 2026</t>
        </is>
      </c>
      <c r="H4010" s="8" t="inlineStr">
        <is>
          <t>⏳ UPCOMING</t>
        </is>
      </c>
      <c r="I4010" s="11" t="inlineStr">
        <is>
          <t>Tender_2026_UPRNS_1194982_1_All_Documents.zip</t>
        </is>
      </c>
      <c r="J4010" s="13" t="inlineStr">
        <is>
          <t>📦 ZIP Package</t>
        </is>
      </c>
      <c r="K4010" s="15" t="n">
        <v>20.8</v>
      </c>
      <c r="L4010" s="16">
        <f>HYPERLINK("http://127.0.0.1:8000/api/documents/download?id=892&amp;attachment=true", "⬇ Download Tender_2026_UPRNS_119498")</f>
        <v/>
      </c>
      <c r="M4010" s="16">
        <f>HYPERLINK("http://localhost:5173/?state=Uttar%20Pradesh&amp;keyword=Development&amp;tender=2026_UPRNS_1194982_1", "🚀 Open in Portal")</f>
        <v/>
      </c>
    </row>
    <row r="4011" ht="24" customHeight="1">
      <c r="A4011" s="4" t="inlineStr">
        <is>
          <t>Uttar Pradesh</t>
        </is>
      </c>
      <c r="B4011" s="5" t="inlineStr">
        <is>
          <t>Development</t>
        </is>
      </c>
      <c r="C4011" s="6" t="inlineStr">
        <is>
          <t>2026_UPRNS_1194998_1</t>
        </is>
      </c>
      <c r="D4011" s="7" t="inlineStr">
        <is>
          <t>[PROPOSED CONSTRUCTION OF BR AMBEDKAR STATUE DEVELOPMENT SCHEME WORK AT MANDANPUR, SIKNDRA RAO DISTRICT HATHRAS]</t>
        </is>
      </c>
      <c r="E4011" s="7" t="inlineStr">
        <is>
          <t>Uttar Pradesh Public Works &amp; Technology Department</t>
        </is>
      </c>
      <c r="F4011" s="6" t="inlineStr">
        <is>
          <t>28 Sep 2026</t>
        </is>
      </c>
      <c r="G4011" s="5" t="inlineStr">
        <is>
          <t>09 Nov 2026</t>
        </is>
      </c>
      <c r="H4011" s="17" t="inlineStr">
        <is>
          <t>🟢 LIVE ACTIVE</t>
        </is>
      </c>
      <c r="I4011" s="4" t="inlineStr">
        <is>
          <t>Tendernotice_1.pdf</t>
        </is>
      </c>
      <c r="J4011" s="6" t="inlineStr">
        <is>
          <t>📕 PDF Document</t>
        </is>
      </c>
      <c r="K4011" s="9" t="n">
        <v>17.9</v>
      </c>
      <c r="L4011" s="10">
        <f>HYPERLINK("http://127.0.0.1:8000/api/documents/download?id=896&amp;attachment=true", "⬇ Download Tendernotice_1.pdf")</f>
        <v/>
      </c>
      <c r="M4011" s="10">
        <f>HYPERLINK("http://localhost:5173/?state=Uttar%20Pradesh&amp;keyword=Development&amp;tender=2026_UPRNS_1194998_1", "🚀 Open in Portal")</f>
        <v/>
      </c>
    </row>
    <row r="4012" ht="24" customHeight="1">
      <c r="A4012" s="11" t="inlineStr">
        <is>
          <t>Uttar Pradesh</t>
        </is>
      </c>
      <c r="B4012" s="12" t="inlineStr">
        <is>
          <t>Development</t>
        </is>
      </c>
      <c r="C4012" s="13" t="inlineStr">
        <is>
          <t>2026_UPRNS_1194998_1</t>
        </is>
      </c>
      <c r="D4012" s="14" t="inlineStr">
        <is>
          <t>[PROPOSED CONSTRUCTION OF BR AMBEDKAR STATUE DEVELOPMENT SCHEME WORK AT MANDANPUR, SIKNDRA RAO DISTRICT HATHRAS]</t>
        </is>
      </c>
      <c r="E4012" s="14" t="inlineStr">
        <is>
          <t>Uttar Pradesh Public Works &amp; Technology Department</t>
        </is>
      </c>
      <c r="F4012" s="13" t="inlineStr">
        <is>
          <t>28 Sep 2026</t>
        </is>
      </c>
      <c r="G4012" s="12" t="inlineStr">
        <is>
          <t>09 Nov 2026</t>
        </is>
      </c>
      <c r="H4012" s="17" t="inlineStr">
        <is>
          <t>🟢 LIVE ACTIVE</t>
        </is>
      </c>
      <c r="I4012" s="11" t="inlineStr">
        <is>
          <t>ANULAGNAK.pdf</t>
        </is>
      </c>
      <c r="J4012" s="13" t="inlineStr">
        <is>
          <t>📕 PDF Document</t>
        </is>
      </c>
      <c r="K4012" s="15" t="n">
        <v>17.9</v>
      </c>
      <c r="L4012" s="16">
        <f>HYPERLINK("http://127.0.0.1:8000/api/documents/download?id=897&amp;attachment=true", "⬇ Download ANULAGNAK.pdf")</f>
        <v/>
      </c>
      <c r="M4012" s="16">
        <f>HYPERLINK("http://localhost:5173/?state=Uttar%20Pradesh&amp;keyword=Development&amp;tender=2026_UPRNS_1194998_1", "🚀 Open in Portal")</f>
        <v/>
      </c>
    </row>
    <row r="4013" ht="24" customHeight="1">
      <c r="A4013" s="4" t="inlineStr">
        <is>
          <t>Uttar Pradesh</t>
        </is>
      </c>
      <c r="B4013" s="5" t="inlineStr">
        <is>
          <t>Development</t>
        </is>
      </c>
      <c r="C4013" s="6" t="inlineStr">
        <is>
          <t>2026_UPRNS_1194998_1</t>
        </is>
      </c>
      <c r="D4013" s="7" t="inlineStr">
        <is>
          <t>[PROPOSED CONSTRUCTION OF BR AMBEDKAR STATUE DEVELOPMENT SCHEME WORK AT MANDANPUR, SIKNDRA RAO DISTRICT HATHRAS]</t>
        </is>
      </c>
      <c r="E4013" s="7" t="inlineStr">
        <is>
          <t>Uttar Pradesh Public Works &amp; Technology Department</t>
        </is>
      </c>
      <c r="F4013" s="6" t="inlineStr">
        <is>
          <t>28 Sep 2026</t>
        </is>
      </c>
      <c r="G4013" s="5" t="inlineStr">
        <is>
          <t>09 Nov 2026</t>
        </is>
      </c>
      <c r="H4013" s="17" t="inlineStr">
        <is>
          <t>🟢 LIVE ACTIVE</t>
        </is>
      </c>
      <c r="I4013" s="4" t="inlineStr">
        <is>
          <t>BOQ_2256617.xls</t>
        </is>
      </c>
      <c r="J4013" s="6" t="inlineStr">
        <is>
          <t>📊 Excel BOQ</t>
        </is>
      </c>
      <c r="K4013" s="9" t="n">
        <v>2.5</v>
      </c>
      <c r="L4013" s="10">
        <f>HYPERLINK("http://127.0.0.1:8000/api/documents/download?id=898&amp;attachment=true", "⬇ Download BOQ_2256617.xls")</f>
        <v/>
      </c>
      <c r="M4013" s="10">
        <f>HYPERLINK("http://localhost:5173/?state=Uttar%20Pradesh&amp;keyword=Development&amp;tender=2026_UPRNS_1194998_1", "🚀 Open in Portal")</f>
        <v/>
      </c>
    </row>
    <row r="4014" ht="24" customHeight="1">
      <c r="A4014" s="11" t="inlineStr">
        <is>
          <t>Uttar Pradesh</t>
        </is>
      </c>
      <c r="B4014" s="12" t="inlineStr">
        <is>
          <t>Development</t>
        </is>
      </c>
      <c r="C4014" s="13" t="inlineStr">
        <is>
          <t>2026_UPRNS_1194998_1</t>
        </is>
      </c>
      <c r="D4014" s="14" t="inlineStr">
        <is>
          <t>[PROPOSED CONSTRUCTION OF BR AMBEDKAR STATUE DEVELOPMENT SCHEME WORK AT MANDANPUR, SIKNDRA RAO DISTRICT HATHRAS]</t>
        </is>
      </c>
      <c r="E4014" s="14" t="inlineStr">
        <is>
          <t>Uttar Pradesh Public Works &amp; Technology Department</t>
        </is>
      </c>
      <c r="F4014" s="13" t="inlineStr">
        <is>
          <t>28 Sep 2026</t>
        </is>
      </c>
      <c r="G4014" s="12" t="inlineStr">
        <is>
          <t>09 Nov 2026</t>
        </is>
      </c>
      <c r="H4014" s="17" t="inlineStr">
        <is>
          <t>🟢 LIVE ACTIVE</t>
        </is>
      </c>
      <c r="I4014" s="11" t="inlineStr">
        <is>
          <t>Tender_2026_UPRNS_1194998_1_All_Documents.zip</t>
        </is>
      </c>
      <c r="J4014" s="13" t="inlineStr">
        <is>
          <t>📦 ZIP Package</t>
        </is>
      </c>
      <c r="K4014" s="15" t="n">
        <v>20.8</v>
      </c>
      <c r="L4014" s="16">
        <f>HYPERLINK("http://127.0.0.1:8000/api/documents/download?id=899&amp;attachment=true", "⬇ Download Tender_2026_UPRNS_119499")</f>
        <v/>
      </c>
      <c r="M4014" s="16">
        <f>HYPERLINK("http://localhost:5173/?state=Uttar%20Pradesh&amp;keyword=Development&amp;tender=2026_UPRNS_1194998_1", "🚀 Open in Portal")</f>
        <v/>
      </c>
    </row>
    <row r="4015" ht="24" customHeight="1">
      <c r="A4015" s="4" t="inlineStr">
        <is>
          <t>Uttar Pradesh</t>
        </is>
      </c>
      <c r="B4015" s="5" t="inlineStr">
        <is>
          <t>Empanelment</t>
        </is>
      </c>
      <c r="C4015" s="6" t="inlineStr">
        <is>
          <t>2026_UPDESCO_672109_1</t>
        </is>
      </c>
      <c r="D4015" s="7" t="inlineStr">
        <is>
          <t>Empanelment of Reputed Geospatial Agencies for GIS Application Development, Drone Surveys and Remote Sensing Analytics</t>
        </is>
      </c>
      <c r="E4015" s="7" t="inlineStr">
        <is>
          <t>UP DEVELOPMENT SYSTEMS CORPORATION LIMITED (UPDESCO)</t>
        </is>
      </c>
      <c r="F4015" s="6" t="inlineStr">
        <is>
          <t>20 Aug 2026</t>
        </is>
      </c>
      <c r="G4015" s="5" t="inlineStr">
        <is>
          <t>19 Sep 2026</t>
        </is>
      </c>
      <c r="H4015" s="8" t="inlineStr">
        <is>
          <t>⏳ UPCOMING</t>
        </is>
      </c>
      <c r="I4015" s="4" t="inlineStr">
        <is>
          <t>UPDESCO_Empanelment_Notice.pdf</t>
        </is>
      </c>
      <c r="J4015" s="6" t="inlineStr">
        <is>
          <t>📕 PDF Document</t>
        </is>
      </c>
      <c r="K4015" s="9" t="n">
        <v>18</v>
      </c>
      <c r="L4015" s="10">
        <f>HYPERLINK("http://127.0.0.1:8000/api/documents/download?id=3038&amp;attachment=true", "⬇ Download UPDESCO_Empanelment_Noti")</f>
        <v/>
      </c>
      <c r="M4015" s="10">
        <f>HYPERLINK("http://localhost:5173/?state=Uttar%20Pradesh&amp;keyword=Empanelment&amp;tender=2026_UPDESCO_672109_1", "🚀 Open in Portal")</f>
        <v/>
      </c>
    </row>
    <row r="4016" ht="24" customHeight="1">
      <c r="A4016" s="11" t="inlineStr">
        <is>
          <t>Uttar Pradesh</t>
        </is>
      </c>
      <c r="B4016" s="12" t="inlineStr">
        <is>
          <t>Empanelment</t>
        </is>
      </c>
      <c r="C4016" s="13" t="inlineStr">
        <is>
          <t>2026_UPDESCO_672109_1</t>
        </is>
      </c>
      <c r="D4016" s="14" t="inlineStr">
        <is>
          <t>Empanelment of Reputed Geospatial Agencies for GIS Application Development, Drone Surveys and Remote Sensing Analytics</t>
        </is>
      </c>
      <c r="E4016" s="14" t="inlineStr">
        <is>
          <t>UP DEVELOPMENT SYSTEMS CORPORATION LIMITED (UPDESCO)</t>
        </is>
      </c>
      <c r="F4016" s="13" t="inlineStr">
        <is>
          <t>20 Aug 2026</t>
        </is>
      </c>
      <c r="G4016" s="12" t="inlineStr">
        <is>
          <t>19 Sep 2026</t>
        </is>
      </c>
      <c r="H4016" s="8" t="inlineStr">
        <is>
          <t>⏳ UPCOMING</t>
        </is>
      </c>
      <c r="I4016" s="11" t="inlineStr">
        <is>
          <t>Eligibility_And_Technical_Criteria.pdf</t>
        </is>
      </c>
      <c r="J4016" s="13" t="inlineStr">
        <is>
          <t>📕 PDF Document</t>
        </is>
      </c>
      <c r="K4016" s="15" t="n">
        <v>18</v>
      </c>
      <c r="L4016" s="16">
        <f>HYPERLINK("http://127.0.0.1:8000/api/documents/download?id=3039&amp;attachment=true", "⬇ Download Eligibility_And_Technica")</f>
        <v/>
      </c>
      <c r="M4016" s="16">
        <f>HYPERLINK("http://localhost:5173/?state=Uttar%20Pradesh&amp;keyword=Empanelment&amp;tender=2026_UPDESCO_672109_1", "🚀 Open in Portal")</f>
        <v/>
      </c>
    </row>
    <row r="4017" ht="24" customHeight="1">
      <c r="A4017" s="4" t="inlineStr">
        <is>
          <t>Uttar Pradesh</t>
        </is>
      </c>
      <c r="B4017" s="5" t="inlineStr">
        <is>
          <t>Empanelment</t>
        </is>
      </c>
      <c r="C4017" s="6" t="inlineStr">
        <is>
          <t>2026_UPDESCO_672109_1</t>
        </is>
      </c>
      <c r="D4017" s="7" t="inlineStr">
        <is>
          <t>Empanelment of Reputed Geospatial Agencies for GIS Application Development, Drone Surveys and Remote Sensing Analytics</t>
        </is>
      </c>
      <c r="E4017" s="7" t="inlineStr">
        <is>
          <t>UP DEVELOPMENT SYSTEMS CORPORATION LIMITED (UPDESCO)</t>
        </is>
      </c>
      <c r="F4017" s="6" t="inlineStr">
        <is>
          <t>20 Aug 2026</t>
        </is>
      </c>
      <c r="G4017" s="5" t="inlineStr">
        <is>
          <t>19 Sep 2026</t>
        </is>
      </c>
      <c r="H4017" s="8" t="inlineStr">
        <is>
          <t>⏳ UPCOMING</t>
        </is>
      </c>
      <c r="I4017" s="4" t="inlineStr">
        <is>
          <t>BOQ_Empanelment_Rates.xlsx</t>
        </is>
      </c>
      <c r="J4017" s="6" t="inlineStr">
        <is>
          <t>📊 Excel BOQ</t>
        </is>
      </c>
      <c r="K4017" s="9" t="n">
        <v>2.5</v>
      </c>
      <c r="L4017" s="10">
        <f>HYPERLINK("http://127.0.0.1:8000/api/documents/download?id=3040&amp;attachment=true", "⬇ Download BOQ_Empanelment_Rates.xl")</f>
        <v/>
      </c>
      <c r="M4017" s="10">
        <f>HYPERLINK("http://localhost:5173/?state=Uttar%20Pradesh&amp;keyword=Empanelment&amp;tender=2026_UPDESCO_672109_1", "🚀 Open in Portal")</f>
        <v/>
      </c>
    </row>
    <row r="4018" ht="24" customHeight="1">
      <c r="A4018" s="11" t="inlineStr">
        <is>
          <t>Uttar Pradesh</t>
        </is>
      </c>
      <c r="B4018" s="12" t="inlineStr">
        <is>
          <t>Empanelment</t>
        </is>
      </c>
      <c r="C4018" s="13" t="inlineStr">
        <is>
          <t>2026_UPDESCO_672109_1</t>
        </is>
      </c>
      <c r="D4018" s="14" t="inlineStr">
        <is>
          <t>Empanelment of Reputed Geospatial Agencies for GIS Application Development, Drone Surveys and Remote Sensing Analytics</t>
        </is>
      </c>
      <c r="E4018" s="14" t="inlineStr">
        <is>
          <t>UP DEVELOPMENT SYSTEMS CORPORATION LIMITED (UPDESCO)</t>
        </is>
      </c>
      <c r="F4018" s="13" t="inlineStr">
        <is>
          <t>20 Aug 2026</t>
        </is>
      </c>
      <c r="G4018" s="12" t="inlineStr">
        <is>
          <t>19 Sep 2026</t>
        </is>
      </c>
      <c r="H4018" s="8" t="inlineStr">
        <is>
          <t>⏳ UPCOMING</t>
        </is>
      </c>
      <c r="I4018" s="11" t="inlineStr">
        <is>
          <t>Tender_2026_UPDESCO_672109_1_All_Documents.zip</t>
        </is>
      </c>
      <c r="J4018" s="13" t="inlineStr">
        <is>
          <t>📦 ZIP Package</t>
        </is>
      </c>
      <c r="K4018" s="15" t="n">
        <v>45</v>
      </c>
      <c r="L4018" s="16">
        <f>HYPERLINK("https://etender.up.nic.in/tender/2026_UPDESCO_672109_1", "⬇ Download Tender_2026_UPDESCO_6721")</f>
        <v/>
      </c>
      <c r="M4018" s="16">
        <f>HYPERLINK("http://localhost:5173/?state=Uttar%20Pradesh&amp;keyword=Empanelment&amp;tender=2026_UPDESCO_672109_1", "🚀 Open in Portal")</f>
        <v/>
      </c>
    </row>
    <row r="4019" ht="24" customHeight="1">
      <c r="A4019" s="4" t="inlineStr">
        <is>
          <t>Uttar Pradesh</t>
        </is>
      </c>
      <c r="B4019" s="5" t="inlineStr">
        <is>
          <t>Empanelment</t>
        </is>
      </c>
      <c r="C4019" s="6" t="inlineStr">
        <is>
          <t>2026_UPPOW_1177931_1</t>
        </is>
      </c>
      <c r="D4019" s="7" t="inlineStr">
        <is>
          <t>[Empanelment of Companies/Firms of Proven Capabilities as Service Provider for Software Development, IT Enabled Services, Hiring Web/Cloud Server Services on rental basis etc.]</t>
        </is>
      </c>
      <c r="E4019" s="7" t="inlineStr">
        <is>
          <t>Uttar Pradesh Public Works &amp; Technology Department</t>
        </is>
      </c>
      <c r="F4019" s="6" t="inlineStr">
        <is>
          <t>12 Oct 2026</t>
        </is>
      </c>
      <c r="G4019" s="5" t="inlineStr">
        <is>
          <t>28 Oct 2026</t>
        </is>
      </c>
      <c r="H4019" s="17" t="inlineStr">
        <is>
          <t>🟢 LIVE ACTIVE</t>
        </is>
      </c>
      <c r="I4019" s="4" t="inlineStr">
        <is>
          <t>Tendernotice_1.pdf</t>
        </is>
      </c>
      <c r="J4019" s="6" t="inlineStr">
        <is>
          <t>📕 PDF Document</t>
        </is>
      </c>
      <c r="K4019" s="9" t="n">
        <v>17.9</v>
      </c>
      <c r="L4019" s="10">
        <f>HYPERLINK("http://127.0.0.1:8000/api/documents/download?id=1016&amp;attachment=true", "⬇ Download Tendernotice_1.pdf")</f>
        <v/>
      </c>
      <c r="M4019" s="10">
        <f>HYPERLINK("http://localhost:5173/?state=Uttar%20Pradesh&amp;keyword=Empanelment&amp;tender=2026_UPPOW_1177931_1", "🚀 Open in Portal")</f>
        <v/>
      </c>
    </row>
    <row r="4020" ht="24" customHeight="1">
      <c r="A4020" s="11" t="inlineStr">
        <is>
          <t>Uttar Pradesh</t>
        </is>
      </c>
      <c r="B4020" s="12" t="inlineStr">
        <is>
          <t>Empanelment</t>
        </is>
      </c>
      <c r="C4020" s="13" t="inlineStr">
        <is>
          <t>2026_UPPOW_1177931_1</t>
        </is>
      </c>
      <c r="D4020" s="14" t="inlineStr">
        <is>
          <t>[Empanelment of Companies/Firms of Proven Capabilities as Service Provider for Software Development, IT Enabled Services, Hiring Web/Cloud Server Services on rental basis etc.]</t>
        </is>
      </c>
      <c r="E4020" s="14" t="inlineStr">
        <is>
          <t>Uttar Pradesh Public Works &amp; Technology Department</t>
        </is>
      </c>
      <c r="F4020" s="13" t="inlineStr">
        <is>
          <t>12 Oct 2026</t>
        </is>
      </c>
      <c r="G4020" s="12" t="inlineStr">
        <is>
          <t>28 Oct 2026</t>
        </is>
      </c>
      <c r="H4020" s="17" t="inlineStr">
        <is>
          <t>🟢 LIVE ACTIVE</t>
        </is>
      </c>
      <c r="I4020" s="11" t="inlineStr">
        <is>
          <t>Tender_sp.pdf</t>
        </is>
      </c>
      <c r="J4020" s="13" t="inlineStr">
        <is>
          <t>📕 PDF Document</t>
        </is>
      </c>
      <c r="K4020" s="15" t="n">
        <v>17.9</v>
      </c>
      <c r="L4020" s="16">
        <f>HYPERLINK("http://127.0.0.1:8000/api/documents/download?id=1017&amp;attachment=true", "⬇ Download Tender_sp.pdf")</f>
        <v/>
      </c>
      <c r="M4020" s="16">
        <f>HYPERLINK("http://localhost:5173/?state=Uttar%20Pradesh&amp;keyword=Empanelment&amp;tender=2026_UPPOW_1177931_1", "🚀 Open in Portal")</f>
        <v/>
      </c>
    </row>
    <row r="4021" ht="24" customHeight="1">
      <c r="A4021" s="4" t="inlineStr">
        <is>
          <t>Uttar Pradesh</t>
        </is>
      </c>
      <c r="B4021" s="5" t="inlineStr">
        <is>
          <t>Empanelment</t>
        </is>
      </c>
      <c r="C4021" s="6" t="inlineStr">
        <is>
          <t>2026_UPPOW_1177931_1</t>
        </is>
      </c>
      <c r="D4021" s="7" t="inlineStr">
        <is>
          <t>[Empanelment of Companies/Firms of Proven Capabilities as Service Provider for Software Development, IT Enabled Services, Hiring Web/Cloud Server Services on rental basis etc.]</t>
        </is>
      </c>
      <c r="E4021" s="7" t="inlineStr">
        <is>
          <t>Uttar Pradesh Public Works &amp; Technology Department</t>
        </is>
      </c>
      <c r="F4021" s="6" t="inlineStr">
        <is>
          <t>12 Oct 2026</t>
        </is>
      </c>
      <c r="G4021" s="5" t="inlineStr">
        <is>
          <t>28 Oct 2026</t>
        </is>
      </c>
      <c r="H4021" s="17" t="inlineStr">
        <is>
          <t>🟢 LIVE ACTIVE</t>
        </is>
      </c>
      <c r="I4021" s="4" t="inlineStr">
        <is>
          <t>Tender_2026_UPPOW_1177931_1_All_Documents.zip</t>
        </is>
      </c>
      <c r="J4021" s="6" t="inlineStr">
        <is>
          <t>📦 ZIP Package</t>
        </is>
      </c>
      <c r="K4021" s="9" t="n">
        <v>18.8</v>
      </c>
      <c r="L4021" s="10">
        <f>HYPERLINK("http://127.0.0.1:8000/api/documents/download?id=1018&amp;attachment=true", "⬇ Download Tender_2026_UPPOW_117793")</f>
        <v/>
      </c>
      <c r="M4021" s="10">
        <f>HYPERLINK("http://localhost:5173/?state=Uttar%20Pradesh&amp;keyword=Empanelment&amp;tender=2026_UPPOW_1177931_1", "🚀 Open in Portal")</f>
        <v/>
      </c>
    </row>
    <row r="4022" ht="24" customHeight="1">
      <c r="A4022" s="11" t="inlineStr">
        <is>
          <t>Uttarakhand</t>
        </is>
      </c>
      <c r="B4022" s="12" t="inlineStr">
        <is>
          <t>ICT</t>
        </is>
      </c>
      <c r="C4022" s="13" t="inlineStr">
        <is>
          <t>2026_IRDCE_101121_1</t>
        </is>
      </c>
      <c r="D4022" s="14" t="inlineStr">
        <is>
          <t>[UNDER DISTRICT PLAN FOR THE YEAR 2026-27 , WORK OF RISPANA RIVER RESTORATION SUCH AS SILT CLEANING, CHECK DAM TREE PLANTATION ETC. FLOWING IN THE MUNCIPAL CORPORATION, DEHRADUN.]</t>
        </is>
      </c>
      <c r="E4022" s="14" t="inlineStr">
        <is>
          <t>Uttarakhand Public Works &amp; Technology Department</t>
        </is>
      </c>
      <c r="F4022" s="13" t="inlineStr">
        <is>
          <t>22 Jul 2026</t>
        </is>
      </c>
      <c r="G4022" s="12" t="inlineStr">
        <is>
          <t>13 Aug 2026</t>
        </is>
      </c>
      <c r="H4022" s="8" t="inlineStr">
        <is>
          <t>⏳ UPCOMING</t>
        </is>
      </c>
      <c r="I4022" s="11" t="inlineStr">
        <is>
          <t>Tendernotice_1.pdf</t>
        </is>
      </c>
      <c r="J4022" s="13" t="inlineStr">
        <is>
          <t>📕 PDF Document</t>
        </is>
      </c>
      <c r="K4022" s="15" t="n">
        <v>17.9</v>
      </c>
      <c r="L4022" s="16">
        <f>HYPERLINK("http://127.0.0.1:8000/api/documents/download?id=2219&amp;attachment=true", "⬇ Download Tendernotice_1.pdf")</f>
        <v/>
      </c>
      <c r="M4022" s="16">
        <f>HYPERLINK("http://localhost:5173/?state=Uttarakhand&amp;keyword=ICT&amp;tender=2026_IRDCE_101121_1", "🚀 Open in Portal")</f>
        <v/>
      </c>
    </row>
    <row r="4023" ht="24" customHeight="1">
      <c r="A4023" s="4" t="inlineStr">
        <is>
          <t>Uttarakhand</t>
        </is>
      </c>
      <c r="B4023" s="5" t="inlineStr">
        <is>
          <t>ICT</t>
        </is>
      </c>
      <c r="C4023" s="6" t="inlineStr">
        <is>
          <t>2026_IRDCE_101121_1</t>
        </is>
      </c>
      <c r="D4023" s="7" t="inlineStr">
        <is>
          <t>[UNDER DISTRICT PLAN FOR THE YEAR 2026-27 , WORK OF RISPANA RIVER RESTORATION SUCH AS SILT CLEANING, CHECK DAM TREE PLANTATION ETC. FLOWING IN THE MUNCIPAL CORPORATION, DEHRADUN.]</t>
        </is>
      </c>
      <c r="E4023" s="7" t="inlineStr">
        <is>
          <t>Uttarakhand Public Works &amp; Technology Department</t>
        </is>
      </c>
      <c r="F4023" s="6" t="inlineStr">
        <is>
          <t>22 Jul 2026</t>
        </is>
      </c>
      <c r="G4023" s="5" t="inlineStr">
        <is>
          <t>13 Aug 2026</t>
        </is>
      </c>
      <c r="H4023" s="8" t="inlineStr">
        <is>
          <t>⏳ UPCOMING</t>
        </is>
      </c>
      <c r="I4023" s="4" t="inlineStr">
        <is>
          <t>BOQ_119162.xls</t>
        </is>
      </c>
      <c r="J4023" s="6" t="inlineStr">
        <is>
          <t>📊 Excel BOQ</t>
        </is>
      </c>
      <c r="K4023" s="9" t="n">
        <v>2.5</v>
      </c>
      <c r="L4023" s="10">
        <f>HYPERLINK("http://127.0.0.1:8000/api/documents/download?id=2220&amp;attachment=true", "⬇ Download BOQ_119162.xls")</f>
        <v/>
      </c>
      <c r="M4023" s="10">
        <f>HYPERLINK("http://localhost:5173/?state=Uttarakhand&amp;keyword=ICT&amp;tender=2026_IRDCE_101121_1", "🚀 Open in Portal")</f>
        <v/>
      </c>
    </row>
    <row r="4024" ht="24" customHeight="1">
      <c r="A4024" s="11" t="inlineStr">
        <is>
          <t>Uttarakhand</t>
        </is>
      </c>
      <c r="B4024" s="12" t="inlineStr">
        <is>
          <t>ICT</t>
        </is>
      </c>
      <c r="C4024" s="13" t="inlineStr">
        <is>
          <t>2026_IRDCE_101121_1</t>
        </is>
      </c>
      <c r="D4024" s="14" t="inlineStr">
        <is>
          <t>[UNDER DISTRICT PLAN FOR THE YEAR 2026-27 , WORK OF RISPANA RIVER RESTORATION SUCH AS SILT CLEANING, CHECK DAM TREE PLANTATION ETC. FLOWING IN THE MUNCIPAL CORPORATION, DEHRADUN.]</t>
        </is>
      </c>
      <c r="E4024" s="14" t="inlineStr">
        <is>
          <t>Uttarakhand Public Works &amp; Technology Department</t>
        </is>
      </c>
      <c r="F4024" s="13" t="inlineStr">
        <is>
          <t>22 Jul 2026</t>
        </is>
      </c>
      <c r="G4024" s="12" t="inlineStr">
        <is>
          <t>13 Aug 2026</t>
        </is>
      </c>
      <c r="H4024" s="8" t="inlineStr">
        <is>
          <t>⏳ UPCOMING</t>
        </is>
      </c>
      <c r="I4024" s="11" t="inlineStr">
        <is>
          <t>SBDRispana.pdf</t>
        </is>
      </c>
      <c r="J4024" s="13" t="inlineStr">
        <is>
          <t>📕 PDF Document</t>
        </is>
      </c>
      <c r="K4024" s="15" t="n">
        <v>17.9</v>
      </c>
      <c r="L4024" s="16">
        <f>HYPERLINK("http://127.0.0.1:8000/api/documents/download?id=2221&amp;attachment=true", "⬇ Download SBDRispana.pdf")</f>
        <v/>
      </c>
      <c r="M4024" s="16">
        <f>HYPERLINK("http://localhost:5173/?state=Uttarakhand&amp;keyword=ICT&amp;tender=2026_IRDCE_101121_1", "🚀 Open in Portal")</f>
        <v/>
      </c>
    </row>
    <row r="4025" ht="24" customHeight="1">
      <c r="A4025" s="4" t="inlineStr">
        <is>
          <t>Uttarakhand</t>
        </is>
      </c>
      <c r="B4025" s="5" t="inlineStr">
        <is>
          <t>ICT</t>
        </is>
      </c>
      <c r="C4025" s="6" t="inlineStr">
        <is>
          <t>2026_IRDCE_101121_1</t>
        </is>
      </c>
      <c r="D4025" s="7" t="inlineStr">
        <is>
          <t>[UNDER DISTRICT PLAN FOR THE YEAR 2026-27 , WORK OF RISPANA RIVER RESTORATION SUCH AS SILT CLEANING, CHECK DAM TREE PLANTATION ETC. FLOWING IN THE MUNCIPAL CORPORATION, DEHRADUN.]</t>
        </is>
      </c>
      <c r="E4025" s="7" t="inlineStr">
        <is>
          <t>Uttarakhand Public Works &amp; Technology Department</t>
        </is>
      </c>
      <c r="F4025" s="6" t="inlineStr">
        <is>
          <t>22 Jul 2026</t>
        </is>
      </c>
      <c r="G4025" s="5" t="inlineStr">
        <is>
          <t>13 Aug 2026</t>
        </is>
      </c>
      <c r="H4025" s="8" t="inlineStr">
        <is>
          <t>⏳ UPCOMING</t>
        </is>
      </c>
      <c r="I4025" s="4" t="inlineStr">
        <is>
          <t>Tender_2026_IRDCE_101121_1_All_Documents.zip</t>
        </is>
      </c>
      <c r="J4025" s="6" t="inlineStr">
        <is>
          <t>📦 ZIP Package</t>
        </is>
      </c>
      <c r="K4025" s="9" t="n">
        <v>20.8</v>
      </c>
      <c r="L4025" s="10">
        <f>HYPERLINK("http://127.0.0.1:8000/api/documents/download?id=2222&amp;attachment=true", "⬇ Download Tender_2026_IRDCE_101121")</f>
        <v/>
      </c>
      <c r="M4025" s="10">
        <f>HYPERLINK("http://localhost:5173/?state=Uttarakhand&amp;keyword=ICT&amp;tender=2026_IRDCE_101121_1", "🚀 Open in Portal")</f>
        <v/>
      </c>
    </row>
    <row r="4026" ht="24" customHeight="1">
      <c r="A4026" s="11" t="inlineStr">
        <is>
          <t>Uttarakhand</t>
        </is>
      </c>
      <c r="B4026" s="12" t="inlineStr">
        <is>
          <t>ICT</t>
        </is>
      </c>
      <c r="C4026" s="13" t="inlineStr">
        <is>
          <t>2026_IRDCE_101164_1</t>
        </is>
      </c>
      <c r="D4026" s="14" t="inlineStr">
        <is>
          <t>[Consultancy service for Construction of barrage/lake in Langoor Garh of village Matiyali in Dwarikhal block of District Pauri Garhwal under CM Announcement No. 387/2019]</t>
        </is>
      </c>
      <c r="E4026" s="14" t="inlineStr">
        <is>
          <t>Uttarakhand Public Works &amp; Technology Department</t>
        </is>
      </c>
      <c r="F4026" s="13" t="inlineStr">
        <is>
          <t>22 Oct 2026</t>
        </is>
      </c>
      <c r="G4026" s="12" t="inlineStr">
        <is>
          <t>12 Nov 2026</t>
        </is>
      </c>
      <c r="H4026" s="8" t="inlineStr">
        <is>
          <t>⏳ UPCOMING</t>
        </is>
      </c>
      <c r="I4026" s="11" t="inlineStr">
        <is>
          <t>Tendernotice_1.pdf</t>
        </is>
      </c>
      <c r="J4026" s="13" t="inlineStr">
        <is>
          <t>📕 PDF Document</t>
        </is>
      </c>
      <c r="K4026" s="15" t="n">
        <v>17.9</v>
      </c>
      <c r="L4026" s="16">
        <f>HYPERLINK("http://127.0.0.1:8000/api/documents/download?id=2194&amp;attachment=true", "⬇ Download Tendernotice_1.pdf")</f>
        <v/>
      </c>
      <c r="M4026" s="16">
        <f>HYPERLINK("http://localhost:5173/?state=Uttarakhand&amp;keyword=ICT&amp;tender=2026_IRDCE_101164_1", "🚀 Open in Portal")</f>
        <v/>
      </c>
    </row>
    <row r="4027" ht="24" customHeight="1">
      <c r="A4027" s="4" t="inlineStr">
        <is>
          <t>Uttarakhand</t>
        </is>
      </c>
      <c r="B4027" s="5" t="inlineStr">
        <is>
          <t>ICT</t>
        </is>
      </c>
      <c r="C4027" s="6" t="inlineStr">
        <is>
          <t>2026_IRDCE_101164_1</t>
        </is>
      </c>
      <c r="D4027" s="7" t="inlineStr">
        <is>
          <t>[Consultancy service for Construction of barrage/lake in Langoor Garh of village Matiyali in Dwarikhal block of District Pauri Garhwal under CM Announcement No. 387/2019]</t>
        </is>
      </c>
      <c r="E4027" s="7" t="inlineStr">
        <is>
          <t>Uttarakhand Public Works &amp; Technology Department</t>
        </is>
      </c>
      <c r="F4027" s="6" t="inlineStr">
        <is>
          <t>22 Oct 2026</t>
        </is>
      </c>
      <c r="G4027" s="5" t="inlineStr">
        <is>
          <t>12 Nov 2026</t>
        </is>
      </c>
      <c r="H4027" s="8" t="inlineStr">
        <is>
          <t>⏳ UPCOMING</t>
        </is>
      </c>
      <c r="I4027" s="4" t="inlineStr">
        <is>
          <t>SBD.pdf</t>
        </is>
      </c>
      <c r="J4027" s="6" t="inlineStr">
        <is>
          <t>📕 PDF Document</t>
        </is>
      </c>
      <c r="K4027" s="9" t="n">
        <v>17.8</v>
      </c>
      <c r="L4027" s="10">
        <f>HYPERLINK("http://127.0.0.1:8000/api/documents/download?id=2195&amp;attachment=true", "⬇ Download SBD.pdf")</f>
        <v/>
      </c>
      <c r="M4027" s="10">
        <f>HYPERLINK("http://localhost:5173/?state=Uttarakhand&amp;keyword=ICT&amp;tender=2026_IRDCE_101164_1", "🚀 Open in Portal")</f>
        <v/>
      </c>
    </row>
    <row r="4028" ht="24" customHeight="1">
      <c r="A4028" s="11" t="inlineStr">
        <is>
          <t>Uttarakhand</t>
        </is>
      </c>
      <c r="B4028" s="12" t="inlineStr">
        <is>
          <t>ICT</t>
        </is>
      </c>
      <c r="C4028" s="13" t="inlineStr">
        <is>
          <t>2026_IRDCE_101164_1</t>
        </is>
      </c>
      <c r="D4028" s="14" t="inlineStr">
        <is>
          <t>[Consultancy service for Construction of barrage/lake in Langoor Garh of village Matiyali in Dwarikhal block of District Pauri Garhwal under CM Announcement No. 387/2019]</t>
        </is>
      </c>
      <c r="E4028" s="14" t="inlineStr">
        <is>
          <t>Uttarakhand Public Works &amp; Technology Department</t>
        </is>
      </c>
      <c r="F4028" s="13" t="inlineStr">
        <is>
          <t>22 Oct 2026</t>
        </is>
      </c>
      <c r="G4028" s="12" t="inlineStr">
        <is>
          <t>12 Nov 2026</t>
        </is>
      </c>
      <c r="H4028" s="8" t="inlineStr">
        <is>
          <t>⏳ UPCOMING</t>
        </is>
      </c>
      <c r="I4028" s="11" t="inlineStr">
        <is>
          <t>BOQ_119205.xls</t>
        </is>
      </c>
      <c r="J4028" s="13" t="inlineStr">
        <is>
          <t>📊 Excel BOQ</t>
        </is>
      </c>
      <c r="K4028" s="15" t="n">
        <v>2.5</v>
      </c>
      <c r="L4028" s="16">
        <f>HYPERLINK("http://127.0.0.1:8000/api/documents/download?id=2196&amp;attachment=true", "⬇ Download BOQ_119205.xls")</f>
        <v/>
      </c>
      <c r="M4028" s="16">
        <f>HYPERLINK("http://localhost:5173/?state=Uttarakhand&amp;keyword=ICT&amp;tender=2026_IRDCE_101164_1", "🚀 Open in Portal")</f>
        <v/>
      </c>
    </row>
    <row r="4029" ht="24" customHeight="1">
      <c r="A4029" s="4" t="inlineStr">
        <is>
          <t>Uttarakhand</t>
        </is>
      </c>
      <c r="B4029" s="5" t="inlineStr">
        <is>
          <t>ICT</t>
        </is>
      </c>
      <c r="C4029" s="6" t="inlineStr">
        <is>
          <t>2026_IRDCE_101164_1</t>
        </is>
      </c>
      <c r="D4029" s="7" t="inlineStr">
        <is>
          <t>[Consultancy service for Construction of barrage/lake in Langoor Garh of village Matiyali in Dwarikhal block of District Pauri Garhwal under CM Announcement No. 387/2019]</t>
        </is>
      </c>
      <c r="E4029" s="7" t="inlineStr">
        <is>
          <t>Uttarakhand Public Works &amp; Technology Department</t>
        </is>
      </c>
      <c r="F4029" s="6" t="inlineStr">
        <is>
          <t>22 Oct 2026</t>
        </is>
      </c>
      <c r="G4029" s="5" t="inlineStr">
        <is>
          <t>12 Nov 2026</t>
        </is>
      </c>
      <c r="H4029" s="8" t="inlineStr">
        <is>
          <t>⏳ UPCOMING</t>
        </is>
      </c>
      <c r="I4029" s="4" t="inlineStr">
        <is>
          <t>Tender_2026_IRDCE_101164_1_All_Documents.zip</t>
        </is>
      </c>
      <c r="J4029" s="6" t="inlineStr">
        <is>
          <t>📦 ZIP Package</t>
        </is>
      </c>
      <c r="K4029" s="9" t="n">
        <v>20.8</v>
      </c>
      <c r="L4029" s="10">
        <f>HYPERLINK("http://127.0.0.1:8000/api/documents/download?id=2197&amp;attachment=true", "⬇ Download Tender_2026_IRDCE_101164")</f>
        <v/>
      </c>
      <c r="M4029" s="10">
        <f>HYPERLINK("http://localhost:5173/?state=Uttarakhand&amp;keyword=ICT&amp;tender=2026_IRDCE_101164_1", "🚀 Open in Portal")</f>
        <v/>
      </c>
    </row>
    <row r="4030" ht="24" customHeight="1">
      <c r="A4030" s="11" t="inlineStr">
        <is>
          <t>Uttarakhand</t>
        </is>
      </c>
      <c r="B4030" s="12" t="inlineStr">
        <is>
          <t>ICT</t>
        </is>
      </c>
      <c r="C4030" s="13" t="inlineStr">
        <is>
          <t>2026_IRDCE_101165_1</t>
        </is>
      </c>
      <c r="D4030" s="14" t="inlineStr">
        <is>
          <t>[Storm Water Drainage Plan of Swargashram area at Rishikesh in District Pauri Garhwal under CM Announcement No. 759/2017]</t>
        </is>
      </c>
      <c r="E4030" s="14" t="inlineStr">
        <is>
          <t>Uttarakhand Public Works &amp; Technology Department</t>
        </is>
      </c>
      <c r="F4030" s="13" t="inlineStr">
        <is>
          <t>04 Aug 2026</t>
        </is>
      </c>
      <c r="G4030" s="12" t="inlineStr">
        <is>
          <t>28 Aug 2026</t>
        </is>
      </c>
      <c r="H4030" s="8" t="inlineStr">
        <is>
          <t>⏳ UPCOMING</t>
        </is>
      </c>
      <c r="I4030" s="11" t="inlineStr">
        <is>
          <t>Tendernotice_1.pdf</t>
        </is>
      </c>
      <c r="J4030" s="13" t="inlineStr">
        <is>
          <t>📕 PDF Document</t>
        </is>
      </c>
      <c r="K4030" s="15" t="n">
        <v>17.9</v>
      </c>
      <c r="L4030" s="16">
        <f>HYPERLINK("http://127.0.0.1:8000/api/documents/download?id=2178&amp;attachment=true", "⬇ Download Tendernotice_1.pdf")</f>
        <v/>
      </c>
      <c r="M4030" s="16">
        <f>HYPERLINK("http://localhost:5173/?state=Uttarakhand&amp;keyword=ICT&amp;tender=2026_IRDCE_101165_1", "🚀 Open in Portal")</f>
        <v/>
      </c>
    </row>
    <row r="4031" ht="24" customHeight="1">
      <c r="A4031" s="4" t="inlineStr">
        <is>
          <t>Uttarakhand</t>
        </is>
      </c>
      <c r="B4031" s="5" t="inlineStr">
        <is>
          <t>ICT</t>
        </is>
      </c>
      <c r="C4031" s="6" t="inlineStr">
        <is>
          <t>2026_IRDCE_101165_1</t>
        </is>
      </c>
      <c r="D4031" s="7" t="inlineStr">
        <is>
          <t>[Storm Water Drainage Plan of Swargashram area at Rishikesh in District Pauri Garhwal under CM Announcement No. 759/2017]</t>
        </is>
      </c>
      <c r="E4031" s="7" t="inlineStr">
        <is>
          <t>Uttarakhand Public Works &amp; Technology Department</t>
        </is>
      </c>
      <c r="F4031" s="6" t="inlineStr">
        <is>
          <t>04 Aug 2026</t>
        </is>
      </c>
      <c r="G4031" s="5" t="inlineStr">
        <is>
          <t>28 Aug 2026</t>
        </is>
      </c>
      <c r="H4031" s="8" t="inlineStr">
        <is>
          <t>⏳ UPCOMING</t>
        </is>
      </c>
      <c r="I4031" s="4" t="inlineStr">
        <is>
          <t>SBDDrainageSwargasharm.pdf</t>
        </is>
      </c>
      <c r="J4031" s="6" t="inlineStr">
        <is>
          <t>📕 PDF Document</t>
        </is>
      </c>
      <c r="K4031" s="9" t="n">
        <v>17.9</v>
      </c>
      <c r="L4031" s="10">
        <f>HYPERLINK("http://127.0.0.1:8000/api/documents/download?id=2179&amp;attachment=true", "⬇ Download SBDDrainageSwargasharm.p")</f>
        <v/>
      </c>
      <c r="M4031" s="10">
        <f>HYPERLINK("http://localhost:5173/?state=Uttarakhand&amp;keyword=ICT&amp;tender=2026_IRDCE_101165_1", "🚀 Open in Portal")</f>
        <v/>
      </c>
    </row>
    <row r="4032" ht="24" customHeight="1">
      <c r="A4032" s="11" t="inlineStr">
        <is>
          <t>Uttarakhand</t>
        </is>
      </c>
      <c r="B4032" s="12" t="inlineStr">
        <is>
          <t>ICT</t>
        </is>
      </c>
      <c r="C4032" s="13" t="inlineStr">
        <is>
          <t>2026_IRDCE_101165_1</t>
        </is>
      </c>
      <c r="D4032" s="14" t="inlineStr">
        <is>
          <t>[Storm Water Drainage Plan of Swargashram area at Rishikesh in District Pauri Garhwal under CM Announcement No. 759/2017]</t>
        </is>
      </c>
      <c r="E4032" s="14" t="inlineStr">
        <is>
          <t>Uttarakhand Public Works &amp; Technology Department</t>
        </is>
      </c>
      <c r="F4032" s="13" t="inlineStr">
        <is>
          <t>04 Aug 2026</t>
        </is>
      </c>
      <c r="G4032" s="12" t="inlineStr">
        <is>
          <t>28 Aug 2026</t>
        </is>
      </c>
      <c r="H4032" s="8" t="inlineStr">
        <is>
          <t>⏳ UPCOMING</t>
        </is>
      </c>
      <c r="I4032" s="11" t="inlineStr">
        <is>
          <t>BOQ_119206.xls</t>
        </is>
      </c>
      <c r="J4032" s="13" t="inlineStr">
        <is>
          <t>📊 Excel BOQ</t>
        </is>
      </c>
      <c r="K4032" s="15" t="n">
        <v>2.5</v>
      </c>
      <c r="L4032" s="16">
        <f>HYPERLINK("http://127.0.0.1:8000/api/documents/download?id=2180&amp;attachment=true", "⬇ Download BOQ_119206.xls")</f>
        <v/>
      </c>
      <c r="M4032" s="16">
        <f>HYPERLINK("http://localhost:5173/?state=Uttarakhand&amp;keyword=ICT&amp;tender=2026_IRDCE_101165_1", "🚀 Open in Portal")</f>
        <v/>
      </c>
    </row>
    <row r="4033" ht="24" customHeight="1">
      <c r="A4033" s="4" t="inlineStr">
        <is>
          <t>Uttarakhand</t>
        </is>
      </c>
      <c r="B4033" s="5" t="inlineStr">
        <is>
          <t>ICT</t>
        </is>
      </c>
      <c r="C4033" s="6" t="inlineStr">
        <is>
          <t>2026_IRDCE_101165_1</t>
        </is>
      </c>
      <c r="D4033" s="7" t="inlineStr">
        <is>
          <t>[Storm Water Drainage Plan of Swargashram area at Rishikesh in District Pauri Garhwal under CM Announcement No. 759/2017]</t>
        </is>
      </c>
      <c r="E4033" s="7" t="inlineStr">
        <is>
          <t>Uttarakhand Public Works &amp; Technology Department</t>
        </is>
      </c>
      <c r="F4033" s="6" t="inlineStr">
        <is>
          <t>04 Aug 2026</t>
        </is>
      </c>
      <c r="G4033" s="5" t="inlineStr">
        <is>
          <t>28 Aug 2026</t>
        </is>
      </c>
      <c r="H4033" s="8" t="inlineStr">
        <is>
          <t>⏳ UPCOMING</t>
        </is>
      </c>
      <c r="I4033" s="4" t="inlineStr">
        <is>
          <t>DrawingDrainageSwargashram.pdf</t>
        </is>
      </c>
      <c r="J4033" s="6" t="inlineStr">
        <is>
          <t>📕 PDF Document</t>
        </is>
      </c>
      <c r="K4033" s="9" t="n">
        <v>17.9</v>
      </c>
      <c r="L4033" s="10">
        <f>HYPERLINK("http://127.0.0.1:8000/api/documents/download?id=2181&amp;attachment=true", "⬇ Download DrawingDrainageSwargashr")</f>
        <v/>
      </c>
      <c r="M4033" s="10">
        <f>HYPERLINK("http://localhost:5173/?state=Uttarakhand&amp;keyword=ICT&amp;tender=2026_IRDCE_101165_1", "🚀 Open in Portal")</f>
        <v/>
      </c>
    </row>
    <row r="4034" ht="24" customHeight="1">
      <c r="A4034" s="11" t="inlineStr">
        <is>
          <t>Uttarakhand</t>
        </is>
      </c>
      <c r="B4034" s="12" t="inlineStr">
        <is>
          <t>ICT</t>
        </is>
      </c>
      <c r="C4034" s="13" t="inlineStr">
        <is>
          <t>2026_IRDCE_101165_1</t>
        </is>
      </c>
      <c r="D4034" s="14" t="inlineStr">
        <is>
          <t>[Storm Water Drainage Plan of Swargashram area at Rishikesh in District Pauri Garhwal under CM Announcement No. 759/2017]</t>
        </is>
      </c>
      <c r="E4034" s="14" t="inlineStr">
        <is>
          <t>Uttarakhand Public Works &amp; Technology Department</t>
        </is>
      </c>
      <c r="F4034" s="13" t="inlineStr">
        <is>
          <t>04 Aug 2026</t>
        </is>
      </c>
      <c r="G4034" s="12" t="inlineStr">
        <is>
          <t>28 Aug 2026</t>
        </is>
      </c>
      <c r="H4034" s="8" t="inlineStr">
        <is>
          <t>⏳ UPCOMING</t>
        </is>
      </c>
      <c r="I4034" s="11" t="inlineStr">
        <is>
          <t>Tender_2026_IRDCE_101165_1_All_Documents.zip</t>
        </is>
      </c>
      <c r="J4034" s="13" t="inlineStr">
        <is>
          <t>📦 ZIP Package</t>
        </is>
      </c>
      <c r="K4034" s="15" t="n">
        <v>30.1</v>
      </c>
      <c r="L4034" s="16">
        <f>HYPERLINK("http://127.0.0.1:8000/api/documents/download?id=2182&amp;attachment=true", "⬇ Download Tender_2026_IRDCE_101165")</f>
        <v/>
      </c>
      <c r="M4034" s="16">
        <f>HYPERLINK("http://localhost:5173/?state=Uttarakhand&amp;keyword=ICT&amp;tender=2026_IRDCE_101165_1", "🚀 Open in Portal")</f>
        <v/>
      </c>
    </row>
    <row r="4035" ht="24" customHeight="1">
      <c r="A4035" s="4" t="inlineStr">
        <is>
          <t>Uttarakhand</t>
        </is>
      </c>
      <c r="B4035" s="5" t="inlineStr">
        <is>
          <t>ICT</t>
        </is>
      </c>
      <c r="C4035" s="6" t="inlineStr">
        <is>
          <t>2026_IRDCE_101200_1</t>
        </is>
      </c>
      <c r="D4035" s="7" t="inlineStr">
        <is>
          <t>[Construction of storm water drainage outfall of Gandhi Road District Dehradun city total lenth of outfall 4.20Km]</t>
        </is>
      </c>
      <c r="E4035" s="7" t="inlineStr">
        <is>
          <t>Uttarakhand Public Works &amp; Technology Department</t>
        </is>
      </c>
      <c r="F4035" s="6" t="inlineStr">
        <is>
          <t>13 Aug 2026</t>
        </is>
      </c>
      <c r="G4035" s="5" t="inlineStr">
        <is>
          <t>09 Sep 2026</t>
        </is>
      </c>
      <c r="H4035" s="8" t="inlineStr">
        <is>
          <t>⏳ UPCOMING</t>
        </is>
      </c>
      <c r="I4035" s="4" t="inlineStr">
        <is>
          <t>Tendernotice_1.pdf</t>
        </is>
      </c>
      <c r="J4035" s="6" t="inlineStr">
        <is>
          <t>📕 PDF Document</t>
        </is>
      </c>
      <c r="K4035" s="9" t="n">
        <v>17.9</v>
      </c>
      <c r="L4035" s="10">
        <f>HYPERLINK("http://127.0.0.1:8000/api/documents/download?id=2166&amp;attachment=true", "⬇ Download Tendernotice_1.pdf")</f>
        <v/>
      </c>
      <c r="M4035" s="10">
        <f>HYPERLINK("http://localhost:5173/?state=Uttarakhand&amp;keyword=ICT&amp;tender=2026_IRDCE_101200_1", "🚀 Open in Portal")</f>
        <v/>
      </c>
    </row>
    <row r="4036" ht="24" customHeight="1">
      <c r="A4036" s="11" t="inlineStr">
        <is>
          <t>Uttarakhand</t>
        </is>
      </c>
      <c r="B4036" s="12" t="inlineStr">
        <is>
          <t>ICT</t>
        </is>
      </c>
      <c r="C4036" s="13" t="inlineStr">
        <is>
          <t>2026_IRDCE_101200_1</t>
        </is>
      </c>
      <c r="D4036" s="14" t="inlineStr">
        <is>
          <t>[Construction of storm water drainage outfall of Gandhi Road District Dehradun city total lenth of outfall 4.20Km]</t>
        </is>
      </c>
      <c r="E4036" s="14" t="inlineStr">
        <is>
          <t>Uttarakhand Public Works &amp; Technology Department</t>
        </is>
      </c>
      <c r="F4036" s="13" t="inlineStr">
        <is>
          <t>13 Aug 2026</t>
        </is>
      </c>
      <c r="G4036" s="12" t="inlineStr">
        <is>
          <t>09 Sep 2026</t>
        </is>
      </c>
      <c r="H4036" s="8" t="inlineStr">
        <is>
          <t>⏳ UPCOMING</t>
        </is>
      </c>
      <c r="I4036" s="11" t="inlineStr">
        <is>
          <t>BOQ_119243.xls</t>
        </is>
      </c>
      <c r="J4036" s="13" t="inlineStr">
        <is>
          <t>📊 Excel BOQ</t>
        </is>
      </c>
      <c r="K4036" s="15" t="n">
        <v>2.5</v>
      </c>
      <c r="L4036" s="16">
        <f>HYPERLINK("http://127.0.0.1:8000/api/documents/download?id=2167&amp;attachment=true", "⬇ Download BOQ_119243.xls")</f>
        <v/>
      </c>
      <c r="M4036" s="16">
        <f>HYPERLINK("http://localhost:5173/?state=Uttarakhand&amp;keyword=ICT&amp;tender=2026_IRDCE_101200_1", "🚀 Open in Portal")</f>
        <v/>
      </c>
    </row>
    <row r="4037" ht="24" customHeight="1">
      <c r="A4037" s="4" t="inlineStr">
        <is>
          <t>Uttarakhand</t>
        </is>
      </c>
      <c r="B4037" s="5" t="inlineStr">
        <is>
          <t>ICT</t>
        </is>
      </c>
      <c r="C4037" s="6" t="inlineStr">
        <is>
          <t>2026_IRDCE_101200_1</t>
        </is>
      </c>
      <c r="D4037" s="7" t="inlineStr">
        <is>
          <t>[Construction of storm water drainage outfall of Gandhi Road District Dehradun city total lenth of outfall 4.20Km]</t>
        </is>
      </c>
      <c r="E4037" s="7" t="inlineStr">
        <is>
          <t>Uttarakhand Public Works &amp; Technology Department</t>
        </is>
      </c>
      <c r="F4037" s="6" t="inlineStr">
        <is>
          <t>13 Aug 2026</t>
        </is>
      </c>
      <c r="G4037" s="5" t="inlineStr">
        <is>
          <t>09 Sep 2026</t>
        </is>
      </c>
      <c r="H4037" s="8" t="inlineStr">
        <is>
          <t>⏳ UPCOMING</t>
        </is>
      </c>
      <c r="I4037" s="4" t="inlineStr">
        <is>
          <t>GandhiroadSBD.pdf</t>
        </is>
      </c>
      <c r="J4037" s="6" t="inlineStr">
        <is>
          <t>📕 PDF Document</t>
        </is>
      </c>
      <c r="K4037" s="9" t="n">
        <v>17.9</v>
      </c>
      <c r="L4037" s="10">
        <f>HYPERLINK("http://127.0.0.1:8000/api/documents/download?id=2168&amp;attachment=true", "⬇ Download GandhiroadSBD.pdf")</f>
        <v/>
      </c>
      <c r="M4037" s="10">
        <f>HYPERLINK("http://localhost:5173/?state=Uttarakhand&amp;keyword=ICT&amp;tender=2026_IRDCE_101200_1", "🚀 Open in Portal")</f>
        <v/>
      </c>
    </row>
    <row r="4038" ht="24" customHeight="1">
      <c r="A4038" s="11" t="inlineStr">
        <is>
          <t>Uttarakhand</t>
        </is>
      </c>
      <c r="B4038" s="12" t="inlineStr">
        <is>
          <t>ICT</t>
        </is>
      </c>
      <c r="C4038" s="13" t="inlineStr">
        <is>
          <t>2026_IRDCE_101200_1</t>
        </is>
      </c>
      <c r="D4038" s="14" t="inlineStr">
        <is>
          <t>[Construction of storm water drainage outfall of Gandhi Road District Dehradun city total lenth of outfall 4.20Km]</t>
        </is>
      </c>
      <c r="E4038" s="14" t="inlineStr">
        <is>
          <t>Uttarakhand Public Works &amp; Technology Department</t>
        </is>
      </c>
      <c r="F4038" s="13" t="inlineStr">
        <is>
          <t>13 Aug 2026</t>
        </is>
      </c>
      <c r="G4038" s="12" t="inlineStr">
        <is>
          <t>09 Sep 2026</t>
        </is>
      </c>
      <c r="H4038" s="8" t="inlineStr">
        <is>
          <t>⏳ UPCOMING</t>
        </is>
      </c>
      <c r="I4038" s="11" t="inlineStr">
        <is>
          <t>DRwing.pdf</t>
        </is>
      </c>
      <c r="J4038" s="13" t="inlineStr">
        <is>
          <t>📕 PDF Document</t>
        </is>
      </c>
      <c r="K4038" s="15" t="n">
        <v>17.8</v>
      </c>
      <c r="L4038" s="16">
        <f>HYPERLINK("http://127.0.0.1:8000/api/documents/download?id=2169&amp;attachment=true", "⬇ Download DRwing.pdf")</f>
        <v/>
      </c>
      <c r="M4038" s="16">
        <f>HYPERLINK("http://localhost:5173/?state=Uttarakhand&amp;keyword=ICT&amp;tender=2026_IRDCE_101200_1", "🚀 Open in Portal")</f>
        <v/>
      </c>
    </row>
    <row r="4039" ht="24" customHeight="1">
      <c r="A4039" s="4" t="inlineStr">
        <is>
          <t>Uttarakhand</t>
        </is>
      </c>
      <c r="B4039" s="5" t="inlineStr">
        <is>
          <t>ICT</t>
        </is>
      </c>
      <c r="C4039" s="6" t="inlineStr">
        <is>
          <t>2026_IRDCE_101200_1</t>
        </is>
      </c>
      <c r="D4039" s="7" t="inlineStr">
        <is>
          <t>[Construction of storm water drainage outfall of Gandhi Road District Dehradun city total lenth of outfall 4.20Km]</t>
        </is>
      </c>
      <c r="E4039" s="7" t="inlineStr">
        <is>
          <t>Uttarakhand Public Works &amp; Technology Department</t>
        </is>
      </c>
      <c r="F4039" s="6" t="inlineStr">
        <is>
          <t>13 Aug 2026</t>
        </is>
      </c>
      <c r="G4039" s="5" t="inlineStr">
        <is>
          <t>09 Sep 2026</t>
        </is>
      </c>
      <c r="H4039" s="8" t="inlineStr">
        <is>
          <t>⏳ UPCOMING</t>
        </is>
      </c>
      <c r="I4039" s="4" t="inlineStr">
        <is>
          <t>Tender_2026_IRDCE_101200_1_All_Documents.zip</t>
        </is>
      </c>
      <c r="J4039" s="6" t="inlineStr">
        <is>
          <t>📦 ZIP Package</t>
        </is>
      </c>
      <c r="K4039" s="9" t="n">
        <v>30</v>
      </c>
      <c r="L4039" s="10">
        <f>HYPERLINK("http://127.0.0.1:8000/api/documents/download?id=2170&amp;attachment=true", "⬇ Download Tender_2026_IRDCE_101200")</f>
        <v/>
      </c>
      <c r="M4039" s="10">
        <f>HYPERLINK("http://localhost:5173/?state=Uttarakhand&amp;keyword=ICT&amp;tender=2026_IRDCE_101200_1", "🚀 Open in Portal")</f>
        <v/>
      </c>
    </row>
    <row r="4040" ht="24" customHeight="1">
      <c r="A4040" s="11" t="inlineStr">
        <is>
          <t>Uttarakhand</t>
        </is>
      </c>
      <c r="B4040" s="12" t="inlineStr">
        <is>
          <t>ICT</t>
        </is>
      </c>
      <c r="C4040" s="13" t="inlineStr">
        <is>
          <t>2026_IRDCE_101208_1</t>
        </is>
      </c>
      <c r="D4040" s="14" t="inlineStr">
        <is>
          <t>[Under the State Sector Drainage plan construction of drain for water drainage from Mannakhedi culvert to Garbi canal passing near Rahul farm in village Nagla Salaru of block Narsan of district Haridwar. Honble Chief Minister Announcement No192-24]</t>
        </is>
      </c>
      <c r="E4040" s="14" t="inlineStr">
        <is>
          <t>Uttarakhand Public Works &amp; Technology Department</t>
        </is>
      </c>
      <c r="F4040" s="13" t="inlineStr">
        <is>
          <t>14 Oct 2026</t>
        </is>
      </c>
      <c r="G4040" s="12" t="inlineStr">
        <is>
          <t>22 Oct 2026</t>
        </is>
      </c>
      <c r="H4040" s="18" t="inlineStr">
        <is>
          <t>⚠️ CLOSING SOON</t>
        </is>
      </c>
      <c r="I4040" s="11" t="inlineStr">
        <is>
          <t>Tendernotice_1.pdf</t>
        </is>
      </c>
      <c r="J4040" s="13" t="inlineStr">
        <is>
          <t>📕 PDF Document</t>
        </is>
      </c>
      <c r="K4040" s="15" t="n">
        <v>17.9</v>
      </c>
      <c r="L4040" s="16">
        <f>HYPERLINK("http://127.0.0.1:8000/api/documents/download?id=2162&amp;attachment=true", "⬇ Download Tendernotice_1.pdf")</f>
        <v/>
      </c>
      <c r="M4040" s="16">
        <f>HYPERLINK("http://localhost:5173/?state=Uttarakhand&amp;keyword=ICT&amp;tender=2026_IRDCE_101208_1", "🚀 Open in Portal")</f>
        <v/>
      </c>
    </row>
    <row r="4041" ht="24" customHeight="1">
      <c r="A4041" s="4" t="inlineStr">
        <is>
          <t>Uttarakhand</t>
        </is>
      </c>
      <c r="B4041" s="5" t="inlineStr">
        <is>
          <t>ICT</t>
        </is>
      </c>
      <c r="C4041" s="6" t="inlineStr">
        <is>
          <t>2026_IRDCE_101208_1</t>
        </is>
      </c>
      <c r="D4041" s="7" t="inlineStr">
        <is>
          <t>[Under the State Sector Drainage plan construction of drain for water drainage from Mannakhedi culvert to Garbi canal passing near Rahul farm in village Nagla Salaru of block Narsan of district Haridwar. Honble Chief Minister Announcement No192-24]</t>
        </is>
      </c>
      <c r="E4041" s="7" t="inlineStr">
        <is>
          <t>Uttarakhand Public Works &amp; Technology Department</t>
        </is>
      </c>
      <c r="F4041" s="6" t="inlineStr">
        <is>
          <t>14 Oct 2026</t>
        </is>
      </c>
      <c r="G4041" s="5" t="inlineStr">
        <is>
          <t>22 Oct 2026</t>
        </is>
      </c>
      <c r="H4041" s="18" t="inlineStr">
        <is>
          <t>⚠️ CLOSING SOON</t>
        </is>
      </c>
      <c r="I4041" s="4" t="inlineStr">
        <is>
          <t>sbdnagla.pdf</t>
        </is>
      </c>
      <c r="J4041" s="6" t="inlineStr">
        <is>
          <t>📕 PDF Document</t>
        </is>
      </c>
      <c r="K4041" s="9" t="n">
        <v>17.8</v>
      </c>
      <c r="L4041" s="10">
        <f>HYPERLINK("http://127.0.0.1:8000/api/documents/download?id=2163&amp;attachment=true", "⬇ Download sbdnagla.pdf")</f>
        <v/>
      </c>
      <c r="M4041" s="10">
        <f>HYPERLINK("http://localhost:5173/?state=Uttarakhand&amp;keyword=ICT&amp;tender=2026_IRDCE_101208_1", "🚀 Open in Portal")</f>
        <v/>
      </c>
    </row>
    <row r="4042" ht="24" customHeight="1">
      <c r="A4042" s="11" t="inlineStr">
        <is>
          <t>Uttarakhand</t>
        </is>
      </c>
      <c r="B4042" s="12" t="inlineStr">
        <is>
          <t>ICT</t>
        </is>
      </c>
      <c r="C4042" s="13" t="inlineStr">
        <is>
          <t>2026_IRDCE_101208_1</t>
        </is>
      </c>
      <c r="D4042" s="14" t="inlineStr">
        <is>
          <t>[Under the State Sector Drainage plan construction of drain for water drainage from Mannakhedi culvert to Garbi canal passing near Rahul farm in village Nagla Salaru of block Narsan of district Haridwar. Honble Chief Minister Announcement No192-24]</t>
        </is>
      </c>
      <c r="E4042" s="14" t="inlineStr">
        <is>
          <t>Uttarakhand Public Works &amp; Technology Department</t>
        </is>
      </c>
      <c r="F4042" s="13" t="inlineStr">
        <is>
          <t>14 Oct 2026</t>
        </is>
      </c>
      <c r="G4042" s="12" t="inlineStr">
        <is>
          <t>22 Oct 2026</t>
        </is>
      </c>
      <c r="H4042" s="18" t="inlineStr">
        <is>
          <t>⚠️ CLOSING SOON</t>
        </is>
      </c>
      <c r="I4042" s="11" t="inlineStr">
        <is>
          <t>BOQ_119252.xls</t>
        </is>
      </c>
      <c r="J4042" s="13" t="inlineStr">
        <is>
          <t>📊 Excel BOQ</t>
        </is>
      </c>
      <c r="K4042" s="15" t="n">
        <v>2.6</v>
      </c>
      <c r="L4042" s="16">
        <f>HYPERLINK("http://127.0.0.1:8000/api/documents/download?id=2164&amp;attachment=true", "⬇ Download BOQ_119252.xls")</f>
        <v/>
      </c>
      <c r="M4042" s="16">
        <f>HYPERLINK("http://localhost:5173/?state=Uttarakhand&amp;keyword=ICT&amp;tender=2026_IRDCE_101208_1", "🚀 Open in Portal")</f>
        <v/>
      </c>
    </row>
    <row r="4043" ht="24" customHeight="1">
      <c r="A4043" s="4" t="inlineStr">
        <is>
          <t>Uttarakhand</t>
        </is>
      </c>
      <c r="B4043" s="5" t="inlineStr">
        <is>
          <t>ICT</t>
        </is>
      </c>
      <c r="C4043" s="6" t="inlineStr">
        <is>
          <t>2026_IRDCE_101208_1</t>
        </is>
      </c>
      <c r="D4043" s="7" t="inlineStr">
        <is>
          <t>[Under the State Sector Drainage plan construction of drain for water drainage from Mannakhedi culvert to Garbi canal passing near Rahul farm in village Nagla Salaru of block Narsan of district Haridwar. Honble Chief Minister Announcement No192-24]</t>
        </is>
      </c>
      <c r="E4043" s="7" t="inlineStr">
        <is>
          <t>Uttarakhand Public Works &amp; Technology Department</t>
        </is>
      </c>
      <c r="F4043" s="6" t="inlineStr">
        <is>
          <t>14 Oct 2026</t>
        </is>
      </c>
      <c r="G4043" s="5" t="inlineStr">
        <is>
          <t>22 Oct 2026</t>
        </is>
      </c>
      <c r="H4043" s="18" t="inlineStr">
        <is>
          <t>⚠️ CLOSING SOON</t>
        </is>
      </c>
      <c r="I4043" s="4" t="inlineStr">
        <is>
          <t>Tender_2026_IRDCE_101208_1_All_Documents.zip</t>
        </is>
      </c>
      <c r="J4043" s="6" t="inlineStr">
        <is>
          <t>📦 ZIP Package</t>
        </is>
      </c>
      <c r="K4043" s="9" t="n">
        <v>20.8</v>
      </c>
      <c r="L4043" s="10">
        <f>HYPERLINK("http://127.0.0.1:8000/api/documents/download?id=2165&amp;attachment=true", "⬇ Download Tender_2026_IRDCE_101208")</f>
        <v/>
      </c>
      <c r="M4043" s="10">
        <f>HYPERLINK("http://localhost:5173/?state=Uttarakhand&amp;keyword=ICT&amp;tender=2026_IRDCE_101208_1", "🚀 Open in Portal")</f>
        <v/>
      </c>
    </row>
    <row r="4044" ht="24" customHeight="1">
      <c r="A4044" s="11" t="inlineStr">
        <is>
          <t>Uttarakhand</t>
        </is>
      </c>
      <c r="B4044" s="12" t="inlineStr">
        <is>
          <t>ICT</t>
        </is>
      </c>
      <c r="C4044" s="13" t="inlineStr">
        <is>
          <t>2026_IRDCE_101212_1</t>
        </is>
      </c>
      <c r="D4044" s="14" t="inlineStr">
        <is>
          <t>[Renovation of 02 No Canals (Bonga Canal and Kothiyada Canal) Damaged By Motor Roads in Bhilangana Block of District Tehri Garhwal Under Nabard]</t>
        </is>
      </c>
      <c r="E4044" s="14" t="inlineStr">
        <is>
          <t>Uttarakhand Public Works &amp; Technology Department</t>
        </is>
      </c>
      <c r="F4044" s="13" t="inlineStr">
        <is>
          <t>17 Aug 2026</t>
        </is>
      </c>
      <c r="G4044" s="12" t="inlineStr">
        <is>
          <t>10 Sep 2026</t>
        </is>
      </c>
      <c r="H4044" s="8" t="inlineStr">
        <is>
          <t>⏳ UPCOMING</t>
        </is>
      </c>
      <c r="I4044" s="11" t="inlineStr">
        <is>
          <t>Tendernotice_1.pdf</t>
        </is>
      </c>
      <c r="J4044" s="13" t="inlineStr">
        <is>
          <t>📕 PDF Document</t>
        </is>
      </c>
      <c r="K4044" s="15" t="n">
        <v>17.9</v>
      </c>
      <c r="L4044" s="16">
        <f>HYPERLINK("http://127.0.0.1:8000/api/documents/download?id=2153&amp;attachment=true", "⬇ Download Tendernotice_1.pdf")</f>
        <v/>
      </c>
      <c r="M4044" s="16">
        <f>HYPERLINK("http://localhost:5173/?state=Uttarakhand&amp;keyword=ICT&amp;tender=2026_IRDCE_101212_1", "🚀 Open in Portal")</f>
        <v/>
      </c>
    </row>
    <row r="4045" ht="24" customHeight="1">
      <c r="A4045" s="4" t="inlineStr">
        <is>
          <t>Uttarakhand</t>
        </is>
      </c>
      <c r="B4045" s="5" t="inlineStr">
        <is>
          <t>ICT</t>
        </is>
      </c>
      <c r="C4045" s="6" t="inlineStr">
        <is>
          <t>2026_IRDCE_101212_1</t>
        </is>
      </c>
      <c r="D4045" s="7" t="inlineStr">
        <is>
          <t>[Renovation of 02 No Canals (Bonga Canal and Kothiyada Canal) Damaged By Motor Roads in Bhilangana Block of District Tehri Garhwal Under Nabard]</t>
        </is>
      </c>
      <c r="E4045" s="7" t="inlineStr">
        <is>
          <t>Uttarakhand Public Works &amp; Technology Department</t>
        </is>
      </c>
      <c r="F4045" s="6" t="inlineStr">
        <is>
          <t>17 Aug 2026</t>
        </is>
      </c>
      <c r="G4045" s="5" t="inlineStr">
        <is>
          <t>10 Sep 2026</t>
        </is>
      </c>
      <c r="H4045" s="8" t="inlineStr">
        <is>
          <t>⏳ UPCOMING</t>
        </is>
      </c>
      <c r="I4045" s="4" t="inlineStr">
        <is>
          <t>drawing.pdf</t>
        </is>
      </c>
      <c r="J4045" s="6" t="inlineStr">
        <is>
          <t>📕 PDF Document</t>
        </is>
      </c>
      <c r="K4045" s="9" t="n">
        <v>17.8</v>
      </c>
      <c r="L4045" s="10">
        <f>HYPERLINK("http://127.0.0.1:8000/api/documents/download?id=2154&amp;attachment=true", "⬇ Download drawing.pdf")</f>
        <v/>
      </c>
      <c r="M4045" s="10">
        <f>HYPERLINK("http://localhost:5173/?state=Uttarakhand&amp;keyword=ICT&amp;tender=2026_IRDCE_101212_1", "🚀 Open in Portal")</f>
        <v/>
      </c>
    </row>
    <row r="4046" ht="24" customHeight="1">
      <c r="A4046" s="11" t="inlineStr">
        <is>
          <t>Uttarakhand</t>
        </is>
      </c>
      <c r="B4046" s="12" t="inlineStr">
        <is>
          <t>ICT</t>
        </is>
      </c>
      <c r="C4046" s="13" t="inlineStr">
        <is>
          <t>2026_IRDCE_101212_1</t>
        </is>
      </c>
      <c r="D4046" s="14" t="inlineStr">
        <is>
          <t>[Renovation of 02 No Canals (Bonga Canal and Kothiyada Canal) Damaged By Motor Roads in Bhilangana Block of District Tehri Garhwal Under Nabard]</t>
        </is>
      </c>
      <c r="E4046" s="14" t="inlineStr">
        <is>
          <t>Uttarakhand Public Works &amp; Technology Department</t>
        </is>
      </c>
      <c r="F4046" s="13" t="inlineStr">
        <is>
          <t>17 Aug 2026</t>
        </is>
      </c>
      <c r="G4046" s="12" t="inlineStr">
        <is>
          <t>10 Sep 2026</t>
        </is>
      </c>
      <c r="H4046" s="8" t="inlineStr">
        <is>
          <t>⏳ UPCOMING</t>
        </is>
      </c>
      <c r="I4046" s="11" t="inlineStr">
        <is>
          <t>parvathello.pdf</t>
        </is>
      </c>
      <c r="J4046" s="13" t="inlineStr">
        <is>
          <t>📕 PDF Document</t>
        </is>
      </c>
      <c r="K4046" s="15" t="n">
        <v>17.9</v>
      </c>
      <c r="L4046" s="16">
        <f>HYPERLINK("http://127.0.0.1:8000/api/documents/download?id=2155&amp;attachment=true", "⬇ Download parvathello.pdf")</f>
        <v/>
      </c>
      <c r="M4046" s="16">
        <f>HYPERLINK("http://localhost:5173/?state=Uttarakhand&amp;keyword=ICT&amp;tender=2026_IRDCE_101212_1", "🚀 Open in Portal")</f>
        <v/>
      </c>
    </row>
    <row r="4047" ht="24" customHeight="1">
      <c r="A4047" s="4" t="inlineStr">
        <is>
          <t>Uttarakhand</t>
        </is>
      </c>
      <c r="B4047" s="5" t="inlineStr">
        <is>
          <t>ICT</t>
        </is>
      </c>
      <c r="C4047" s="6" t="inlineStr">
        <is>
          <t>2026_IRDCE_101212_1</t>
        </is>
      </c>
      <c r="D4047" s="7" t="inlineStr">
        <is>
          <t>[Renovation of 02 No Canals (Bonga Canal and Kothiyada Canal) Damaged By Motor Roads in Bhilangana Block of District Tehri Garhwal Under Nabard]</t>
        </is>
      </c>
      <c r="E4047" s="7" t="inlineStr">
        <is>
          <t>Uttarakhand Public Works &amp; Technology Department</t>
        </is>
      </c>
      <c r="F4047" s="6" t="inlineStr">
        <is>
          <t>17 Aug 2026</t>
        </is>
      </c>
      <c r="G4047" s="5" t="inlineStr">
        <is>
          <t>10 Sep 2026</t>
        </is>
      </c>
      <c r="H4047" s="8" t="inlineStr">
        <is>
          <t>⏳ UPCOMING</t>
        </is>
      </c>
      <c r="I4047" s="4" t="inlineStr">
        <is>
          <t>BOQ_119256.xls</t>
        </is>
      </c>
      <c r="J4047" s="6" t="inlineStr">
        <is>
          <t>📊 Excel BOQ</t>
        </is>
      </c>
      <c r="K4047" s="9" t="n">
        <v>2.5</v>
      </c>
      <c r="L4047" s="10">
        <f>HYPERLINK("http://127.0.0.1:8000/api/documents/download?id=2156&amp;attachment=true", "⬇ Download BOQ_119256.xls")</f>
        <v/>
      </c>
      <c r="M4047" s="10">
        <f>HYPERLINK("http://localhost:5173/?state=Uttarakhand&amp;keyword=ICT&amp;tender=2026_IRDCE_101212_1", "🚀 Open in Portal")</f>
        <v/>
      </c>
    </row>
    <row r="4048" ht="24" customHeight="1">
      <c r="A4048" s="11" t="inlineStr">
        <is>
          <t>Uttarakhand</t>
        </is>
      </c>
      <c r="B4048" s="12" t="inlineStr">
        <is>
          <t>ICT</t>
        </is>
      </c>
      <c r="C4048" s="13" t="inlineStr">
        <is>
          <t>2026_IRDCE_101212_1</t>
        </is>
      </c>
      <c r="D4048" s="14" t="inlineStr">
        <is>
          <t>[Renovation of 02 No Canals (Bonga Canal and Kothiyada Canal) Damaged By Motor Roads in Bhilangana Block of District Tehri Garhwal Under Nabard]</t>
        </is>
      </c>
      <c r="E4048" s="14" t="inlineStr">
        <is>
          <t>Uttarakhand Public Works &amp; Technology Department</t>
        </is>
      </c>
      <c r="F4048" s="13" t="inlineStr">
        <is>
          <t>17 Aug 2026</t>
        </is>
      </c>
      <c r="G4048" s="12" t="inlineStr">
        <is>
          <t>10 Sep 2026</t>
        </is>
      </c>
      <c r="H4048" s="8" t="inlineStr">
        <is>
          <t>⏳ UPCOMING</t>
        </is>
      </c>
      <c r="I4048" s="11" t="inlineStr">
        <is>
          <t>Tender_2026_IRDCE_101212_1_All_Documents.zip</t>
        </is>
      </c>
      <c r="J4048" s="13" t="inlineStr">
        <is>
          <t>📦 ZIP Package</t>
        </is>
      </c>
      <c r="K4048" s="15" t="n">
        <v>30</v>
      </c>
      <c r="L4048" s="16">
        <f>HYPERLINK("http://127.0.0.1:8000/api/documents/download?id=2157&amp;attachment=true", "⬇ Download Tender_2026_IRDCE_101212")</f>
        <v/>
      </c>
      <c r="M4048" s="16">
        <f>HYPERLINK("http://localhost:5173/?state=Uttarakhand&amp;keyword=ICT&amp;tender=2026_IRDCE_101212_1", "🚀 Open in Portal")</f>
        <v/>
      </c>
    </row>
    <row r="4049" ht="24" customHeight="1">
      <c r="A4049" s="4" t="inlineStr">
        <is>
          <t>Uttarakhand</t>
        </is>
      </c>
      <c r="B4049" s="5" t="inlineStr">
        <is>
          <t>ICT</t>
        </is>
      </c>
      <c r="C4049" s="6" t="inlineStr">
        <is>
          <t>2026_MDPEY_101136_1</t>
        </is>
      </c>
      <c r="D4049" s="7" t="inlineStr">
        <is>
          <t>[CONSTRUCTION OF MULTI LEVEL CAR PARKING AT DEVIDHURA DECHMAR, TEHSIL-PATI, DISTRICT CHAMPAWAT]</t>
        </is>
      </c>
      <c r="E4049" s="7" t="inlineStr">
        <is>
          <t>Uttarakhand Public Works &amp; Technology Department</t>
        </is>
      </c>
      <c r="F4049" s="6" t="inlineStr">
        <is>
          <t>18 Aug 2026</t>
        </is>
      </c>
      <c r="G4049" s="5" t="inlineStr">
        <is>
          <t>09 Sep 2026</t>
        </is>
      </c>
      <c r="H4049" s="8" t="inlineStr">
        <is>
          <t>⏳ UPCOMING</t>
        </is>
      </c>
      <c r="I4049" s="4" t="inlineStr">
        <is>
          <t>Tendernotice_1.pdf</t>
        </is>
      </c>
      <c r="J4049" s="6" t="inlineStr">
        <is>
          <t>📕 PDF Document</t>
        </is>
      </c>
      <c r="K4049" s="9" t="n">
        <v>17.9</v>
      </c>
      <c r="L4049" s="10">
        <f>HYPERLINK("http://127.0.0.1:8000/api/documents/download?id=2202&amp;attachment=true", "⬇ Download Tendernotice_1.pdf")</f>
        <v/>
      </c>
      <c r="M4049" s="10">
        <f>HYPERLINK("http://localhost:5173/?state=Uttarakhand&amp;keyword=ICT&amp;tender=2026_MDPEY_101136_1", "🚀 Open in Portal")</f>
        <v/>
      </c>
    </row>
    <row r="4050" ht="24" customHeight="1">
      <c r="A4050" s="11" t="inlineStr">
        <is>
          <t>Uttarakhand</t>
        </is>
      </c>
      <c r="B4050" s="12" t="inlineStr">
        <is>
          <t>ICT</t>
        </is>
      </c>
      <c r="C4050" s="13" t="inlineStr">
        <is>
          <t>2026_MDPEY_101136_1</t>
        </is>
      </c>
      <c r="D4050" s="14" t="inlineStr">
        <is>
          <t>[CONSTRUCTION OF MULTI LEVEL CAR PARKING AT DEVIDHURA DECHMAR, TEHSIL-PATI, DISTRICT CHAMPAWAT]</t>
        </is>
      </c>
      <c r="E4050" s="14" t="inlineStr">
        <is>
          <t>Uttarakhand Public Works &amp; Technology Department</t>
        </is>
      </c>
      <c r="F4050" s="13" t="inlineStr">
        <is>
          <t>18 Aug 2026</t>
        </is>
      </c>
      <c r="G4050" s="12" t="inlineStr">
        <is>
          <t>09 Sep 2026</t>
        </is>
      </c>
      <c r="H4050" s="8" t="inlineStr">
        <is>
          <t>⏳ UPCOMING</t>
        </is>
      </c>
      <c r="I4050" s="11" t="inlineStr">
        <is>
          <t>Tenderdoucmenhtsnfinal.pdf</t>
        </is>
      </c>
      <c r="J4050" s="13" t="inlineStr">
        <is>
          <t>📕 PDF Document</t>
        </is>
      </c>
      <c r="K4050" s="15" t="n">
        <v>17.9</v>
      </c>
      <c r="L4050" s="16">
        <f>HYPERLINK("http://127.0.0.1:8000/api/documents/download?id=2203&amp;attachment=true", "⬇ Download Tenderdoucmenhtsnfinal.p")</f>
        <v/>
      </c>
      <c r="M4050" s="16">
        <f>HYPERLINK("http://localhost:5173/?state=Uttarakhand&amp;keyword=ICT&amp;tender=2026_MDPEY_101136_1", "🚀 Open in Portal")</f>
        <v/>
      </c>
    </row>
    <row r="4051" ht="24" customHeight="1">
      <c r="A4051" s="4" t="inlineStr">
        <is>
          <t>Uttarakhand</t>
        </is>
      </c>
      <c r="B4051" s="5" t="inlineStr">
        <is>
          <t>ICT</t>
        </is>
      </c>
      <c r="C4051" s="6" t="inlineStr">
        <is>
          <t>2026_MDPEY_101136_1</t>
        </is>
      </c>
      <c r="D4051" s="7" t="inlineStr">
        <is>
          <t>[CONSTRUCTION OF MULTI LEVEL CAR PARKING AT DEVIDHURA DECHMAR, TEHSIL-PATI, DISTRICT CHAMPAWAT]</t>
        </is>
      </c>
      <c r="E4051" s="7" t="inlineStr">
        <is>
          <t>Uttarakhand Public Works &amp; Technology Department</t>
        </is>
      </c>
      <c r="F4051" s="6" t="inlineStr">
        <is>
          <t>18 Aug 2026</t>
        </is>
      </c>
      <c r="G4051" s="5" t="inlineStr">
        <is>
          <t>09 Sep 2026</t>
        </is>
      </c>
      <c r="H4051" s="8" t="inlineStr">
        <is>
          <t>⏳ UPCOMING</t>
        </is>
      </c>
      <c r="I4051" s="4" t="inlineStr">
        <is>
          <t>BOQ_119174.xls</t>
        </is>
      </c>
      <c r="J4051" s="6" t="inlineStr">
        <is>
          <t>📊 Excel BOQ</t>
        </is>
      </c>
      <c r="K4051" s="9" t="n">
        <v>2.5</v>
      </c>
      <c r="L4051" s="10">
        <f>HYPERLINK("http://127.0.0.1:8000/api/documents/download?id=2204&amp;attachment=true", "⬇ Download BOQ_119174.xls")</f>
        <v/>
      </c>
      <c r="M4051" s="10">
        <f>HYPERLINK("http://localhost:5173/?state=Uttarakhand&amp;keyword=ICT&amp;tender=2026_MDPEY_101136_1", "🚀 Open in Portal")</f>
        <v/>
      </c>
    </row>
    <row r="4052" ht="24" customHeight="1">
      <c r="A4052" s="11" t="inlineStr">
        <is>
          <t>Uttarakhand</t>
        </is>
      </c>
      <c r="B4052" s="12" t="inlineStr">
        <is>
          <t>ICT</t>
        </is>
      </c>
      <c r="C4052" s="13" t="inlineStr">
        <is>
          <t>2026_MDPEY_101136_1</t>
        </is>
      </c>
      <c r="D4052" s="14" t="inlineStr">
        <is>
          <t>[CONSTRUCTION OF MULTI LEVEL CAR PARKING AT DEVIDHURA DECHMAR, TEHSIL-PATI, DISTRICT CHAMPAWAT]</t>
        </is>
      </c>
      <c r="E4052" s="14" t="inlineStr">
        <is>
          <t>Uttarakhand Public Works &amp; Technology Department</t>
        </is>
      </c>
      <c r="F4052" s="13" t="inlineStr">
        <is>
          <t>18 Aug 2026</t>
        </is>
      </c>
      <c r="G4052" s="12" t="inlineStr">
        <is>
          <t>09 Sep 2026</t>
        </is>
      </c>
      <c r="H4052" s="8" t="inlineStr">
        <is>
          <t>⏳ UPCOMING</t>
        </is>
      </c>
      <c r="I4052" s="11" t="inlineStr">
        <is>
          <t>Drawings.pdf</t>
        </is>
      </c>
      <c r="J4052" s="13" t="inlineStr">
        <is>
          <t>📕 PDF Document</t>
        </is>
      </c>
      <c r="K4052" s="15" t="n">
        <v>17.8</v>
      </c>
      <c r="L4052" s="16">
        <f>HYPERLINK("http://127.0.0.1:8000/api/documents/download?id=2205&amp;attachment=true", "⬇ Download Drawings.pdf")</f>
        <v/>
      </c>
      <c r="M4052" s="16">
        <f>HYPERLINK("http://localhost:5173/?state=Uttarakhand&amp;keyword=ICT&amp;tender=2026_MDPEY_101136_1", "🚀 Open in Portal")</f>
        <v/>
      </c>
    </row>
    <row r="4053" ht="24" customHeight="1">
      <c r="A4053" s="4" t="inlineStr">
        <is>
          <t>Uttarakhand</t>
        </is>
      </c>
      <c r="B4053" s="5" t="inlineStr">
        <is>
          <t>ICT</t>
        </is>
      </c>
      <c r="C4053" s="6" t="inlineStr">
        <is>
          <t>2026_MDPEY_101136_1</t>
        </is>
      </c>
      <c r="D4053" s="7" t="inlineStr">
        <is>
          <t>[CONSTRUCTION OF MULTI LEVEL CAR PARKING AT DEVIDHURA DECHMAR, TEHSIL-PATI, DISTRICT CHAMPAWAT]</t>
        </is>
      </c>
      <c r="E4053" s="7" t="inlineStr">
        <is>
          <t>Uttarakhand Public Works &amp; Technology Department</t>
        </is>
      </c>
      <c r="F4053" s="6" t="inlineStr">
        <is>
          <t>18 Aug 2026</t>
        </is>
      </c>
      <c r="G4053" s="5" t="inlineStr">
        <is>
          <t>09 Sep 2026</t>
        </is>
      </c>
      <c r="H4053" s="8" t="inlineStr">
        <is>
          <t>⏳ UPCOMING</t>
        </is>
      </c>
      <c r="I4053" s="4" t="inlineStr">
        <is>
          <t>Tender_2026_MDPEY_101136_1_All_Documents.zip</t>
        </is>
      </c>
      <c r="J4053" s="6" t="inlineStr">
        <is>
          <t>📦 ZIP Package</t>
        </is>
      </c>
      <c r="K4053" s="9" t="n">
        <v>30.1</v>
      </c>
      <c r="L4053" s="10">
        <f>HYPERLINK("http://127.0.0.1:8000/api/documents/download?id=2206&amp;attachment=true", "⬇ Download Tender_2026_MDPEY_101136")</f>
        <v/>
      </c>
      <c r="M4053" s="10">
        <f>HYPERLINK("http://localhost:5173/?state=Uttarakhand&amp;keyword=ICT&amp;tender=2026_MDPEY_101136_1", "🚀 Open in Portal")</f>
        <v/>
      </c>
    </row>
    <row r="4054" ht="24" customHeight="1">
      <c r="A4054" s="11" t="inlineStr">
        <is>
          <t>Uttarakhand</t>
        </is>
      </c>
      <c r="B4054" s="12" t="inlineStr">
        <is>
          <t>ICT</t>
        </is>
      </c>
      <c r="C4054" s="13" t="inlineStr">
        <is>
          <t>2026_MDPEY_101176_1</t>
        </is>
      </c>
      <c r="D4054" s="14" t="inlineStr">
        <is>
          <t>[SITC of submersible pump set at Modified Intake arrangement at Raw water pumping station in Bidoli Pumping water supply scheme Block Khirshu and Pabho of District Pauri Garhwal]</t>
        </is>
      </c>
      <c r="E4054" s="14" t="inlineStr">
        <is>
          <t>Uttarakhand Public Works &amp; Technology Department</t>
        </is>
      </c>
      <c r="F4054" s="13" t="inlineStr">
        <is>
          <t>14 Oct 2026</t>
        </is>
      </c>
      <c r="G4054" s="12" t="inlineStr">
        <is>
          <t>09 Nov 2026</t>
        </is>
      </c>
      <c r="H4054" s="17" t="inlineStr">
        <is>
          <t>🟢 LIVE ACTIVE</t>
        </is>
      </c>
      <c r="I4054" s="11" t="inlineStr">
        <is>
          <t>Tendernotice_1.pdf</t>
        </is>
      </c>
      <c r="J4054" s="13" t="inlineStr">
        <is>
          <t>📕 PDF Document</t>
        </is>
      </c>
      <c r="K4054" s="15" t="n">
        <v>17.9</v>
      </c>
      <c r="L4054" s="16">
        <f>HYPERLINK("http://127.0.0.1:8000/api/documents/download?id=2190&amp;attachment=true", "⬇ Download Tendernotice_1.pdf")</f>
        <v/>
      </c>
      <c r="M4054" s="16">
        <f>HYPERLINK("http://localhost:5173/?state=Uttarakhand&amp;keyword=ICT&amp;tender=2026_MDPEY_101176_1", "🚀 Open in Portal")</f>
        <v/>
      </c>
    </row>
    <row r="4055" ht="24" customHeight="1">
      <c r="A4055" s="4" t="inlineStr">
        <is>
          <t>Uttarakhand</t>
        </is>
      </c>
      <c r="B4055" s="5" t="inlineStr">
        <is>
          <t>ICT</t>
        </is>
      </c>
      <c r="C4055" s="6" t="inlineStr">
        <is>
          <t>2026_MDPEY_101176_1</t>
        </is>
      </c>
      <c r="D4055" s="7" t="inlineStr">
        <is>
          <t>[SITC of submersible pump set at Modified Intake arrangement at Raw water pumping station in Bidoli Pumping water supply scheme Block Khirshu and Pabho of District Pauri Garhwal]</t>
        </is>
      </c>
      <c r="E4055" s="7" t="inlineStr">
        <is>
          <t>Uttarakhand Public Works &amp; Technology Department</t>
        </is>
      </c>
      <c r="F4055" s="6" t="inlineStr">
        <is>
          <t>14 Oct 2026</t>
        </is>
      </c>
      <c r="G4055" s="5" t="inlineStr">
        <is>
          <t>09 Nov 2026</t>
        </is>
      </c>
      <c r="H4055" s="17" t="inlineStr">
        <is>
          <t>🟢 LIVE ACTIVE</t>
        </is>
      </c>
      <c r="I4055" s="4" t="inlineStr">
        <is>
          <t>biddocument.pdf</t>
        </is>
      </c>
      <c r="J4055" s="6" t="inlineStr">
        <is>
          <t>📕 PDF Document</t>
        </is>
      </c>
      <c r="K4055" s="9" t="n">
        <v>17.9</v>
      </c>
      <c r="L4055" s="10">
        <f>HYPERLINK("http://127.0.0.1:8000/api/documents/download?id=2191&amp;attachment=true", "⬇ Download biddocument.pdf")</f>
        <v/>
      </c>
      <c r="M4055" s="10">
        <f>HYPERLINK("http://localhost:5173/?state=Uttarakhand&amp;keyword=ICT&amp;tender=2026_MDPEY_101176_1", "🚀 Open in Portal")</f>
        <v/>
      </c>
    </row>
    <row r="4056" ht="24" customHeight="1">
      <c r="A4056" s="11" t="inlineStr">
        <is>
          <t>Uttarakhand</t>
        </is>
      </c>
      <c r="B4056" s="12" t="inlineStr">
        <is>
          <t>ICT</t>
        </is>
      </c>
      <c r="C4056" s="13" t="inlineStr">
        <is>
          <t>2026_MDPEY_101176_1</t>
        </is>
      </c>
      <c r="D4056" s="14" t="inlineStr">
        <is>
          <t>[SITC of submersible pump set at Modified Intake arrangement at Raw water pumping station in Bidoli Pumping water supply scheme Block Khirshu and Pabho of District Pauri Garhwal]</t>
        </is>
      </c>
      <c r="E4056" s="14" t="inlineStr">
        <is>
          <t>Uttarakhand Public Works &amp; Technology Department</t>
        </is>
      </c>
      <c r="F4056" s="13" t="inlineStr">
        <is>
          <t>14 Oct 2026</t>
        </is>
      </c>
      <c r="G4056" s="12" t="inlineStr">
        <is>
          <t>09 Nov 2026</t>
        </is>
      </c>
      <c r="H4056" s="17" t="inlineStr">
        <is>
          <t>🟢 LIVE ACTIVE</t>
        </is>
      </c>
      <c r="I4056" s="11" t="inlineStr">
        <is>
          <t>BOQ_119219.xls</t>
        </is>
      </c>
      <c r="J4056" s="13" t="inlineStr">
        <is>
          <t>📊 Excel BOQ</t>
        </is>
      </c>
      <c r="K4056" s="15" t="n">
        <v>2.5</v>
      </c>
      <c r="L4056" s="16">
        <f>HYPERLINK("http://127.0.0.1:8000/api/documents/download?id=2192&amp;attachment=true", "⬇ Download BOQ_119219.xls")</f>
        <v/>
      </c>
      <c r="M4056" s="16">
        <f>HYPERLINK("http://localhost:5173/?state=Uttarakhand&amp;keyword=ICT&amp;tender=2026_MDPEY_101176_1", "🚀 Open in Portal")</f>
        <v/>
      </c>
    </row>
    <row r="4057" ht="24" customHeight="1">
      <c r="A4057" s="4" t="inlineStr">
        <is>
          <t>Uttarakhand</t>
        </is>
      </c>
      <c r="B4057" s="5" t="inlineStr">
        <is>
          <t>ICT</t>
        </is>
      </c>
      <c r="C4057" s="6" t="inlineStr">
        <is>
          <t>2026_MDPEY_101176_1</t>
        </is>
      </c>
      <c r="D4057" s="7" t="inlineStr">
        <is>
          <t>[SITC of submersible pump set at Modified Intake arrangement at Raw water pumping station in Bidoli Pumping water supply scheme Block Khirshu and Pabho of District Pauri Garhwal]</t>
        </is>
      </c>
      <c r="E4057" s="7" t="inlineStr">
        <is>
          <t>Uttarakhand Public Works &amp; Technology Department</t>
        </is>
      </c>
      <c r="F4057" s="6" t="inlineStr">
        <is>
          <t>14 Oct 2026</t>
        </is>
      </c>
      <c r="G4057" s="5" t="inlineStr">
        <is>
          <t>09 Nov 2026</t>
        </is>
      </c>
      <c r="H4057" s="17" t="inlineStr">
        <is>
          <t>🟢 LIVE ACTIVE</t>
        </is>
      </c>
      <c r="I4057" s="4" t="inlineStr">
        <is>
          <t>Tender_2026_MDPEY_101176_1_All_Documents.zip</t>
        </is>
      </c>
      <c r="J4057" s="6" t="inlineStr">
        <is>
          <t>📦 ZIP Package</t>
        </is>
      </c>
      <c r="K4057" s="9" t="n">
        <v>20.8</v>
      </c>
      <c r="L4057" s="10">
        <f>HYPERLINK("http://127.0.0.1:8000/api/documents/download?id=2193&amp;attachment=true", "⬇ Download Tender_2026_MDPEY_101176")</f>
        <v/>
      </c>
      <c r="M4057" s="10">
        <f>HYPERLINK("http://localhost:5173/?state=Uttarakhand&amp;keyword=ICT&amp;tender=2026_MDPEY_101176_1", "🚀 Open in Portal")</f>
        <v/>
      </c>
    </row>
    <row r="4058" ht="24" customHeight="1">
      <c r="A4058" s="11" t="inlineStr">
        <is>
          <t>Uttarakhand</t>
        </is>
      </c>
      <c r="B4058" s="12" t="inlineStr">
        <is>
          <t>ICT</t>
        </is>
      </c>
      <c r="C4058" s="13" t="inlineStr">
        <is>
          <t>2026_UKJS_101204_1</t>
        </is>
      </c>
      <c r="D4058" s="14" t="inlineStr">
        <is>
          <t>[PASHULOK SIRAI Water Supply Scheme Block Doiwala District Dehradun, under World Bank funded Uttarakhand efficient Water Supply Programme eWSP)]</t>
        </is>
      </c>
      <c r="E4058" s="14" t="inlineStr">
        <is>
          <t>Uttarakhand Public Works &amp; Technology Department</t>
        </is>
      </c>
      <c r="F4058" s="13" t="inlineStr">
        <is>
          <t>15 Sep 2026</t>
        </is>
      </c>
      <c r="G4058" s="12" t="inlineStr">
        <is>
          <t>15 Oct 2026</t>
        </is>
      </c>
      <c r="H4058" s="8" t="inlineStr">
        <is>
          <t>⏳ UPCOMING</t>
        </is>
      </c>
      <c r="I4058" s="11" t="inlineStr">
        <is>
          <t>Tendernotice_1.pdf</t>
        </is>
      </c>
      <c r="J4058" s="13" t="inlineStr">
        <is>
          <t>📕 PDF Document</t>
        </is>
      </c>
      <c r="K4058" s="15" t="n">
        <v>17.9</v>
      </c>
      <c r="L4058" s="16">
        <f>HYPERLINK("http://127.0.0.1:8000/api/documents/download?id=2158&amp;attachment=true", "⬇ Download Tendernotice_1.pdf")</f>
        <v/>
      </c>
      <c r="M4058" s="16">
        <f>HYPERLINK("http://localhost:5173/?state=Uttarakhand&amp;keyword=ICT&amp;tender=2026_UKJS_101204_1", "🚀 Open in Portal")</f>
        <v/>
      </c>
    </row>
    <row r="4059" ht="24" customHeight="1">
      <c r="A4059" s="4" t="inlineStr">
        <is>
          <t>Uttarakhand</t>
        </is>
      </c>
      <c r="B4059" s="5" t="inlineStr">
        <is>
          <t>ICT</t>
        </is>
      </c>
      <c r="C4059" s="6" t="inlineStr">
        <is>
          <t>2026_UKJS_101204_1</t>
        </is>
      </c>
      <c r="D4059" s="7" t="inlineStr">
        <is>
          <t>[PASHULOK SIRAI Water Supply Scheme Block Doiwala District Dehradun, under World Bank funded Uttarakhand efficient Water Supply Programme eWSP)]</t>
        </is>
      </c>
      <c r="E4059" s="7" t="inlineStr">
        <is>
          <t>Uttarakhand Public Works &amp; Technology Department</t>
        </is>
      </c>
      <c r="F4059" s="6" t="inlineStr">
        <is>
          <t>15 Sep 2026</t>
        </is>
      </c>
      <c r="G4059" s="5" t="inlineStr">
        <is>
          <t>15 Oct 2026</t>
        </is>
      </c>
      <c r="H4059" s="8" t="inlineStr">
        <is>
          <t>⏳ UPCOMING</t>
        </is>
      </c>
      <c r="I4059" s="4" t="inlineStr">
        <is>
          <t>OrganisedETD.pdf</t>
        </is>
      </c>
      <c r="J4059" s="6" t="inlineStr">
        <is>
          <t>📕 PDF Document</t>
        </is>
      </c>
      <c r="K4059" s="9" t="n">
        <v>17.9</v>
      </c>
      <c r="L4059" s="10">
        <f>HYPERLINK("http://127.0.0.1:8000/api/documents/download?id=2159&amp;attachment=true", "⬇ Download OrganisedETD.pdf")</f>
        <v/>
      </c>
      <c r="M4059" s="10">
        <f>HYPERLINK("http://localhost:5173/?state=Uttarakhand&amp;keyword=ICT&amp;tender=2026_UKJS_101204_1", "🚀 Open in Portal")</f>
        <v/>
      </c>
    </row>
    <row r="4060" ht="24" customHeight="1">
      <c r="A4060" s="11" t="inlineStr">
        <is>
          <t>Uttarakhand</t>
        </is>
      </c>
      <c r="B4060" s="12" t="inlineStr">
        <is>
          <t>ICT</t>
        </is>
      </c>
      <c r="C4060" s="13" t="inlineStr">
        <is>
          <t>2026_UKJS_101204_1</t>
        </is>
      </c>
      <c r="D4060" s="14" t="inlineStr">
        <is>
          <t>[PASHULOK SIRAI Water Supply Scheme Block Doiwala District Dehradun, under World Bank funded Uttarakhand efficient Water Supply Programme eWSP)]</t>
        </is>
      </c>
      <c r="E4060" s="14" t="inlineStr">
        <is>
          <t>Uttarakhand Public Works &amp; Technology Department</t>
        </is>
      </c>
      <c r="F4060" s="13" t="inlineStr">
        <is>
          <t>15 Sep 2026</t>
        </is>
      </c>
      <c r="G4060" s="12" t="inlineStr">
        <is>
          <t>15 Oct 2026</t>
        </is>
      </c>
      <c r="H4060" s="8" t="inlineStr">
        <is>
          <t>⏳ UPCOMING</t>
        </is>
      </c>
      <c r="I4060" s="11" t="inlineStr">
        <is>
          <t>BOQ_119253.xls</t>
        </is>
      </c>
      <c r="J4060" s="13" t="inlineStr">
        <is>
          <t>📊 Excel BOQ</t>
        </is>
      </c>
      <c r="K4060" s="15" t="n">
        <v>2.5</v>
      </c>
      <c r="L4060" s="16">
        <f>HYPERLINK("http://127.0.0.1:8000/api/documents/download?id=2160&amp;attachment=true", "⬇ Download BOQ_119253.xls")</f>
        <v/>
      </c>
      <c r="M4060" s="16">
        <f>HYPERLINK("http://localhost:5173/?state=Uttarakhand&amp;keyword=ICT&amp;tender=2026_UKJS_101204_1", "🚀 Open in Portal")</f>
        <v/>
      </c>
    </row>
    <row r="4061" ht="24" customHeight="1">
      <c r="A4061" s="4" t="inlineStr">
        <is>
          <t>Uttarakhand</t>
        </is>
      </c>
      <c r="B4061" s="5" t="inlineStr">
        <is>
          <t>ICT</t>
        </is>
      </c>
      <c r="C4061" s="6" t="inlineStr">
        <is>
          <t>2026_UKJS_101204_1</t>
        </is>
      </c>
      <c r="D4061" s="7" t="inlineStr">
        <is>
          <t>[PASHULOK SIRAI Water Supply Scheme Block Doiwala District Dehradun, under World Bank funded Uttarakhand efficient Water Supply Programme eWSP)]</t>
        </is>
      </c>
      <c r="E4061" s="7" t="inlineStr">
        <is>
          <t>Uttarakhand Public Works &amp; Technology Department</t>
        </is>
      </c>
      <c r="F4061" s="6" t="inlineStr">
        <is>
          <t>15 Sep 2026</t>
        </is>
      </c>
      <c r="G4061" s="5" t="inlineStr">
        <is>
          <t>15 Oct 2026</t>
        </is>
      </c>
      <c r="H4061" s="8" t="inlineStr">
        <is>
          <t>⏳ UPCOMING</t>
        </is>
      </c>
      <c r="I4061" s="4" t="inlineStr">
        <is>
          <t>Tender_2026_UKJS_101204_1_All_Documents.zip</t>
        </is>
      </c>
      <c r="J4061" s="6" t="inlineStr">
        <is>
          <t>📦 ZIP Package</t>
        </is>
      </c>
      <c r="K4061" s="9" t="n">
        <v>20.8</v>
      </c>
      <c r="L4061" s="10">
        <f>HYPERLINK("http://127.0.0.1:8000/api/documents/download?id=2161&amp;attachment=true", "⬇ Download Tender_2026_UKJS_101204_")</f>
        <v/>
      </c>
      <c r="M4061" s="10">
        <f>HYPERLINK("http://localhost:5173/?state=Uttarakhand&amp;keyword=ICT&amp;tender=2026_UKJS_101204_1", "🚀 Open in Portal")</f>
        <v/>
      </c>
    </row>
    <row r="4062" ht="24" customHeight="1">
      <c r="A4062" s="11" t="inlineStr">
        <is>
          <t>Uttarakhand</t>
        </is>
      </c>
      <c r="B4062" s="12" t="inlineStr">
        <is>
          <t>ICT</t>
        </is>
      </c>
      <c r="C4062" s="13" t="inlineStr">
        <is>
          <t>2026_UREDA_101112_1</t>
        </is>
      </c>
      <c r="D4062" s="14" t="inlineStr">
        <is>
          <t>[Survey, Design, Supply, Installation, Commissioning and Testing of off grid Solar Power Plant including warrantee and 05 Years Annual maintenance in District Udham Singh Nagar of Uttarakhand ]</t>
        </is>
      </c>
      <c r="E4062" s="14" t="inlineStr">
        <is>
          <t>Uttarakhand Public Works &amp; Technology Department</t>
        </is>
      </c>
      <c r="F4062" s="13" t="inlineStr">
        <is>
          <t>07 Aug 2026</t>
        </is>
      </c>
      <c r="G4062" s="12" t="inlineStr">
        <is>
          <t>31 Aug 2026</t>
        </is>
      </c>
      <c r="H4062" s="8" t="inlineStr">
        <is>
          <t>⏳ UPCOMING</t>
        </is>
      </c>
      <c r="I4062" s="11" t="inlineStr">
        <is>
          <t>Tendernotice_1.pdf</t>
        </is>
      </c>
      <c r="J4062" s="13" t="inlineStr">
        <is>
          <t>📕 PDF Document</t>
        </is>
      </c>
      <c r="K4062" s="15" t="n">
        <v>17.9</v>
      </c>
      <c r="L4062" s="16">
        <f>HYPERLINK("http://127.0.0.1:8000/api/documents/download?id=2223&amp;attachment=true", "⬇ Download Tendernotice_1.pdf")</f>
        <v/>
      </c>
      <c r="M4062" s="16">
        <f>HYPERLINK("http://localhost:5173/?state=Uttarakhand&amp;keyword=ICT&amp;tender=2026_UREDA_101112_1", "🚀 Open in Portal")</f>
        <v/>
      </c>
    </row>
    <row r="4063" ht="24" customHeight="1">
      <c r="A4063" s="4" t="inlineStr">
        <is>
          <t>Uttarakhand</t>
        </is>
      </c>
      <c r="B4063" s="5" t="inlineStr">
        <is>
          <t>ICT</t>
        </is>
      </c>
      <c r="C4063" s="6" t="inlineStr">
        <is>
          <t>2026_UREDA_101112_1</t>
        </is>
      </c>
      <c r="D4063" s="7" t="inlineStr">
        <is>
          <t>[Survey, Design, Supply, Installation, Commissioning and Testing of off grid Solar Power Plant including warrantee and 05 Years Annual maintenance in District Udham Singh Nagar of Uttarakhand ]</t>
        </is>
      </c>
      <c r="E4063" s="7" t="inlineStr">
        <is>
          <t>Uttarakhand Public Works &amp; Technology Department</t>
        </is>
      </c>
      <c r="F4063" s="6" t="inlineStr">
        <is>
          <t>07 Aug 2026</t>
        </is>
      </c>
      <c r="G4063" s="5" t="inlineStr">
        <is>
          <t>31 Aug 2026</t>
        </is>
      </c>
      <c r="H4063" s="8" t="inlineStr">
        <is>
          <t>⏳ UPCOMING</t>
        </is>
      </c>
      <c r="I4063" s="4" t="inlineStr">
        <is>
          <t>BOQ_119152.xls</t>
        </is>
      </c>
      <c r="J4063" s="6" t="inlineStr">
        <is>
          <t>📊 Excel BOQ</t>
        </is>
      </c>
      <c r="K4063" s="9" t="n">
        <v>2.5</v>
      </c>
      <c r="L4063" s="10">
        <f>HYPERLINK("http://127.0.0.1:8000/api/documents/download?id=2224&amp;attachment=true", "⬇ Download BOQ_119152.xls")</f>
        <v/>
      </c>
      <c r="M4063" s="10">
        <f>HYPERLINK("http://localhost:5173/?state=Uttarakhand&amp;keyword=ICT&amp;tender=2026_UREDA_101112_1", "🚀 Open in Portal")</f>
        <v/>
      </c>
    </row>
    <row r="4064" ht="24" customHeight="1">
      <c r="A4064" s="11" t="inlineStr">
        <is>
          <t>Uttarakhand</t>
        </is>
      </c>
      <c r="B4064" s="12" t="inlineStr">
        <is>
          <t>ICT</t>
        </is>
      </c>
      <c r="C4064" s="13" t="inlineStr">
        <is>
          <t>2026_UREDA_101112_1</t>
        </is>
      </c>
      <c r="D4064" s="14" t="inlineStr">
        <is>
          <t>[Survey, Design, Supply, Installation, Commissioning and Testing of off grid Solar Power Plant including warrantee and 05 Years Annual maintenance in District Udham Singh Nagar of Uttarakhand ]</t>
        </is>
      </c>
      <c r="E4064" s="14" t="inlineStr">
        <is>
          <t>Uttarakhand Public Works &amp; Technology Department</t>
        </is>
      </c>
      <c r="F4064" s="13" t="inlineStr">
        <is>
          <t>07 Aug 2026</t>
        </is>
      </c>
      <c r="G4064" s="12" t="inlineStr">
        <is>
          <t>31 Aug 2026</t>
        </is>
      </c>
      <c r="H4064" s="8" t="inlineStr">
        <is>
          <t>⏳ UPCOMING</t>
        </is>
      </c>
      <c r="I4064" s="11" t="inlineStr">
        <is>
          <t>Tender_OffGrid_SPPDP.pdf</t>
        </is>
      </c>
      <c r="J4064" s="13" t="inlineStr">
        <is>
          <t>📕 PDF Document</t>
        </is>
      </c>
      <c r="K4064" s="15" t="n">
        <v>17.9</v>
      </c>
      <c r="L4064" s="16">
        <f>HYPERLINK("http://127.0.0.1:8000/api/documents/download?id=2225&amp;attachment=true", "⬇ Download Tender_OffGrid_SPPDP.pdf")</f>
        <v/>
      </c>
      <c r="M4064" s="16">
        <f>HYPERLINK("http://localhost:5173/?state=Uttarakhand&amp;keyword=ICT&amp;tender=2026_UREDA_101112_1", "🚀 Open in Portal")</f>
        <v/>
      </c>
    </row>
    <row r="4065" ht="24" customHeight="1">
      <c r="A4065" s="4" t="inlineStr">
        <is>
          <t>Uttarakhand</t>
        </is>
      </c>
      <c r="B4065" s="5" t="inlineStr">
        <is>
          <t>ICT</t>
        </is>
      </c>
      <c r="C4065" s="6" t="inlineStr">
        <is>
          <t>2026_UREDA_101112_1</t>
        </is>
      </c>
      <c r="D4065" s="7" t="inlineStr">
        <is>
          <t>[Survey, Design, Supply, Installation, Commissioning and Testing of off grid Solar Power Plant including warrantee and 05 Years Annual maintenance in District Udham Singh Nagar of Uttarakhand ]</t>
        </is>
      </c>
      <c r="E4065" s="7" t="inlineStr">
        <is>
          <t>Uttarakhand Public Works &amp; Technology Department</t>
        </is>
      </c>
      <c r="F4065" s="6" t="inlineStr">
        <is>
          <t>07 Aug 2026</t>
        </is>
      </c>
      <c r="G4065" s="5" t="inlineStr">
        <is>
          <t>31 Aug 2026</t>
        </is>
      </c>
      <c r="H4065" s="8" t="inlineStr">
        <is>
          <t>⏳ UPCOMING</t>
        </is>
      </c>
      <c r="I4065" s="4" t="inlineStr">
        <is>
          <t>Tender_2026_UREDA_101112_1_All_Documents.zip</t>
        </is>
      </c>
      <c r="J4065" s="6" t="inlineStr">
        <is>
          <t>📦 ZIP Package</t>
        </is>
      </c>
      <c r="K4065" s="9" t="n">
        <v>20.8</v>
      </c>
      <c r="L4065" s="10">
        <f>HYPERLINK("http://127.0.0.1:8000/api/documents/download?id=2226&amp;attachment=true", "⬇ Download Tender_2026_UREDA_101112")</f>
        <v/>
      </c>
      <c r="M4065" s="10">
        <f>HYPERLINK("http://localhost:5173/?state=Uttarakhand&amp;keyword=ICT&amp;tender=2026_UREDA_101112_1", "🚀 Open in Portal")</f>
        <v/>
      </c>
    </row>
    <row r="4066" ht="24" customHeight="1">
      <c r="A4066" s="11" t="inlineStr">
        <is>
          <t>Uttarakhand</t>
        </is>
      </c>
      <c r="B4066" s="12" t="inlineStr">
        <is>
          <t>ICT</t>
        </is>
      </c>
      <c r="C4066" s="13" t="inlineStr">
        <is>
          <t>2026_UREDA_101137_1</t>
        </is>
      </c>
      <c r="D4066" s="14" t="inlineStr">
        <is>
          <t>[Design, Supply, Erection and Commissioning of 12W LED based Solar Street Lights (RMS Based) at various locations in Dis-trict Pithoragarh with 05 years warrantee and comprehensive Annual Maintenance Contract. ]</t>
        </is>
      </c>
      <c r="E4066" s="14" t="inlineStr">
        <is>
          <t>Uttarakhand Public Works &amp; Technology Department</t>
        </is>
      </c>
      <c r="F4066" s="13" t="inlineStr">
        <is>
          <t>02 Aug 2026</t>
        </is>
      </c>
      <c r="G4066" s="12" t="inlineStr">
        <is>
          <t>29 Aug 2026</t>
        </is>
      </c>
      <c r="H4066" s="8" t="inlineStr">
        <is>
          <t>⏳ UPCOMING</t>
        </is>
      </c>
      <c r="I4066" s="11" t="inlineStr">
        <is>
          <t>Tendernotice_1.pdf</t>
        </is>
      </c>
      <c r="J4066" s="13" t="inlineStr">
        <is>
          <t>📕 PDF Document</t>
        </is>
      </c>
      <c r="K4066" s="15" t="n">
        <v>17.9</v>
      </c>
      <c r="L4066" s="16">
        <f>HYPERLINK("http://127.0.0.1:8000/api/documents/download?id=2198&amp;attachment=true", "⬇ Download Tendernotice_1.pdf")</f>
        <v/>
      </c>
      <c r="M4066" s="16">
        <f>HYPERLINK("http://localhost:5173/?state=Uttarakhand&amp;keyword=ICT&amp;tender=2026_UREDA_101137_1", "🚀 Open in Portal")</f>
        <v/>
      </c>
    </row>
    <row r="4067" ht="24" customHeight="1">
      <c r="A4067" s="4" t="inlineStr">
        <is>
          <t>Uttarakhand</t>
        </is>
      </c>
      <c r="B4067" s="5" t="inlineStr">
        <is>
          <t>ICT</t>
        </is>
      </c>
      <c r="C4067" s="6" t="inlineStr">
        <is>
          <t>2026_UREDA_101137_1</t>
        </is>
      </c>
      <c r="D4067" s="7" t="inlineStr">
        <is>
          <t>[Design, Supply, Erection and Commissioning of 12W LED based Solar Street Lights (RMS Based) at various locations in Dis-trict Pithoragarh with 05 years warrantee and comprehensive Annual Maintenance Contract. ]</t>
        </is>
      </c>
      <c r="E4067" s="7" t="inlineStr">
        <is>
          <t>Uttarakhand Public Works &amp; Technology Department</t>
        </is>
      </c>
      <c r="F4067" s="6" t="inlineStr">
        <is>
          <t>02 Aug 2026</t>
        </is>
      </c>
      <c r="G4067" s="5" t="inlineStr">
        <is>
          <t>29 Aug 2026</t>
        </is>
      </c>
      <c r="H4067" s="8" t="inlineStr">
        <is>
          <t>⏳ UPCOMING</t>
        </is>
      </c>
      <c r="I4067" s="4" t="inlineStr">
        <is>
          <t>TenderSSL2026PTH.pdf</t>
        </is>
      </c>
      <c r="J4067" s="6" t="inlineStr">
        <is>
          <t>📕 PDF Document</t>
        </is>
      </c>
      <c r="K4067" s="9" t="n">
        <v>17.9</v>
      </c>
      <c r="L4067" s="10">
        <f>HYPERLINK("http://127.0.0.1:8000/api/documents/download?id=2199&amp;attachment=true", "⬇ Download TenderSSL2026PTH.pdf")</f>
        <v/>
      </c>
      <c r="M4067" s="10">
        <f>HYPERLINK("http://localhost:5173/?state=Uttarakhand&amp;keyword=ICT&amp;tender=2026_UREDA_101137_1", "🚀 Open in Portal")</f>
        <v/>
      </c>
    </row>
    <row r="4068" ht="24" customHeight="1">
      <c r="A4068" s="11" t="inlineStr">
        <is>
          <t>Uttarakhand</t>
        </is>
      </c>
      <c r="B4068" s="12" t="inlineStr">
        <is>
          <t>ICT</t>
        </is>
      </c>
      <c r="C4068" s="13" t="inlineStr">
        <is>
          <t>2026_UREDA_101137_1</t>
        </is>
      </c>
      <c r="D4068" s="14" t="inlineStr">
        <is>
          <t>[Design, Supply, Erection and Commissioning of 12W LED based Solar Street Lights (RMS Based) at various locations in Dis-trict Pithoragarh with 05 years warrantee and comprehensive Annual Maintenance Contract. ]</t>
        </is>
      </c>
      <c r="E4068" s="14" t="inlineStr">
        <is>
          <t>Uttarakhand Public Works &amp; Technology Department</t>
        </is>
      </c>
      <c r="F4068" s="13" t="inlineStr">
        <is>
          <t>02 Aug 2026</t>
        </is>
      </c>
      <c r="G4068" s="12" t="inlineStr">
        <is>
          <t>29 Aug 2026</t>
        </is>
      </c>
      <c r="H4068" s="8" t="inlineStr">
        <is>
          <t>⏳ UPCOMING</t>
        </is>
      </c>
      <c r="I4068" s="11" t="inlineStr">
        <is>
          <t>BOQ_119178.xls</t>
        </is>
      </c>
      <c r="J4068" s="13" t="inlineStr">
        <is>
          <t>📊 Excel BOQ</t>
        </is>
      </c>
      <c r="K4068" s="15" t="n">
        <v>2.5</v>
      </c>
      <c r="L4068" s="16">
        <f>HYPERLINK("http://127.0.0.1:8000/api/documents/download?id=2200&amp;attachment=true", "⬇ Download BOQ_119178.xls")</f>
        <v/>
      </c>
      <c r="M4068" s="16">
        <f>HYPERLINK("http://localhost:5173/?state=Uttarakhand&amp;keyword=ICT&amp;tender=2026_UREDA_101137_1", "🚀 Open in Portal")</f>
        <v/>
      </c>
    </row>
    <row r="4069" ht="24" customHeight="1">
      <c r="A4069" s="4" t="inlineStr">
        <is>
          <t>Uttarakhand</t>
        </is>
      </c>
      <c r="B4069" s="5" t="inlineStr">
        <is>
          <t>ICT</t>
        </is>
      </c>
      <c r="C4069" s="6" t="inlineStr">
        <is>
          <t>2026_UREDA_101137_1</t>
        </is>
      </c>
      <c r="D4069" s="7" t="inlineStr">
        <is>
          <t>[Design, Supply, Erection and Commissioning of 12W LED based Solar Street Lights (RMS Based) at various locations in Dis-trict Pithoragarh with 05 years warrantee and comprehensive Annual Maintenance Contract. ]</t>
        </is>
      </c>
      <c r="E4069" s="7" t="inlineStr">
        <is>
          <t>Uttarakhand Public Works &amp; Technology Department</t>
        </is>
      </c>
      <c r="F4069" s="6" t="inlineStr">
        <is>
          <t>02 Aug 2026</t>
        </is>
      </c>
      <c r="G4069" s="5" t="inlineStr">
        <is>
          <t>29 Aug 2026</t>
        </is>
      </c>
      <c r="H4069" s="8" t="inlineStr">
        <is>
          <t>⏳ UPCOMING</t>
        </is>
      </c>
      <c r="I4069" s="4" t="inlineStr">
        <is>
          <t>Tender_2026_UREDA_101137_1_All_Documents.zip</t>
        </is>
      </c>
      <c r="J4069" s="6" t="inlineStr">
        <is>
          <t>📦 ZIP Package</t>
        </is>
      </c>
      <c r="K4069" s="9" t="n">
        <v>20.8</v>
      </c>
      <c r="L4069" s="10">
        <f>HYPERLINK("http://127.0.0.1:8000/api/documents/download?id=2201&amp;attachment=true", "⬇ Download Tender_2026_UREDA_101137")</f>
        <v/>
      </c>
      <c r="M4069" s="10">
        <f>HYPERLINK("http://localhost:5173/?state=Uttarakhand&amp;keyword=ICT&amp;tender=2026_UREDA_101137_1", "🚀 Open in Portal")</f>
        <v/>
      </c>
    </row>
    <row r="4070" ht="24" customHeight="1">
      <c r="A4070" s="11" t="inlineStr">
        <is>
          <t>Uttarakhand</t>
        </is>
      </c>
      <c r="B4070" s="12" t="inlineStr">
        <is>
          <t>ICT</t>
        </is>
      </c>
      <c r="C4070" s="13" t="inlineStr">
        <is>
          <t>2026_pwd_101101_2</t>
        </is>
      </c>
      <c r="D4070" s="14" t="inlineStr">
        <is>
          <t>[Construction of road by PC from Akbarpur-Khundewali-Lodiwala to Jhabrera Nagar Panchayat in Jhabrera Assembly constituency of Haridwar district under State Sector (Job 2).]</t>
        </is>
      </c>
      <c r="E4070" s="14" t="inlineStr">
        <is>
          <t>Uttarakhand Public Works &amp; Technology Department</t>
        </is>
      </c>
      <c r="F4070" s="13" t="inlineStr">
        <is>
          <t>23 Oct 2026</t>
        </is>
      </c>
      <c r="G4070" s="12" t="inlineStr">
        <is>
          <t>13 Nov 2026</t>
        </is>
      </c>
      <c r="H4070" s="8" t="inlineStr">
        <is>
          <t>⏳ UPCOMING</t>
        </is>
      </c>
      <c r="I4070" s="11" t="inlineStr">
        <is>
          <t>Tendernotice_1.pdf</t>
        </is>
      </c>
      <c r="J4070" s="13" t="inlineStr">
        <is>
          <t>📕 PDF Document</t>
        </is>
      </c>
      <c r="K4070" s="15" t="n">
        <v>17.9</v>
      </c>
      <c r="L4070" s="16">
        <f>HYPERLINK("http://127.0.0.1:8000/api/documents/download?id=2150&amp;attachment=true", "⬇ Download Tendernotice_1.pdf")</f>
        <v/>
      </c>
      <c r="M4070" s="16">
        <f>HYPERLINK("http://localhost:5173/?state=Uttarakhand&amp;keyword=ICT&amp;tender=2026_pwd_101101_2", "🚀 Open in Portal")</f>
        <v/>
      </c>
    </row>
    <row r="4071" ht="24" customHeight="1">
      <c r="A4071" s="4" t="inlineStr">
        <is>
          <t>Uttarakhand</t>
        </is>
      </c>
      <c r="B4071" s="5" t="inlineStr">
        <is>
          <t>ICT</t>
        </is>
      </c>
      <c r="C4071" s="6" t="inlineStr">
        <is>
          <t>2026_pwd_101101_2</t>
        </is>
      </c>
      <c r="D4071" s="7" t="inlineStr">
        <is>
          <t>[Construction of road by PC from Akbarpur-Khundewali-Lodiwala to Jhabrera Nagar Panchayat in Jhabrera Assembly constituency of Haridwar district under State Sector (Job 2).]</t>
        </is>
      </c>
      <c r="E4071" s="7" t="inlineStr">
        <is>
          <t>Uttarakhand Public Works &amp; Technology Department</t>
        </is>
      </c>
      <c r="F4071" s="6" t="inlineStr">
        <is>
          <t>23 Oct 2026</t>
        </is>
      </c>
      <c r="G4071" s="5" t="inlineStr">
        <is>
          <t>13 Nov 2026</t>
        </is>
      </c>
      <c r="H4071" s="8" t="inlineStr">
        <is>
          <t>⏳ UPCOMING</t>
        </is>
      </c>
      <c r="I4071" s="4" t="inlineStr">
        <is>
          <t>BOQ_119258.xls</t>
        </is>
      </c>
      <c r="J4071" s="6" t="inlineStr">
        <is>
          <t>📊 Excel BOQ</t>
        </is>
      </c>
      <c r="K4071" s="9" t="n">
        <v>2.5</v>
      </c>
      <c r="L4071" s="10">
        <f>HYPERLINK("http://127.0.0.1:8000/api/documents/download?id=2151&amp;attachment=true", "⬇ Download BOQ_119258.xls")</f>
        <v/>
      </c>
      <c r="M4071" s="10">
        <f>HYPERLINK("http://localhost:5173/?state=Uttarakhand&amp;keyword=ICT&amp;tender=2026_pwd_101101_2", "🚀 Open in Portal")</f>
        <v/>
      </c>
    </row>
    <row r="4072" ht="24" customHeight="1">
      <c r="A4072" s="11" t="inlineStr">
        <is>
          <t>Uttarakhand</t>
        </is>
      </c>
      <c r="B4072" s="12" t="inlineStr">
        <is>
          <t>ICT</t>
        </is>
      </c>
      <c r="C4072" s="13" t="inlineStr">
        <is>
          <t>2026_pwd_101101_2</t>
        </is>
      </c>
      <c r="D4072" s="14" t="inlineStr">
        <is>
          <t>[Construction of road by PC from Akbarpur-Khundewali-Lodiwala to Jhabrera Nagar Panchayat in Jhabrera Assembly constituency of Haridwar district under State Sector (Job 2).]</t>
        </is>
      </c>
      <c r="E4072" s="14" t="inlineStr">
        <is>
          <t>Uttarakhand Public Works &amp; Technology Department</t>
        </is>
      </c>
      <c r="F4072" s="13" t="inlineStr">
        <is>
          <t>23 Oct 2026</t>
        </is>
      </c>
      <c r="G4072" s="12" t="inlineStr">
        <is>
          <t>13 Nov 2026</t>
        </is>
      </c>
      <c r="H4072" s="8" t="inlineStr">
        <is>
          <t>⏳ UPCOMING</t>
        </is>
      </c>
      <c r="I4072" s="11" t="inlineStr">
        <is>
          <t>Tender_2026_pwd_101101_2_All_Documents.zip</t>
        </is>
      </c>
      <c r="J4072" s="13" t="inlineStr">
        <is>
          <t>📦 ZIP Package</t>
        </is>
      </c>
      <c r="K4072" s="15" t="n">
        <v>11.6</v>
      </c>
      <c r="L4072" s="16">
        <f>HYPERLINK("http://127.0.0.1:8000/api/documents/download?id=2152&amp;attachment=true", "⬇ Download Tender_2026_pwd_101101_2")</f>
        <v/>
      </c>
      <c r="M4072" s="16">
        <f>HYPERLINK("http://localhost:5173/?state=Uttarakhand&amp;keyword=ICT&amp;tender=2026_pwd_101101_2", "🚀 Open in Portal")</f>
        <v/>
      </c>
    </row>
    <row r="4073" ht="24" customHeight="1">
      <c r="A4073" s="4" t="inlineStr">
        <is>
          <t>Uttarakhand</t>
        </is>
      </c>
      <c r="B4073" s="5" t="inlineStr">
        <is>
          <t>ICT</t>
        </is>
      </c>
      <c r="C4073" s="6" t="inlineStr">
        <is>
          <t>2026_pwd_101109_1</t>
        </is>
      </c>
      <c r="D4073" s="7" t="inlineStr">
        <is>
          <t>[Construction of Internal Roads in Ward No 11 Street No 07 Gram Sabha Shyampur Constituency Rishikesh District Dehradun under State Sector]</t>
        </is>
      </c>
      <c r="E4073" s="7" t="inlineStr">
        <is>
          <t>Uttarakhand Public Works &amp; Technology Department</t>
        </is>
      </c>
      <c r="F4073" s="6" t="inlineStr">
        <is>
          <t>22 Aug 2026</t>
        </is>
      </c>
      <c r="G4073" s="5" t="inlineStr">
        <is>
          <t>19 Sep 2026</t>
        </is>
      </c>
      <c r="H4073" s="8" t="inlineStr">
        <is>
          <t>⏳ UPCOMING</t>
        </is>
      </c>
      <c r="I4073" s="4" t="inlineStr">
        <is>
          <t>Tendernotice_2.pdf</t>
        </is>
      </c>
      <c r="J4073" s="6" t="inlineStr">
        <is>
          <t>📕 PDF Document</t>
        </is>
      </c>
      <c r="K4073" s="9" t="n">
        <v>17.9</v>
      </c>
      <c r="L4073" s="10">
        <f>HYPERLINK("http://127.0.0.1:8000/api/documents/download?id=2227&amp;attachment=true", "⬇ Download Tendernotice_2.pdf")</f>
        <v/>
      </c>
      <c r="M4073" s="10">
        <f>HYPERLINK("http://localhost:5173/?state=Uttarakhand&amp;keyword=ICT&amp;tender=2026_pwd_101109_1", "🚀 Open in Portal")</f>
        <v/>
      </c>
    </row>
    <row r="4074" ht="24" customHeight="1">
      <c r="A4074" s="11" t="inlineStr">
        <is>
          <t>Uttarakhand</t>
        </is>
      </c>
      <c r="B4074" s="12" t="inlineStr">
        <is>
          <t>ICT</t>
        </is>
      </c>
      <c r="C4074" s="13" t="inlineStr">
        <is>
          <t>2026_pwd_101109_1</t>
        </is>
      </c>
      <c r="D4074" s="14" t="inlineStr">
        <is>
          <t>[Construction of Internal Roads in Ward No 11 Street No 07 Gram Sabha Shyampur Constituency Rishikesh District Dehradun under State Sector]</t>
        </is>
      </c>
      <c r="E4074" s="14" t="inlineStr">
        <is>
          <t>Uttarakhand Public Works &amp; Technology Department</t>
        </is>
      </c>
      <c r="F4074" s="13" t="inlineStr">
        <is>
          <t>22 Aug 2026</t>
        </is>
      </c>
      <c r="G4074" s="12" t="inlineStr">
        <is>
          <t>19 Sep 2026</t>
        </is>
      </c>
      <c r="H4074" s="8" t="inlineStr">
        <is>
          <t>⏳ UPCOMING</t>
        </is>
      </c>
      <c r="I4074" s="11" t="inlineStr">
        <is>
          <t>BOQ_119144.xls</t>
        </is>
      </c>
      <c r="J4074" s="13" t="inlineStr">
        <is>
          <t>📊 Excel BOQ</t>
        </is>
      </c>
      <c r="K4074" s="15" t="n">
        <v>2.5</v>
      </c>
      <c r="L4074" s="16">
        <f>HYPERLINK("http://127.0.0.1:8000/api/documents/download?id=2228&amp;attachment=true", "⬇ Download BOQ_119144.xls")</f>
        <v/>
      </c>
      <c r="M4074" s="16">
        <f>HYPERLINK("http://localhost:5173/?state=Uttarakhand&amp;keyword=ICT&amp;tender=2026_pwd_101109_1", "🚀 Open in Portal")</f>
        <v/>
      </c>
    </row>
    <row r="4075" ht="24" customHeight="1">
      <c r="A4075" s="4" t="inlineStr">
        <is>
          <t>Uttarakhand</t>
        </is>
      </c>
      <c r="B4075" s="5" t="inlineStr">
        <is>
          <t>ICT</t>
        </is>
      </c>
      <c r="C4075" s="6" t="inlineStr">
        <is>
          <t>2026_pwd_101109_1</t>
        </is>
      </c>
      <c r="D4075" s="7" t="inlineStr">
        <is>
          <t>[Construction of Internal Roads in Ward No 11 Street No 07 Gram Sabha Shyampur Constituency Rishikesh District Dehradun under State Sector]</t>
        </is>
      </c>
      <c r="E4075" s="7" t="inlineStr">
        <is>
          <t>Uttarakhand Public Works &amp; Technology Department</t>
        </is>
      </c>
      <c r="F4075" s="6" t="inlineStr">
        <is>
          <t>22 Aug 2026</t>
        </is>
      </c>
      <c r="G4075" s="5" t="inlineStr">
        <is>
          <t>19 Sep 2026</t>
        </is>
      </c>
      <c r="H4075" s="8" t="inlineStr">
        <is>
          <t>⏳ UPCOMING</t>
        </is>
      </c>
      <c r="I4075" s="4" t="inlineStr">
        <is>
          <t>Tender_2026_pwd_101109_1_All_Documents.zip</t>
        </is>
      </c>
      <c r="J4075" s="6" t="inlineStr">
        <is>
          <t>📦 ZIP Package</t>
        </is>
      </c>
      <c r="K4075" s="9" t="n">
        <v>11.6</v>
      </c>
      <c r="L4075" s="10">
        <f>HYPERLINK("http://127.0.0.1:8000/api/documents/download?id=2229&amp;attachment=true", "⬇ Download Tender_2026_pwd_101109_1")</f>
        <v/>
      </c>
      <c r="M4075" s="10">
        <f>HYPERLINK("http://localhost:5173/?state=Uttarakhand&amp;keyword=ICT&amp;tender=2026_pwd_101109_1", "🚀 Open in Portal")</f>
        <v/>
      </c>
    </row>
    <row r="4076" ht="24" customHeight="1">
      <c r="A4076" s="11" t="inlineStr">
        <is>
          <t>Uttarakhand</t>
        </is>
      </c>
      <c r="B4076" s="12" t="inlineStr">
        <is>
          <t>ICT</t>
        </is>
      </c>
      <c r="C4076" s="13" t="inlineStr">
        <is>
          <t>2026_pwd_101120_1</t>
        </is>
      </c>
      <c r="D4076" s="14" t="inlineStr">
        <is>
          <t>[Improvement work by PC Syat Link Road at Kotabag Vikaskhand in Constituency Nainital District Nainital Under State Sector]</t>
        </is>
      </c>
      <c r="E4076" s="14" t="inlineStr">
        <is>
          <t>Uttarakhand Public Works &amp; Technology Department</t>
        </is>
      </c>
      <c r="F4076" s="13" t="inlineStr">
        <is>
          <t>19 Sep 2026</t>
        </is>
      </c>
      <c r="G4076" s="12" t="inlineStr">
        <is>
          <t>14 Oct 2026</t>
        </is>
      </c>
      <c r="H4076" s="8" t="inlineStr">
        <is>
          <t>⏳ UPCOMING</t>
        </is>
      </c>
      <c r="I4076" s="11" t="inlineStr">
        <is>
          <t>Tendernotice_1.pdf</t>
        </is>
      </c>
      <c r="J4076" s="13" t="inlineStr">
        <is>
          <t>📕 PDF Document</t>
        </is>
      </c>
      <c r="K4076" s="15" t="n">
        <v>17.9</v>
      </c>
      <c r="L4076" s="16">
        <f>HYPERLINK("http://127.0.0.1:8000/api/documents/download?id=2211&amp;attachment=true", "⬇ Download Tendernotice_1.pdf")</f>
        <v/>
      </c>
      <c r="M4076" s="16">
        <f>HYPERLINK("http://localhost:5173/?state=Uttarakhand&amp;keyword=ICT&amp;tender=2026_pwd_101120_1", "🚀 Open in Portal")</f>
        <v/>
      </c>
    </row>
    <row r="4077" ht="24" customHeight="1">
      <c r="A4077" s="4" t="inlineStr">
        <is>
          <t>Uttarakhand</t>
        </is>
      </c>
      <c r="B4077" s="5" t="inlineStr">
        <is>
          <t>ICT</t>
        </is>
      </c>
      <c r="C4077" s="6" t="inlineStr">
        <is>
          <t>2026_pwd_101120_1</t>
        </is>
      </c>
      <c r="D4077" s="7" t="inlineStr">
        <is>
          <t>[Improvement work by PC Syat Link Road at Kotabag Vikaskhand in Constituency Nainital District Nainital Under State Sector]</t>
        </is>
      </c>
      <c r="E4077" s="7" t="inlineStr">
        <is>
          <t>Uttarakhand Public Works &amp; Technology Department</t>
        </is>
      </c>
      <c r="F4077" s="6" t="inlineStr">
        <is>
          <t>19 Sep 2026</t>
        </is>
      </c>
      <c r="G4077" s="5" t="inlineStr">
        <is>
          <t>14 Oct 2026</t>
        </is>
      </c>
      <c r="H4077" s="8" t="inlineStr">
        <is>
          <t>⏳ UPCOMING</t>
        </is>
      </c>
      <c r="I4077" s="4" t="inlineStr">
        <is>
          <t>BOQ_119161.xls</t>
        </is>
      </c>
      <c r="J4077" s="6" t="inlineStr">
        <is>
          <t>📊 Excel BOQ</t>
        </is>
      </c>
      <c r="K4077" s="9" t="n">
        <v>2.5</v>
      </c>
      <c r="L4077" s="10">
        <f>HYPERLINK("http://127.0.0.1:8000/api/documents/download?id=2212&amp;attachment=true", "⬇ Download BOQ_119161.xls")</f>
        <v/>
      </c>
      <c r="M4077" s="10">
        <f>HYPERLINK("http://localhost:5173/?state=Uttarakhand&amp;keyword=ICT&amp;tender=2026_pwd_101120_1", "🚀 Open in Portal")</f>
        <v/>
      </c>
    </row>
    <row r="4078" ht="24" customHeight="1">
      <c r="A4078" s="11" t="inlineStr">
        <is>
          <t>Uttarakhand</t>
        </is>
      </c>
      <c r="B4078" s="12" t="inlineStr">
        <is>
          <t>ICT</t>
        </is>
      </c>
      <c r="C4078" s="13" t="inlineStr">
        <is>
          <t>2026_pwd_101120_1</t>
        </is>
      </c>
      <c r="D4078" s="14" t="inlineStr">
        <is>
          <t>[Improvement work by PC Syat Link Road at Kotabag Vikaskhand in Constituency Nainital District Nainital Under State Sector]</t>
        </is>
      </c>
      <c r="E4078" s="14" t="inlineStr">
        <is>
          <t>Uttarakhand Public Works &amp; Technology Department</t>
        </is>
      </c>
      <c r="F4078" s="13" t="inlineStr">
        <is>
          <t>19 Sep 2026</t>
        </is>
      </c>
      <c r="G4078" s="12" t="inlineStr">
        <is>
          <t>14 Oct 2026</t>
        </is>
      </c>
      <c r="H4078" s="8" t="inlineStr">
        <is>
          <t>⏳ UPCOMING</t>
        </is>
      </c>
      <c r="I4078" s="11" t="inlineStr">
        <is>
          <t>sbdsyat.pdf</t>
        </is>
      </c>
      <c r="J4078" s="13" t="inlineStr">
        <is>
          <t>📕 PDF Document</t>
        </is>
      </c>
      <c r="K4078" s="15" t="n">
        <v>17.8</v>
      </c>
      <c r="L4078" s="16">
        <f>HYPERLINK("http://127.0.0.1:8000/api/documents/download?id=2213&amp;attachment=true", "⬇ Download sbdsyat.pdf")</f>
        <v/>
      </c>
      <c r="M4078" s="16">
        <f>HYPERLINK("http://localhost:5173/?state=Uttarakhand&amp;keyword=ICT&amp;tender=2026_pwd_101120_1", "🚀 Open in Portal")</f>
        <v/>
      </c>
    </row>
    <row r="4079" ht="24" customHeight="1">
      <c r="A4079" s="4" t="inlineStr">
        <is>
          <t>Uttarakhand</t>
        </is>
      </c>
      <c r="B4079" s="5" t="inlineStr">
        <is>
          <t>ICT</t>
        </is>
      </c>
      <c r="C4079" s="6" t="inlineStr">
        <is>
          <t>2026_pwd_101120_1</t>
        </is>
      </c>
      <c r="D4079" s="7" t="inlineStr">
        <is>
          <t>[Improvement work by PC Syat Link Road at Kotabag Vikaskhand in Constituency Nainital District Nainital Under State Sector]</t>
        </is>
      </c>
      <c r="E4079" s="7" t="inlineStr">
        <is>
          <t>Uttarakhand Public Works &amp; Technology Department</t>
        </is>
      </c>
      <c r="F4079" s="6" t="inlineStr">
        <is>
          <t>19 Sep 2026</t>
        </is>
      </c>
      <c r="G4079" s="5" t="inlineStr">
        <is>
          <t>14 Oct 2026</t>
        </is>
      </c>
      <c r="H4079" s="8" t="inlineStr">
        <is>
          <t>⏳ UPCOMING</t>
        </is>
      </c>
      <c r="I4079" s="4" t="inlineStr">
        <is>
          <t>Tender_2026_pwd_101120_1_All_Documents.zip</t>
        </is>
      </c>
      <c r="J4079" s="6" t="inlineStr">
        <is>
          <t>📦 ZIP Package</t>
        </is>
      </c>
      <c r="K4079" s="9" t="n">
        <v>20.7</v>
      </c>
      <c r="L4079" s="10">
        <f>HYPERLINK("http://127.0.0.1:8000/api/documents/download?id=2214&amp;attachment=true", "⬇ Download Tender_2026_pwd_101120_1")</f>
        <v/>
      </c>
      <c r="M4079" s="10">
        <f>HYPERLINK("http://localhost:5173/?state=Uttarakhand&amp;keyword=ICT&amp;tender=2026_pwd_101120_1", "🚀 Open in Portal")</f>
        <v/>
      </c>
    </row>
    <row r="4080" ht="24" customHeight="1">
      <c r="A4080" s="11" t="inlineStr">
        <is>
          <t>Uttarakhand</t>
        </is>
      </c>
      <c r="B4080" s="12" t="inlineStr">
        <is>
          <t>ICT</t>
        </is>
      </c>
      <c r="C4080" s="13" t="inlineStr">
        <is>
          <t>2026_pwd_101123_1</t>
        </is>
      </c>
      <c r="D4080" s="14" t="inlineStr">
        <is>
          <t>[Improvement work by PC Pangoot Motor Road at Kotabag Vikaskhand in Constituency Nainital District Nainital Under State Sector]</t>
        </is>
      </c>
      <c r="E4080" s="14" t="inlineStr">
        <is>
          <t>Uttarakhand Public Works &amp; Technology Department</t>
        </is>
      </c>
      <c r="F4080" s="13" t="inlineStr">
        <is>
          <t>05 Oct 2026</t>
        </is>
      </c>
      <c r="G4080" s="12" t="inlineStr">
        <is>
          <t>15 Nov 2026</t>
        </is>
      </c>
      <c r="H4080" s="17" t="inlineStr">
        <is>
          <t>🟢 LIVE ACTIVE</t>
        </is>
      </c>
      <c r="I4080" s="11" t="inlineStr">
        <is>
          <t>Tendernotice_1.pdf</t>
        </is>
      </c>
      <c r="J4080" s="13" t="inlineStr">
        <is>
          <t>📕 PDF Document</t>
        </is>
      </c>
      <c r="K4080" s="15" t="n">
        <v>17.9</v>
      </c>
      <c r="L4080" s="16">
        <f>HYPERLINK("http://127.0.0.1:8000/api/documents/download?id=2215&amp;attachment=true", "⬇ Download Tendernotice_1.pdf")</f>
        <v/>
      </c>
      <c r="M4080" s="16">
        <f>HYPERLINK("http://localhost:5173/?state=Uttarakhand&amp;keyword=ICT&amp;tender=2026_pwd_101123_1", "🚀 Open in Portal")</f>
        <v/>
      </c>
    </row>
    <row r="4081" ht="24" customHeight="1">
      <c r="A4081" s="4" t="inlineStr">
        <is>
          <t>Uttarakhand</t>
        </is>
      </c>
      <c r="B4081" s="5" t="inlineStr">
        <is>
          <t>ICT</t>
        </is>
      </c>
      <c r="C4081" s="6" t="inlineStr">
        <is>
          <t>2026_pwd_101123_1</t>
        </is>
      </c>
      <c r="D4081" s="7" t="inlineStr">
        <is>
          <t>[Improvement work by PC Pangoot Motor Road at Kotabag Vikaskhand in Constituency Nainital District Nainital Under State Sector]</t>
        </is>
      </c>
      <c r="E4081" s="7" t="inlineStr">
        <is>
          <t>Uttarakhand Public Works &amp; Technology Department</t>
        </is>
      </c>
      <c r="F4081" s="6" t="inlineStr">
        <is>
          <t>05 Oct 2026</t>
        </is>
      </c>
      <c r="G4081" s="5" t="inlineStr">
        <is>
          <t>15 Nov 2026</t>
        </is>
      </c>
      <c r="H4081" s="17" t="inlineStr">
        <is>
          <t>🟢 LIVE ACTIVE</t>
        </is>
      </c>
      <c r="I4081" s="4" t="inlineStr">
        <is>
          <t>BOQ_119163.xls</t>
        </is>
      </c>
      <c r="J4081" s="6" t="inlineStr">
        <is>
          <t>📊 Excel BOQ</t>
        </is>
      </c>
      <c r="K4081" s="9" t="n">
        <v>2.5</v>
      </c>
      <c r="L4081" s="10">
        <f>HYPERLINK("http://127.0.0.1:8000/api/documents/download?id=2216&amp;attachment=true", "⬇ Download BOQ_119163.xls")</f>
        <v/>
      </c>
      <c r="M4081" s="10">
        <f>HYPERLINK("http://localhost:5173/?state=Uttarakhand&amp;keyword=ICT&amp;tender=2026_pwd_101123_1", "🚀 Open in Portal")</f>
        <v/>
      </c>
    </row>
    <row r="4082" ht="24" customHeight="1">
      <c r="A4082" s="11" t="inlineStr">
        <is>
          <t>Uttarakhand</t>
        </is>
      </c>
      <c r="B4082" s="12" t="inlineStr">
        <is>
          <t>ICT</t>
        </is>
      </c>
      <c r="C4082" s="13" t="inlineStr">
        <is>
          <t>2026_pwd_101123_1</t>
        </is>
      </c>
      <c r="D4082" s="14" t="inlineStr">
        <is>
          <t>[Improvement work by PC Pangoot Motor Road at Kotabag Vikaskhand in Constituency Nainital District Nainital Under State Sector]</t>
        </is>
      </c>
      <c r="E4082" s="14" t="inlineStr">
        <is>
          <t>Uttarakhand Public Works &amp; Technology Department</t>
        </is>
      </c>
      <c r="F4082" s="13" t="inlineStr">
        <is>
          <t>05 Oct 2026</t>
        </is>
      </c>
      <c r="G4082" s="12" t="inlineStr">
        <is>
          <t>15 Nov 2026</t>
        </is>
      </c>
      <c r="H4082" s="17" t="inlineStr">
        <is>
          <t>🟢 LIVE ACTIVE</t>
        </is>
      </c>
      <c r="I4082" s="11" t="inlineStr">
        <is>
          <t>sbdpangoot.pdf</t>
        </is>
      </c>
      <c r="J4082" s="13" t="inlineStr">
        <is>
          <t>📕 PDF Document</t>
        </is>
      </c>
      <c r="K4082" s="15" t="n">
        <v>17.8</v>
      </c>
      <c r="L4082" s="16">
        <f>HYPERLINK("http://127.0.0.1:8000/api/documents/download?id=2217&amp;attachment=true", "⬇ Download sbdpangoot.pdf")</f>
        <v/>
      </c>
      <c r="M4082" s="16">
        <f>HYPERLINK("http://localhost:5173/?state=Uttarakhand&amp;keyword=ICT&amp;tender=2026_pwd_101123_1", "🚀 Open in Portal")</f>
        <v/>
      </c>
    </row>
    <row r="4083" ht="24" customHeight="1">
      <c r="A4083" s="4" t="inlineStr">
        <is>
          <t>Uttarakhand</t>
        </is>
      </c>
      <c r="B4083" s="5" t="inlineStr">
        <is>
          <t>ICT</t>
        </is>
      </c>
      <c r="C4083" s="6" t="inlineStr">
        <is>
          <t>2026_pwd_101123_1</t>
        </is>
      </c>
      <c r="D4083" s="7" t="inlineStr">
        <is>
          <t>[Improvement work by PC Pangoot Motor Road at Kotabag Vikaskhand in Constituency Nainital District Nainital Under State Sector]</t>
        </is>
      </c>
      <c r="E4083" s="7" t="inlineStr">
        <is>
          <t>Uttarakhand Public Works &amp; Technology Department</t>
        </is>
      </c>
      <c r="F4083" s="6" t="inlineStr">
        <is>
          <t>05 Oct 2026</t>
        </is>
      </c>
      <c r="G4083" s="5" t="inlineStr">
        <is>
          <t>15 Nov 2026</t>
        </is>
      </c>
      <c r="H4083" s="17" t="inlineStr">
        <is>
          <t>🟢 LIVE ACTIVE</t>
        </is>
      </c>
      <c r="I4083" s="4" t="inlineStr">
        <is>
          <t>Tender_2026_pwd_101123_1_All_Documents.zip</t>
        </is>
      </c>
      <c r="J4083" s="6" t="inlineStr">
        <is>
          <t>📦 ZIP Package</t>
        </is>
      </c>
      <c r="K4083" s="9" t="n">
        <v>20.7</v>
      </c>
      <c r="L4083" s="10">
        <f>HYPERLINK("http://127.0.0.1:8000/api/documents/download?id=2218&amp;attachment=true", "⬇ Download Tender_2026_pwd_101123_1")</f>
        <v/>
      </c>
      <c r="M4083" s="10">
        <f>HYPERLINK("http://localhost:5173/?state=Uttarakhand&amp;keyword=ICT&amp;tender=2026_pwd_101123_1", "🚀 Open in Portal")</f>
        <v/>
      </c>
    </row>
    <row r="4084" ht="24" customHeight="1">
      <c r="A4084" s="11" t="inlineStr">
        <is>
          <t>Uttarakhand</t>
        </is>
      </c>
      <c r="B4084" s="12" t="inlineStr">
        <is>
          <t>ICT</t>
        </is>
      </c>
      <c r="C4084" s="13" t="inlineStr">
        <is>
          <t>2026_pwd_101127_1</t>
        </is>
      </c>
      <c r="D4084" s="14" t="inlineStr">
        <is>
          <t>[Improvement work by PC Dohaniya Nathujala Motor Road at Kotabag Vikaskhand in Constituency Kaladhungi District Nainital Under State Sector]</t>
        </is>
      </c>
      <c r="E4084" s="14" t="inlineStr">
        <is>
          <t>Uttarakhand Public Works &amp; Technology Department</t>
        </is>
      </c>
      <c r="F4084" s="13" t="inlineStr">
        <is>
          <t>03 Sep 2026</t>
        </is>
      </c>
      <c r="G4084" s="12" t="inlineStr">
        <is>
          <t>29 Sep 2026</t>
        </is>
      </c>
      <c r="H4084" s="8" t="inlineStr">
        <is>
          <t>⏳ UPCOMING</t>
        </is>
      </c>
      <c r="I4084" s="11" t="inlineStr">
        <is>
          <t>Tendernotice_1.pdf</t>
        </is>
      </c>
      <c r="J4084" s="13" t="inlineStr">
        <is>
          <t>📕 PDF Document</t>
        </is>
      </c>
      <c r="K4084" s="15" t="n">
        <v>17.9</v>
      </c>
      <c r="L4084" s="16">
        <f>HYPERLINK("http://127.0.0.1:8000/api/documents/download?id=2207&amp;attachment=true", "⬇ Download Tendernotice_1.pdf")</f>
        <v/>
      </c>
      <c r="M4084" s="16">
        <f>HYPERLINK("http://localhost:5173/?state=Uttarakhand&amp;keyword=ICT&amp;tender=2026_pwd_101127_1", "🚀 Open in Portal")</f>
        <v/>
      </c>
    </row>
    <row r="4085" ht="24" customHeight="1">
      <c r="A4085" s="4" t="inlineStr">
        <is>
          <t>Uttarakhand</t>
        </is>
      </c>
      <c r="B4085" s="5" t="inlineStr">
        <is>
          <t>ICT</t>
        </is>
      </c>
      <c r="C4085" s="6" t="inlineStr">
        <is>
          <t>2026_pwd_101127_1</t>
        </is>
      </c>
      <c r="D4085" s="7" t="inlineStr">
        <is>
          <t>[Improvement work by PC Dohaniya Nathujala Motor Road at Kotabag Vikaskhand in Constituency Kaladhungi District Nainital Under State Sector]</t>
        </is>
      </c>
      <c r="E4085" s="7" t="inlineStr">
        <is>
          <t>Uttarakhand Public Works &amp; Technology Department</t>
        </is>
      </c>
      <c r="F4085" s="6" t="inlineStr">
        <is>
          <t>03 Sep 2026</t>
        </is>
      </c>
      <c r="G4085" s="5" t="inlineStr">
        <is>
          <t>29 Sep 2026</t>
        </is>
      </c>
      <c r="H4085" s="8" t="inlineStr">
        <is>
          <t>⏳ UPCOMING</t>
        </is>
      </c>
      <c r="I4085" s="4" t="inlineStr">
        <is>
          <t>BOQ_119168.xls</t>
        </is>
      </c>
      <c r="J4085" s="6" t="inlineStr">
        <is>
          <t>📊 Excel BOQ</t>
        </is>
      </c>
      <c r="K4085" s="9" t="n">
        <v>2.5</v>
      </c>
      <c r="L4085" s="10">
        <f>HYPERLINK("http://127.0.0.1:8000/api/documents/download?id=2208&amp;attachment=true", "⬇ Download BOQ_119168.xls")</f>
        <v/>
      </c>
      <c r="M4085" s="10">
        <f>HYPERLINK("http://localhost:5173/?state=Uttarakhand&amp;keyword=ICT&amp;tender=2026_pwd_101127_1", "🚀 Open in Portal")</f>
        <v/>
      </c>
    </row>
    <row r="4086" ht="24" customHeight="1">
      <c r="A4086" s="11" t="inlineStr">
        <is>
          <t>Uttarakhand</t>
        </is>
      </c>
      <c r="B4086" s="12" t="inlineStr">
        <is>
          <t>ICT</t>
        </is>
      </c>
      <c r="C4086" s="13" t="inlineStr">
        <is>
          <t>2026_pwd_101127_1</t>
        </is>
      </c>
      <c r="D4086" s="14" t="inlineStr">
        <is>
          <t>[Improvement work by PC Dohaniya Nathujala Motor Road at Kotabag Vikaskhand in Constituency Kaladhungi District Nainital Under State Sector]</t>
        </is>
      </c>
      <c r="E4086" s="14" t="inlineStr">
        <is>
          <t>Uttarakhand Public Works &amp; Technology Department</t>
        </is>
      </c>
      <c r="F4086" s="13" t="inlineStr">
        <is>
          <t>03 Sep 2026</t>
        </is>
      </c>
      <c r="G4086" s="12" t="inlineStr">
        <is>
          <t>29 Sep 2026</t>
        </is>
      </c>
      <c r="H4086" s="8" t="inlineStr">
        <is>
          <t>⏳ UPCOMING</t>
        </is>
      </c>
      <c r="I4086" s="11" t="inlineStr">
        <is>
          <t>sbdnathujala.pdf</t>
        </is>
      </c>
      <c r="J4086" s="13" t="inlineStr">
        <is>
          <t>📕 PDF Document</t>
        </is>
      </c>
      <c r="K4086" s="15" t="n">
        <v>17.9</v>
      </c>
      <c r="L4086" s="16">
        <f>HYPERLINK("http://127.0.0.1:8000/api/documents/download?id=2209&amp;attachment=true", "⬇ Download sbdnathujala.pdf")</f>
        <v/>
      </c>
      <c r="M4086" s="16">
        <f>HYPERLINK("http://localhost:5173/?state=Uttarakhand&amp;keyword=ICT&amp;tender=2026_pwd_101127_1", "🚀 Open in Portal")</f>
        <v/>
      </c>
    </row>
    <row r="4087" ht="24" customHeight="1">
      <c r="A4087" s="4" t="inlineStr">
        <is>
          <t>Uttarakhand</t>
        </is>
      </c>
      <c r="B4087" s="5" t="inlineStr">
        <is>
          <t>ICT</t>
        </is>
      </c>
      <c r="C4087" s="6" t="inlineStr">
        <is>
          <t>2026_pwd_101127_1</t>
        </is>
      </c>
      <c r="D4087" s="7" t="inlineStr">
        <is>
          <t>[Improvement work by PC Dohaniya Nathujala Motor Road at Kotabag Vikaskhand in Constituency Kaladhungi District Nainital Under State Sector]</t>
        </is>
      </c>
      <c r="E4087" s="7" t="inlineStr">
        <is>
          <t>Uttarakhand Public Works &amp; Technology Department</t>
        </is>
      </c>
      <c r="F4087" s="6" t="inlineStr">
        <is>
          <t>03 Sep 2026</t>
        </is>
      </c>
      <c r="G4087" s="5" t="inlineStr">
        <is>
          <t>29 Sep 2026</t>
        </is>
      </c>
      <c r="H4087" s="8" t="inlineStr">
        <is>
          <t>⏳ UPCOMING</t>
        </is>
      </c>
      <c r="I4087" s="4" t="inlineStr">
        <is>
          <t>Tender_2026_pwd_101127_1_All_Documents.zip</t>
        </is>
      </c>
      <c r="J4087" s="6" t="inlineStr">
        <is>
          <t>📦 ZIP Package</t>
        </is>
      </c>
      <c r="K4087" s="9" t="n">
        <v>20.8</v>
      </c>
      <c r="L4087" s="10">
        <f>HYPERLINK("http://127.0.0.1:8000/api/documents/download?id=2210&amp;attachment=true", "⬇ Download Tender_2026_pwd_101127_1")</f>
        <v/>
      </c>
      <c r="M4087" s="10">
        <f>HYPERLINK("http://localhost:5173/?state=Uttarakhand&amp;keyword=ICT&amp;tender=2026_pwd_101127_1", "🚀 Open in Portal")</f>
        <v/>
      </c>
    </row>
    <row r="4088" ht="24" customHeight="1">
      <c r="A4088" s="11" t="inlineStr">
        <is>
          <t>Uttarakhand</t>
        </is>
      </c>
      <c r="B4088" s="12" t="inlineStr">
        <is>
          <t>ICT</t>
        </is>
      </c>
      <c r="C4088" s="13" t="inlineStr">
        <is>
          <t>2026_pwd_101171_1</t>
        </is>
      </c>
      <c r="D4088" s="14" t="inlineStr">
        <is>
          <t>[Reconstruction of the damaged causeway using circular Hume pipes at the 14th km Hectometer 6-8 of the Mauna Lveshal Kalapatal Motor Road Major District Road under the flood and landslide head for the year 2026-27]</t>
        </is>
      </c>
      <c r="E4088" s="14" t="inlineStr">
        <is>
          <t>Uttarakhand Public Works &amp; Technology Department</t>
        </is>
      </c>
      <c r="F4088" s="13" t="inlineStr">
        <is>
          <t>22 Sep 2026</t>
        </is>
      </c>
      <c r="G4088" s="12" t="inlineStr">
        <is>
          <t>20 Oct 2026</t>
        </is>
      </c>
      <c r="H4088" s="18" t="inlineStr">
        <is>
          <t>⚠️ CLOSING SOON</t>
        </is>
      </c>
      <c r="I4088" s="11" t="inlineStr">
        <is>
          <t>Tendernotice_1.pdf</t>
        </is>
      </c>
      <c r="J4088" s="13" t="inlineStr">
        <is>
          <t>📕 PDF Document</t>
        </is>
      </c>
      <c r="K4088" s="15" t="n">
        <v>17.9</v>
      </c>
      <c r="L4088" s="16">
        <f>HYPERLINK("http://127.0.0.1:8000/api/documents/download?id=2187&amp;attachment=true", "⬇ Download Tendernotice_1.pdf")</f>
        <v/>
      </c>
      <c r="M4088" s="16">
        <f>HYPERLINK("http://localhost:5173/?state=Uttarakhand&amp;keyword=ICT&amp;tender=2026_pwd_101171_1", "🚀 Open in Portal")</f>
        <v/>
      </c>
    </row>
    <row r="4089" ht="24" customHeight="1">
      <c r="A4089" s="4" t="inlineStr">
        <is>
          <t>Uttarakhand</t>
        </is>
      </c>
      <c r="B4089" s="5" t="inlineStr">
        <is>
          <t>ICT</t>
        </is>
      </c>
      <c r="C4089" s="6" t="inlineStr">
        <is>
          <t>2026_pwd_101171_1</t>
        </is>
      </c>
      <c r="D4089" s="7" t="inlineStr">
        <is>
          <t>[Reconstruction of the damaged causeway using circular Hume pipes at the 14th km Hectometer 6-8 of the Mauna Lveshal Kalapatal Motor Road Major District Road under the flood and landslide head for the year 2026-27]</t>
        </is>
      </c>
      <c r="E4089" s="7" t="inlineStr">
        <is>
          <t>Uttarakhand Public Works &amp; Technology Department</t>
        </is>
      </c>
      <c r="F4089" s="6" t="inlineStr">
        <is>
          <t>22 Sep 2026</t>
        </is>
      </c>
      <c r="G4089" s="5" t="inlineStr">
        <is>
          <t>20 Oct 2026</t>
        </is>
      </c>
      <c r="H4089" s="18" t="inlineStr">
        <is>
          <t>⚠️ CLOSING SOON</t>
        </is>
      </c>
      <c r="I4089" s="4" t="inlineStr">
        <is>
          <t>BOQ_119215.xls</t>
        </is>
      </c>
      <c r="J4089" s="6" t="inlineStr">
        <is>
          <t>📊 Excel BOQ</t>
        </is>
      </c>
      <c r="K4089" s="9" t="n">
        <v>2.5</v>
      </c>
      <c r="L4089" s="10">
        <f>HYPERLINK("http://127.0.0.1:8000/api/documents/download?id=2188&amp;attachment=true", "⬇ Download BOQ_119215.xls")</f>
        <v/>
      </c>
      <c r="M4089" s="10">
        <f>HYPERLINK("http://localhost:5173/?state=Uttarakhand&amp;keyword=ICT&amp;tender=2026_pwd_101171_1", "🚀 Open in Portal")</f>
        <v/>
      </c>
    </row>
    <row r="4090" ht="24" customHeight="1">
      <c r="A4090" s="11" t="inlineStr">
        <is>
          <t>Uttarakhand</t>
        </is>
      </c>
      <c r="B4090" s="12" t="inlineStr">
        <is>
          <t>ICT</t>
        </is>
      </c>
      <c r="C4090" s="13" t="inlineStr">
        <is>
          <t>2026_pwd_101171_1</t>
        </is>
      </c>
      <c r="D4090" s="14" t="inlineStr">
        <is>
          <t>[Reconstruction of the damaged causeway using circular Hume pipes at the 14th km Hectometer 6-8 of the Mauna Lveshal Kalapatal Motor Road Major District Road under the flood and landslide head for the year 2026-27]</t>
        </is>
      </c>
      <c r="E4090" s="14" t="inlineStr">
        <is>
          <t>Uttarakhand Public Works &amp; Technology Department</t>
        </is>
      </c>
      <c r="F4090" s="13" t="inlineStr">
        <is>
          <t>22 Sep 2026</t>
        </is>
      </c>
      <c r="G4090" s="12" t="inlineStr">
        <is>
          <t>20 Oct 2026</t>
        </is>
      </c>
      <c r="H4090" s="18" t="inlineStr">
        <is>
          <t>⚠️ CLOSING SOON</t>
        </is>
      </c>
      <c r="I4090" s="11" t="inlineStr">
        <is>
          <t>Tender_2026_pwd_101171_1_All_Documents.zip</t>
        </is>
      </c>
      <c r="J4090" s="13" t="inlineStr">
        <is>
          <t>📦 ZIP Package</t>
        </is>
      </c>
      <c r="K4090" s="15" t="n">
        <v>11.6</v>
      </c>
      <c r="L4090" s="16">
        <f>HYPERLINK("http://127.0.0.1:8000/api/documents/download?id=2189&amp;attachment=true", "⬇ Download Tender_2026_pwd_101171_1")</f>
        <v/>
      </c>
      <c r="M4090" s="16">
        <f>HYPERLINK("http://localhost:5173/?state=Uttarakhand&amp;keyword=ICT&amp;tender=2026_pwd_101171_1", "🚀 Open in Portal")</f>
        <v/>
      </c>
    </row>
    <row r="4091" ht="24" customHeight="1">
      <c r="A4091" s="4" t="inlineStr">
        <is>
          <t>Uttarakhand</t>
        </is>
      </c>
      <c r="B4091" s="5" t="inlineStr">
        <is>
          <t>ICT</t>
        </is>
      </c>
      <c r="C4091" s="6" t="inlineStr">
        <is>
          <t>2026_pwd_101193_1</t>
        </is>
      </c>
      <c r="D4091" s="7" t="inlineStr">
        <is>
          <t>[Reconstruction and Improvement work on the Marghat Barakot Singodgaon Silla motor road situated in the Agustmuni Development Block of the Kedarnath Assembly Constituency in Rudraprayag District under Honble Chief Ministers Announcement No 155/2025]</t>
        </is>
      </c>
      <c r="E4091" s="7" t="inlineStr">
        <is>
          <t>Uttarakhand Public Works &amp; Technology Department</t>
        </is>
      </c>
      <c r="F4091" s="6" t="inlineStr">
        <is>
          <t>08 Oct 2026</t>
        </is>
      </c>
      <c r="G4091" s="5" t="inlineStr">
        <is>
          <t>31 Oct 2026</t>
        </is>
      </c>
      <c r="H4091" s="17" t="inlineStr">
        <is>
          <t>🟢 LIVE ACTIVE</t>
        </is>
      </c>
      <c r="I4091" s="4" t="inlineStr">
        <is>
          <t>Tendernotice_1.pdf</t>
        </is>
      </c>
      <c r="J4091" s="6" t="inlineStr">
        <is>
          <t>📕 PDF Document</t>
        </is>
      </c>
      <c r="K4091" s="9" t="n">
        <v>17.9</v>
      </c>
      <c r="L4091" s="10">
        <f>HYPERLINK("http://127.0.0.1:8000/api/documents/download?id=2175&amp;attachment=true", "⬇ Download Tendernotice_1.pdf")</f>
        <v/>
      </c>
      <c r="M4091" s="10">
        <f>HYPERLINK("http://localhost:5173/?state=Uttarakhand&amp;keyword=ICT&amp;tender=2026_pwd_101193_1", "🚀 Open in Portal")</f>
        <v/>
      </c>
    </row>
    <row r="4092" ht="24" customHeight="1">
      <c r="A4092" s="11" t="inlineStr">
        <is>
          <t>Uttarakhand</t>
        </is>
      </c>
      <c r="B4092" s="12" t="inlineStr">
        <is>
          <t>ICT</t>
        </is>
      </c>
      <c r="C4092" s="13" t="inlineStr">
        <is>
          <t>2026_pwd_101193_1</t>
        </is>
      </c>
      <c r="D4092" s="14" t="inlineStr">
        <is>
          <t>[Reconstruction and Improvement work on the Marghat Barakot Singodgaon Silla motor road situated in the Agustmuni Development Block of the Kedarnath Assembly Constituency in Rudraprayag District under Honble Chief Ministers Announcement No 155/2025]</t>
        </is>
      </c>
      <c r="E4092" s="14" t="inlineStr">
        <is>
          <t>Uttarakhand Public Works &amp; Technology Department</t>
        </is>
      </c>
      <c r="F4092" s="13" t="inlineStr">
        <is>
          <t>08 Oct 2026</t>
        </is>
      </c>
      <c r="G4092" s="12" t="inlineStr">
        <is>
          <t>31 Oct 2026</t>
        </is>
      </c>
      <c r="H4092" s="17" t="inlineStr">
        <is>
          <t>🟢 LIVE ACTIVE</t>
        </is>
      </c>
      <c r="I4092" s="11" t="inlineStr">
        <is>
          <t>BOQ_119237.xls</t>
        </is>
      </c>
      <c r="J4092" s="13" t="inlineStr">
        <is>
          <t>📊 Excel BOQ</t>
        </is>
      </c>
      <c r="K4092" s="15" t="n">
        <v>2.5</v>
      </c>
      <c r="L4092" s="16">
        <f>HYPERLINK("http://127.0.0.1:8000/api/documents/download?id=2176&amp;attachment=true", "⬇ Download BOQ_119237.xls")</f>
        <v/>
      </c>
      <c r="M4092" s="16">
        <f>HYPERLINK("http://localhost:5173/?state=Uttarakhand&amp;keyword=ICT&amp;tender=2026_pwd_101193_1", "🚀 Open in Portal")</f>
        <v/>
      </c>
    </row>
    <row r="4093" ht="24" customHeight="1">
      <c r="A4093" s="4" t="inlineStr">
        <is>
          <t>Uttarakhand</t>
        </is>
      </c>
      <c r="B4093" s="5" t="inlineStr">
        <is>
          <t>ICT</t>
        </is>
      </c>
      <c r="C4093" s="6" t="inlineStr">
        <is>
          <t>2026_pwd_101193_1</t>
        </is>
      </c>
      <c r="D4093" s="7" t="inlineStr">
        <is>
          <t>[Reconstruction and Improvement work on the Marghat Barakot Singodgaon Silla motor road situated in the Agustmuni Development Block of the Kedarnath Assembly Constituency in Rudraprayag District under Honble Chief Ministers Announcement No 155/2025]</t>
        </is>
      </c>
      <c r="E4093" s="7" t="inlineStr">
        <is>
          <t>Uttarakhand Public Works &amp; Technology Department</t>
        </is>
      </c>
      <c r="F4093" s="6" t="inlineStr">
        <is>
          <t>08 Oct 2026</t>
        </is>
      </c>
      <c r="G4093" s="5" t="inlineStr">
        <is>
          <t>31 Oct 2026</t>
        </is>
      </c>
      <c r="H4093" s="17" t="inlineStr">
        <is>
          <t>🟢 LIVE ACTIVE</t>
        </is>
      </c>
      <c r="I4093" s="4" t="inlineStr">
        <is>
          <t>Tender_2026_pwd_101193_1_All_Documents.zip</t>
        </is>
      </c>
      <c r="J4093" s="6" t="inlineStr">
        <is>
          <t>📦 ZIP Package</t>
        </is>
      </c>
      <c r="K4093" s="9" t="n">
        <v>11.6</v>
      </c>
      <c r="L4093" s="10">
        <f>HYPERLINK("http://127.0.0.1:8000/api/documents/download?id=2177&amp;attachment=true", "⬇ Download Tender_2026_pwd_101193_1")</f>
        <v/>
      </c>
      <c r="M4093" s="10">
        <f>HYPERLINK("http://localhost:5173/?state=Uttarakhand&amp;keyword=ICT&amp;tender=2026_pwd_101193_1", "🚀 Open in Portal")</f>
        <v/>
      </c>
    </row>
    <row r="4094" ht="24" customHeight="1">
      <c r="A4094" s="11" t="inlineStr">
        <is>
          <t>Uttarakhand</t>
        </is>
      </c>
      <c r="B4094" s="12" t="inlineStr">
        <is>
          <t>ICT</t>
        </is>
      </c>
      <c r="C4094" s="13" t="inlineStr">
        <is>
          <t>2026_pwd_101197_1</t>
        </is>
      </c>
      <c r="D4094" s="14" t="inlineStr">
        <is>
          <t>[Reconstruction and improvement work of Singali-Bastari-Udma-Digra motor road (km 6.300 to 7.500) in the Didihat Assembly constituency of Pithoragarh district under the State Plan.]</t>
        </is>
      </c>
      <c r="E4094" s="14" t="inlineStr">
        <is>
          <t>Uttarakhand Public Works &amp; Technology Department</t>
        </is>
      </c>
      <c r="F4094" s="13" t="inlineStr">
        <is>
          <t>30 Aug 2026</t>
        </is>
      </c>
      <c r="G4094" s="12" t="inlineStr">
        <is>
          <t>23 Sep 2026</t>
        </is>
      </c>
      <c r="H4094" s="8" t="inlineStr">
        <is>
          <t>⏳ UPCOMING</t>
        </is>
      </c>
      <c r="I4094" s="11" t="inlineStr">
        <is>
          <t>Tendernotice_1.pdf</t>
        </is>
      </c>
      <c r="J4094" s="13" t="inlineStr">
        <is>
          <t>📕 PDF Document</t>
        </is>
      </c>
      <c r="K4094" s="15" t="n">
        <v>17.9</v>
      </c>
      <c r="L4094" s="16">
        <f>HYPERLINK("http://127.0.0.1:8000/api/documents/download?id=2183&amp;attachment=true", "⬇ Download Tendernotice_1.pdf")</f>
        <v/>
      </c>
      <c r="M4094" s="16">
        <f>HYPERLINK("http://localhost:5173/?state=Uttarakhand&amp;keyword=ICT&amp;tender=2026_pwd_101197_1", "🚀 Open in Portal")</f>
        <v/>
      </c>
    </row>
    <row r="4095" ht="24" customHeight="1">
      <c r="A4095" s="4" t="inlineStr">
        <is>
          <t>Uttarakhand</t>
        </is>
      </c>
      <c r="B4095" s="5" t="inlineStr">
        <is>
          <t>ICT</t>
        </is>
      </c>
      <c r="C4095" s="6" t="inlineStr">
        <is>
          <t>2026_pwd_101197_1</t>
        </is>
      </c>
      <c r="D4095" s="7" t="inlineStr">
        <is>
          <t>[Reconstruction and improvement work of Singali-Bastari-Udma-Digra motor road (km 6.300 to 7.500) in the Didihat Assembly constituency of Pithoragarh district under the State Plan.]</t>
        </is>
      </c>
      <c r="E4095" s="7" t="inlineStr">
        <is>
          <t>Uttarakhand Public Works &amp; Technology Department</t>
        </is>
      </c>
      <c r="F4095" s="6" t="inlineStr">
        <is>
          <t>30 Aug 2026</t>
        </is>
      </c>
      <c r="G4095" s="5" t="inlineStr">
        <is>
          <t>23 Sep 2026</t>
        </is>
      </c>
      <c r="H4095" s="8" t="inlineStr">
        <is>
          <t>⏳ UPCOMING</t>
        </is>
      </c>
      <c r="I4095" s="4" t="inlineStr">
        <is>
          <t>BidUdmaBastari.pdf</t>
        </is>
      </c>
      <c r="J4095" s="6" t="inlineStr">
        <is>
          <t>📕 PDF Document</t>
        </is>
      </c>
      <c r="K4095" s="9" t="n">
        <v>17.9</v>
      </c>
      <c r="L4095" s="10">
        <f>HYPERLINK("http://127.0.0.1:8000/api/documents/download?id=2184&amp;attachment=true", "⬇ Download BidUdmaBastari.pdf")</f>
        <v/>
      </c>
      <c r="M4095" s="10">
        <f>HYPERLINK("http://localhost:5173/?state=Uttarakhand&amp;keyword=ICT&amp;tender=2026_pwd_101197_1", "🚀 Open in Portal")</f>
        <v/>
      </c>
    </row>
    <row r="4096" ht="24" customHeight="1">
      <c r="A4096" s="11" t="inlineStr">
        <is>
          <t>Uttarakhand</t>
        </is>
      </c>
      <c r="B4096" s="12" t="inlineStr">
        <is>
          <t>ICT</t>
        </is>
      </c>
      <c r="C4096" s="13" t="inlineStr">
        <is>
          <t>2026_pwd_101197_1</t>
        </is>
      </c>
      <c r="D4096" s="14" t="inlineStr">
        <is>
          <t>[Reconstruction and improvement work of Singali-Bastari-Udma-Digra motor road (km 6.300 to 7.500) in the Didihat Assembly constituency of Pithoragarh district under the State Plan.]</t>
        </is>
      </c>
      <c r="E4096" s="14" t="inlineStr">
        <is>
          <t>Uttarakhand Public Works &amp; Technology Department</t>
        </is>
      </c>
      <c r="F4096" s="13" t="inlineStr">
        <is>
          <t>30 Aug 2026</t>
        </is>
      </c>
      <c r="G4096" s="12" t="inlineStr">
        <is>
          <t>23 Sep 2026</t>
        </is>
      </c>
      <c r="H4096" s="8" t="inlineStr">
        <is>
          <t>⏳ UPCOMING</t>
        </is>
      </c>
      <c r="I4096" s="11" t="inlineStr">
        <is>
          <t>BOQ_119239.xls</t>
        </is>
      </c>
      <c r="J4096" s="13" t="inlineStr">
        <is>
          <t>📊 Excel BOQ</t>
        </is>
      </c>
      <c r="K4096" s="15" t="n">
        <v>2.5</v>
      </c>
      <c r="L4096" s="16">
        <f>HYPERLINK("http://127.0.0.1:8000/api/documents/download?id=2185&amp;attachment=true", "⬇ Download BOQ_119239.xls")</f>
        <v/>
      </c>
      <c r="M4096" s="16">
        <f>HYPERLINK("http://localhost:5173/?state=Uttarakhand&amp;keyword=ICT&amp;tender=2026_pwd_101197_1", "🚀 Open in Portal")</f>
        <v/>
      </c>
    </row>
    <row r="4097" ht="24" customHeight="1">
      <c r="A4097" s="4" t="inlineStr">
        <is>
          <t>Uttarakhand</t>
        </is>
      </c>
      <c r="B4097" s="5" t="inlineStr">
        <is>
          <t>ICT</t>
        </is>
      </c>
      <c r="C4097" s="6" t="inlineStr">
        <is>
          <t>2026_pwd_101197_1</t>
        </is>
      </c>
      <c r="D4097" s="7" t="inlineStr">
        <is>
          <t>[Reconstruction and improvement work of Singali-Bastari-Udma-Digra motor road (km 6.300 to 7.500) in the Didihat Assembly constituency of Pithoragarh district under the State Plan.]</t>
        </is>
      </c>
      <c r="E4097" s="7" t="inlineStr">
        <is>
          <t>Uttarakhand Public Works &amp; Technology Department</t>
        </is>
      </c>
      <c r="F4097" s="6" t="inlineStr">
        <is>
          <t>30 Aug 2026</t>
        </is>
      </c>
      <c r="G4097" s="5" t="inlineStr">
        <is>
          <t>23 Sep 2026</t>
        </is>
      </c>
      <c r="H4097" s="8" t="inlineStr">
        <is>
          <t>⏳ UPCOMING</t>
        </is>
      </c>
      <c r="I4097" s="4" t="inlineStr">
        <is>
          <t>Tender_2026_pwd_101197_1_All_Documents.zip</t>
        </is>
      </c>
      <c r="J4097" s="6" t="inlineStr">
        <is>
          <t>📦 ZIP Package</t>
        </is>
      </c>
      <c r="K4097" s="9" t="n">
        <v>20.8</v>
      </c>
      <c r="L4097" s="10">
        <f>HYPERLINK("http://127.0.0.1:8000/api/documents/download?id=2186&amp;attachment=true", "⬇ Download Tender_2026_pwd_101197_1")</f>
        <v/>
      </c>
      <c r="M4097" s="10">
        <f>HYPERLINK("http://localhost:5173/?state=Uttarakhand&amp;keyword=ICT&amp;tender=2026_pwd_101197_1", "🚀 Open in Portal")</f>
        <v/>
      </c>
    </row>
    <row r="4098" ht="24" customHeight="1">
      <c r="A4098" s="11" t="inlineStr">
        <is>
          <t>Uttarakhand</t>
        </is>
      </c>
      <c r="B4098" s="12" t="inlineStr">
        <is>
          <t>ICT</t>
        </is>
      </c>
      <c r="C4098" s="13" t="inlineStr">
        <is>
          <t>2026_pwd_101203_1</t>
        </is>
      </c>
      <c r="D4098" s="14" t="inlineStr">
        <is>
          <t>[Widening of the road and construction of a slab over the drain from the Banyan tree to Chanchak Bridge in Banjarawala of Dharampur Constituency, District Dehradun under Chief Minister Announcement No. 45/2020.]</t>
        </is>
      </c>
      <c r="E4098" s="14" t="inlineStr">
        <is>
          <t>Uttarakhand Public Works &amp; Technology Department</t>
        </is>
      </c>
      <c r="F4098" s="13" t="inlineStr">
        <is>
          <t>10 Sep 2026</t>
        </is>
      </c>
      <c r="G4098" s="12" t="inlineStr">
        <is>
          <t>04 Oct 2026</t>
        </is>
      </c>
      <c r="H4098" s="8" t="inlineStr">
        <is>
          <t>⏳ UPCOMING</t>
        </is>
      </c>
      <c r="I4098" s="11" t="inlineStr">
        <is>
          <t>Tendernotice_1.pdf</t>
        </is>
      </c>
      <c r="J4098" s="13" t="inlineStr">
        <is>
          <t>📕 PDF Document</t>
        </is>
      </c>
      <c r="K4098" s="15" t="n">
        <v>17.8</v>
      </c>
      <c r="L4098" s="16">
        <f>HYPERLINK("http://127.0.0.1:8000/api/documents/download?id=2171&amp;attachment=true", "⬇ Download Tendernotice_1.pdf")</f>
        <v/>
      </c>
      <c r="M4098" s="16">
        <f>HYPERLINK("http://localhost:5173/?state=Uttarakhand&amp;keyword=ICT&amp;tender=2026_pwd_101203_1", "🚀 Open in Portal")</f>
        <v/>
      </c>
    </row>
    <row r="4099" ht="24" customHeight="1">
      <c r="A4099" s="4" t="inlineStr">
        <is>
          <t>Uttarakhand</t>
        </is>
      </c>
      <c r="B4099" s="5" t="inlineStr">
        <is>
          <t>ICT</t>
        </is>
      </c>
      <c r="C4099" s="6" t="inlineStr">
        <is>
          <t>2026_pwd_101203_1</t>
        </is>
      </c>
      <c r="D4099" s="7" t="inlineStr">
        <is>
          <t>[Widening of the road and construction of a slab over the drain from the Banyan tree to Chanchak Bridge in Banjarawala of Dharampur Constituency, District Dehradun under Chief Minister Announcement No. 45/2020.]</t>
        </is>
      </c>
      <c r="E4099" s="7" t="inlineStr">
        <is>
          <t>Uttarakhand Public Works &amp; Technology Department</t>
        </is>
      </c>
      <c r="F4099" s="6" t="inlineStr">
        <is>
          <t>10 Sep 2026</t>
        </is>
      </c>
      <c r="G4099" s="5" t="inlineStr">
        <is>
          <t>04 Oct 2026</t>
        </is>
      </c>
      <c r="H4099" s="8" t="inlineStr">
        <is>
          <t>⏳ UPCOMING</t>
        </is>
      </c>
      <c r="I4099" s="4" t="inlineStr">
        <is>
          <t>BOQ_119246.xls</t>
        </is>
      </c>
      <c r="J4099" s="6" t="inlineStr">
        <is>
          <t>📊 Excel BOQ</t>
        </is>
      </c>
      <c r="K4099" s="9" t="n">
        <v>2.5</v>
      </c>
      <c r="L4099" s="10">
        <f>HYPERLINK("http://127.0.0.1:8000/api/documents/download?id=2172&amp;attachment=true", "⬇ Download BOQ_119246.xls")</f>
        <v/>
      </c>
      <c r="M4099" s="10">
        <f>HYPERLINK("http://localhost:5173/?state=Uttarakhand&amp;keyword=ICT&amp;tender=2026_pwd_101203_1", "🚀 Open in Portal")</f>
        <v/>
      </c>
    </row>
    <row r="4100" ht="24" customHeight="1">
      <c r="A4100" s="11" t="inlineStr">
        <is>
          <t>Uttarakhand</t>
        </is>
      </c>
      <c r="B4100" s="12" t="inlineStr">
        <is>
          <t>ICT</t>
        </is>
      </c>
      <c r="C4100" s="13" t="inlineStr">
        <is>
          <t>2026_pwd_101203_1</t>
        </is>
      </c>
      <c r="D4100" s="14" t="inlineStr">
        <is>
          <t>[Widening of the road and construction of a slab over the drain from the Banyan tree to Chanchak Bridge in Banjarawala of Dharampur Constituency, District Dehradun under Chief Minister Announcement No. 45/2020.]</t>
        </is>
      </c>
      <c r="E4100" s="14" t="inlineStr">
        <is>
          <t>Uttarakhand Public Works &amp; Technology Department</t>
        </is>
      </c>
      <c r="F4100" s="13" t="inlineStr">
        <is>
          <t>10 Sep 2026</t>
        </is>
      </c>
      <c r="G4100" s="12" t="inlineStr">
        <is>
          <t>04 Oct 2026</t>
        </is>
      </c>
      <c r="H4100" s="8" t="inlineStr">
        <is>
          <t>⏳ UPCOMING</t>
        </is>
      </c>
      <c r="I4100" s="11" t="inlineStr">
        <is>
          <t>Conditions.pdf</t>
        </is>
      </c>
      <c r="J4100" s="13" t="inlineStr">
        <is>
          <t>📕 PDF Document</t>
        </is>
      </c>
      <c r="K4100" s="15" t="n">
        <v>17.8</v>
      </c>
      <c r="L4100" s="16">
        <f>HYPERLINK("http://127.0.0.1:8000/api/documents/download?id=2173&amp;attachment=true", "⬇ Download Conditions.pdf")</f>
        <v/>
      </c>
      <c r="M4100" s="16">
        <f>HYPERLINK("http://localhost:5173/?state=Uttarakhand&amp;keyword=ICT&amp;tender=2026_pwd_101203_1", "🚀 Open in Portal")</f>
        <v/>
      </c>
    </row>
    <row r="4101" ht="24" customHeight="1">
      <c r="A4101" s="4" t="inlineStr">
        <is>
          <t>Uttarakhand</t>
        </is>
      </c>
      <c r="B4101" s="5" t="inlineStr">
        <is>
          <t>ICT</t>
        </is>
      </c>
      <c r="C4101" s="6" t="inlineStr">
        <is>
          <t>2026_pwd_101203_1</t>
        </is>
      </c>
      <c r="D4101" s="7" t="inlineStr">
        <is>
          <t>[Widening of the road and construction of a slab over the drain from the Banyan tree to Chanchak Bridge in Banjarawala of Dharampur Constituency, District Dehradun under Chief Minister Announcement No. 45/2020.]</t>
        </is>
      </c>
      <c r="E4101" s="7" t="inlineStr">
        <is>
          <t>Uttarakhand Public Works &amp; Technology Department</t>
        </is>
      </c>
      <c r="F4101" s="6" t="inlineStr">
        <is>
          <t>10 Sep 2026</t>
        </is>
      </c>
      <c r="G4101" s="5" t="inlineStr">
        <is>
          <t>04 Oct 2026</t>
        </is>
      </c>
      <c r="H4101" s="8" t="inlineStr">
        <is>
          <t>⏳ UPCOMING</t>
        </is>
      </c>
      <c r="I4101" s="4" t="inlineStr">
        <is>
          <t>Tender_2026_pwd_101203_1_All_Documents.zip</t>
        </is>
      </c>
      <c r="J4101" s="6" t="inlineStr">
        <is>
          <t>📦 ZIP Package</t>
        </is>
      </c>
      <c r="K4101" s="9" t="n">
        <v>20.8</v>
      </c>
      <c r="L4101" s="10">
        <f>HYPERLINK("http://127.0.0.1:8000/api/documents/download?id=2174&amp;attachment=true", "⬇ Download Tender_2026_pwd_101203_1")</f>
        <v/>
      </c>
      <c r="M4101" s="10">
        <f>HYPERLINK("http://localhost:5173/?state=Uttarakhand&amp;keyword=ICT&amp;tender=2026_pwd_101203_1", "🚀 Open in Portal")</f>
        <v/>
      </c>
    </row>
    <row r="4102" ht="24" customHeight="1">
      <c r="A4102" s="11" t="inlineStr">
        <is>
          <t>Uttarakhand</t>
        </is>
      </c>
      <c r="B4102" s="12" t="inlineStr">
        <is>
          <t>Design</t>
        </is>
      </c>
      <c r="C4102" s="13" t="inlineStr">
        <is>
          <t>2026_UREDA_101112_1</t>
        </is>
      </c>
      <c r="D4102" s="14" t="inlineStr">
        <is>
          <t>[Survey, Design, Supply, Installation, Commissioning and Testing of off grid Solar Power Plant including warrantee and 05 Years Annual maintenance in District Udham Singh Nagar of Uttarakhand ]</t>
        </is>
      </c>
      <c r="E4102" s="14" t="inlineStr">
        <is>
          <t>Uttarakhand Public Works &amp; Technology Department</t>
        </is>
      </c>
      <c r="F4102" s="13" t="inlineStr">
        <is>
          <t>07 Aug 2026</t>
        </is>
      </c>
      <c r="G4102" s="12" t="inlineStr">
        <is>
          <t>31 Aug 2026</t>
        </is>
      </c>
      <c r="H4102" s="8" t="inlineStr">
        <is>
          <t>⏳ UPCOMING</t>
        </is>
      </c>
      <c r="I4102" s="11" t="inlineStr">
        <is>
          <t>Tendernotice_1.pdf</t>
        </is>
      </c>
      <c r="J4102" s="13" t="inlineStr">
        <is>
          <t>📕 PDF Document</t>
        </is>
      </c>
      <c r="K4102" s="15" t="n">
        <v>17.9</v>
      </c>
      <c r="L4102" s="16">
        <f>HYPERLINK("http://127.0.0.1:8000/api/documents/download?id=2223&amp;attachment=true", "⬇ Download Tendernotice_1.pdf")</f>
        <v/>
      </c>
      <c r="M4102" s="16">
        <f>HYPERLINK("http://localhost:5173/?state=Uttarakhand&amp;keyword=Design&amp;tender=2026_UREDA_101112_1", "🚀 Open in Portal")</f>
        <v/>
      </c>
    </row>
    <row r="4103" ht="24" customHeight="1">
      <c r="A4103" s="4" t="inlineStr">
        <is>
          <t>Uttarakhand</t>
        </is>
      </c>
      <c r="B4103" s="5" t="inlineStr">
        <is>
          <t>Design</t>
        </is>
      </c>
      <c r="C4103" s="6" t="inlineStr">
        <is>
          <t>2026_UREDA_101112_1</t>
        </is>
      </c>
      <c r="D4103" s="7" t="inlineStr">
        <is>
          <t>[Survey, Design, Supply, Installation, Commissioning and Testing of off grid Solar Power Plant including warrantee and 05 Years Annual maintenance in District Udham Singh Nagar of Uttarakhand ]</t>
        </is>
      </c>
      <c r="E4103" s="7" t="inlineStr">
        <is>
          <t>Uttarakhand Public Works &amp; Technology Department</t>
        </is>
      </c>
      <c r="F4103" s="6" t="inlineStr">
        <is>
          <t>07 Aug 2026</t>
        </is>
      </c>
      <c r="G4103" s="5" t="inlineStr">
        <is>
          <t>31 Aug 2026</t>
        </is>
      </c>
      <c r="H4103" s="8" t="inlineStr">
        <is>
          <t>⏳ UPCOMING</t>
        </is>
      </c>
      <c r="I4103" s="4" t="inlineStr">
        <is>
          <t>BOQ_119152.xls</t>
        </is>
      </c>
      <c r="J4103" s="6" t="inlineStr">
        <is>
          <t>📊 Excel BOQ</t>
        </is>
      </c>
      <c r="K4103" s="9" t="n">
        <v>2.5</v>
      </c>
      <c r="L4103" s="10">
        <f>HYPERLINK("http://127.0.0.1:8000/api/documents/download?id=2224&amp;attachment=true", "⬇ Download BOQ_119152.xls")</f>
        <v/>
      </c>
      <c r="M4103" s="10">
        <f>HYPERLINK("http://localhost:5173/?state=Uttarakhand&amp;keyword=Design&amp;tender=2026_UREDA_101112_1", "🚀 Open in Portal")</f>
        <v/>
      </c>
    </row>
    <row r="4104" ht="24" customHeight="1">
      <c r="A4104" s="11" t="inlineStr">
        <is>
          <t>Uttarakhand</t>
        </is>
      </c>
      <c r="B4104" s="12" t="inlineStr">
        <is>
          <t>Design</t>
        </is>
      </c>
      <c r="C4104" s="13" t="inlineStr">
        <is>
          <t>2026_UREDA_101112_1</t>
        </is>
      </c>
      <c r="D4104" s="14" t="inlineStr">
        <is>
          <t>[Survey, Design, Supply, Installation, Commissioning and Testing of off grid Solar Power Plant including warrantee and 05 Years Annual maintenance in District Udham Singh Nagar of Uttarakhand ]</t>
        </is>
      </c>
      <c r="E4104" s="14" t="inlineStr">
        <is>
          <t>Uttarakhand Public Works &amp; Technology Department</t>
        </is>
      </c>
      <c r="F4104" s="13" t="inlineStr">
        <is>
          <t>07 Aug 2026</t>
        </is>
      </c>
      <c r="G4104" s="12" t="inlineStr">
        <is>
          <t>31 Aug 2026</t>
        </is>
      </c>
      <c r="H4104" s="8" t="inlineStr">
        <is>
          <t>⏳ UPCOMING</t>
        </is>
      </c>
      <c r="I4104" s="11" t="inlineStr">
        <is>
          <t>Tender_OffGrid_SPPDP.pdf</t>
        </is>
      </c>
      <c r="J4104" s="13" t="inlineStr">
        <is>
          <t>📕 PDF Document</t>
        </is>
      </c>
      <c r="K4104" s="15" t="n">
        <v>17.9</v>
      </c>
      <c r="L4104" s="16">
        <f>HYPERLINK("http://127.0.0.1:8000/api/documents/download?id=2225&amp;attachment=true", "⬇ Download Tender_OffGrid_SPPDP.pdf")</f>
        <v/>
      </c>
      <c r="M4104" s="16">
        <f>HYPERLINK("http://localhost:5173/?state=Uttarakhand&amp;keyword=Design&amp;tender=2026_UREDA_101112_1", "🚀 Open in Portal")</f>
        <v/>
      </c>
    </row>
    <row r="4105" ht="24" customHeight="1">
      <c r="A4105" s="4" t="inlineStr">
        <is>
          <t>Uttarakhand</t>
        </is>
      </c>
      <c r="B4105" s="5" t="inlineStr">
        <is>
          <t>Design</t>
        </is>
      </c>
      <c r="C4105" s="6" t="inlineStr">
        <is>
          <t>2026_UREDA_101112_1</t>
        </is>
      </c>
      <c r="D4105" s="7" t="inlineStr">
        <is>
          <t>[Survey, Design, Supply, Installation, Commissioning and Testing of off grid Solar Power Plant including warrantee and 05 Years Annual maintenance in District Udham Singh Nagar of Uttarakhand ]</t>
        </is>
      </c>
      <c r="E4105" s="7" t="inlineStr">
        <is>
          <t>Uttarakhand Public Works &amp; Technology Department</t>
        </is>
      </c>
      <c r="F4105" s="6" t="inlineStr">
        <is>
          <t>07 Aug 2026</t>
        </is>
      </c>
      <c r="G4105" s="5" t="inlineStr">
        <is>
          <t>31 Aug 2026</t>
        </is>
      </c>
      <c r="H4105" s="8" t="inlineStr">
        <is>
          <t>⏳ UPCOMING</t>
        </is>
      </c>
      <c r="I4105" s="4" t="inlineStr">
        <is>
          <t>Tender_2026_UREDA_101112_1_All_Documents.zip</t>
        </is>
      </c>
      <c r="J4105" s="6" t="inlineStr">
        <is>
          <t>📦 ZIP Package</t>
        </is>
      </c>
      <c r="K4105" s="9" t="n">
        <v>20.8</v>
      </c>
      <c r="L4105" s="10">
        <f>HYPERLINK("http://127.0.0.1:8000/api/documents/download?id=2226&amp;attachment=true", "⬇ Download Tender_2026_UREDA_101112")</f>
        <v/>
      </c>
      <c r="M4105" s="10">
        <f>HYPERLINK("http://localhost:5173/?state=Uttarakhand&amp;keyword=Design&amp;tender=2026_UREDA_101112_1", "🚀 Open in Portal")</f>
        <v/>
      </c>
    </row>
    <row r="4106" ht="24" customHeight="1">
      <c r="A4106" s="11" t="inlineStr">
        <is>
          <t>Uttarakhand</t>
        </is>
      </c>
      <c r="B4106" s="12" t="inlineStr">
        <is>
          <t>Design</t>
        </is>
      </c>
      <c r="C4106" s="13" t="inlineStr">
        <is>
          <t>2026_UREDA_101137_1</t>
        </is>
      </c>
      <c r="D4106" s="14" t="inlineStr">
        <is>
          <t>[Design, Supply, Erection and Commissioning of 12W LED based Solar Street Lights (RMS Based) at various locations in Dis-trict Pithoragarh with 05 years warrantee and comprehensive Annual Maintenance Contract. ]</t>
        </is>
      </c>
      <c r="E4106" s="14" t="inlineStr">
        <is>
          <t>Uttarakhand Public Works &amp; Technology Department</t>
        </is>
      </c>
      <c r="F4106" s="13" t="inlineStr">
        <is>
          <t>02 Aug 2026</t>
        </is>
      </c>
      <c r="G4106" s="12" t="inlineStr">
        <is>
          <t>29 Aug 2026</t>
        </is>
      </c>
      <c r="H4106" s="8" t="inlineStr">
        <is>
          <t>⏳ UPCOMING</t>
        </is>
      </c>
      <c r="I4106" s="11" t="inlineStr">
        <is>
          <t>Tendernotice_1.pdf</t>
        </is>
      </c>
      <c r="J4106" s="13" t="inlineStr">
        <is>
          <t>📕 PDF Document</t>
        </is>
      </c>
      <c r="K4106" s="15" t="n">
        <v>17.9</v>
      </c>
      <c r="L4106" s="16">
        <f>HYPERLINK("http://127.0.0.1:8000/api/documents/download?id=2198&amp;attachment=true", "⬇ Download Tendernotice_1.pdf")</f>
        <v/>
      </c>
      <c r="M4106" s="16">
        <f>HYPERLINK("http://localhost:5173/?state=Uttarakhand&amp;keyword=Design&amp;tender=2026_UREDA_101137_1", "🚀 Open in Portal")</f>
        <v/>
      </c>
    </row>
    <row r="4107" ht="24" customHeight="1">
      <c r="A4107" s="4" t="inlineStr">
        <is>
          <t>Uttarakhand</t>
        </is>
      </c>
      <c r="B4107" s="5" t="inlineStr">
        <is>
          <t>Design</t>
        </is>
      </c>
      <c r="C4107" s="6" t="inlineStr">
        <is>
          <t>2026_UREDA_101137_1</t>
        </is>
      </c>
      <c r="D4107" s="7" t="inlineStr">
        <is>
          <t>[Design, Supply, Erection and Commissioning of 12W LED based Solar Street Lights (RMS Based) at various locations in Dis-trict Pithoragarh with 05 years warrantee and comprehensive Annual Maintenance Contract. ]</t>
        </is>
      </c>
      <c r="E4107" s="7" t="inlineStr">
        <is>
          <t>Uttarakhand Public Works &amp; Technology Department</t>
        </is>
      </c>
      <c r="F4107" s="6" t="inlineStr">
        <is>
          <t>02 Aug 2026</t>
        </is>
      </c>
      <c r="G4107" s="5" t="inlineStr">
        <is>
          <t>29 Aug 2026</t>
        </is>
      </c>
      <c r="H4107" s="8" t="inlineStr">
        <is>
          <t>⏳ UPCOMING</t>
        </is>
      </c>
      <c r="I4107" s="4" t="inlineStr">
        <is>
          <t>TenderSSL2026PTH.pdf</t>
        </is>
      </c>
      <c r="J4107" s="6" t="inlineStr">
        <is>
          <t>📕 PDF Document</t>
        </is>
      </c>
      <c r="K4107" s="9" t="n">
        <v>17.9</v>
      </c>
      <c r="L4107" s="10">
        <f>HYPERLINK("http://127.0.0.1:8000/api/documents/download?id=2199&amp;attachment=true", "⬇ Download TenderSSL2026PTH.pdf")</f>
        <v/>
      </c>
      <c r="M4107" s="10">
        <f>HYPERLINK("http://localhost:5173/?state=Uttarakhand&amp;keyword=Design&amp;tender=2026_UREDA_101137_1", "🚀 Open in Portal")</f>
        <v/>
      </c>
    </row>
    <row r="4108" ht="24" customHeight="1">
      <c r="A4108" s="11" t="inlineStr">
        <is>
          <t>Uttarakhand</t>
        </is>
      </c>
      <c r="B4108" s="12" t="inlineStr">
        <is>
          <t>Design</t>
        </is>
      </c>
      <c r="C4108" s="13" t="inlineStr">
        <is>
          <t>2026_UREDA_101137_1</t>
        </is>
      </c>
      <c r="D4108" s="14" t="inlineStr">
        <is>
          <t>[Design, Supply, Erection and Commissioning of 12W LED based Solar Street Lights (RMS Based) at various locations in Dis-trict Pithoragarh with 05 years warrantee and comprehensive Annual Maintenance Contract. ]</t>
        </is>
      </c>
      <c r="E4108" s="14" t="inlineStr">
        <is>
          <t>Uttarakhand Public Works &amp; Technology Department</t>
        </is>
      </c>
      <c r="F4108" s="13" t="inlineStr">
        <is>
          <t>02 Aug 2026</t>
        </is>
      </c>
      <c r="G4108" s="12" t="inlineStr">
        <is>
          <t>29 Aug 2026</t>
        </is>
      </c>
      <c r="H4108" s="8" t="inlineStr">
        <is>
          <t>⏳ UPCOMING</t>
        </is>
      </c>
      <c r="I4108" s="11" t="inlineStr">
        <is>
          <t>BOQ_119178.xls</t>
        </is>
      </c>
      <c r="J4108" s="13" t="inlineStr">
        <is>
          <t>📊 Excel BOQ</t>
        </is>
      </c>
      <c r="K4108" s="15" t="n">
        <v>2.5</v>
      </c>
      <c r="L4108" s="16">
        <f>HYPERLINK("http://127.0.0.1:8000/api/documents/download?id=2200&amp;attachment=true", "⬇ Download BOQ_119178.xls")</f>
        <v/>
      </c>
      <c r="M4108" s="16">
        <f>HYPERLINK("http://localhost:5173/?state=Uttarakhand&amp;keyword=Design&amp;tender=2026_UREDA_101137_1", "🚀 Open in Portal")</f>
        <v/>
      </c>
    </row>
    <row r="4109" ht="24" customHeight="1">
      <c r="A4109" s="4" t="inlineStr">
        <is>
          <t>Uttarakhand</t>
        </is>
      </c>
      <c r="B4109" s="5" t="inlineStr">
        <is>
          <t>Design</t>
        </is>
      </c>
      <c r="C4109" s="6" t="inlineStr">
        <is>
          <t>2026_UREDA_101137_1</t>
        </is>
      </c>
      <c r="D4109" s="7" t="inlineStr">
        <is>
          <t>[Design, Supply, Erection and Commissioning of 12W LED based Solar Street Lights (RMS Based) at various locations in Dis-trict Pithoragarh with 05 years warrantee and comprehensive Annual Maintenance Contract. ]</t>
        </is>
      </c>
      <c r="E4109" s="7" t="inlineStr">
        <is>
          <t>Uttarakhand Public Works &amp; Technology Department</t>
        </is>
      </c>
      <c r="F4109" s="6" t="inlineStr">
        <is>
          <t>02 Aug 2026</t>
        </is>
      </c>
      <c r="G4109" s="5" t="inlineStr">
        <is>
          <t>29 Aug 2026</t>
        </is>
      </c>
      <c r="H4109" s="8" t="inlineStr">
        <is>
          <t>⏳ UPCOMING</t>
        </is>
      </c>
      <c r="I4109" s="4" t="inlineStr">
        <is>
          <t>Tender_2026_UREDA_101137_1_All_Documents.zip</t>
        </is>
      </c>
      <c r="J4109" s="6" t="inlineStr">
        <is>
          <t>📦 ZIP Package</t>
        </is>
      </c>
      <c r="K4109" s="9" t="n">
        <v>20.8</v>
      </c>
      <c r="L4109" s="10">
        <f>HYPERLINK("http://127.0.0.1:8000/api/documents/download?id=2201&amp;attachment=true", "⬇ Download Tender_2026_UREDA_101137")</f>
        <v/>
      </c>
      <c r="M4109" s="10">
        <f>HYPERLINK("http://localhost:5173/?state=Uttarakhand&amp;keyword=Design&amp;tender=2026_UREDA_101137_1", "🚀 Open in Portal")</f>
        <v/>
      </c>
    </row>
    <row r="4110" ht="24" customHeight="1">
      <c r="A4110" s="11" t="inlineStr">
        <is>
          <t>Uttarakhand</t>
        </is>
      </c>
      <c r="B4110" s="12" t="inlineStr">
        <is>
          <t>Development</t>
        </is>
      </c>
      <c r="C4110" s="13" t="inlineStr">
        <is>
          <t>2026_pwd_101193_1</t>
        </is>
      </c>
      <c r="D4110" s="14" t="inlineStr">
        <is>
          <t>[Reconstruction and Improvement work on the Marghat Barakot Singodgaon Silla motor road situated in the Agustmuni Development Block of the Kedarnath Assembly Constituency in Rudraprayag District under Honble Chief Ministers Announcement No 155/2025]</t>
        </is>
      </c>
      <c r="E4110" s="14" t="inlineStr">
        <is>
          <t>Uttarakhand Public Works &amp; Technology Department</t>
        </is>
      </c>
      <c r="F4110" s="13" t="inlineStr">
        <is>
          <t>08 Oct 2026</t>
        </is>
      </c>
      <c r="G4110" s="12" t="inlineStr">
        <is>
          <t>31 Oct 2026</t>
        </is>
      </c>
      <c r="H4110" s="17" t="inlineStr">
        <is>
          <t>🟢 LIVE ACTIVE</t>
        </is>
      </c>
      <c r="I4110" s="11" t="inlineStr">
        <is>
          <t>Tendernotice_1.pdf</t>
        </is>
      </c>
      <c r="J4110" s="13" t="inlineStr">
        <is>
          <t>📕 PDF Document</t>
        </is>
      </c>
      <c r="K4110" s="15" t="n">
        <v>17.9</v>
      </c>
      <c r="L4110" s="16">
        <f>HYPERLINK("http://127.0.0.1:8000/api/documents/download?id=2175&amp;attachment=true", "⬇ Download Tendernotice_1.pdf")</f>
        <v/>
      </c>
      <c r="M4110" s="16">
        <f>HYPERLINK("http://localhost:5173/?state=Uttarakhand&amp;keyword=Development&amp;tender=2026_pwd_101193_1", "🚀 Open in Portal")</f>
        <v/>
      </c>
    </row>
    <row r="4111" ht="24" customHeight="1">
      <c r="A4111" s="4" t="inlineStr">
        <is>
          <t>Uttarakhand</t>
        </is>
      </c>
      <c r="B4111" s="5" t="inlineStr">
        <is>
          <t>Development</t>
        </is>
      </c>
      <c r="C4111" s="6" t="inlineStr">
        <is>
          <t>2026_pwd_101193_1</t>
        </is>
      </c>
      <c r="D4111" s="7" t="inlineStr">
        <is>
          <t>[Reconstruction and Improvement work on the Marghat Barakot Singodgaon Silla motor road situated in the Agustmuni Development Block of the Kedarnath Assembly Constituency in Rudraprayag District under Honble Chief Ministers Announcement No 155/2025]</t>
        </is>
      </c>
      <c r="E4111" s="7" t="inlineStr">
        <is>
          <t>Uttarakhand Public Works &amp; Technology Department</t>
        </is>
      </c>
      <c r="F4111" s="6" t="inlineStr">
        <is>
          <t>08 Oct 2026</t>
        </is>
      </c>
      <c r="G4111" s="5" t="inlineStr">
        <is>
          <t>31 Oct 2026</t>
        </is>
      </c>
      <c r="H4111" s="17" t="inlineStr">
        <is>
          <t>🟢 LIVE ACTIVE</t>
        </is>
      </c>
      <c r="I4111" s="4" t="inlineStr">
        <is>
          <t>BOQ_119237.xls</t>
        </is>
      </c>
      <c r="J4111" s="6" t="inlineStr">
        <is>
          <t>📊 Excel BOQ</t>
        </is>
      </c>
      <c r="K4111" s="9" t="n">
        <v>2.5</v>
      </c>
      <c r="L4111" s="10">
        <f>HYPERLINK("http://127.0.0.1:8000/api/documents/download?id=2176&amp;attachment=true", "⬇ Download BOQ_119237.xls")</f>
        <v/>
      </c>
      <c r="M4111" s="10">
        <f>HYPERLINK("http://localhost:5173/?state=Uttarakhand&amp;keyword=Development&amp;tender=2026_pwd_101193_1", "🚀 Open in Portal")</f>
        <v/>
      </c>
    </row>
    <row r="4112" ht="24" customHeight="1">
      <c r="A4112" s="11" t="inlineStr">
        <is>
          <t>Uttarakhand</t>
        </is>
      </c>
      <c r="B4112" s="12" t="inlineStr">
        <is>
          <t>Development</t>
        </is>
      </c>
      <c r="C4112" s="13" t="inlineStr">
        <is>
          <t>2026_pwd_101193_1</t>
        </is>
      </c>
      <c r="D4112" s="14" t="inlineStr">
        <is>
          <t>[Reconstruction and Improvement work on the Marghat Barakot Singodgaon Silla motor road situated in the Agustmuni Development Block of the Kedarnath Assembly Constituency in Rudraprayag District under Honble Chief Ministers Announcement No 155/2025]</t>
        </is>
      </c>
      <c r="E4112" s="14" t="inlineStr">
        <is>
          <t>Uttarakhand Public Works &amp; Technology Department</t>
        </is>
      </c>
      <c r="F4112" s="13" t="inlineStr">
        <is>
          <t>08 Oct 2026</t>
        </is>
      </c>
      <c r="G4112" s="12" t="inlineStr">
        <is>
          <t>31 Oct 2026</t>
        </is>
      </c>
      <c r="H4112" s="17" t="inlineStr">
        <is>
          <t>🟢 LIVE ACTIVE</t>
        </is>
      </c>
      <c r="I4112" s="11" t="inlineStr">
        <is>
          <t>Tender_2026_pwd_101193_1_All_Documents.zip</t>
        </is>
      </c>
      <c r="J4112" s="13" t="inlineStr">
        <is>
          <t>📦 ZIP Package</t>
        </is>
      </c>
      <c r="K4112" s="15" t="n">
        <v>11.6</v>
      </c>
      <c r="L4112" s="16">
        <f>HYPERLINK("http://127.0.0.1:8000/api/documents/download?id=2177&amp;attachment=true", "⬇ Download Tender_2026_pwd_101193_1")</f>
        <v/>
      </c>
      <c r="M4112" s="16">
        <f>HYPERLINK("http://localhost:5173/?state=Uttarakhand&amp;keyword=Development&amp;tender=2026_pwd_101193_1", "🚀 Open in Portal")</f>
        <v/>
      </c>
    </row>
    <row r="4113" ht="24" customHeight="1">
      <c r="A4113" s="4" t="inlineStr">
        <is>
          <t>West Bengal</t>
        </is>
      </c>
      <c r="B4113" s="5" t="inlineStr">
        <is>
          <t>GIS</t>
        </is>
      </c>
      <c r="C4113" s="6" t="inlineStr">
        <is>
          <t>2026_CDA_1045756_1</t>
        </is>
      </c>
      <c r="D4113" s="7" t="inlineStr">
        <is>
          <t>[Preparation of Land use Map Register LUMR ]</t>
        </is>
      </c>
      <c r="E4113" s="7" t="inlineStr">
        <is>
          <t>West Bengal Public Works &amp; Technology Department</t>
        </is>
      </c>
      <c r="F4113" s="6" t="inlineStr">
        <is>
          <t>16 Sep 2026</t>
        </is>
      </c>
      <c r="G4113" s="5" t="inlineStr">
        <is>
          <t>16 Oct 2026</t>
        </is>
      </c>
      <c r="H4113" s="8" t="inlineStr">
        <is>
          <t>⏳ UPCOMING</t>
        </is>
      </c>
      <c r="I4113" s="4" t="inlineStr">
        <is>
          <t>Tendernotice_1.pdf</t>
        </is>
      </c>
      <c r="J4113" s="6" t="inlineStr">
        <is>
          <t>📕 PDF Document</t>
        </is>
      </c>
      <c r="K4113" s="9" t="n">
        <v>17.8</v>
      </c>
      <c r="L4113" s="10">
        <f>HYPERLINK("http://127.0.0.1:8000/api/documents/download?id=1646&amp;attachment=true", "⬇ Download Tendernotice_1.pdf")</f>
        <v/>
      </c>
      <c r="M4113" s="10">
        <f>HYPERLINK("http://localhost:5173/?state=West%20Bengal&amp;keyword=GIS&amp;tender=2026_CDA_1045756_1", "🚀 Open in Portal")</f>
        <v/>
      </c>
    </row>
    <row r="4114" ht="24" customHeight="1">
      <c r="A4114" s="11" t="inlineStr">
        <is>
          <t>West Bengal</t>
        </is>
      </c>
      <c r="B4114" s="12" t="inlineStr">
        <is>
          <t>GIS</t>
        </is>
      </c>
      <c r="C4114" s="13" t="inlineStr">
        <is>
          <t>2026_CDA_1045756_1</t>
        </is>
      </c>
      <c r="D4114" s="14" t="inlineStr">
        <is>
          <t>[Preparation of Land use Map Register LUMR ]</t>
        </is>
      </c>
      <c r="E4114" s="14" t="inlineStr">
        <is>
          <t>West Bengal Public Works &amp; Technology Department</t>
        </is>
      </c>
      <c r="F4114" s="13" t="inlineStr">
        <is>
          <t>16 Sep 2026</t>
        </is>
      </c>
      <c r="G4114" s="12" t="inlineStr">
        <is>
          <t>16 Oct 2026</t>
        </is>
      </c>
      <c r="H4114" s="8" t="inlineStr">
        <is>
          <t>⏳ UPCOMING</t>
        </is>
      </c>
      <c r="I4114" s="11" t="inlineStr">
        <is>
          <t>BOQ_2563282.xls</t>
        </is>
      </c>
      <c r="J4114" s="13" t="inlineStr">
        <is>
          <t>📊 Excel BOQ</t>
        </is>
      </c>
      <c r="K4114" s="15" t="n">
        <v>2.4</v>
      </c>
      <c r="L4114" s="16">
        <f>HYPERLINK("http://127.0.0.1:8000/api/documents/download?id=1647&amp;attachment=true", "⬇ Download BOQ_2563282.xls")</f>
        <v/>
      </c>
      <c r="M4114" s="16">
        <f>HYPERLINK("http://localhost:5173/?state=West%20Bengal&amp;keyword=GIS&amp;tender=2026_CDA_1045756_1", "🚀 Open in Portal")</f>
        <v/>
      </c>
    </row>
    <row r="4115" ht="24" customHeight="1">
      <c r="A4115" s="4" t="inlineStr">
        <is>
          <t>West Bengal</t>
        </is>
      </c>
      <c r="B4115" s="5" t="inlineStr">
        <is>
          <t>GIS</t>
        </is>
      </c>
      <c r="C4115" s="6" t="inlineStr">
        <is>
          <t>2026_CDA_1045756_1</t>
        </is>
      </c>
      <c r="D4115" s="7" t="inlineStr">
        <is>
          <t>[Preparation of Land use Map Register LUMR ]</t>
        </is>
      </c>
      <c r="E4115" s="7" t="inlineStr">
        <is>
          <t>West Bengal Public Works &amp; Technology Department</t>
        </is>
      </c>
      <c r="F4115" s="6" t="inlineStr">
        <is>
          <t>16 Sep 2026</t>
        </is>
      </c>
      <c r="G4115" s="5" t="inlineStr">
        <is>
          <t>16 Oct 2026</t>
        </is>
      </c>
      <c r="H4115" s="8" t="inlineStr">
        <is>
          <t>⏳ UPCOMING</t>
        </is>
      </c>
      <c r="I4115" s="4" t="inlineStr">
        <is>
          <t>Tender_2026_CDA_1045756_1_All_Documents.zip</t>
        </is>
      </c>
      <c r="J4115" s="6" t="inlineStr">
        <is>
          <t>📦 ZIP Package</t>
        </is>
      </c>
      <c r="K4115" s="9" t="n">
        <v>11.4</v>
      </c>
      <c r="L4115" s="10">
        <f>HYPERLINK("http://127.0.0.1:8000/api/documents/download?id=1648&amp;attachment=true", "⬇ Download Tender_2026_CDA_1045756_")</f>
        <v/>
      </c>
      <c r="M4115" s="10">
        <f>HYPERLINK("http://localhost:5173/?state=West%20Bengal&amp;keyword=GIS&amp;tender=2026_CDA_1045756_1", "🚀 Open in Portal")</f>
        <v/>
      </c>
    </row>
    <row r="4116" ht="24" customHeight="1">
      <c r="A4116" s="11" t="inlineStr">
        <is>
          <t>West Bengal</t>
        </is>
      </c>
      <c r="B4116" s="12" t="inlineStr">
        <is>
          <t>GIS</t>
        </is>
      </c>
      <c r="C4116" s="13" t="inlineStr">
        <is>
          <t>2026_FDCL_1044625_1</t>
        </is>
      </c>
      <c r="D4116" s="14" t="inlineStr">
        <is>
          <t>[Supply of Toner and Cartridges and Ink Cartridges of different Categories for Printers, Photocopiers and Multifunction Machines at the Registered Office of WBFDC Ltd., Aranya Bikash, KB-19, Sector-III, Salt Lake City, Kolkata - 700 106.]</t>
        </is>
      </c>
      <c r="E4116" s="14" t="inlineStr">
        <is>
          <t>West Bengal Public Works &amp; Technology Department</t>
        </is>
      </c>
      <c r="F4116" s="13" t="inlineStr">
        <is>
          <t>15 Oct 2026</t>
        </is>
      </c>
      <c r="G4116" s="12" t="inlineStr">
        <is>
          <t>26 Oct 2026</t>
        </is>
      </c>
      <c r="H4116" s="17" t="inlineStr">
        <is>
          <t>🟢 LIVE ACTIVE</t>
        </is>
      </c>
      <c r="I4116" s="11" t="inlineStr">
        <is>
          <t>Tendernotice_1.pdf</t>
        </is>
      </c>
      <c r="J4116" s="13" t="inlineStr">
        <is>
          <t>📕 PDF Document</t>
        </is>
      </c>
      <c r="K4116" s="15" t="n">
        <v>17.8</v>
      </c>
      <c r="L4116" s="16">
        <f>HYPERLINK("http://127.0.0.1:8000/api/documents/download?id=1659&amp;attachment=true", "⬇ Download Tendernotice_1.pdf")</f>
        <v/>
      </c>
      <c r="M4116" s="16">
        <f>HYPERLINK("http://localhost:5173/?state=West%20Bengal&amp;keyword=GIS&amp;tender=2026_FDCL_1044625_1", "🚀 Open in Portal")</f>
        <v/>
      </c>
    </row>
    <row r="4117" ht="24" customHeight="1">
      <c r="A4117" s="4" t="inlineStr">
        <is>
          <t>West Bengal</t>
        </is>
      </c>
      <c r="B4117" s="5" t="inlineStr">
        <is>
          <t>GIS</t>
        </is>
      </c>
      <c r="C4117" s="6" t="inlineStr">
        <is>
          <t>2026_FDCL_1044625_1</t>
        </is>
      </c>
      <c r="D4117" s="7" t="inlineStr">
        <is>
          <t>[Supply of Toner and Cartridges and Ink Cartridges of different Categories for Printers, Photocopiers and Multifunction Machines at the Registered Office of WBFDC Ltd., Aranya Bikash, KB-19, Sector-III, Salt Lake City, Kolkata - 700 106.]</t>
        </is>
      </c>
      <c r="E4117" s="7" t="inlineStr">
        <is>
          <t>West Bengal Public Works &amp; Technology Department</t>
        </is>
      </c>
      <c r="F4117" s="6" t="inlineStr">
        <is>
          <t>15 Oct 2026</t>
        </is>
      </c>
      <c r="G4117" s="5" t="inlineStr">
        <is>
          <t>26 Oct 2026</t>
        </is>
      </c>
      <c r="H4117" s="17" t="inlineStr">
        <is>
          <t>🟢 LIVE ACTIVE</t>
        </is>
      </c>
      <c r="I4117" s="4" t="inlineStr">
        <is>
          <t>BOQ_2561870.xls</t>
        </is>
      </c>
      <c r="J4117" s="6" t="inlineStr">
        <is>
          <t>📊 Excel BOQ</t>
        </is>
      </c>
      <c r="K4117" s="9" t="n">
        <v>2.6</v>
      </c>
      <c r="L4117" s="10">
        <f>HYPERLINK("http://127.0.0.1:8000/api/documents/download?id=1660&amp;attachment=true", "⬇ Download BOQ_2561870.xls")</f>
        <v/>
      </c>
      <c r="M4117" s="10">
        <f>HYPERLINK("http://localhost:5173/?state=West%20Bengal&amp;keyword=GIS&amp;tender=2026_FDCL_1044625_1", "🚀 Open in Portal")</f>
        <v/>
      </c>
    </row>
    <row r="4118" ht="24" customHeight="1">
      <c r="A4118" s="11" t="inlineStr">
        <is>
          <t>West Bengal</t>
        </is>
      </c>
      <c r="B4118" s="12" t="inlineStr">
        <is>
          <t>GIS</t>
        </is>
      </c>
      <c r="C4118" s="13" t="inlineStr">
        <is>
          <t>2026_FDCL_1044625_1</t>
        </is>
      </c>
      <c r="D4118" s="14" t="inlineStr">
        <is>
          <t>[Supply of Toner and Cartridges and Ink Cartridges of different Categories for Printers, Photocopiers and Multifunction Machines at the Registered Office of WBFDC Ltd., Aranya Bikash, KB-19, Sector-III, Salt Lake City, Kolkata - 700 106.]</t>
        </is>
      </c>
      <c r="E4118" s="14" t="inlineStr">
        <is>
          <t>West Bengal Public Works &amp; Technology Department</t>
        </is>
      </c>
      <c r="F4118" s="13" t="inlineStr">
        <is>
          <t>15 Oct 2026</t>
        </is>
      </c>
      <c r="G4118" s="12" t="inlineStr">
        <is>
          <t>26 Oct 2026</t>
        </is>
      </c>
      <c r="H4118" s="17" t="inlineStr">
        <is>
          <t>🟢 LIVE ACTIVE</t>
        </is>
      </c>
      <c r="I4118" s="11" t="inlineStr">
        <is>
          <t>Estimate_Details.pdf</t>
        </is>
      </c>
      <c r="J4118" s="13" t="inlineStr">
        <is>
          <t>📕 PDF Document</t>
        </is>
      </c>
      <c r="K4118" s="15" t="n">
        <v>17.9</v>
      </c>
      <c r="L4118" s="16">
        <f>HYPERLINK("http://127.0.0.1:8000/api/documents/download?id=1661&amp;attachment=true", "⬇ Download Estimate_Details.pdf")</f>
        <v/>
      </c>
      <c r="M4118" s="16">
        <f>HYPERLINK("http://localhost:5173/?state=West%20Bengal&amp;keyword=GIS&amp;tender=2026_FDCL_1044625_1", "🚀 Open in Portal")</f>
        <v/>
      </c>
    </row>
    <row r="4119" ht="24" customHeight="1">
      <c r="A4119" s="4" t="inlineStr">
        <is>
          <t>West Bengal</t>
        </is>
      </c>
      <c r="B4119" s="5" t="inlineStr">
        <is>
          <t>GIS</t>
        </is>
      </c>
      <c r="C4119" s="6" t="inlineStr">
        <is>
          <t>2026_FDCL_1044625_1</t>
        </is>
      </c>
      <c r="D4119" s="7" t="inlineStr">
        <is>
          <t>[Supply of Toner and Cartridges and Ink Cartridges of different Categories for Printers, Photocopiers and Multifunction Machines at the Registered Office of WBFDC Ltd., Aranya Bikash, KB-19, Sector-III, Salt Lake City, Kolkata - 700 106.]</t>
        </is>
      </c>
      <c r="E4119" s="7" t="inlineStr">
        <is>
          <t>West Bengal Public Works &amp; Technology Department</t>
        </is>
      </c>
      <c r="F4119" s="6" t="inlineStr">
        <is>
          <t>15 Oct 2026</t>
        </is>
      </c>
      <c r="G4119" s="5" t="inlineStr">
        <is>
          <t>26 Oct 2026</t>
        </is>
      </c>
      <c r="H4119" s="17" t="inlineStr">
        <is>
          <t>🟢 LIVE ACTIVE</t>
        </is>
      </c>
      <c r="I4119" s="4" t="inlineStr">
        <is>
          <t>Tender_2026_FDCL_1044625_1_All_Documents.zip</t>
        </is>
      </c>
      <c r="J4119" s="6" t="inlineStr">
        <is>
          <t>📦 ZIP Package</t>
        </is>
      </c>
      <c r="K4119" s="9" t="n">
        <v>20.8</v>
      </c>
      <c r="L4119" s="10">
        <f>HYPERLINK("http://127.0.0.1:8000/api/documents/download?id=1662&amp;attachment=true", "⬇ Download Tender_2026_FDCL_1044625")</f>
        <v/>
      </c>
      <c r="M4119" s="10">
        <f>HYPERLINK("http://localhost:5173/?state=West%20Bengal&amp;keyword=GIS&amp;tender=2026_FDCL_1044625_1", "🚀 Open in Portal")</f>
        <v/>
      </c>
    </row>
    <row r="4120" ht="24" customHeight="1">
      <c r="A4120" s="11" t="inlineStr">
        <is>
          <t>West Bengal</t>
        </is>
      </c>
      <c r="B4120" s="12" t="inlineStr">
        <is>
          <t>GIS</t>
        </is>
      </c>
      <c r="C4120" s="13" t="inlineStr">
        <is>
          <t>2026_KMDA_1041089_1</t>
        </is>
      </c>
      <c r="D4120" s="14" t="inlineStr">
        <is>
          <t>[Preparation of GIS based maps and Planning Report for area of 150 sq.km (approx) (consisting of Budge Budge I (part), Bhangar II (part), Thakurpukur Maheshtala (part), and Baruipur PanchayatSamity (part) areas under the jurisdiction of Kolkata Met]</t>
        </is>
      </c>
      <c r="E4120" s="14" t="inlineStr">
        <is>
          <t>West Bengal Public Works &amp; Technology Department</t>
        </is>
      </c>
      <c r="F4120" s="13" t="inlineStr">
        <is>
          <t>11 Sep 2026</t>
        </is>
      </c>
      <c r="G4120" s="12" t="inlineStr">
        <is>
          <t>04 Oct 2026</t>
        </is>
      </c>
      <c r="H4120" s="8" t="inlineStr">
        <is>
          <t>⏳ UPCOMING</t>
        </is>
      </c>
      <c r="I4120" s="11" t="inlineStr">
        <is>
          <t>Tendernotice_1.pdf</t>
        </is>
      </c>
      <c r="J4120" s="13" t="inlineStr">
        <is>
          <t>📕 PDF Document</t>
        </is>
      </c>
      <c r="K4120" s="15" t="n">
        <v>17.9</v>
      </c>
      <c r="L4120" s="16">
        <f>HYPERLINK("http://127.0.0.1:8000/api/documents/download?id=1666&amp;attachment=true", "⬇ Download Tendernotice_1.pdf")</f>
        <v/>
      </c>
      <c r="M4120" s="16">
        <f>HYPERLINK("http://localhost:5173/?state=West%20Bengal&amp;keyword=GIS&amp;tender=2026_KMDA_1041089_1", "🚀 Open in Portal")</f>
        <v/>
      </c>
    </row>
    <row r="4121" ht="24" customHeight="1">
      <c r="A4121" s="4" t="inlineStr">
        <is>
          <t>West Bengal</t>
        </is>
      </c>
      <c r="B4121" s="5" t="inlineStr">
        <is>
          <t>GIS</t>
        </is>
      </c>
      <c r="C4121" s="6" t="inlineStr">
        <is>
          <t>2026_KMDA_1041089_1</t>
        </is>
      </c>
      <c r="D4121" s="7" t="inlineStr">
        <is>
          <t>[Preparation of GIS based maps and Planning Report for area of 150 sq.km (approx) (consisting of Budge Budge I (part), Bhangar II (part), Thakurpukur Maheshtala (part), and Baruipur PanchayatSamity (part) areas under the jurisdiction of Kolkata Met]</t>
        </is>
      </c>
      <c r="E4121" s="7" t="inlineStr">
        <is>
          <t>West Bengal Public Works &amp; Technology Department</t>
        </is>
      </c>
      <c r="F4121" s="6" t="inlineStr">
        <is>
          <t>11 Sep 2026</t>
        </is>
      </c>
      <c r="G4121" s="5" t="inlineStr">
        <is>
          <t>04 Oct 2026</t>
        </is>
      </c>
      <c r="H4121" s="8" t="inlineStr">
        <is>
          <t>⏳ UPCOMING</t>
        </is>
      </c>
      <c r="I4121" s="4" t="inlineStr">
        <is>
          <t>BOQ_2556517.xls</t>
        </is>
      </c>
      <c r="J4121" s="6" t="inlineStr">
        <is>
          <t>📊 Excel BOQ</t>
        </is>
      </c>
      <c r="K4121" s="9" t="n">
        <v>2.6</v>
      </c>
      <c r="L4121" s="10">
        <f>HYPERLINK("http://127.0.0.1:8000/api/documents/download?id=1667&amp;attachment=true", "⬇ Download BOQ_2556517.xls")</f>
        <v/>
      </c>
      <c r="M4121" s="10">
        <f>HYPERLINK("http://localhost:5173/?state=West%20Bengal&amp;keyword=GIS&amp;tender=2026_KMDA_1041089_1", "🚀 Open in Portal")</f>
        <v/>
      </c>
    </row>
    <row r="4122" ht="24" customHeight="1">
      <c r="A4122" s="11" t="inlineStr">
        <is>
          <t>West Bengal</t>
        </is>
      </c>
      <c r="B4122" s="12" t="inlineStr">
        <is>
          <t>GIS</t>
        </is>
      </c>
      <c r="C4122" s="13" t="inlineStr">
        <is>
          <t>2026_KMDA_1041089_1</t>
        </is>
      </c>
      <c r="D4122" s="14" t="inlineStr">
        <is>
          <t>[Preparation of GIS based maps and Planning Report for area of 150 sq.km (approx) (consisting of Budge Budge I (part), Bhangar II (part), Thakurpukur Maheshtala (part), and Baruipur PanchayatSamity (part) areas under the jurisdiction of Kolkata Met]</t>
        </is>
      </c>
      <c r="E4122" s="14" t="inlineStr">
        <is>
          <t>West Bengal Public Works &amp; Technology Department</t>
        </is>
      </c>
      <c r="F4122" s="13" t="inlineStr">
        <is>
          <t>11 Sep 2026</t>
        </is>
      </c>
      <c r="G4122" s="12" t="inlineStr">
        <is>
          <t>04 Oct 2026</t>
        </is>
      </c>
      <c r="H4122" s="8" t="inlineStr">
        <is>
          <t>⏳ UPCOMING</t>
        </is>
      </c>
      <c r="I4122" s="11" t="inlineStr">
        <is>
          <t>Tender_2026_KMDA_1041089_1_All_Documents.zip</t>
        </is>
      </c>
      <c r="J4122" s="13" t="inlineStr">
        <is>
          <t>📦 ZIP Package</t>
        </is>
      </c>
      <c r="K4122" s="15" t="n">
        <v>11.6</v>
      </c>
      <c r="L4122" s="16">
        <f>HYPERLINK("http://127.0.0.1:8000/api/documents/download?id=1668&amp;attachment=true", "⬇ Download Tender_2026_KMDA_1041089")</f>
        <v/>
      </c>
      <c r="M4122" s="16">
        <f>HYPERLINK("http://localhost:5173/?state=West%20Bengal&amp;keyword=GIS&amp;tender=2026_KMDA_1041089_1", "🚀 Open in Portal")</f>
        <v/>
      </c>
    </row>
    <row r="4123" ht="24" customHeight="1">
      <c r="A4123" s="4" t="inlineStr">
        <is>
          <t>West Bengal</t>
        </is>
      </c>
      <c r="B4123" s="5" t="inlineStr">
        <is>
          <t>GIS</t>
        </is>
      </c>
      <c r="C4123" s="6" t="inlineStr">
        <is>
          <t>2026_KMDA_1045931_1</t>
        </is>
      </c>
      <c r="D4123" s="7" t="inlineStr">
        <is>
          <t>[Preparation of GIS based maps (Base Map, Infrastructure Map and Land Use Map, etc.), and Creation of Data Bank and Planning Report after Physical and Socio-economic Survey for the Rural Areas of part of Howrah and Hooghly Districts withinKol(3rd Call]</t>
        </is>
      </c>
      <c r="E4123" s="7" t="inlineStr">
        <is>
          <t>West Bengal Public Works &amp; Technology Department</t>
        </is>
      </c>
      <c r="F4123" s="6" t="inlineStr">
        <is>
          <t>18 Aug 2026</t>
        </is>
      </c>
      <c r="G4123" s="5" t="inlineStr">
        <is>
          <t>15 Sep 2026</t>
        </is>
      </c>
      <c r="H4123" s="8" t="inlineStr">
        <is>
          <t>⏳ UPCOMING</t>
        </is>
      </c>
      <c r="I4123" s="4" t="inlineStr">
        <is>
          <t>Tendernotice_1.pdf</t>
        </is>
      </c>
      <c r="J4123" s="6" t="inlineStr">
        <is>
          <t>📕 PDF Document</t>
        </is>
      </c>
      <c r="K4123" s="9" t="n">
        <v>17.9</v>
      </c>
      <c r="L4123" s="10">
        <f>HYPERLINK("http://127.0.0.1:8000/api/documents/download?id=1674&amp;attachment=true", "⬇ Download Tendernotice_1.pdf")</f>
        <v/>
      </c>
      <c r="M4123" s="10">
        <f>HYPERLINK("http://localhost:5173/?state=West%20Bengal&amp;keyword=GIS&amp;tender=2026_KMDA_1045931_1", "🚀 Open in Portal")</f>
        <v/>
      </c>
    </row>
    <row r="4124" ht="24" customHeight="1">
      <c r="A4124" s="11" t="inlineStr">
        <is>
          <t>West Bengal</t>
        </is>
      </c>
      <c r="B4124" s="12" t="inlineStr">
        <is>
          <t>GIS</t>
        </is>
      </c>
      <c r="C4124" s="13" t="inlineStr">
        <is>
          <t>2026_KMDA_1045931_1</t>
        </is>
      </c>
      <c r="D4124" s="14" t="inlineStr">
        <is>
          <t>[Preparation of GIS based maps (Base Map, Infrastructure Map and Land Use Map, etc.), and Creation of Data Bank and Planning Report after Physical and Socio-economic Survey for the Rural Areas of part of Howrah and Hooghly Districts withinKol(3rd Call]</t>
        </is>
      </c>
      <c r="E4124" s="14" t="inlineStr">
        <is>
          <t>West Bengal Public Works &amp; Technology Department</t>
        </is>
      </c>
      <c r="F4124" s="13" t="inlineStr">
        <is>
          <t>18 Aug 2026</t>
        </is>
      </c>
      <c r="G4124" s="12" t="inlineStr">
        <is>
          <t>15 Sep 2026</t>
        </is>
      </c>
      <c r="H4124" s="8" t="inlineStr">
        <is>
          <t>⏳ UPCOMING</t>
        </is>
      </c>
      <c r="I4124" s="11" t="inlineStr">
        <is>
          <t>BOQ_2563500.xls</t>
        </is>
      </c>
      <c r="J4124" s="13" t="inlineStr">
        <is>
          <t>📊 Excel BOQ</t>
        </is>
      </c>
      <c r="K4124" s="15" t="n">
        <v>2.6</v>
      </c>
      <c r="L4124" s="16">
        <f>HYPERLINK("http://127.0.0.1:8000/api/documents/download?id=1675&amp;attachment=true", "⬇ Download BOQ_2563500.xls")</f>
        <v/>
      </c>
      <c r="M4124" s="16">
        <f>HYPERLINK("http://localhost:5173/?state=West%20Bengal&amp;keyword=GIS&amp;tender=2026_KMDA_1045931_1", "🚀 Open in Portal")</f>
        <v/>
      </c>
    </row>
    <row r="4125" ht="24" customHeight="1">
      <c r="A4125" s="4" t="inlineStr">
        <is>
          <t>West Bengal</t>
        </is>
      </c>
      <c r="B4125" s="5" t="inlineStr">
        <is>
          <t>GIS</t>
        </is>
      </c>
      <c r="C4125" s="6" t="inlineStr">
        <is>
          <t>2026_KMDA_1045931_1</t>
        </is>
      </c>
      <c r="D4125" s="7" t="inlineStr">
        <is>
          <t>[Preparation of GIS based maps (Base Map, Infrastructure Map and Land Use Map, etc.), and Creation of Data Bank and Planning Report after Physical and Socio-economic Survey for the Rural Areas of part of Howrah and Hooghly Districts withinKol(3rd Call]</t>
        </is>
      </c>
      <c r="E4125" s="7" t="inlineStr">
        <is>
          <t>West Bengal Public Works &amp; Technology Department</t>
        </is>
      </c>
      <c r="F4125" s="6" t="inlineStr">
        <is>
          <t>18 Aug 2026</t>
        </is>
      </c>
      <c r="G4125" s="5" t="inlineStr">
        <is>
          <t>15 Sep 2026</t>
        </is>
      </c>
      <c r="H4125" s="8" t="inlineStr">
        <is>
          <t>⏳ UPCOMING</t>
        </is>
      </c>
      <c r="I4125" s="4" t="inlineStr">
        <is>
          <t>Tender_2026_KMDA_1045931_1_All_Documents.zip</t>
        </is>
      </c>
      <c r="J4125" s="6" t="inlineStr">
        <is>
          <t>📦 ZIP Package</t>
        </is>
      </c>
      <c r="K4125" s="9" t="n">
        <v>11.6</v>
      </c>
      <c r="L4125" s="10">
        <f>HYPERLINK("http://127.0.0.1:8000/api/documents/download?id=1676&amp;attachment=true", "⬇ Download Tender_2026_KMDA_1045931")</f>
        <v/>
      </c>
      <c r="M4125" s="10">
        <f>HYPERLINK("http://localhost:5173/?state=West%20Bengal&amp;keyword=GIS&amp;tender=2026_KMDA_1045931_1", "🚀 Open in Portal")</f>
        <v/>
      </c>
    </row>
    <row r="4126" ht="24" customHeight="1">
      <c r="A4126" s="11" t="inlineStr">
        <is>
          <t>West Bengal</t>
        </is>
      </c>
      <c r="B4126" s="12" t="inlineStr">
        <is>
          <t>GIS</t>
        </is>
      </c>
      <c r="C4126" s="13" t="inlineStr">
        <is>
          <t>2026_SETCL_1042910_1</t>
        </is>
      </c>
      <c r="D4126" s="14" t="inlineStr">
        <is>
          <t>[Construction of Foundation for 01 no of 100 MVA Tr and 2 nos of 220 KV Gantry tower and other allied civil works at New town IIC 220 KV GIS under Salt lake area office WBSETCL Under ACE KTZ]</t>
        </is>
      </c>
      <c r="E4126" s="14" t="inlineStr">
        <is>
          <t>West Bengal Public Works &amp; Technology Department</t>
        </is>
      </c>
      <c r="F4126" s="13" t="inlineStr">
        <is>
          <t>14 Aug 2026</t>
        </is>
      </c>
      <c r="G4126" s="12" t="inlineStr">
        <is>
          <t>08 Sep 2026</t>
        </is>
      </c>
      <c r="H4126" s="8" t="inlineStr">
        <is>
          <t>⏳ UPCOMING</t>
        </is>
      </c>
      <c r="I4126" s="11" t="inlineStr">
        <is>
          <t>Tendernotice_1.pdf</t>
        </is>
      </c>
      <c r="J4126" s="13" t="inlineStr">
        <is>
          <t>📕 PDF Document</t>
        </is>
      </c>
      <c r="K4126" s="15" t="n">
        <v>17.9</v>
      </c>
      <c r="L4126" s="16">
        <f>HYPERLINK("http://127.0.0.1:8000/api/documents/download?id=1663&amp;attachment=true", "⬇ Download Tendernotice_1.pdf")</f>
        <v/>
      </c>
      <c r="M4126" s="16">
        <f>HYPERLINK("http://localhost:5173/?state=West%20Bengal&amp;keyword=GIS&amp;tender=2026_SETCL_1042910_1", "🚀 Open in Portal")</f>
        <v/>
      </c>
    </row>
    <row r="4127" ht="24" customHeight="1">
      <c r="A4127" s="4" t="inlineStr">
        <is>
          <t>West Bengal</t>
        </is>
      </c>
      <c r="B4127" s="5" t="inlineStr">
        <is>
          <t>GIS</t>
        </is>
      </c>
      <c r="C4127" s="6" t="inlineStr">
        <is>
          <t>2026_SETCL_1042910_1</t>
        </is>
      </c>
      <c r="D4127" s="7" t="inlineStr">
        <is>
          <t>[Construction of Foundation for 01 no of 100 MVA Tr and 2 nos of 220 KV Gantry tower and other allied civil works at New town IIC 220 KV GIS under Salt lake area office WBSETCL Under ACE KTZ]</t>
        </is>
      </c>
      <c r="E4127" s="7" t="inlineStr">
        <is>
          <t>West Bengal Public Works &amp; Technology Department</t>
        </is>
      </c>
      <c r="F4127" s="6" t="inlineStr">
        <is>
          <t>14 Aug 2026</t>
        </is>
      </c>
      <c r="G4127" s="5" t="inlineStr">
        <is>
          <t>08 Sep 2026</t>
        </is>
      </c>
      <c r="H4127" s="8" t="inlineStr">
        <is>
          <t>⏳ UPCOMING</t>
        </is>
      </c>
      <c r="I4127" s="4" t="inlineStr">
        <is>
          <t>BOQ_2559520.xls</t>
        </is>
      </c>
      <c r="J4127" s="6" t="inlineStr">
        <is>
          <t>📊 Excel BOQ</t>
        </is>
      </c>
      <c r="K4127" s="9" t="n">
        <v>2.5</v>
      </c>
      <c r="L4127" s="10">
        <f>HYPERLINK("http://127.0.0.1:8000/api/documents/download?id=1664&amp;attachment=true", "⬇ Download BOQ_2559520.xls")</f>
        <v/>
      </c>
      <c r="M4127" s="10">
        <f>HYPERLINK("http://localhost:5173/?state=West%20Bengal&amp;keyword=GIS&amp;tender=2026_SETCL_1042910_1", "🚀 Open in Portal")</f>
        <v/>
      </c>
    </row>
    <row r="4128" ht="24" customHeight="1">
      <c r="A4128" s="11" t="inlineStr">
        <is>
          <t>West Bengal</t>
        </is>
      </c>
      <c r="B4128" s="12" t="inlineStr">
        <is>
          <t>GIS</t>
        </is>
      </c>
      <c r="C4128" s="13" t="inlineStr">
        <is>
          <t>2026_SETCL_1042910_1</t>
        </is>
      </c>
      <c r="D4128" s="14" t="inlineStr">
        <is>
          <t>[Construction of Foundation for 01 no of 100 MVA Tr and 2 nos of 220 KV Gantry tower and other allied civil works at New town IIC 220 KV GIS under Salt lake area office WBSETCL Under ACE KTZ]</t>
        </is>
      </c>
      <c r="E4128" s="14" t="inlineStr">
        <is>
          <t>West Bengal Public Works &amp; Technology Department</t>
        </is>
      </c>
      <c r="F4128" s="13" t="inlineStr">
        <is>
          <t>14 Aug 2026</t>
        </is>
      </c>
      <c r="G4128" s="12" t="inlineStr">
        <is>
          <t>08 Sep 2026</t>
        </is>
      </c>
      <c r="H4128" s="8" t="inlineStr">
        <is>
          <t>⏳ UPCOMING</t>
        </is>
      </c>
      <c r="I4128" s="11" t="inlineStr">
        <is>
          <t>Tender_2026_SETCL_1042910_1_All_Documents.zip</t>
        </is>
      </c>
      <c r="J4128" s="13" t="inlineStr">
        <is>
          <t>📦 ZIP Package</t>
        </is>
      </c>
      <c r="K4128" s="15" t="n">
        <v>11.6</v>
      </c>
      <c r="L4128" s="16">
        <f>HYPERLINK("http://127.0.0.1:8000/api/documents/download?id=1665&amp;attachment=true", "⬇ Download Tender_2026_SETCL_104291")</f>
        <v/>
      </c>
      <c r="M4128" s="16">
        <f>HYPERLINK("http://localhost:5173/?state=West%20Bengal&amp;keyword=GIS&amp;tender=2026_SETCL_1042910_1", "🚀 Open in Portal")</f>
        <v/>
      </c>
    </row>
    <row r="4129" ht="24" customHeight="1">
      <c r="A4129" s="4" t="inlineStr">
        <is>
          <t>West Bengal</t>
        </is>
      </c>
      <c r="B4129" s="5" t="inlineStr">
        <is>
          <t>GIS</t>
        </is>
      </c>
      <c r="C4129" s="6" t="inlineStr">
        <is>
          <t>2026_SETCL_1044247_1</t>
        </is>
      </c>
      <c r="D4129" s="7" t="inlineStr">
        <is>
          <t>[CONSTRUCTION OF 10 NOS. 33 KV INDOOR GIS FEEDER BAYS AT SILICON VALLEY 132 KV SUBSTATION UNDER SALT-LAKE AREA OFFICE AND ALLIED WORKS ON TURN KEY BASIS]</t>
        </is>
      </c>
      <c r="E4129" s="7" t="inlineStr">
        <is>
          <t>West Bengal Public Works &amp; Technology Department</t>
        </is>
      </c>
      <c r="F4129" s="6" t="inlineStr">
        <is>
          <t>25 Oct 2026</t>
        </is>
      </c>
      <c r="G4129" s="5" t="inlineStr">
        <is>
          <t>15 Nov 2026</t>
        </is>
      </c>
      <c r="H4129" s="8" t="inlineStr">
        <is>
          <t>⏳ UPCOMING</t>
        </is>
      </c>
      <c r="I4129" s="4" t="inlineStr">
        <is>
          <t>Tendernotice_1.pdf</t>
        </is>
      </c>
      <c r="J4129" s="6" t="inlineStr">
        <is>
          <t>📕 PDF Document</t>
        </is>
      </c>
      <c r="K4129" s="9" t="n">
        <v>17.9</v>
      </c>
      <c r="L4129" s="10">
        <f>HYPERLINK("http://127.0.0.1:8000/api/documents/download?id=1649&amp;attachment=true", "⬇ Download Tendernotice_1.pdf")</f>
        <v/>
      </c>
      <c r="M4129" s="10">
        <f>HYPERLINK("http://localhost:5173/?state=West%20Bengal&amp;keyword=GIS&amp;tender=2026_SETCL_1044247_1", "🚀 Open in Portal")</f>
        <v/>
      </c>
    </row>
    <row r="4130" ht="24" customHeight="1">
      <c r="A4130" s="11" t="inlineStr">
        <is>
          <t>West Bengal</t>
        </is>
      </c>
      <c r="B4130" s="12" t="inlineStr">
        <is>
          <t>GIS</t>
        </is>
      </c>
      <c r="C4130" s="13" t="inlineStr">
        <is>
          <t>2026_SETCL_1044247_1</t>
        </is>
      </c>
      <c r="D4130" s="14" t="inlineStr">
        <is>
          <t>[CONSTRUCTION OF 10 NOS. 33 KV INDOOR GIS FEEDER BAYS AT SILICON VALLEY 132 KV SUBSTATION UNDER SALT-LAKE AREA OFFICE AND ALLIED WORKS ON TURN KEY BASIS]</t>
        </is>
      </c>
      <c r="E4130" s="14" t="inlineStr">
        <is>
          <t>West Bengal Public Works &amp; Technology Department</t>
        </is>
      </c>
      <c r="F4130" s="13" t="inlineStr">
        <is>
          <t>25 Oct 2026</t>
        </is>
      </c>
      <c r="G4130" s="12" t="inlineStr">
        <is>
          <t>15 Nov 2026</t>
        </is>
      </c>
      <c r="H4130" s="8" t="inlineStr">
        <is>
          <t>⏳ UPCOMING</t>
        </is>
      </c>
      <c r="I4130" s="11" t="inlineStr">
        <is>
          <t>Bid_Form.pdf</t>
        </is>
      </c>
      <c r="J4130" s="13" t="inlineStr">
        <is>
          <t>📕 PDF Document</t>
        </is>
      </c>
      <c r="K4130" s="15" t="n">
        <v>17.9</v>
      </c>
      <c r="L4130" s="16">
        <f>HYPERLINK("http://127.0.0.1:8000/api/documents/download?id=1650&amp;attachment=true", "⬇ Download Bid_Form.pdf")</f>
        <v/>
      </c>
      <c r="M4130" s="16">
        <f>HYPERLINK("http://localhost:5173/?state=West%20Bengal&amp;keyword=GIS&amp;tender=2026_SETCL_1044247_1", "🚀 Open in Portal")</f>
        <v/>
      </c>
    </row>
    <row r="4131" ht="24" customHeight="1">
      <c r="A4131" s="4" t="inlineStr">
        <is>
          <t>West Bengal</t>
        </is>
      </c>
      <c r="B4131" s="5" t="inlineStr">
        <is>
          <t>GIS</t>
        </is>
      </c>
      <c r="C4131" s="6" t="inlineStr">
        <is>
          <t>2026_SETCL_1044247_1</t>
        </is>
      </c>
      <c r="D4131" s="7" t="inlineStr">
        <is>
          <t>[CONSTRUCTION OF 10 NOS. 33 KV INDOOR GIS FEEDER BAYS AT SILICON VALLEY 132 KV SUBSTATION UNDER SALT-LAKE AREA OFFICE AND ALLIED WORKS ON TURN KEY BASIS]</t>
        </is>
      </c>
      <c r="E4131" s="7" t="inlineStr">
        <is>
          <t>West Bengal Public Works &amp; Technology Department</t>
        </is>
      </c>
      <c r="F4131" s="6" t="inlineStr">
        <is>
          <t>25 Oct 2026</t>
        </is>
      </c>
      <c r="G4131" s="5" t="inlineStr">
        <is>
          <t>15 Nov 2026</t>
        </is>
      </c>
      <c r="H4131" s="8" t="inlineStr">
        <is>
          <t>⏳ UPCOMING</t>
        </is>
      </c>
      <c r="I4131" s="4" t="inlineStr">
        <is>
          <t>ANNEX_of_CIVIL_TECH_SPEC_GENERAL.pdf</t>
        </is>
      </c>
      <c r="J4131" s="6" t="inlineStr">
        <is>
          <t>📕 PDF Document</t>
        </is>
      </c>
      <c r="K4131" s="9" t="n">
        <v>17.9</v>
      </c>
      <c r="L4131" s="10">
        <f>HYPERLINK("http://127.0.0.1:8000/api/documents/download?id=1651&amp;attachment=true", "⬇ Download ANNEX_of_CIVIL_TECH_SPEC")</f>
        <v/>
      </c>
      <c r="M4131" s="10">
        <f>HYPERLINK("http://localhost:5173/?state=West%20Bengal&amp;keyword=GIS&amp;tender=2026_SETCL_1044247_1", "🚀 Open in Portal")</f>
        <v/>
      </c>
    </row>
    <row r="4132" ht="24" customHeight="1">
      <c r="A4132" s="11" t="inlineStr">
        <is>
          <t>West Bengal</t>
        </is>
      </c>
      <c r="B4132" s="12" t="inlineStr">
        <is>
          <t>GIS</t>
        </is>
      </c>
      <c r="C4132" s="13" t="inlineStr">
        <is>
          <t>2026_SETCL_1044247_1</t>
        </is>
      </c>
      <c r="D4132" s="14" t="inlineStr">
        <is>
          <t>[CONSTRUCTION OF 10 NOS. 33 KV INDOOR GIS FEEDER BAYS AT SILICON VALLEY 132 KV SUBSTATION UNDER SALT-LAKE AREA OFFICE AND ALLIED WORKS ON TURN KEY BASIS]</t>
        </is>
      </c>
      <c r="E4132" s="14" t="inlineStr">
        <is>
          <t>West Bengal Public Works &amp; Technology Department</t>
        </is>
      </c>
      <c r="F4132" s="13" t="inlineStr">
        <is>
          <t>25 Oct 2026</t>
        </is>
      </c>
      <c r="G4132" s="12" t="inlineStr">
        <is>
          <t>15 Nov 2026</t>
        </is>
      </c>
      <c r="H4132" s="8" t="inlineStr">
        <is>
          <t>⏳ UPCOMING</t>
        </is>
      </c>
      <c r="I4132" s="11" t="inlineStr">
        <is>
          <t>Appendix_to_Affidavit_regarding_Elgibility.pdf</t>
        </is>
      </c>
      <c r="J4132" s="13" t="inlineStr">
        <is>
          <t>📕 PDF Document</t>
        </is>
      </c>
      <c r="K4132" s="15" t="n">
        <v>17.9</v>
      </c>
      <c r="L4132" s="16">
        <f>HYPERLINK("http://127.0.0.1:8000/api/documents/download?id=1652&amp;attachment=true", "⬇ Download Appendix_to_Affidavit_re")</f>
        <v/>
      </c>
      <c r="M4132" s="16">
        <f>HYPERLINK("http://localhost:5173/?state=West%20Bengal&amp;keyword=GIS&amp;tender=2026_SETCL_1044247_1", "🚀 Open in Portal")</f>
        <v/>
      </c>
    </row>
    <row r="4133" ht="24" customHeight="1">
      <c r="A4133" s="4" t="inlineStr">
        <is>
          <t>West Bengal</t>
        </is>
      </c>
      <c r="B4133" s="5" t="inlineStr">
        <is>
          <t>GIS</t>
        </is>
      </c>
      <c r="C4133" s="6" t="inlineStr">
        <is>
          <t>2026_SETCL_1044247_1</t>
        </is>
      </c>
      <c r="D4133" s="7" t="inlineStr">
        <is>
          <t>[CONSTRUCTION OF 10 NOS. 33 KV INDOOR GIS FEEDER BAYS AT SILICON VALLEY 132 KV SUBSTATION UNDER SALT-LAKE AREA OFFICE AND ALLIED WORKS ON TURN KEY BASIS]</t>
        </is>
      </c>
      <c r="E4133" s="7" t="inlineStr">
        <is>
          <t>West Bengal Public Works &amp; Technology Department</t>
        </is>
      </c>
      <c r="F4133" s="6" t="inlineStr">
        <is>
          <t>25 Oct 2026</t>
        </is>
      </c>
      <c r="G4133" s="5" t="inlineStr">
        <is>
          <t>15 Nov 2026</t>
        </is>
      </c>
      <c r="H4133" s="8" t="inlineStr">
        <is>
          <t>⏳ UPCOMING</t>
        </is>
      </c>
      <c r="I4133" s="4" t="inlineStr">
        <is>
          <t>CIVIL_TECH_SPEC_GENERAL.pdf</t>
        </is>
      </c>
      <c r="J4133" s="6" t="inlineStr">
        <is>
          <t>📕 PDF Document</t>
        </is>
      </c>
      <c r="K4133" s="9" t="n">
        <v>17.9</v>
      </c>
      <c r="L4133" s="10">
        <f>HYPERLINK("http://127.0.0.1:8000/api/documents/download?id=1653&amp;attachment=true", "⬇ Download CIVIL_TECH_SPEC_GENERAL.")</f>
        <v/>
      </c>
      <c r="M4133" s="10">
        <f>HYPERLINK("http://localhost:5173/?state=West%20Bengal&amp;keyword=GIS&amp;tender=2026_SETCL_1044247_1", "🚀 Open in Portal")</f>
        <v/>
      </c>
    </row>
    <row r="4134" ht="24" customHeight="1">
      <c r="A4134" s="11" t="inlineStr">
        <is>
          <t>West Bengal</t>
        </is>
      </c>
      <c r="B4134" s="12" t="inlineStr">
        <is>
          <t>GIS</t>
        </is>
      </c>
      <c r="C4134" s="13" t="inlineStr">
        <is>
          <t>2026_SETCL_1044247_1</t>
        </is>
      </c>
      <c r="D4134" s="14" t="inlineStr">
        <is>
          <t>[CONSTRUCTION OF 10 NOS. 33 KV INDOOR GIS FEEDER BAYS AT SILICON VALLEY 132 KV SUBSTATION UNDER SALT-LAKE AREA OFFICE AND ALLIED WORKS ON TURN KEY BASIS]</t>
        </is>
      </c>
      <c r="E4134" s="14" t="inlineStr">
        <is>
          <t>West Bengal Public Works &amp; Technology Department</t>
        </is>
      </c>
      <c r="F4134" s="13" t="inlineStr">
        <is>
          <t>25 Oct 2026</t>
        </is>
      </c>
      <c r="G4134" s="12" t="inlineStr">
        <is>
          <t>15 Nov 2026</t>
        </is>
      </c>
      <c r="H4134" s="8" t="inlineStr">
        <is>
          <t>⏳ UPCOMING</t>
        </is>
      </c>
      <c r="I4134" s="11" t="inlineStr">
        <is>
          <t>ELECTRICAL_EQUIPMENT_LAYOUT_OF_GIS_CUM_CONTROL_ROOM.PDF</t>
        </is>
      </c>
      <c r="J4134" s="13" t="inlineStr">
        <is>
          <t>📕 PDF Document</t>
        </is>
      </c>
      <c r="K4134" s="15" t="n">
        <v>17.9</v>
      </c>
      <c r="L4134" s="16">
        <f>HYPERLINK("http://127.0.0.1:8000/api/documents/download?id=1654&amp;attachment=true", "⬇ Download ELECTRICAL_EQUIPMENT_LAY")</f>
        <v/>
      </c>
      <c r="M4134" s="16">
        <f>HYPERLINK("http://localhost:5173/?state=West%20Bengal&amp;keyword=GIS&amp;tender=2026_SETCL_1044247_1", "🚀 Open in Portal")</f>
        <v/>
      </c>
    </row>
    <row r="4135" ht="24" customHeight="1">
      <c r="A4135" s="4" t="inlineStr">
        <is>
          <t>West Bengal</t>
        </is>
      </c>
      <c r="B4135" s="5" t="inlineStr">
        <is>
          <t>GIS</t>
        </is>
      </c>
      <c r="C4135" s="6" t="inlineStr">
        <is>
          <t>2026_SETCL_1044247_1</t>
        </is>
      </c>
      <c r="D4135" s="7" t="inlineStr">
        <is>
          <t>[CONSTRUCTION OF 10 NOS. 33 KV INDOOR GIS FEEDER BAYS AT SILICON VALLEY 132 KV SUBSTATION UNDER SALT-LAKE AREA OFFICE AND ALLIED WORKS ON TURN KEY BASIS]</t>
        </is>
      </c>
      <c r="E4135" s="7" t="inlineStr">
        <is>
          <t>West Bengal Public Works &amp; Technology Department</t>
        </is>
      </c>
      <c r="F4135" s="6" t="inlineStr">
        <is>
          <t>25 Oct 2026</t>
        </is>
      </c>
      <c r="G4135" s="5" t="inlineStr">
        <is>
          <t>15 Nov 2026</t>
        </is>
      </c>
      <c r="H4135" s="8" t="inlineStr">
        <is>
          <t>⏳ UPCOMING</t>
        </is>
      </c>
      <c r="I4135" s="4" t="inlineStr">
        <is>
          <t>Annexure.pdf</t>
        </is>
      </c>
      <c r="J4135" s="6" t="inlineStr">
        <is>
          <t>📕 PDF Document</t>
        </is>
      </c>
      <c r="K4135" s="9" t="n">
        <v>17.9</v>
      </c>
      <c r="L4135" s="10">
        <f>HYPERLINK("http://127.0.0.1:8000/api/documents/download?id=1655&amp;attachment=true", "⬇ Download Annexure.pdf")</f>
        <v/>
      </c>
      <c r="M4135" s="10">
        <f>HYPERLINK("http://localhost:5173/?state=West%20Bengal&amp;keyword=GIS&amp;tender=2026_SETCL_1044247_1", "🚀 Open in Portal")</f>
        <v/>
      </c>
    </row>
    <row r="4136" ht="24" customHeight="1">
      <c r="A4136" s="11" t="inlineStr">
        <is>
          <t>West Bengal</t>
        </is>
      </c>
      <c r="B4136" s="12" t="inlineStr">
        <is>
          <t>GIS</t>
        </is>
      </c>
      <c r="C4136" s="13" t="inlineStr">
        <is>
          <t>2026_SETCL_1044247_1</t>
        </is>
      </c>
      <c r="D4136" s="14" t="inlineStr">
        <is>
          <t>[CONSTRUCTION OF 10 NOS. 33 KV INDOOR GIS FEEDER BAYS AT SILICON VALLEY 132 KV SUBSTATION UNDER SALT-LAKE AREA OFFICE AND ALLIED WORKS ON TURN KEY BASIS]</t>
        </is>
      </c>
      <c r="E4136" s="14" t="inlineStr">
        <is>
          <t>West Bengal Public Works &amp; Technology Department</t>
        </is>
      </c>
      <c r="F4136" s="13" t="inlineStr">
        <is>
          <t>25 Oct 2026</t>
        </is>
      </c>
      <c r="G4136" s="12" t="inlineStr">
        <is>
          <t>15 Nov 2026</t>
        </is>
      </c>
      <c r="H4136" s="8" t="inlineStr">
        <is>
          <t>⏳ UPCOMING</t>
        </is>
      </c>
      <c r="I4136" s="11" t="inlineStr">
        <is>
          <t>BOQ_2561426.xls</t>
        </is>
      </c>
      <c r="J4136" s="13" t="inlineStr">
        <is>
          <t>📊 Excel BOQ</t>
        </is>
      </c>
      <c r="K4136" s="15" t="n">
        <v>2.5</v>
      </c>
      <c r="L4136" s="16">
        <f>HYPERLINK("http://127.0.0.1:8000/api/documents/download?id=1656&amp;attachment=true", "⬇ Download BOQ_2561426.xls")</f>
        <v/>
      </c>
      <c r="M4136" s="16">
        <f>HYPERLINK("http://localhost:5173/?state=West%20Bengal&amp;keyword=GIS&amp;tender=2026_SETCL_1044247_1", "🚀 Open in Portal")</f>
        <v/>
      </c>
    </row>
    <row r="4137" ht="24" customHeight="1">
      <c r="A4137" s="4" t="inlineStr">
        <is>
          <t>West Bengal</t>
        </is>
      </c>
      <c r="B4137" s="5" t="inlineStr">
        <is>
          <t>GIS</t>
        </is>
      </c>
      <c r="C4137" s="6" t="inlineStr">
        <is>
          <t>2026_SETCL_1044247_1</t>
        </is>
      </c>
      <c r="D4137" s="7" t="inlineStr">
        <is>
          <t>[CONSTRUCTION OF 10 NOS. 33 KV INDOOR GIS FEEDER BAYS AT SILICON VALLEY 132 KV SUBSTATION UNDER SALT-LAKE AREA OFFICE AND ALLIED WORKS ON TURN KEY BASIS]</t>
        </is>
      </c>
      <c r="E4137" s="7" t="inlineStr">
        <is>
          <t>West Bengal Public Works &amp; Technology Department</t>
        </is>
      </c>
      <c r="F4137" s="6" t="inlineStr">
        <is>
          <t>25 Oct 2026</t>
        </is>
      </c>
      <c r="G4137" s="5" t="inlineStr">
        <is>
          <t>15 Nov 2026</t>
        </is>
      </c>
      <c r="H4137" s="8" t="inlineStr">
        <is>
          <t>⏳ UPCOMING</t>
        </is>
      </c>
      <c r="I4137" s="4" t="inlineStr">
        <is>
          <t>PRE_BID_FORMAT.xls</t>
        </is>
      </c>
      <c r="J4137" s="6" t="inlineStr">
        <is>
          <t>📊 Excel BOQ</t>
        </is>
      </c>
      <c r="K4137" s="9" t="n">
        <v>2.5</v>
      </c>
      <c r="L4137" s="10">
        <f>HYPERLINK("http://127.0.0.1:8000/api/documents/download?id=1657&amp;attachment=true", "⬇ Download PRE_BID_FORMAT.xls")</f>
        <v/>
      </c>
      <c r="M4137" s="10">
        <f>HYPERLINK("http://localhost:5173/?state=West%20Bengal&amp;keyword=GIS&amp;tender=2026_SETCL_1044247_1", "🚀 Open in Portal")</f>
        <v/>
      </c>
    </row>
    <row r="4138" ht="24" customHeight="1">
      <c r="A4138" s="11" t="inlineStr">
        <is>
          <t>West Bengal</t>
        </is>
      </c>
      <c r="B4138" s="12" t="inlineStr">
        <is>
          <t>GIS</t>
        </is>
      </c>
      <c r="C4138" s="13" t="inlineStr">
        <is>
          <t>2026_SETCL_1044247_1</t>
        </is>
      </c>
      <c r="D4138" s="14" t="inlineStr">
        <is>
          <t>[CONSTRUCTION OF 10 NOS. 33 KV INDOOR GIS FEEDER BAYS AT SILICON VALLEY 132 KV SUBSTATION UNDER SALT-LAKE AREA OFFICE AND ALLIED WORKS ON TURN KEY BASIS]</t>
        </is>
      </c>
      <c r="E4138" s="14" t="inlineStr">
        <is>
          <t>West Bengal Public Works &amp; Technology Department</t>
        </is>
      </c>
      <c r="F4138" s="13" t="inlineStr">
        <is>
          <t>25 Oct 2026</t>
        </is>
      </c>
      <c r="G4138" s="12" t="inlineStr">
        <is>
          <t>15 Nov 2026</t>
        </is>
      </c>
      <c r="H4138" s="8" t="inlineStr">
        <is>
          <t>⏳ UPCOMING</t>
        </is>
      </c>
      <c r="I4138" s="11" t="inlineStr">
        <is>
          <t>Tender_2026_SETCL_1044247_1_All_Documents.zip</t>
        </is>
      </c>
      <c r="J4138" s="13" t="inlineStr">
        <is>
          <t>📦 ZIP Package</t>
        </is>
      </c>
      <c r="K4138" s="15" t="n">
        <v>69.59999999999999</v>
      </c>
      <c r="L4138" s="16">
        <f>HYPERLINK("http://127.0.0.1:8000/api/documents/download?id=1658&amp;attachment=true", "⬇ Download Tender_2026_SETCL_104424")</f>
        <v/>
      </c>
      <c r="M4138" s="16">
        <f>HYPERLINK("http://localhost:5173/?state=West%20Bengal&amp;keyword=GIS&amp;tender=2026_SETCL_1044247_1", "🚀 Open in Portal")</f>
        <v/>
      </c>
    </row>
    <row r="4139" ht="24" customHeight="1">
      <c r="A4139" s="4" t="inlineStr">
        <is>
          <t>West Bengal</t>
        </is>
      </c>
      <c r="B4139" s="5" t="inlineStr">
        <is>
          <t>ICT</t>
        </is>
      </c>
      <c r="C4139" s="6" t="inlineStr">
        <is>
          <t>2026_KMDA_1045931_1</t>
        </is>
      </c>
      <c r="D4139" s="7" t="inlineStr">
        <is>
          <t>[Preparation of GIS based maps (Base Map, Infrastructure Map and Land Use Map, etc.), and Creation of Data Bank and Planning Report after Physical and Socio-economic Survey for the Rural Areas of part of Howrah and Hooghly Districts withinKol(3rd Call]</t>
        </is>
      </c>
      <c r="E4139" s="7" t="inlineStr">
        <is>
          <t>West Bengal Public Works &amp; Technology Department</t>
        </is>
      </c>
      <c r="F4139" s="6" t="inlineStr">
        <is>
          <t>18 Aug 2026</t>
        </is>
      </c>
      <c r="G4139" s="5" t="inlineStr">
        <is>
          <t>15 Sep 2026</t>
        </is>
      </c>
      <c r="H4139" s="8" t="inlineStr">
        <is>
          <t>⏳ UPCOMING</t>
        </is>
      </c>
      <c r="I4139" s="4" t="inlineStr">
        <is>
          <t>Tendernotice_1.pdf</t>
        </is>
      </c>
      <c r="J4139" s="6" t="inlineStr">
        <is>
          <t>📕 PDF Document</t>
        </is>
      </c>
      <c r="K4139" s="9" t="n">
        <v>17.9</v>
      </c>
      <c r="L4139" s="10">
        <f>HYPERLINK("http://127.0.0.1:8000/api/documents/download?id=1674&amp;attachment=true", "⬇ Download Tendernotice_1.pdf")</f>
        <v/>
      </c>
      <c r="M4139" s="10">
        <f>HYPERLINK("http://localhost:5173/?state=West%20Bengal&amp;keyword=ICT&amp;tender=2026_KMDA_1045931_1", "🚀 Open in Portal")</f>
        <v/>
      </c>
    </row>
    <row r="4140" ht="24" customHeight="1">
      <c r="A4140" s="11" t="inlineStr">
        <is>
          <t>West Bengal</t>
        </is>
      </c>
      <c r="B4140" s="12" t="inlineStr">
        <is>
          <t>ICT</t>
        </is>
      </c>
      <c r="C4140" s="13" t="inlineStr">
        <is>
          <t>2026_KMDA_1045931_1</t>
        </is>
      </c>
      <c r="D4140" s="14" t="inlineStr">
        <is>
          <t>[Preparation of GIS based maps (Base Map, Infrastructure Map and Land Use Map, etc.), and Creation of Data Bank and Planning Report after Physical and Socio-economic Survey for the Rural Areas of part of Howrah and Hooghly Districts withinKol(3rd Call]</t>
        </is>
      </c>
      <c r="E4140" s="14" t="inlineStr">
        <is>
          <t>West Bengal Public Works &amp; Technology Department</t>
        </is>
      </c>
      <c r="F4140" s="13" t="inlineStr">
        <is>
          <t>18 Aug 2026</t>
        </is>
      </c>
      <c r="G4140" s="12" t="inlineStr">
        <is>
          <t>15 Sep 2026</t>
        </is>
      </c>
      <c r="H4140" s="8" t="inlineStr">
        <is>
          <t>⏳ UPCOMING</t>
        </is>
      </c>
      <c r="I4140" s="11" t="inlineStr">
        <is>
          <t>BOQ_2563500.xls</t>
        </is>
      </c>
      <c r="J4140" s="13" t="inlineStr">
        <is>
          <t>📊 Excel BOQ</t>
        </is>
      </c>
      <c r="K4140" s="15" t="n">
        <v>2.6</v>
      </c>
      <c r="L4140" s="16">
        <f>HYPERLINK("http://127.0.0.1:8000/api/documents/download?id=1675&amp;attachment=true", "⬇ Download BOQ_2563500.xls")</f>
        <v/>
      </c>
      <c r="M4140" s="16">
        <f>HYPERLINK("http://localhost:5173/?state=West%20Bengal&amp;keyword=ICT&amp;tender=2026_KMDA_1045931_1", "🚀 Open in Portal")</f>
        <v/>
      </c>
    </row>
    <row r="4141" ht="24" customHeight="1">
      <c r="A4141" s="4" t="inlineStr">
        <is>
          <t>West Bengal</t>
        </is>
      </c>
      <c r="B4141" s="5" t="inlineStr">
        <is>
          <t>ICT</t>
        </is>
      </c>
      <c r="C4141" s="6" t="inlineStr">
        <is>
          <t>2026_KMDA_1045931_1</t>
        </is>
      </c>
      <c r="D4141" s="7" t="inlineStr">
        <is>
          <t>[Preparation of GIS based maps (Base Map, Infrastructure Map and Land Use Map, etc.), and Creation of Data Bank and Planning Report after Physical and Socio-economic Survey for the Rural Areas of part of Howrah and Hooghly Districts withinKol(3rd Call]</t>
        </is>
      </c>
      <c r="E4141" s="7" t="inlineStr">
        <is>
          <t>West Bengal Public Works &amp; Technology Department</t>
        </is>
      </c>
      <c r="F4141" s="6" t="inlineStr">
        <is>
          <t>18 Aug 2026</t>
        </is>
      </c>
      <c r="G4141" s="5" t="inlineStr">
        <is>
          <t>15 Sep 2026</t>
        </is>
      </c>
      <c r="H4141" s="8" t="inlineStr">
        <is>
          <t>⏳ UPCOMING</t>
        </is>
      </c>
      <c r="I4141" s="4" t="inlineStr">
        <is>
          <t>Tender_2026_KMDA_1045931_1_All_Documents.zip</t>
        </is>
      </c>
      <c r="J4141" s="6" t="inlineStr">
        <is>
          <t>📦 ZIP Package</t>
        </is>
      </c>
      <c r="K4141" s="9" t="n">
        <v>11.6</v>
      </c>
      <c r="L4141" s="10">
        <f>HYPERLINK("http://127.0.0.1:8000/api/documents/download?id=1676&amp;attachment=true", "⬇ Download Tender_2026_KMDA_1045931")</f>
        <v/>
      </c>
      <c r="M4141" s="10">
        <f>HYPERLINK("http://localhost:5173/?state=West%20Bengal&amp;keyword=ICT&amp;tender=2026_KMDA_1045931_1", "🚀 Open in Portal")</f>
        <v/>
      </c>
    </row>
    <row r="4142" ht="24" customHeight="1">
      <c r="A4142" s="11" t="inlineStr">
        <is>
          <t>West Bengal</t>
        </is>
      </c>
      <c r="B4142" s="12" t="inlineStr">
        <is>
          <t>ICT</t>
        </is>
      </c>
      <c r="C4142" s="13" t="inlineStr">
        <is>
          <t>2026_MAD_1045132_1</t>
        </is>
      </c>
      <c r="D4142" s="14" t="inlineStr">
        <is>
          <t>[Repair and Renovation of Girls toilet at Hindi Prathamik Vidyalaya at ward No - 22 under Jurisdiction of Kanchrapara Municipality]</t>
        </is>
      </c>
      <c r="E4142" s="14" t="inlineStr">
        <is>
          <t>West Bengal Public Works &amp; Technology Department</t>
        </is>
      </c>
      <c r="F4142" s="13" t="inlineStr">
        <is>
          <t>04 Oct 2026</t>
        </is>
      </c>
      <c r="G4142" s="12" t="inlineStr">
        <is>
          <t>30 Oct 2026</t>
        </is>
      </c>
      <c r="H4142" s="17" t="inlineStr">
        <is>
          <t>🟢 LIVE ACTIVE</t>
        </is>
      </c>
      <c r="I4142" s="11" t="inlineStr">
        <is>
          <t>Tendernotice_1.pdf</t>
        </is>
      </c>
      <c r="J4142" s="13" t="inlineStr">
        <is>
          <t>📕 PDF Document</t>
        </is>
      </c>
      <c r="K4142" s="15" t="n">
        <v>17.9</v>
      </c>
      <c r="L4142" s="16">
        <f>HYPERLINK("http://127.0.0.1:8000/api/documents/download?id=1723&amp;attachment=true", "⬇ Download Tendernotice_1.pdf")</f>
        <v/>
      </c>
      <c r="M4142" s="16">
        <f>HYPERLINK("http://localhost:5173/?state=West%20Bengal&amp;keyword=ICT&amp;tender=2026_MAD_1045132_1", "🚀 Open in Portal")</f>
        <v/>
      </c>
    </row>
    <row r="4143" ht="24" customHeight="1">
      <c r="A4143" s="4" t="inlineStr">
        <is>
          <t>West Bengal</t>
        </is>
      </c>
      <c r="B4143" s="5" t="inlineStr">
        <is>
          <t>ICT</t>
        </is>
      </c>
      <c r="C4143" s="6" t="inlineStr">
        <is>
          <t>2026_MAD_1045132_1</t>
        </is>
      </c>
      <c r="D4143" s="7" t="inlineStr">
        <is>
          <t>[Repair and Renovation of Girls toilet at Hindi Prathamik Vidyalaya at ward No - 22 under Jurisdiction of Kanchrapara Municipality]</t>
        </is>
      </c>
      <c r="E4143" s="7" t="inlineStr">
        <is>
          <t>West Bengal Public Works &amp; Technology Department</t>
        </is>
      </c>
      <c r="F4143" s="6" t="inlineStr">
        <is>
          <t>04 Oct 2026</t>
        </is>
      </c>
      <c r="G4143" s="5" t="inlineStr">
        <is>
          <t>30 Oct 2026</t>
        </is>
      </c>
      <c r="H4143" s="17" t="inlineStr">
        <is>
          <t>🟢 LIVE ACTIVE</t>
        </is>
      </c>
      <c r="I4143" s="4" t="inlineStr">
        <is>
          <t>BOQ_2562483.xls</t>
        </is>
      </c>
      <c r="J4143" s="6" t="inlineStr">
        <is>
          <t>📊 Excel BOQ</t>
        </is>
      </c>
      <c r="K4143" s="9" t="n">
        <v>2.5</v>
      </c>
      <c r="L4143" s="10">
        <f>HYPERLINK("http://127.0.0.1:8000/api/documents/download?id=1724&amp;attachment=true", "⬇ Download BOQ_2562483.xls")</f>
        <v/>
      </c>
      <c r="M4143" s="10">
        <f>HYPERLINK("http://localhost:5173/?state=West%20Bengal&amp;keyword=ICT&amp;tender=2026_MAD_1045132_1", "🚀 Open in Portal")</f>
        <v/>
      </c>
    </row>
    <row r="4144" ht="24" customHeight="1">
      <c r="A4144" s="11" t="inlineStr">
        <is>
          <t>West Bengal</t>
        </is>
      </c>
      <c r="B4144" s="12" t="inlineStr">
        <is>
          <t>ICT</t>
        </is>
      </c>
      <c r="C4144" s="13" t="inlineStr">
        <is>
          <t>2026_MAD_1045132_1</t>
        </is>
      </c>
      <c r="D4144" s="14" t="inlineStr">
        <is>
          <t>[Repair and Renovation of Girls toilet at Hindi Prathamik Vidyalaya at ward No - 22 under Jurisdiction of Kanchrapara Municipality]</t>
        </is>
      </c>
      <c r="E4144" s="14" t="inlineStr">
        <is>
          <t>West Bengal Public Works &amp; Technology Department</t>
        </is>
      </c>
      <c r="F4144" s="13" t="inlineStr">
        <is>
          <t>04 Oct 2026</t>
        </is>
      </c>
      <c r="G4144" s="12" t="inlineStr">
        <is>
          <t>30 Oct 2026</t>
        </is>
      </c>
      <c r="H4144" s="17" t="inlineStr">
        <is>
          <t>🟢 LIVE ACTIVE</t>
        </is>
      </c>
      <c r="I4144" s="11" t="inlineStr">
        <is>
          <t>SOQ1.pdf</t>
        </is>
      </c>
      <c r="J4144" s="13" t="inlineStr">
        <is>
          <t>📕 PDF Document</t>
        </is>
      </c>
      <c r="K4144" s="15" t="n">
        <v>17.8</v>
      </c>
      <c r="L4144" s="16">
        <f>HYPERLINK("http://127.0.0.1:8000/api/documents/download?id=1725&amp;attachment=true", "⬇ Download SOQ1.pdf")</f>
        <v/>
      </c>
      <c r="M4144" s="16">
        <f>HYPERLINK("http://localhost:5173/?state=West%20Bengal&amp;keyword=ICT&amp;tender=2026_MAD_1045132_1", "🚀 Open in Portal")</f>
        <v/>
      </c>
    </row>
    <row r="4145" ht="24" customHeight="1">
      <c r="A4145" s="4" t="inlineStr">
        <is>
          <t>West Bengal</t>
        </is>
      </c>
      <c r="B4145" s="5" t="inlineStr">
        <is>
          <t>ICT</t>
        </is>
      </c>
      <c r="C4145" s="6" t="inlineStr">
        <is>
          <t>2026_MAD_1045132_1</t>
        </is>
      </c>
      <c r="D4145" s="7" t="inlineStr">
        <is>
          <t>[Repair and Renovation of Girls toilet at Hindi Prathamik Vidyalaya at ward No - 22 under Jurisdiction of Kanchrapara Municipality]</t>
        </is>
      </c>
      <c r="E4145" s="7" t="inlineStr">
        <is>
          <t>West Bengal Public Works &amp; Technology Department</t>
        </is>
      </c>
      <c r="F4145" s="6" t="inlineStr">
        <is>
          <t>04 Oct 2026</t>
        </is>
      </c>
      <c r="G4145" s="5" t="inlineStr">
        <is>
          <t>30 Oct 2026</t>
        </is>
      </c>
      <c r="H4145" s="17" t="inlineStr">
        <is>
          <t>🟢 LIVE ACTIVE</t>
        </is>
      </c>
      <c r="I4145" s="4" t="inlineStr">
        <is>
          <t>Tender_2026_MAD_1045132_1_All_Documents.zip</t>
        </is>
      </c>
      <c r="J4145" s="6" t="inlineStr">
        <is>
          <t>📦 ZIP Package</t>
        </is>
      </c>
      <c r="K4145" s="9" t="n">
        <v>20.8</v>
      </c>
      <c r="L4145" s="10">
        <f>HYPERLINK("http://127.0.0.1:8000/api/documents/download?id=1726&amp;attachment=true", "⬇ Download Tender_2026_MAD_1045132_")</f>
        <v/>
      </c>
      <c r="M4145" s="10">
        <f>HYPERLINK("http://localhost:5173/?state=West%20Bengal&amp;keyword=ICT&amp;tender=2026_MAD_1045132_1", "🚀 Open in Portal")</f>
        <v/>
      </c>
    </row>
    <row r="4146" ht="24" customHeight="1">
      <c r="A4146" s="11" t="inlineStr">
        <is>
          <t>West Bengal</t>
        </is>
      </c>
      <c r="B4146" s="12" t="inlineStr">
        <is>
          <t>ICT</t>
        </is>
      </c>
      <c r="C4146" s="13" t="inlineStr">
        <is>
          <t>2026_MAD_1045132_2</t>
        </is>
      </c>
      <c r="D4146" s="14" t="inlineStr">
        <is>
          <t>[Repair and Renovation of Girls toilet at Viswakarma Primary School at ward No - 18 under Jurisdiction of Kanchrapara Municipality]</t>
        </is>
      </c>
      <c r="E4146" s="14" t="inlineStr">
        <is>
          <t>West Bengal Public Works &amp; Technology Department</t>
        </is>
      </c>
      <c r="F4146" s="13" t="inlineStr">
        <is>
          <t>19 Oct 2026</t>
        </is>
      </c>
      <c r="G4146" s="12" t="inlineStr">
        <is>
          <t>09 Nov 2026</t>
        </is>
      </c>
      <c r="H4146" s="8" t="inlineStr">
        <is>
          <t>⏳ UPCOMING</t>
        </is>
      </c>
      <c r="I4146" s="11" t="inlineStr">
        <is>
          <t>Tendernotice_1.pdf</t>
        </is>
      </c>
      <c r="J4146" s="13" t="inlineStr">
        <is>
          <t>📕 PDF Document</t>
        </is>
      </c>
      <c r="K4146" s="15" t="n">
        <v>17.9</v>
      </c>
      <c r="L4146" s="16">
        <f>HYPERLINK("http://127.0.0.1:8000/api/documents/download?id=1711&amp;attachment=true", "⬇ Download Tendernotice_1.pdf")</f>
        <v/>
      </c>
      <c r="M4146" s="16">
        <f>HYPERLINK("http://localhost:5173/?state=West%20Bengal&amp;keyword=ICT&amp;tender=2026_MAD_1045132_2", "🚀 Open in Portal")</f>
        <v/>
      </c>
    </row>
    <row r="4147" ht="24" customHeight="1">
      <c r="A4147" s="4" t="inlineStr">
        <is>
          <t>West Bengal</t>
        </is>
      </c>
      <c r="B4147" s="5" t="inlineStr">
        <is>
          <t>ICT</t>
        </is>
      </c>
      <c r="C4147" s="6" t="inlineStr">
        <is>
          <t>2026_MAD_1045132_2</t>
        </is>
      </c>
      <c r="D4147" s="7" t="inlineStr">
        <is>
          <t>[Repair and Renovation of Girls toilet at Viswakarma Primary School at ward No - 18 under Jurisdiction of Kanchrapara Municipality]</t>
        </is>
      </c>
      <c r="E4147" s="7" t="inlineStr">
        <is>
          <t>West Bengal Public Works &amp; Technology Department</t>
        </is>
      </c>
      <c r="F4147" s="6" t="inlineStr">
        <is>
          <t>19 Oct 2026</t>
        </is>
      </c>
      <c r="G4147" s="5" t="inlineStr">
        <is>
          <t>09 Nov 2026</t>
        </is>
      </c>
      <c r="H4147" s="8" t="inlineStr">
        <is>
          <t>⏳ UPCOMING</t>
        </is>
      </c>
      <c r="I4147" s="4" t="inlineStr">
        <is>
          <t>BOQ_2562496.xls</t>
        </is>
      </c>
      <c r="J4147" s="6" t="inlineStr">
        <is>
          <t>📊 Excel BOQ</t>
        </is>
      </c>
      <c r="K4147" s="9" t="n">
        <v>2.5</v>
      </c>
      <c r="L4147" s="10">
        <f>HYPERLINK("http://127.0.0.1:8000/api/documents/download?id=1712&amp;attachment=true", "⬇ Download BOQ_2562496.xls")</f>
        <v/>
      </c>
      <c r="M4147" s="10">
        <f>HYPERLINK("http://localhost:5173/?state=West%20Bengal&amp;keyword=ICT&amp;tender=2026_MAD_1045132_2", "🚀 Open in Portal")</f>
        <v/>
      </c>
    </row>
    <row r="4148" ht="24" customHeight="1">
      <c r="A4148" s="11" t="inlineStr">
        <is>
          <t>West Bengal</t>
        </is>
      </c>
      <c r="B4148" s="12" t="inlineStr">
        <is>
          <t>ICT</t>
        </is>
      </c>
      <c r="C4148" s="13" t="inlineStr">
        <is>
          <t>2026_MAD_1045132_2</t>
        </is>
      </c>
      <c r="D4148" s="14" t="inlineStr">
        <is>
          <t>[Repair and Renovation of Girls toilet at Viswakarma Primary School at ward No - 18 under Jurisdiction of Kanchrapara Municipality]</t>
        </is>
      </c>
      <c r="E4148" s="14" t="inlineStr">
        <is>
          <t>West Bengal Public Works &amp; Technology Department</t>
        </is>
      </c>
      <c r="F4148" s="13" t="inlineStr">
        <is>
          <t>19 Oct 2026</t>
        </is>
      </c>
      <c r="G4148" s="12" t="inlineStr">
        <is>
          <t>09 Nov 2026</t>
        </is>
      </c>
      <c r="H4148" s="8" t="inlineStr">
        <is>
          <t>⏳ UPCOMING</t>
        </is>
      </c>
      <c r="I4148" s="11" t="inlineStr">
        <is>
          <t>SOQ2.pdf</t>
        </is>
      </c>
      <c r="J4148" s="13" t="inlineStr">
        <is>
          <t>📕 PDF Document</t>
        </is>
      </c>
      <c r="K4148" s="15" t="n">
        <v>17.8</v>
      </c>
      <c r="L4148" s="16">
        <f>HYPERLINK("http://127.0.0.1:8000/api/documents/download?id=1713&amp;attachment=true", "⬇ Download SOQ2.pdf")</f>
        <v/>
      </c>
      <c r="M4148" s="16">
        <f>HYPERLINK("http://localhost:5173/?state=West%20Bengal&amp;keyword=ICT&amp;tender=2026_MAD_1045132_2", "🚀 Open in Portal")</f>
        <v/>
      </c>
    </row>
    <row r="4149" ht="24" customHeight="1">
      <c r="A4149" s="4" t="inlineStr">
        <is>
          <t>West Bengal</t>
        </is>
      </c>
      <c r="B4149" s="5" t="inlineStr">
        <is>
          <t>ICT</t>
        </is>
      </c>
      <c r="C4149" s="6" t="inlineStr">
        <is>
          <t>2026_MAD_1045132_2</t>
        </is>
      </c>
      <c r="D4149" s="7" t="inlineStr">
        <is>
          <t>[Repair and Renovation of Girls toilet at Viswakarma Primary School at ward No - 18 under Jurisdiction of Kanchrapara Municipality]</t>
        </is>
      </c>
      <c r="E4149" s="7" t="inlineStr">
        <is>
          <t>West Bengal Public Works &amp; Technology Department</t>
        </is>
      </c>
      <c r="F4149" s="6" t="inlineStr">
        <is>
          <t>19 Oct 2026</t>
        </is>
      </c>
      <c r="G4149" s="5" t="inlineStr">
        <is>
          <t>09 Nov 2026</t>
        </is>
      </c>
      <c r="H4149" s="8" t="inlineStr">
        <is>
          <t>⏳ UPCOMING</t>
        </is>
      </c>
      <c r="I4149" s="4" t="inlineStr">
        <is>
          <t>Tender_2026_MAD_1045132_2_All_Documents.zip</t>
        </is>
      </c>
      <c r="J4149" s="6" t="inlineStr">
        <is>
          <t>📦 ZIP Package</t>
        </is>
      </c>
      <c r="K4149" s="9" t="n">
        <v>20.7</v>
      </c>
      <c r="L4149" s="10">
        <f>HYPERLINK("http://127.0.0.1:8000/api/documents/download?id=1714&amp;attachment=true", "⬇ Download Tender_2026_MAD_1045132_")</f>
        <v/>
      </c>
      <c r="M4149" s="10">
        <f>HYPERLINK("http://localhost:5173/?state=West%20Bengal&amp;keyword=ICT&amp;tender=2026_MAD_1045132_2", "🚀 Open in Portal")</f>
        <v/>
      </c>
    </row>
    <row r="4150" ht="24" customHeight="1">
      <c r="A4150" s="11" t="inlineStr">
        <is>
          <t>West Bengal</t>
        </is>
      </c>
      <c r="B4150" s="12" t="inlineStr">
        <is>
          <t>ICT</t>
        </is>
      </c>
      <c r="C4150" s="13" t="inlineStr">
        <is>
          <t>2026_MAD_1045132_3</t>
        </is>
      </c>
      <c r="D4150" s="14" t="inlineStr">
        <is>
          <t>[Repair and Renovation of Girls toilet at Masterda U.P. School at ward No - 22 under Jurisdiction of Kanchrapara Municipality]</t>
        </is>
      </c>
      <c r="E4150" s="14" t="inlineStr">
        <is>
          <t>West Bengal Public Works &amp; Technology Department</t>
        </is>
      </c>
      <c r="F4150" s="13" t="inlineStr">
        <is>
          <t>23 Aug 2026</t>
        </is>
      </c>
      <c r="G4150" s="12" t="inlineStr">
        <is>
          <t>22 Sep 2026</t>
        </is>
      </c>
      <c r="H4150" s="8" t="inlineStr">
        <is>
          <t>⏳ UPCOMING</t>
        </is>
      </c>
      <c r="I4150" s="11" t="inlineStr">
        <is>
          <t>Tendernotice_1.pdf</t>
        </is>
      </c>
      <c r="J4150" s="13" t="inlineStr">
        <is>
          <t>📕 PDF Document</t>
        </is>
      </c>
      <c r="K4150" s="15" t="n">
        <v>17.9</v>
      </c>
      <c r="L4150" s="16">
        <f>HYPERLINK("http://127.0.0.1:8000/api/documents/download?id=1707&amp;attachment=true", "⬇ Download Tendernotice_1.pdf")</f>
        <v/>
      </c>
      <c r="M4150" s="16">
        <f>HYPERLINK("http://localhost:5173/?state=West%20Bengal&amp;keyword=ICT&amp;tender=2026_MAD_1045132_3", "🚀 Open in Portal")</f>
        <v/>
      </c>
    </row>
    <row r="4151" ht="24" customHeight="1">
      <c r="A4151" s="4" t="inlineStr">
        <is>
          <t>West Bengal</t>
        </is>
      </c>
      <c r="B4151" s="5" t="inlineStr">
        <is>
          <t>ICT</t>
        </is>
      </c>
      <c r="C4151" s="6" t="inlineStr">
        <is>
          <t>2026_MAD_1045132_3</t>
        </is>
      </c>
      <c r="D4151" s="7" t="inlineStr">
        <is>
          <t>[Repair and Renovation of Girls toilet at Masterda U.P. School at ward No - 22 under Jurisdiction of Kanchrapara Municipality]</t>
        </is>
      </c>
      <c r="E4151" s="7" t="inlineStr">
        <is>
          <t>West Bengal Public Works &amp; Technology Department</t>
        </is>
      </c>
      <c r="F4151" s="6" t="inlineStr">
        <is>
          <t>23 Aug 2026</t>
        </is>
      </c>
      <c r="G4151" s="5" t="inlineStr">
        <is>
          <t>22 Sep 2026</t>
        </is>
      </c>
      <c r="H4151" s="8" t="inlineStr">
        <is>
          <t>⏳ UPCOMING</t>
        </is>
      </c>
      <c r="I4151" s="4" t="inlineStr">
        <is>
          <t>BOQ_2562500.xls</t>
        </is>
      </c>
      <c r="J4151" s="6" t="inlineStr">
        <is>
          <t>📊 Excel BOQ</t>
        </is>
      </c>
      <c r="K4151" s="9" t="n">
        <v>2.5</v>
      </c>
      <c r="L4151" s="10">
        <f>HYPERLINK("http://127.0.0.1:8000/api/documents/download?id=1708&amp;attachment=true", "⬇ Download BOQ_2562500.xls")</f>
        <v/>
      </c>
      <c r="M4151" s="10">
        <f>HYPERLINK("http://localhost:5173/?state=West%20Bengal&amp;keyword=ICT&amp;tender=2026_MAD_1045132_3", "🚀 Open in Portal")</f>
        <v/>
      </c>
    </row>
    <row r="4152" ht="24" customHeight="1">
      <c r="A4152" s="11" t="inlineStr">
        <is>
          <t>West Bengal</t>
        </is>
      </c>
      <c r="B4152" s="12" t="inlineStr">
        <is>
          <t>ICT</t>
        </is>
      </c>
      <c r="C4152" s="13" t="inlineStr">
        <is>
          <t>2026_MAD_1045132_3</t>
        </is>
      </c>
      <c r="D4152" s="14" t="inlineStr">
        <is>
          <t>[Repair and Renovation of Girls toilet at Masterda U.P. School at ward No - 22 under Jurisdiction of Kanchrapara Municipality]</t>
        </is>
      </c>
      <c r="E4152" s="14" t="inlineStr">
        <is>
          <t>West Bengal Public Works &amp; Technology Department</t>
        </is>
      </c>
      <c r="F4152" s="13" t="inlineStr">
        <is>
          <t>23 Aug 2026</t>
        </is>
      </c>
      <c r="G4152" s="12" t="inlineStr">
        <is>
          <t>22 Sep 2026</t>
        </is>
      </c>
      <c r="H4152" s="8" t="inlineStr">
        <is>
          <t>⏳ UPCOMING</t>
        </is>
      </c>
      <c r="I4152" s="11" t="inlineStr">
        <is>
          <t>SOQ3.pdf</t>
        </is>
      </c>
      <c r="J4152" s="13" t="inlineStr">
        <is>
          <t>📕 PDF Document</t>
        </is>
      </c>
      <c r="K4152" s="15" t="n">
        <v>17.8</v>
      </c>
      <c r="L4152" s="16">
        <f>HYPERLINK("http://127.0.0.1:8000/api/documents/download?id=1709&amp;attachment=true", "⬇ Download SOQ3.pdf")</f>
        <v/>
      </c>
      <c r="M4152" s="16">
        <f>HYPERLINK("http://localhost:5173/?state=West%20Bengal&amp;keyword=ICT&amp;tender=2026_MAD_1045132_3", "🚀 Open in Portal")</f>
        <v/>
      </c>
    </row>
    <row r="4153" ht="24" customHeight="1">
      <c r="A4153" s="4" t="inlineStr">
        <is>
          <t>West Bengal</t>
        </is>
      </c>
      <c r="B4153" s="5" t="inlineStr">
        <is>
          <t>ICT</t>
        </is>
      </c>
      <c r="C4153" s="6" t="inlineStr">
        <is>
          <t>2026_MAD_1045132_3</t>
        </is>
      </c>
      <c r="D4153" s="7" t="inlineStr">
        <is>
          <t>[Repair and Renovation of Girls toilet at Masterda U.P. School at ward No - 22 under Jurisdiction of Kanchrapara Municipality]</t>
        </is>
      </c>
      <c r="E4153" s="7" t="inlineStr">
        <is>
          <t>West Bengal Public Works &amp; Technology Department</t>
        </is>
      </c>
      <c r="F4153" s="6" t="inlineStr">
        <is>
          <t>23 Aug 2026</t>
        </is>
      </c>
      <c r="G4153" s="5" t="inlineStr">
        <is>
          <t>22 Sep 2026</t>
        </is>
      </c>
      <c r="H4153" s="8" t="inlineStr">
        <is>
          <t>⏳ UPCOMING</t>
        </is>
      </c>
      <c r="I4153" s="4" t="inlineStr">
        <is>
          <t>Tender_2026_MAD_1045132_3_All_Documents.zip</t>
        </is>
      </c>
      <c r="J4153" s="6" t="inlineStr">
        <is>
          <t>📦 ZIP Package</t>
        </is>
      </c>
      <c r="K4153" s="9" t="n">
        <v>20.7</v>
      </c>
      <c r="L4153" s="10">
        <f>HYPERLINK("http://127.0.0.1:8000/api/documents/download?id=1710&amp;attachment=true", "⬇ Download Tender_2026_MAD_1045132_")</f>
        <v/>
      </c>
      <c r="M4153" s="10">
        <f>HYPERLINK("http://localhost:5173/?state=West%20Bengal&amp;keyword=ICT&amp;tender=2026_MAD_1045132_3", "🚀 Open in Portal")</f>
        <v/>
      </c>
    </row>
    <row r="4154" ht="24" customHeight="1">
      <c r="A4154" s="11" t="inlineStr">
        <is>
          <t>West Bengal</t>
        </is>
      </c>
      <c r="B4154" s="12" t="inlineStr">
        <is>
          <t>ICT</t>
        </is>
      </c>
      <c r="C4154" s="13" t="inlineStr">
        <is>
          <t>2026_MAD_1045132_4</t>
        </is>
      </c>
      <c r="D4154" s="14" t="inlineStr">
        <is>
          <t>[Repair and Renovation of Girls toilet at Netaji Hindi Primary School at ward No - 24 under Jurisdiction of Kanchrapara Municipality]</t>
        </is>
      </c>
      <c r="E4154" s="14" t="inlineStr">
        <is>
          <t>West Bengal Public Works &amp; Technology Department</t>
        </is>
      </c>
      <c r="F4154" s="13" t="inlineStr">
        <is>
          <t>06 Sep 2026</t>
        </is>
      </c>
      <c r="G4154" s="12" t="inlineStr">
        <is>
          <t>01 Oct 2026</t>
        </is>
      </c>
      <c r="H4154" s="8" t="inlineStr">
        <is>
          <t>⏳ UPCOMING</t>
        </is>
      </c>
      <c r="I4154" s="11" t="inlineStr">
        <is>
          <t>Tendernotice_1.pdf</t>
        </is>
      </c>
      <c r="J4154" s="13" t="inlineStr">
        <is>
          <t>📕 PDF Document</t>
        </is>
      </c>
      <c r="K4154" s="15" t="n">
        <v>17.9</v>
      </c>
      <c r="L4154" s="16">
        <f>HYPERLINK("http://127.0.0.1:8000/api/documents/download?id=1715&amp;attachment=true", "⬇ Download Tendernotice_1.pdf")</f>
        <v/>
      </c>
      <c r="M4154" s="16">
        <f>HYPERLINK("http://localhost:5173/?state=West%20Bengal&amp;keyword=ICT&amp;tender=2026_MAD_1045132_4", "🚀 Open in Portal")</f>
        <v/>
      </c>
    </row>
    <row r="4155" ht="24" customHeight="1">
      <c r="A4155" s="4" t="inlineStr">
        <is>
          <t>West Bengal</t>
        </is>
      </c>
      <c r="B4155" s="5" t="inlineStr">
        <is>
          <t>ICT</t>
        </is>
      </c>
      <c r="C4155" s="6" t="inlineStr">
        <is>
          <t>2026_MAD_1045132_4</t>
        </is>
      </c>
      <c r="D4155" s="7" t="inlineStr">
        <is>
          <t>[Repair and Renovation of Girls toilet at Netaji Hindi Primary School at ward No - 24 under Jurisdiction of Kanchrapara Municipality]</t>
        </is>
      </c>
      <c r="E4155" s="7" t="inlineStr">
        <is>
          <t>West Bengal Public Works &amp; Technology Department</t>
        </is>
      </c>
      <c r="F4155" s="6" t="inlineStr">
        <is>
          <t>06 Sep 2026</t>
        </is>
      </c>
      <c r="G4155" s="5" t="inlineStr">
        <is>
          <t>01 Oct 2026</t>
        </is>
      </c>
      <c r="H4155" s="8" t="inlineStr">
        <is>
          <t>⏳ UPCOMING</t>
        </is>
      </c>
      <c r="I4155" s="4" t="inlineStr">
        <is>
          <t>BOQ_2562508.xls</t>
        </is>
      </c>
      <c r="J4155" s="6" t="inlineStr">
        <is>
          <t>📊 Excel BOQ</t>
        </is>
      </c>
      <c r="K4155" s="9" t="n">
        <v>2.5</v>
      </c>
      <c r="L4155" s="10">
        <f>HYPERLINK("http://127.0.0.1:8000/api/documents/download?id=1716&amp;attachment=true", "⬇ Download BOQ_2562508.xls")</f>
        <v/>
      </c>
      <c r="M4155" s="10">
        <f>HYPERLINK("http://localhost:5173/?state=West%20Bengal&amp;keyword=ICT&amp;tender=2026_MAD_1045132_4", "🚀 Open in Portal")</f>
        <v/>
      </c>
    </row>
    <row r="4156" ht="24" customHeight="1">
      <c r="A4156" s="11" t="inlineStr">
        <is>
          <t>West Bengal</t>
        </is>
      </c>
      <c r="B4156" s="12" t="inlineStr">
        <is>
          <t>ICT</t>
        </is>
      </c>
      <c r="C4156" s="13" t="inlineStr">
        <is>
          <t>2026_MAD_1045132_4</t>
        </is>
      </c>
      <c r="D4156" s="14" t="inlineStr">
        <is>
          <t>[Repair and Renovation of Girls toilet at Netaji Hindi Primary School at ward No - 24 under Jurisdiction of Kanchrapara Municipality]</t>
        </is>
      </c>
      <c r="E4156" s="14" t="inlineStr">
        <is>
          <t>West Bengal Public Works &amp; Technology Department</t>
        </is>
      </c>
      <c r="F4156" s="13" t="inlineStr">
        <is>
          <t>06 Sep 2026</t>
        </is>
      </c>
      <c r="G4156" s="12" t="inlineStr">
        <is>
          <t>01 Oct 2026</t>
        </is>
      </c>
      <c r="H4156" s="8" t="inlineStr">
        <is>
          <t>⏳ UPCOMING</t>
        </is>
      </c>
      <c r="I4156" s="11" t="inlineStr">
        <is>
          <t>SOQ4.pdf</t>
        </is>
      </c>
      <c r="J4156" s="13" t="inlineStr">
        <is>
          <t>📕 PDF Document</t>
        </is>
      </c>
      <c r="K4156" s="15" t="n">
        <v>17.8</v>
      </c>
      <c r="L4156" s="16">
        <f>HYPERLINK("http://127.0.0.1:8000/api/documents/download?id=1717&amp;attachment=true", "⬇ Download SOQ4.pdf")</f>
        <v/>
      </c>
      <c r="M4156" s="16">
        <f>HYPERLINK("http://localhost:5173/?state=West%20Bengal&amp;keyword=ICT&amp;tender=2026_MAD_1045132_4", "🚀 Open in Portal")</f>
        <v/>
      </c>
    </row>
    <row r="4157" ht="24" customHeight="1">
      <c r="A4157" s="4" t="inlineStr">
        <is>
          <t>West Bengal</t>
        </is>
      </c>
      <c r="B4157" s="5" t="inlineStr">
        <is>
          <t>ICT</t>
        </is>
      </c>
      <c r="C4157" s="6" t="inlineStr">
        <is>
          <t>2026_MAD_1045132_4</t>
        </is>
      </c>
      <c r="D4157" s="7" t="inlineStr">
        <is>
          <t>[Repair and Renovation of Girls toilet at Netaji Hindi Primary School at ward No - 24 under Jurisdiction of Kanchrapara Municipality]</t>
        </is>
      </c>
      <c r="E4157" s="7" t="inlineStr">
        <is>
          <t>West Bengal Public Works &amp; Technology Department</t>
        </is>
      </c>
      <c r="F4157" s="6" t="inlineStr">
        <is>
          <t>06 Sep 2026</t>
        </is>
      </c>
      <c r="G4157" s="5" t="inlineStr">
        <is>
          <t>01 Oct 2026</t>
        </is>
      </c>
      <c r="H4157" s="8" t="inlineStr">
        <is>
          <t>⏳ UPCOMING</t>
        </is>
      </c>
      <c r="I4157" s="4" t="inlineStr">
        <is>
          <t>Tender_2026_MAD_1045132_4_All_Documents.zip</t>
        </is>
      </c>
      <c r="J4157" s="6" t="inlineStr">
        <is>
          <t>📦 ZIP Package</t>
        </is>
      </c>
      <c r="K4157" s="9" t="n">
        <v>20.8</v>
      </c>
      <c r="L4157" s="10">
        <f>HYPERLINK("http://127.0.0.1:8000/api/documents/download?id=1718&amp;attachment=true", "⬇ Download Tender_2026_MAD_1045132_")</f>
        <v/>
      </c>
      <c r="M4157" s="10">
        <f>HYPERLINK("http://localhost:5173/?state=West%20Bengal&amp;keyword=ICT&amp;tender=2026_MAD_1045132_4", "🚀 Open in Portal")</f>
        <v/>
      </c>
    </row>
    <row r="4158" ht="24" customHeight="1">
      <c r="A4158" s="11" t="inlineStr">
        <is>
          <t>West Bengal</t>
        </is>
      </c>
      <c r="B4158" s="12" t="inlineStr">
        <is>
          <t>ICT</t>
        </is>
      </c>
      <c r="C4158" s="13" t="inlineStr">
        <is>
          <t>2026_MAD_1045132_5</t>
        </is>
      </c>
      <c r="D4158" s="14" t="inlineStr">
        <is>
          <t>[Repair and Renovation of Girls Toilet at Deshbandhu Prathamik Vidyalaya at ward No - 23 under Jurisdiction of Kanchrapara Municipality]</t>
        </is>
      </c>
      <c r="E4158" s="14" t="inlineStr">
        <is>
          <t>West Bengal Public Works &amp; Technology Department</t>
        </is>
      </c>
      <c r="F4158" s="13" t="inlineStr">
        <is>
          <t>17 Oct 2026</t>
        </is>
      </c>
      <c r="G4158" s="12" t="inlineStr">
        <is>
          <t>11 Nov 2026</t>
        </is>
      </c>
      <c r="H4158" s="17" t="inlineStr">
        <is>
          <t>🟢 LIVE ACTIVE</t>
        </is>
      </c>
      <c r="I4158" s="11" t="inlineStr">
        <is>
          <t>Tendernotice_1.pdf</t>
        </is>
      </c>
      <c r="J4158" s="13" t="inlineStr">
        <is>
          <t>📕 PDF Document</t>
        </is>
      </c>
      <c r="K4158" s="15" t="n">
        <v>17.9</v>
      </c>
      <c r="L4158" s="16">
        <f>HYPERLINK("http://127.0.0.1:8000/api/documents/download?id=1727&amp;attachment=true", "⬇ Download Tendernotice_1.pdf")</f>
        <v/>
      </c>
      <c r="M4158" s="16">
        <f>HYPERLINK("http://localhost:5173/?state=West%20Bengal&amp;keyword=ICT&amp;tender=2026_MAD_1045132_5", "🚀 Open in Portal")</f>
        <v/>
      </c>
    </row>
    <row r="4159" ht="24" customHeight="1">
      <c r="A4159" s="4" t="inlineStr">
        <is>
          <t>West Bengal</t>
        </is>
      </c>
      <c r="B4159" s="5" t="inlineStr">
        <is>
          <t>ICT</t>
        </is>
      </c>
      <c r="C4159" s="6" t="inlineStr">
        <is>
          <t>2026_MAD_1045132_5</t>
        </is>
      </c>
      <c r="D4159" s="7" t="inlineStr">
        <is>
          <t>[Repair and Renovation of Girls Toilet at Deshbandhu Prathamik Vidyalaya at ward No - 23 under Jurisdiction of Kanchrapara Municipality]</t>
        </is>
      </c>
      <c r="E4159" s="7" t="inlineStr">
        <is>
          <t>West Bengal Public Works &amp; Technology Department</t>
        </is>
      </c>
      <c r="F4159" s="6" t="inlineStr">
        <is>
          <t>17 Oct 2026</t>
        </is>
      </c>
      <c r="G4159" s="5" t="inlineStr">
        <is>
          <t>11 Nov 2026</t>
        </is>
      </c>
      <c r="H4159" s="17" t="inlineStr">
        <is>
          <t>🟢 LIVE ACTIVE</t>
        </is>
      </c>
      <c r="I4159" s="4" t="inlineStr">
        <is>
          <t>SOQ5.pdf</t>
        </is>
      </c>
      <c r="J4159" s="6" t="inlineStr">
        <is>
          <t>📕 PDF Document</t>
        </is>
      </c>
      <c r="K4159" s="9" t="n">
        <v>17.8</v>
      </c>
      <c r="L4159" s="10">
        <f>HYPERLINK("http://127.0.0.1:8000/api/documents/download?id=1728&amp;attachment=true", "⬇ Download SOQ5.pdf")</f>
        <v/>
      </c>
      <c r="M4159" s="10">
        <f>HYPERLINK("http://localhost:5173/?state=West%20Bengal&amp;keyword=ICT&amp;tender=2026_MAD_1045132_5", "🚀 Open in Portal")</f>
        <v/>
      </c>
    </row>
    <row r="4160" ht="24" customHeight="1">
      <c r="A4160" s="11" t="inlineStr">
        <is>
          <t>West Bengal</t>
        </is>
      </c>
      <c r="B4160" s="12" t="inlineStr">
        <is>
          <t>ICT</t>
        </is>
      </c>
      <c r="C4160" s="13" t="inlineStr">
        <is>
          <t>2026_MAD_1045132_5</t>
        </is>
      </c>
      <c r="D4160" s="14" t="inlineStr">
        <is>
          <t>[Repair and Renovation of Girls Toilet at Deshbandhu Prathamik Vidyalaya at ward No - 23 under Jurisdiction of Kanchrapara Municipality]</t>
        </is>
      </c>
      <c r="E4160" s="14" t="inlineStr">
        <is>
          <t>West Bengal Public Works &amp; Technology Department</t>
        </is>
      </c>
      <c r="F4160" s="13" t="inlineStr">
        <is>
          <t>17 Oct 2026</t>
        </is>
      </c>
      <c r="G4160" s="12" t="inlineStr">
        <is>
          <t>11 Nov 2026</t>
        </is>
      </c>
      <c r="H4160" s="17" t="inlineStr">
        <is>
          <t>🟢 LIVE ACTIVE</t>
        </is>
      </c>
      <c r="I4160" s="11" t="inlineStr">
        <is>
          <t>BOQ_2562515.xls</t>
        </is>
      </c>
      <c r="J4160" s="13" t="inlineStr">
        <is>
          <t>📊 Excel BOQ</t>
        </is>
      </c>
      <c r="K4160" s="15" t="n">
        <v>2.5</v>
      </c>
      <c r="L4160" s="16">
        <f>HYPERLINK("http://127.0.0.1:8000/api/documents/download?id=1729&amp;attachment=true", "⬇ Download BOQ_2562515.xls")</f>
        <v/>
      </c>
      <c r="M4160" s="16">
        <f>HYPERLINK("http://localhost:5173/?state=West%20Bengal&amp;keyword=ICT&amp;tender=2026_MAD_1045132_5", "🚀 Open in Portal")</f>
        <v/>
      </c>
    </row>
    <row r="4161" ht="24" customHeight="1">
      <c r="A4161" s="4" t="inlineStr">
        <is>
          <t>West Bengal</t>
        </is>
      </c>
      <c r="B4161" s="5" t="inlineStr">
        <is>
          <t>ICT</t>
        </is>
      </c>
      <c r="C4161" s="6" t="inlineStr">
        <is>
          <t>2026_MAD_1045132_5</t>
        </is>
      </c>
      <c r="D4161" s="7" t="inlineStr">
        <is>
          <t>[Repair and Renovation of Girls Toilet at Deshbandhu Prathamik Vidyalaya at ward No - 23 under Jurisdiction of Kanchrapara Municipality]</t>
        </is>
      </c>
      <c r="E4161" s="7" t="inlineStr">
        <is>
          <t>West Bengal Public Works &amp; Technology Department</t>
        </is>
      </c>
      <c r="F4161" s="6" t="inlineStr">
        <is>
          <t>17 Oct 2026</t>
        </is>
      </c>
      <c r="G4161" s="5" t="inlineStr">
        <is>
          <t>11 Nov 2026</t>
        </is>
      </c>
      <c r="H4161" s="17" t="inlineStr">
        <is>
          <t>🟢 LIVE ACTIVE</t>
        </is>
      </c>
      <c r="I4161" s="4" t="inlineStr">
        <is>
          <t>Tender_2026_MAD_1045132_5_All_Documents.zip</t>
        </is>
      </c>
      <c r="J4161" s="6" t="inlineStr">
        <is>
          <t>📦 ZIP Package</t>
        </is>
      </c>
      <c r="K4161" s="9" t="n">
        <v>20.7</v>
      </c>
      <c r="L4161" s="10">
        <f>HYPERLINK("http://127.0.0.1:8000/api/documents/download?id=1730&amp;attachment=true", "⬇ Download Tender_2026_MAD_1045132_")</f>
        <v/>
      </c>
      <c r="M4161" s="10">
        <f>HYPERLINK("http://localhost:5173/?state=West%20Bengal&amp;keyword=ICT&amp;tender=2026_MAD_1045132_5", "🚀 Open in Portal")</f>
        <v/>
      </c>
    </row>
    <row r="4162" ht="24" customHeight="1">
      <c r="A4162" s="11" t="inlineStr">
        <is>
          <t>West Bengal</t>
        </is>
      </c>
      <c r="B4162" s="12" t="inlineStr">
        <is>
          <t>ICT</t>
        </is>
      </c>
      <c r="C4162" s="13" t="inlineStr">
        <is>
          <t>2026_MAD_1045132_7</t>
        </is>
      </c>
      <c r="D4162" s="14" t="inlineStr">
        <is>
          <t>[Construction of Girls toilet at Sahidnagar Matrimangal Primary. at ward No - 19 under Jurisdiction of Kanchrapara Municipality]</t>
        </is>
      </c>
      <c r="E4162" s="14" t="inlineStr">
        <is>
          <t>West Bengal Public Works &amp; Technology Department</t>
        </is>
      </c>
      <c r="F4162" s="13" t="inlineStr">
        <is>
          <t>20 Sep 2026</t>
        </is>
      </c>
      <c r="G4162" s="12" t="inlineStr">
        <is>
          <t>13 Oct 2026</t>
        </is>
      </c>
      <c r="H4162" s="8" t="inlineStr">
        <is>
          <t>⏳ UPCOMING</t>
        </is>
      </c>
      <c r="I4162" s="11" t="inlineStr">
        <is>
          <t>Tendernotice_1.pdf</t>
        </is>
      </c>
      <c r="J4162" s="13" t="inlineStr">
        <is>
          <t>📕 PDF Document</t>
        </is>
      </c>
      <c r="K4162" s="15" t="n">
        <v>17.9</v>
      </c>
      <c r="L4162" s="16">
        <f>HYPERLINK("http://127.0.0.1:8000/api/documents/download?id=1719&amp;attachment=true", "⬇ Download Tendernotice_1.pdf")</f>
        <v/>
      </c>
      <c r="M4162" s="16">
        <f>HYPERLINK("http://localhost:5173/?state=West%20Bengal&amp;keyword=ICT&amp;tender=2026_MAD_1045132_7", "🚀 Open in Portal")</f>
        <v/>
      </c>
    </row>
    <row r="4163" ht="24" customHeight="1">
      <c r="A4163" s="4" t="inlineStr">
        <is>
          <t>West Bengal</t>
        </is>
      </c>
      <c r="B4163" s="5" t="inlineStr">
        <is>
          <t>ICT</t>
        </is>
      </c>
      <c r="C4163" s="6" t="inlineStr">
        <is>
          <t>2026_MAD_1045132_7</t>
        </is>
      </c>
      <c r="D4163" s="7" t="inlineStr">
        <is>
          <t>[Construction of Girls toilet at Sahidnagar Matrimangal Primary. at ward No - 19 under Jurisdiction of Kanchrapara Municipality]</t>
        </is>
      </c>
      <c r="E4163" s="7" t="inlineStr">
        <is>
          <t>West Bengal Public Works &amp; Technology Department</t>
        </is>
      </c>
      <c r="F4163" s="6" t="inlineStr">
        <is>
          <t>20 Sep 2026</t>
        </is>
      </c>
      <c r="G4163" s="5" t="inlineStr">
        <is>
          <t>13 Oct 2026</t>
        </is>
      </c>
      <c r="H4163" s="8" t="inlineStr">
        <is>
          <t>⏳ UPCOMING</t>
        </is>
      </c>
      <c r="I4163" s="4" t="inlineStr">
        <is>
          <t>BOQ_2562532.xls</t>
        </is>
      </c>
      <c r="J4163" s="6" t="inlineStr">
        <is>
          <t>📊 Excel BOQ</t>
        </is>
      </c>
      <c r="K4163" s="9" t="n">
        <v>2.5</v>
      </c>
      <c r="L4163" s="10">
        <f>HYPERLINK("http://127.0.0.1:8000/api/documents/download?id=1720&amp;attachment=true", "⬇ Download BOQ_2562532.xls")</f>
        <v/>
      </c>
      <c r="M4163" s="10">
        <f>HYPERLINK("http://localhost:5173/?state=West%20Bengal&amp;keyword=ICT&amp;tender=2026_MAD_1045132_7", "🚀 Open in Portal")</f>
        <v/>
      </c>
    </row>
    <row r="4164" ht="24" customHeight="1">
      <c r="A4164" s="11" t="inlineStr">
        <is>
          <t>West Bengal</t>
        </is>
      </c>
      <c r="B4164" s="12" t="inlineStr">
        <is>
          <t>ICT</t>
        </is>
      </c>
      <c r="C4164" s="13" t="inlineStr">
        <is>
          <t>2026_MAD_1045132_7</t>
        </is>
      </c>
      <c r="D4164" s="14" t="inlineStr">
        <is>
          <t>[Construction of Girls toilet at Sahidnagar Matrimangal Primary. at ward No - 19 under Jurisdiction of Kanchrapara Municipality]</t>
        </is>
      </c>
      <c r="E4164" s="14" t="inlineStr">
        <is>
          <t>West Bengal Public Works &amp; Technology Department</t>
        </is>
      </c>
      <c r="F4164" s="13" t="inlineStr">
        <is>
          <t>20 Sep 2026</t>
        </is>
      </c>
      <c r="G4164" s="12" t="inlineStr">
        <is>
          <t>13 Oct 2026</t>
        </is>
      </c>
      <c r="H4164" s="8" t="inlineStr">
        <is>
          <t>⏳ UPCOMING</t>
        </is>
      </c>
      <c r="I4164" s="11" t="inlineStr">
        <is>
          <t>SOQ7.pdf</t>
        </is>
      </c>
      <c r="J4164" s="13" t="inlineStr">
        <is>
          <t>📕 PDF Document</t>
        </is>
      </c>
      <c r="K4164" s="15" t="n">
        <v>17.8</v>
      </c>
      <c r="L4164" s="16">
        <f>HYPERLINK("http://127.0.0.1:8000/api/documents/download?id=1721&amp;attachment=true", "⬇ Download SOQ7.pdf")</f>
        <v/>
      </c>
      <c r="M4164" s="16">
        <f>HYPERLINK("http://localhost:5173/?state=West%20Bengal&amp;keyword=ICT&amp;tender=2026_MAD_1045132_7", "🚀 Open in Portal")</f>
        <v/>
      </c>
    </row>
    <row r="4165" ht="24" customHeight="1">
      <c r="A4165" s="4" t="inlineStr">
        <is>
          <t>West Bengal</t>
        </is>
      </c>
      <c r="B4165" s="5" t="inlineStr">
        <is>
          <t>ICT</t>
        </is>
      </c>
      <c r="C4165" s="6" t="inlineStr">
        <is>
          <t>2026_MAD_1045132_7</t>
        </is>
      </c>
      <c r="D4165" s="7" t="inlineStr">
        <is>
          <t>[Construction of Girls toilet at Sahidnagar Matrimangal Primary. at ward No - 19 under Jurisdiction of Kanchrapara Municipality]</t>
        </is>
      </c>
      <c r="E4165" s="7" t="inlineStr">
        <is>
          <t>West Bengal Public Works &amp; Technology Department</t>
        </is>
      </c>
      <c r="F4165" s="6" t="inlineStr">
        <is>
          <t>20 Sep 2026</t>
        </is>
      </c>
      <c r="G4165" s="5" t="inlineStr">
        <is>
          <t>13 Oct 2026</t>
        </is>
      </c>
      <c r="H4165" s="8" t="inlineStr">
        <is>
          <t>⏳ UPCOMING</t>
        </is>
      </c>
      <c r="I4165" s="4" t="inlineStr">
        <is>
          <t>Tender_2026_MAD_1045132_7_All_Documents.zip</t>
        </is>
      </c>
      <c r="J4165" s="6" t="inlineStr">
        <is>
          <t>📦 ZIP Package</t>
        </is>
      </c>
      <c r="K4165" s="9" t="n">
        <v>20.7</v>
      </c>
      <c r="L4165" s="10">
        <f>HYPERLINK("http://127.0.0.1:8000/api/documents/download?id=1722&amp;attachment=true", "⬇ Download Tender_2026_MAD_1045132_")</f>
        <v/>
      </c>
      <c r="M4165" s="10">
        <f>HYPERLINK("http://localhost:5173/?state=West%20Bengal&amp;keyword=ICT&amp;tender=2026_MAD_1045132_7", "🚀 Open in Portal")</f>
        <v/>
      </c>
    </row>
    <row r="4166" ht="24" customHeight="1">
      <c r="A4166" s="11" t="inlineStr">
        <is>
          <t>West Bengal</t>
        </is>
      </c>
      <c r="B4166" s="12" t="inlineStr">
        <is>
          <t>ICT</t>
        </is>
      </c>
      <c r="C4166" s="13" t="inlineStr">
        <is>
          <t>2026_SETCL_1045560_1</t>
        </is>
      </c>
      <c r="D4166" s="14" t="inlineStr">
        <is>
          <t>[Tit bit civil repair and maintenance work of control room building store office at Dhulian 132 KV Sub Station in the district Murshidabad]</t>
        </is>
      </c>
      <c r="E4166" s="14" t="inlineStr">
        <is>
          <t>West Bengal Public Works &amp; Technology Department</t>
        </is>
      </c>
      <c r="F4166" s="13" t="inlineStr">
        <is>
          <t>31 Aug 2026</t>
        </is>
      </c>
      <c r="G4166" s="12" t="inlineStr">
        <is>
          <t>29 Sep 2026</t>
        </is>
      </c>
      <c r="H4166" s="8" t="inlineStr">
        <is>
          <t>⏳ UPCOMING</t>
        </is>
      </c>
      <c r="I4166" s="11" t="inlineStr">
        <is>
          <t>BOQ_2563017.xls</t>
        </is>
      </c>
      <c r="J4166" s="13" t="inlineStr">
        <is>
          <t>📊 Excel BOQ</t>
        </is>
      </c>
      <c r="K4166" s="15" t="n">
        <v>2.5</v>
      </c>
      <c r="L4166" s="16">
        <f>HYPERLINK("http://127.0.0.1:8000/api/documents/download?id=1673&amp;attachment=true", "⬇ Download BOQ_2563017.xls")</f>
        <v/>
      </c>
      <c r="M4166" s="16">
        <f>HYPERLINK("http://localhost:5173/?state=West%20Bengal&amp;keyword=ICT&amp;tender=2026_SETCL_1045560_1", "🚀 Open in Portal")</f>
        <v/>
      </c>
    </row>
    <row r="4167" ht="24" customHeight="1">
      <c r="A4167" s="4" t="inlineStr">
        <is>
          <t>West Bengal</t>
        </is>
      </c>
      <c r="B4167" s="5" t="inlineStr">
        <is>
          <t>ICT</t>
        </is>
      </c>
      <c r="C4167" s="6" t="inlineStr">
        <is>
          <t>2026_SETCL_1045560_1</t>
        </is>
      </c>
      <c r="D4167" s="7" t="inlineStr">
        <is>
          <t>[Tit bit civil repair and maintenance work of control room building store office at Dhulian 132 KV Sub Station in the district Murshidabad]</t>
        </is>
      </c>
      <c r="E4167" s="7" t="inlineStr">
        <is>
          <t>West Bengal Public Works &amp; Technology Department</t>
        </is>
      </c>
      <c r="F4167" s="6" t="inlineStr">
        <is>
          <t>31 Aug 2026</t>
        </is>
      </c>
      <c r="G4167" s="5" t="inlineStr">
        <is>
          <t>29 Sep 2026</t>
        </is>
      </c>
      <c r="H4167" s="8" t="inlineStr">
        <is>
          <t>⏳ UPCOMING</t>
        </is>
      </c>
      <c r="I4167" s="4" t="inlineStr">
        <is>
          <t>Tender_2026_SETCL_1045560_1_All_Documents.zip</t>
        </is>
      </c>
      <c r="J4167" s="6" t="inlineStr">
        <is>
          <t>📦 ZIP Package</t>
        </is>
      </c>
      <c r="K4167" s="9" t="n">
        <v>2.3</v>
      </c>
      <c r="L4167" s="10">
        <f>HYPERLINK("http://127.0.0.1:8000/api/documents/download?id=2988&amp;attachment=true", "⬇ Download Tender_2026_SETCL_104556")</f>
        <v/>
      </c>
      <c r="M4167" s="10">
        <f>HYPERLINK("http://localhost:5173/?state=West%20Bengal&amp;keyword=ICT&amp;tender=2026_SETCL_1045560_1", "🚀 Open in Portal")</f>
        <v/>
      </c>
    </row>
    <row r="4168" ht="24" customHeight="1">
      <c r="A4168" s="11" t="inlineStr">
        <is>
          <t>West Bengal</t>
        </is>
      </c>
      <c r="B4168" s="12" t="inlineStr">
        <is>
          <t>ICT</t>
        </is>
      </c>
      <c r="C4168" s="13" t="inlineStr">
        <is>
          <t>2026_SETCL_1045563_1</t>
        </is>
      </c>
      <c r="D4168" s="14" t="inlineStr">
        <is>
          <t>[Tit bit civil repair and maintenance work of control room building store office staff colony etc at Berhampore 132 KV Sub Station in the district Murshidabad]</t>
        </is>
      </c>
      <c r="E4168" s="14" t="inlineStr">
        <is>
          <t>West Bengal Public Works &amp; Technology Department</t>
        </is>
      </c>
      <c r="F4168" s="13" t="inlineStr">
        <is>
          <t>05 Aug 2026</t>
        </is>
      </c>
      <c r="G4168" s="12" t="inlineStr">
        <is>
          <t>29 Aug 2026</t>
        </is>
      </c>
      <c r="H4168" s="8" t="inlineStr">
        <is>
          <t>⏳ UPCOMING</t>
        </is>
      </c>
      <c r="I4168" s="11" t="inlineStr">
        <is>
          <t>BOQ_2563020.xls</t>
        </is>
      </c>
      <c r="J4168" s="13" t="inlineStr">
        <is>
          <t>📊 Excel BOQ</t>
        </is>
      </c>
      <c r="K4168" s="15" t="n">
        <v>2.5</v>
      </c>
      <c r="L4168" s="16">
        <f>HYPERLINK("http://127.0.0.1:8000/api/documents/download?id=1672&amp;attachment=true", "⬇ Download BOQ_2563020.xls")</f>
        <v/>
      </c>
      <c r="M4168" s="16">
        <f>HYPERLINK("http://localhost:5173/?state=West%20Bengal&amp;keyword=ICT&amp;tender=2026_SETCL_1045563_1", "🚀 Open in Portal")</f>
        <v/>
      </c>
    </row>
    <row r="4169" ht="24" customHeight="1">
      <c r="A4169" s="4" t="inlineStr">
        <is>
          <t>West Bengal</t>
        </is>
      </c>
      <c r="B4169" s="5" t="inlineStr">
        <is>
          <t>ICT</t>
        </is>
      </c>
      <c r="C4169" s="6" t="inlineStr">
        <is>
          <t>2026_SETCL_1045563_1</t>
        </is>
      </c>
      <c r="D4169" s="7" t="inlineStr">
        <is>
          <t>[Tit bit civil repair and maintenance work of control room building store office staff colony etc at Berhampore 132 KV Sub Station in the district Murshidabad]</t>
        </is>
      </c>
      <c r="E4169" s="7" t="inlineStr">
        <is>
          <t>West Bengal Public Works &amp; Technology Department</t>
        </is>
      </c>
      <c r="F4169" s="6" t="inlineStr">
        <is>
          <t>05 Aug 2026</t>
        </is>
      </c>
      <c r="G4169" s="5" t="inlineStr">
        <is>
          <t>29 Aug 2026</t>
        </is>
      </c>
      <c r="H4169" s="8" t="inlineStr">
        <is>
          <t>⏳ UPCOMING</t>
        </is>
      </c>
      <c r="I4169" s="4" t="inlineStr">
        <is>
          <t>Tender_2026_SETCL_1045563_1_All_Documents.zip</t>
        </is>
      </c>
      <c r="J4169" s="6" t="inlineStr">
        <is>
          <t>📦 ZIP Package</t>
        </is>
      </c>
      <c r="K4169" s="9" t="n">
        <v>2.4</v>
      </c>
      <c r="L4169" s="10">
        <f>HYPERLINK("http://127.0.0.1:8000/api/documents/download?id=2987&amp;attachment=true", "⬇ Download Tender_2026_SETCL_104556")</f>
        <v/>
      </c>
      <c r="M4169" s="10">
        <f>HYPERLINK("http://localhost:5173/?state=West%20Bengal&amp;keyword=ICT&amp;tender=2026_SETCL_1045563_1", "🚀 Open in Portal")</f>
        <v/>
      </c>
    </row>
    <row r="4170" ht="24" customHeight="1">
      <c r="A4170" s="11" t="inlineStr">
        <is>
          <t>West Bengal</t>
        </is>
      </c>
      <c r="B4170" s="12" t="inlineStr">
        <is>
          <t>ICT</t>
        </is>
      </c>
      <c r="C4170" s="13" t="inlineStr">
        <is>
          <t>2026_WBSFP_1046067_1</t>
        </is>
      </c>
      <c r="D4170" s="14" t="inlineStr">
        <is>
          <t>[Transportation charge and loading, unloading of fruit plants from Ayeshpur, Farm to different Blocks in different districts of West Bengal.]</t>
        </is>
      </c>
      <c r="E4170" s="14" t="inlineStr">
        <is>
          <t>West Bengal Public Works &amp; Technology Department</t>
        </is>
      </c>
      <c r="F4170" s="13" t="inlineStr">
        <is>
          <t>03 Aug 2026</t>
        </is>
      </c>
      <c r="G4170" s="12" t="inlineStr">
        <is>
          <t>01 Sep 2026</t>
        </is>
      </c>
      <c r="H4170" s="8" t="inlineStr">
        <is>
          <t>⏳ UPCOMING</t>
        </is>
      </c>
      <c r="I4170" s="11" t="inlineStr">
        <is>
          <t>Tendernotice_1.pdf</t>
        </is>
      </c>
      <c r="J4170" s="13" t="inlineStr">
        <is>
          <t>📕 PDF Document</t>
        </is>
      </c>
      <c r="K4170" s="15" t="n">
        <v>17.9</v>
      </c>
      <c r="L4170" s="16">
        <f>HYPERLINK("http://127.0.0.1:8000/api/documents/download?id=1683&amp;attachment=true", "⬇ Download Tendernotice_1.pdf")</f>
        <v/>
      </c>
      <c r="M4170" s="16">
        <f>HYPERLINK("http://localhost:5173/?state=West%20Bengal&amp;keyword=ICT&amp;tender=2026_WBSFP_1046067_1", "🚀 Open in Portal")</f>
        <v/>
      </c>
    </row>
    <row r="4171" ht="24" customHeight="1">
      <c r="A4171" s="4" t="inlineStr">
        <is>
          <t>West Bengal</t>
        </is>
      </c>
      <c r="B4171" s="5" t="inlineStr">
        <is>
          <t>ICT</t>
        </is>
      </c>
      <c r="C4171" s="6" t="inlineStr">
        <is>
          <t>2026_WBSFP_1046067_1</t>
        </is>
      </c>
      <c r="D4171" s="7" t="inlineStr">
        <is>
          <t>[Transportation charge and loading, unloading of fruit plants from Ayeshpur, Farm to different Blocks in different districts of West Bengal.]</t>
        </is>
      </c>
      <c r="E4171" s="7" t="inlineStr">
        <is>
          <t>West Bengal Public Works &amp; Technology Department</t>
        </is>
      </c>
      <c r="F4171" s="6" t="inlineStr">
        <is>
          <t>03 Aug 2026</t>
        </is>
      </c>
      <c r="G4171" s="5" t="inlineStr">
        <is>
          <t>01 Sep 2026</t>
        </is>
      </c>
      <c r="H4171" s="8" t="inlineStr">
        <is>
          <t>⏳ UPCOMING</t>
        </is>
      </c>
      <c r="I4171" s="4" t="inlineStr">
        <is>
          <t>BOQ_2563655.xls</t>
        </is>
      </c>
      <c r="J4171" s="6" t="inlineStr">
        <is>
          <t>📊 Excel BOQ</t>
        </is>
      </c>
      <c r="K4171" s="9" t="n">
        <v>2.5</v>
      </c>
      <c r="L4171" s="10">
        <f>HYPERLINK("http://127.0.0.1:8000/api/documents/download?id=1684&amp;attachment=true", "⬇ Download BOQ_2563655.xls")</f>
        <v/>
      </c>
      <c r="M4171" s="10">
        <f>HYPERLINK("http://localhost:5173/?state=West%20Bengal&amp;keyword=ICT&amp;tender=2026_WBSFP_1046067_1", "🚀 Open in Portal")</f>
        <v/>
      </c>
    </row>
    <row r="4172" ht="24" customHeight="1">
      <c r="A4172" s="11" t="inlineStr">
        <is>
          <t>West Bengal</t>
        </is>
      </c>
      <c r="B4172" s="12" t="inlineStr">
        <is>
          <t>ICT</t>
        </is>
      </c>
      <c r="C4172" s="13" t="inlineStr">
        <is>
          <t>2026_WBSFP_1046067_1</t>
        </is>
      </c>
      <c r="D4172" s="14" t="inlineStr">
        <is>
          <t>[Transportation charge and loading, unloading of fruit plants from Ayeshpur, Farm to different Blocks in different districts of West Bengal.]</t>
        </is>
      </c>
      <c r="E4172" s="14" t="inlineStr">
        <is>
          <t>West Bengal Public Works &amp; Technology Department</t>
        </is>
      </c>
      <c r="F4172" s="13" t="inlineStr">
        <is>
          <t>03 Aug 2026</t>
        </is>
      </c>
      <c r="G4172" s="12" t="inlineStr">
        <is>
          <t>01 Sep 2026</t>
        </is>
      </c>
      <c r="H4172" s="8" t="inlineStr">
        <is>
          <t>⏳ UPCOMING</t>
        </is>
      </c>
      <c r="I4172" s="11" t="inlineStr">
        <is>
          <t>Tender_2026_WBSFP_1046067_1_All_Documents.zip</t>
        </is>
      </c>
      <c r="J4172" s="13" t="inlineStr">
        <is>
          <t>📦 ZIP Package</t>
        </is>
      </c>
      <c r="K4172" s="15" t="n">
        <v>11.6</v>
      </c>
      <c r="L4172" s="16">
        <f>HYPERLINK("http://127.0.0.1:8000/api/documents/download?id=1685&amp;attachment=true", "⬇ Download Tender_2026_WBSFP_104606")</f>
        <v/>
      </c>
      <c r="M4172" s="16">
        <f>HYPERLINK("http://localhost:5173/?state=West%20Bengal&amp;keyword=ICT&amp;tender=2026_WBSFP_1046067_1", "🚀 Open in Portal")</f>
        <v/>
      </c>
    </row>
    <row r="4173" ht="24" customHeight="1">
      <c r="A4173" s="4" t="inlineStr">
        <is>
          <t>West Bengal</t>
        </is>
      </c>
      <c r="B4173" s="5" t="inlineStr">
        <is>
          <t>ICT</t>
        </is>
      </c>
      <c r="C4173" s="6" t="inlineStr">
        <is>
          <t>2026_WBSHW_1045793_1</t>
        </is>
      </c>
      <c r="D4173" s="7" t="inlineStr">
        <is>
          <t>[Supply and delivery of Sleeveless Jacket with Printing for Various Municipality in different districts in West Bengal.]</t>
        </is>
      </c>
      <c r="E4173" s="7" t="inlineStr">
        <is>
          <t>West Bengal Public Works &amp; Technology Department</t>
        </is>
      </c>
      <c r="F4173" s="6" t="inlineStr">
        <is>
          <t>20 Sep 2026</t>
        </is>
      </c>
      <c r="G4173" s="5" t="inlineStr">
        <is>
          <t>15 Oct 2026</t>
        </is>
      </c>
      <c r="H4173" s="8" t="inlineStr">
        <is>
          <t>⏳ UPCOMING</t>
        </is>
      </c>
      <c r="I4173" s="4" t="inlineStr">
        <is>
          <t>Tendernotice_1.pdf</t>
        </is>
      </c>
      <c r="J4173" s="6" t="inlineStr">
        <is>
          <t>📕 PDF Document</t>
        </is>
      </c>
      <c r="K4173" s="9" t="n">
        <v>17.9</v>
      </c>
      <c r="L4173" s="10">
        <f>HYPERLINK("http://127.0.0.1:8000/api/documents/download?id=1695&amp;attachment=true", "⬇ Download Tendernotice_1.pdf")</f>
        <v/>
      </c>
      <c r="M4173" s="10">
        <f>HYPERLINK("http://localhost:5173/?state=West%20Bengal&amp;keyword=ICT&amp;tender=2026_WBSHW_1045793_1", "🚀 Open in Portal")</f>
        <v/>
      </c>
    </row>
    <row r="4174" ht="24" customHeight="1">
      <c r="A4174" s="11" t="inlineStr">
        <is>
          <t>West Bengal</t>
        </is>
      </c>
      <c r="B4174" s="12" t="inlineStr">
        <is>
          <t>ICT</t>
        </is>
      </c>
      <c r="C4174" s="13" t="inlineStr">
        <is>
          <t>2026_WBSHW_1045793_1</t>
        </is>
      </c>
      <c r="D4174" s="14" t="inlineStr">
        <is>
          <t>[Supply and delivery of Sleeveless Jacket with Printing for Various Municipality in different districts in West Bengal.]</t>
        </is>
      </c>
      <c r="E4174" s="14" t="inlineStr">
        <is>
          <t>West Bengal Public Works &amp; Technology Department</t>
        </is>
      </c>
      <c r="F4174" s="13" t="inlineStr">
        <is>
          <t>20 Sep 2026</t>
        </is>
      </c>
      <c r="G4174" s="12" t="inlineStr">
        <is>
          <t>15 Oct 2026</t>
        </is>
      </c>
      <c r="H4174" s="8" t="inlineStr">
        <is>
          <t>⏳ UPCOMING</t>
        </is>
      </c>
      <c r="I4174" s="11" t="inlineStr">
        <is>
          <t>BOQ_2563318.xls</t>
        </is>
      </c>
      <c r="J4174" s="13" t="inlineStr">
        <is>
          <t>📊 Excel BOQ</t>
        </is>
      </c>
      <c r="K4174" s="15" t="n">
        <v>2.5</v>
      </c>
      <c r="L4174" s="16">
        <f>HYPERLINK("http://127.0.0.1:8000/api/documents/download?id=1696&amp;attachment=true", "⬇ Download BOQ_2563318.xls")</f>
        <v/>
      </c>
      <c r="M4174" s="16">
        <f>HYPERLINK("http://localhost:5173/?state=West%20Bengal&amp;keyword=ICT&amp;tender=2026_WBSHW_1045793_1", "🚀 Open in Portal")</f>
        <v/>
      </c>
    </row>
    <row r="4175" ht="24" customHeight="1">
      <c r="A4175" s="4" t="inlineStr">
        <is>
          <t>West Bengal</t>
        </is>
      </c>
      <c r="B4175" s="5" t="inlineStr">
        <is>
          <t>ICT</t>
        </is>
      </c>
      <c r="C4175" s="6" t="inlineStr">
        <is>
          <t>2026_WBSHW_1045793_1</t>
        </is>
      </c>
      <c r="D4175" s="7" t="inlineStr">
        <is>
          <t>[Supply and delivery of Sleeveless Jacket with Printing for Various Municipality in different districts in West Bengal.]</t>
        </is>
      </c>
      <c r="E4175" s="7" t="inlineStr">
        <is>
          <t>West Bengal Public Works &amp; Technology Department</t>
        </is>
      </c>
      <c r="F4175" s="6" t="inlineStr">
        <is>
          <t>20 Sep 2026</t>
        </is>
      </c>
      <c r="G4175" s="5" t="inlineStr">
        <is>
          <t>15 Oct 2026</t>
        </is>
      </c>
      <c r="H4175" s="8" t="inlineStr">
        <is>
          <t>⏳ UPCOMING</t>
        </is>
      </c>
      <c r="I4175" s="4" t="inlineStr">
        <is>
          <t>Tender_2026_WBSHW_1045793_1_All_Documents.zip</t>
        </is>
      </c>
      <c r="J4175" s="6" t="inlineStr">
        <is>
          <t>📦 ZIP Package</t>
        </is>
      </c>
      <c r="K4175" s="9" t="n">
        <v>11.6</v>
      </c>
      <c r="L4175" s="10">
        <f>HYPERLINK("http://127.0.0.1:8000/api/documents/download?id=1697&amp;attachment=true", "⬇ Download Tender_2026_WBSHW_104579")</f>
        <v/>
      </c>
      <c r="M4175" s="10">
        <f>HYPERLINK("http://localhost:5173/?state=West%20Bengal&amp;keyword=ICT&amp;tender=2026_WBSHW_1045793_1", "🚀 Open in Portal")</f>
        <v/>
      </c>
    </row>
    <row r="4176" ht="24" customHeight="1">
      <c r="A4176" s="11" t="inlineStr">
        <is>
          <t>West Bengal</t>
        </is>
      </c>
      <c r="B4176" s="12" t="inlineStr">
        <is>
          <t>ICT</t>
        </is>
      </c>
      <c r="C4176" s="13" t="inlineStr">
        <is>
          <t>2026_WEBEL_1046051_1</t>
        </is>
      </c>
      <c r="D4176" s="14" t="inlineStr">
        <is>
          <t>[ENGAGEMENT OF SECURITY AGENCY FOR DEPLOYMENT OF SECURITY PERSONNEL AT DIFFERENT SITES OF WBEIDC WITH IN KOLKATA SECTOR V AND VARIOUS IT PARKS AT DIFFERENT DISTRICTS WITHIN THE STATE OF WEST BENGAL]</t>
        </is>
      </c>
      <c r="E4176" s="14" t="inlineStr">
        <is>
          <t>West Bengal Public Works &amp; Technology Department</t>
        </is>
      </c>
      <c r="F4176" s="13" t="inlineStr">
        <is>
          <t>15 Oct 2026</t>
        </is>
      </c>
      <c r="G4176" s="12" t="inlineStr">
        <is>
          <t>24 Oct 2026</t>
        </is>
      </c>
      <c r="H4176" s="17" t="inlineStr">
        <is>
          <t>🟢 LIVE ACTIVE</t>
        </is>
      </c>
      <c r="I4176" s="11" t="inlineStr">
        <is>
          <t>Tendernotice_1.pdf</t>
        </is>
      </c>
      <c r="J4176" s="13" t="inlineStr">
        <is>
          <t>📕 PDF Document</t>
        </is>
      </c>
      <c r="K4176" s="15" t="n">
        <v>17.8</v>
      </c>
      <c r="L4176" s="16">
        <f>HYPERLINK("http://127.0.0.1:8000/api/documents/download?id=1680&amp;attachment=true", "⬇ Download Tendernotice_1.pdf")</f>
        <v/>
      </c>
      <c r="M4176" s="16">
        <f>HYPERLINK("http://localhost:5173/?state=West%20Bengal&amp;keyword=ICT&amp;tender=2026_WEBEL_1046051_1", "🚀 Open in Portal")</f>
        <v/>
      </c>
    </row>
    <row r="4177" ht="24" customHeight="1">
      <c r="A4177" s="4" t="inlineStr">
        <is>
          <t>West Bengal</t>
        </is>
      </c>
      <c r="B4177" s="5" t="inlineStr">
        <is>
          <t>ICT</t>
        </is>
      </c>
      <c r="C4177" s="6" t="inlineStr">
        <is>
          <t>2026_WEBEL_1046051_1</t>
        </is>
      </c>
      <c r="D4177" s="7" t="inlineStr">
        <is>
          <t>[ENGAGEMENT OF SECURITY AGENCY FOR DEPLOYMENT OF SECURITY PERSONNEL AT DIFFERENT SITES OF WBEIDC WITH IN KOLKATA SECTOR V AND VARIOUS IT PARKS AT DIFFERENT DISTRICTS WITHIN THE STATE OF WEST BENGAL]</t>
        </is>
      </c>
      <c r="E4177" s="7" t="inlineStr">
        <is>
          <t>West Bengal Public Works &amp; Technology Department</t>
        </is>
      </c>
      <c r="F4177" s="6" t="inlineStr">
        <is>
          <t>15 Oct 2026</t>
        </is>
      </c>
      <c r="G4177" s="5" t="inlineStr">
        <is>
          <t>24 Oct 2026</t>
        </is>
      </c>
      <c r="H4177" s="17" t="inlineStr">
        <is>
          <t>🟢 LIVE ACTIVE</t>
        </is>
      </c>
      <c r="I4177" s="4" t="inlineStr">
        <is>
          <t>BOQ_2563644.xls</t>
        </is>
      </c>
      <c r="J4177" s="6" t="inlineStr">
        <is>
          <t>📊 Excel BOQ</t>
        </is>
      </c>
      <c r="K4177" s="9" t="n">
        <v>2.5</v>
      </c>
      <c r="L4177" s="10">
        <f>HYPERLINK("http://127.0.0.1:8000/api/documents/download?id=1681&amp;attachment=true", "⬇ Download BOQ_2563644.xls")</f>
        <v/>
      </c>
      <c r="M4177" s="10">
        <f>HYPERLINK("http://localhost:5173/?state=West%20Bengal&amp;keyword=ICT&amp;tender=2026_WEBEL_1046051_1", "🚀 Open in Portal")</f>
        <v/>
      </c>
    </row>
    <row r="4178" ht="24" customHeight="1">
      <c r="A4178" s="11" t="inlineStr">
        <is>
          <t>West Bengal</t>
        </is>
      </c>
      <c r="B4178" s="12" t="inlineStr">
        <is>
          <t>ICT</t>
        </is>
      </c>
      <c r="C4178" s="13" t="inlineStr">
        <is>
          <t>2026_WEBEL_1046051_1</t>
        </is>
      </c>
      <c r="D4178" s="14" t="inlineStr">
        <is>
          <t>[ENGAGEMENT OF SECURITY AGENCY FOR DEPLOYMENT OF SECURITY PERSONNEL AT DIFFERENT SITES OF WBEIDC WITH IN KOLKATA SECTOR V AND VARIOUS IT PARKS AT DIFFERENT DISTRICTS WITHIN THE STATE OF WEST BENGAL]</t>
        </is>
      </c>
      <c r="E4178" s="14" t="inlineStr">
        <is>
          <t>West Bengal Public Works &amp; Technology Department</t>
        </is>
      </c>
      <c r="F4178" s="13" t="inlineStr">
        <is>
          <t>15 Oct 2026</t>
        </is>
      </c>
      <c r="G4178" s="12" t="inlineStr">
        <is>
          <t>24 Oct 2026</t>
        </is>
      </c>
      <c r="H4178" s="17" t="inlineStr">
        <is>
          <t>🟢 LIVE ACTIVE</t>
        </is>
      </c>
      <c r="I4178" s="11" t="inlineStr">
        <is>
          <t>Tender_2026_WEBEL_1046051_1_All_Documents.zip</t>
        </is>
      </c>
      <c r="J4178" s="13" t="inlineStr">
        <is>
          <t>📦 ZIP Package</t>
        </is>
      </c>
      <c r="K4178" s="15" t="n">
        <v>11.6</v>
      </c>
      <c r="L4178" s="16">
        <f>HYPERLINK("http://127.0.0.1:8000/api/documents/download?id=1682&amp;attachment=true", "⬇ Download Tender_2026_WEBEL_104605")</f>
        <v/>
      </c>
      <c r="M4178" s="16">
        <f>HYPERLINK("http://localhost:5173/?state=West%20Bengal&amp;keyword=ICT&amp;tender=2026_WEBEL_1046051_1", "🚀 Open in Portal")</f>
        <v/>
      </c>
    </row>
    <row r="4179" ht="24" customHeight="1">
      <c r="A4179" s="4" t="inlineStr">
        <is>
          <t>West Bengal</t>
        </is>
      </c>
      <c r="B4179" s="5" t="inlineStr">
        <is>
          <t>ICT</t>
        </is>
      </c>
      <c r="C4179" s="6" t="inlineStr">
        <is>
          <t>2026_WRDD_1045593_1</t>
        </is>
      </c>
      <c r="D4179" s="7" t="inlineStr">
        <is>
          <t>[Re-excavation of 03 (three) number Canals including cross culvert and installation of solar operated pumping system with bank protection at different Mouzas under Amta-II Block of Howrah District under Core-sector Program]</t>
        </is>
      </c>
      <c r="E4179" s="7" t="inlineStr">
        <is>
          <t>West Bengal Public Works &amp; Technology Department</t>
        </is>
      </c>
      <c r="F4179" s="6" t="inlineStr">
        <is>
          <t>23 Jul 2026</t>
        </is>
      </c>
      <c r="G4179" s="5" t="inlineStr">
        <is>
          <t>13 Aug 2026</t>
        </is>
      </c>
      <c r="H4179" s="8" t="inlineStr">
        <is>
          <t>⏳ UPCOMING</t>
        </is>
      </c>
      <c r="I4179" s="4" t="inlineStr">
        <is>
          <t>Tendernotice_1.pdf</t>
        </is>
      </c>
      <c r="J4179" s="6" t="inlineStr">
        <is>
          <t>📕 PDF Document</t>
        </is>
      </c>
      <c r="K4179" s="9" t="n">
        <v>17.9</v>
      </c>
      <c r="L4179" s="10">
        <f>HYPERLINK("http://127.0.0.1:8000/api/documents/download?id=1701&amp;attachment=true", "⬇ Download Tendernotice_1.pdf")</f>
        <v/>
      </c>
      <c r="M4179" s="10">
        <f>HYPERLINK("http://localhost:5173/?state=West%20Bengal&amp;keyword=ICT&amp;tender=2026_WRDD_1045593_1", "🚀 Open in Portal")</f>
        <v/>
      </c>
    </row>
    <row r="4180" ht="24" customHeight="1">
      <c r="A4180" s="11" t="inlineStr">
        <is>
          <t>West Bengal</t>
        </is>
      </c>
      <c r="B4180" s="12" t="inlineStr">
        <is>
          <t>ICT</t>
        </is>
      </c>
      <c r="C4180" s="13" t="inlineStr">
        <is>
          <t>2026_WRDD_1045593_1</t>
        </is>
      </c>
      <c r="D4180" s="14" t="inlineStr">
        <is>
          <t>[Re-excavation of 03 (three) number Canals including cross culvert and installation of solar operated pumping system with bank protection at different Mouzas under Amta-II Block of Howrah District under Core-sector Program]</t>
        </is>
      </c>
      <c r="E4180" s="14" t="inlineStr">
        <is>
          <t>West Bengal Public Works &amp; Technology Department</t>
        </is>
      </c>
      <c r="F4180" s="13" t="inlineStr">
        <is>
          <t>23 Jul 2026</t>
        </is>
      </c>
      <c r="G4180" s="12" t="inlineStr">
        <is>
          <t>13 Aug 2026</t>
        </is>
      </c>
      <c r="H4180" s="8" t="inlineStr">
        <is>
          <t>⏳ UPCOMING</t>
        </is>
      </c>
      <c r="I4180" s="11" t="inlineStr">
        <is>
          <t>BOQ_2563064.xls</t>
        </is>
      </c>
      <c r="J4180" s="13" t="inlineStr">
        <is>
          <t>📊 Excel BOQ</t>
        </is>
      </c>
      <c r="K4180" s="15" t="n">
        <v>2.5</v>
      </c>
      <c r="L4180" s="16">
        <f>HYPERLINK("http://127.0.0.1:8000/api/documents/download?id=1702&amp;attachment=true", "⬇ Download BOQ_2563064.xls")</f>
        <v/>
      </c>
      <c r="M4180" s="16">
        <f>HYPERLINK("http://localhost:5173/?state=West%20Bengal&amp;keyword=ICT&amp;tender=2026_WRDD_1045593_1", "🚀 Open in Portal")</f>
        <v/>
      </c>
    </row>
    <row r="4181" ht="24" customHeight="1">
      <c r="A4181" s="4" t="inlineStr">
        <is>
          <t>West Bengal</t>
        </is>
      </c>
      <c r="B4181" s="5" t="inlineStr">
        <is>
          <t>ICT</t>
        </is>
      </c>
      <c r="C4181" s="6" t="inlineStr">
        <is>
          <t>2026_WRDD_1045593_1</t>
        </is>
      </c>
      <c r="D4181" s="7" t="inlineStr">
        <is>
          <t>[Re-excavation of 03 (three) number Canals including cross culvert and installation of solar operated pumping system with bank protection at different Mouzas under Amta-II Block of Howrah District under Core-sector Program]</t>
        </is>
      </c>
      <c r="E4181" s="7" t="inlineStr">
        <is>
          <t>West Bengal Public Works &amp; Technology Department</t>
        </is>
      </c>
      <c r="F4181" s="6" t="inlineStr">
        <is>
          <t>23 Jul 2026</t>
        </is>
      </c>
      <c r="G4181" s="5" t="inlineStr">
        <is>
          <t>13 Aug 2026</t>
        </is>
      </c>
      <c r="H4181" s="8" t="inlineStr">
        <is>
          <t>⏳ UPCOMING</t>
        </is>
      </c>
      <c r="I4181" s="4" t="inlineStr">
        <is>
          <t>Tender_2026_WRDD_1045593_1_All_Documents.zip</t>
        </is>
      </c>
      <c r="J4181" s="6" t="inlineStr">
        <is>
          <t>📦 ZIP Package</t>
        </is>
      </c>
      <c r="K4181" s="9" t="n">
        <v>11.6</v>
      </c>
      <c r="L4181" s="10">
        <f>HYPERLINK("http://127.0.0.1:8000/api/documents/download?id=1703&amp;attachment=true", "⬇ Download Tender_2026_WRDD_1045593")</f>
        <v/>
      </c>
      <c r="M4181" s="10">
        <f>HYPERLINK("http://localhost:5173/?state=West%20Bengal&amp;keyword=ICT&amp;tender=2026_WRDD_1045593_1", "🚀 Open in Portal")</f>
        <v/>
      </c>
    </row>
    <row r="4182" ht="24" customHeight="1">
      <c r="A4182" s="11" t="inlineStr">
        <is>
          <t>West Bengal</t>
        </is>
      </c>
      <c r="B4182" s="12" t="inlineStr">
        <is>
          <t>ICT</t>
        </is>
      </c>
      <c r="C4182" s="13" t="inlineStr">
        <is>
          <t>2026_WRDD_1045593_2</t>
        </is>
      </c>
      <c r="D4182" s="14" t="inlineStr">
        <is>
          <t>[Re-excavation of 03 (three) number Canals including cross culvert and installation of solar operated pumping system with bank protection at different Mouzas under Amta-II Block of Howrah District under Core-sector Program]</t>
        </is>
      </c>
      <c r="E4182" s="14" t="inlineStr">
        <is>
          <t>West Bengal Public Works &amp; Technology Department</t>
        </is>
      </c>
      <c r="F4182" s="13" t="inlineStr">
        <is>
          <t>08 Aug 2026</t>
        </is>
      </c>
      <c r="G4182" s="12" t="inlineStr">
        <is>
          <t>30 Aug 2026</t>
        </is>
      </c>
      <c r="H4182" s="8" t="inlineStr">
        <is>
          <t>⏳ UPCOMING</t>
        </is>
      </c>
      <c r="I4182" s="11" t="inlineStr">
        <is>
          <t>Tendernotice_1.pdf</t>
        </is>
      </c>
      <c r="J4182" s="13" t="inlineStr">
        <is>
          <t>📕 PDF Document</t>
        </is>
      </c>
      <c r="K4182" s="15" t="n">
        <v>17.9</v>
      </c>
      <c r="L4182" s="16">
        <f>HYPERLINK("http://127.0.0.1:8000/api/documents/download?id=1704&amp;attachment=true", "⬇ Download Tendernotice_1.pdf")</f>
        <v/>
      </c>
      <c r="M4182" s="16">
        <f>HYPERLINK("http://localhost:5173/?state=West%20Bengal&amp;keyword=ICT&amp;tender=2026_WRDD_1045593_2", "🚀 Open in Portal")</f>
        <v/>
      </c>
    </row>
    <row r="4183" ht="24" customHeight="1">
      <c r="A4183" s="4" t="inlineStr">
        <is>
          <t>West Bengal</t>
        </is>
      </c>
      <c r="B4183" s="5" t="inlineStr">
        <is>
          <t>ICT</t>
        </is>
      </c>
      <c r="C4183" s="6" t="inlineStr">
        <is>
          <t>2026_WRDD_1045593_2</t>
        </is>
      </c>
      <c r="D4183" s="7" t="inlineStr">
        <is>
          <t>[Re-excavation of 03 (three) number Canals including cross culvert and installation of solar operated pumping system with bank protection at different Mouzas under Amta-II Block of Howrah District under Core-sector Program]</t>
        </is>
      </c>
      <c r="E4183" s="7" t="inlineStr">
        <is>
          <t>West Bengal Public Works &amp; Technology Department</t>
        </is>
      </c>
      <c r="F4183" s="6" t="inlineStr">
        <is>
          <t>08 Aug 2026</t>
        </is>
      </c>
      <c r="G4183" s="5" t="inlineStr">
        <is>
          <t>30 Aug 2026</t>
        </is>
      </c>
      <c r="H4183" s="8" t="inlineStr">
        <is>
          <t>⏳ UPCOMING</t>
        </is>
      </c>
      <c r="I4183" s="4" t="inlineStr">
        <is>
          <t>BOQ_2563077.xls</t>
        </is>
      </c>
      <c r="J4183" s="6" t="inlineStr">
        <is>
          <t>📊 Excel BOQ</t>
        </is>
      </c>
      <c r="K4183" s="9" t="n">
        <v>2.5</v>
      </c>
      <c r="L4183" s="10">
        <f>HYPERLINK("http://127.0.0.1:8000/api/documents/download?id=1705&amp;attachment=true", "⬇ Download BOQ_2563077.xls")</f>
        <v/>
      </c>
      <c r="M4183" s="10">
        <f>HYPERLINK("http://localhost:5173/?state=West%20Bengal&amp;keyword=ICT&amp;tender=2026_WRDD_1045593_2", "🚀 Open in Portal")</f>
        <v/>
      </c>
    </row>
    <row r="4184" ht="24" customHeight="1">
      <c r="A4184" s="11" t="inlineStr">
        <is>
          <t>West Bengal</t>
        </is>
      </c>
      <c r="B4184" s="12" t="inlineStr">
        <is>
          <t>ICT</t>
        </is>
      </c>
      <c r="C4184" s="13" t="inlineStr">
        <is>
          <t>2026_WRDD_1045593_2</t>
        </is>
      </c>
      <c r="D4184" s="14" t="inlineStr">
        <is>
          <t>[Re-excavation of 03 (three) number Canals including cross culvert and installation of solar operated pumping system with bank protection at different Mouzas under Amta-II Block of Howrah District under Core-sector Program]</t>
        </is>
      </c>
      <c r="E4184" s="14" t="inlineStr">
        <is>
          <t>West Bengal Public Works &amp; Technology Department</t>
        </is>
      </c>
      <c r="F4184" s="13" t="inlineStr">
        <is>
          <t>08 Aug 2026</t>
        </is>
      </c>
      <c r="G4184" s="12" t="inlineStr">
        <is>
          <t>30 Aug 2026</t>
        </is>
      </c>
      <c r="H4184" s="8" t="inlineStr">
        <is>
          <t>⏳ UPCOMING</t>
        </is>
      </c>
      <c r="I4184" s="11" t="inlineStr">
        <is>
          <t>Tender_2026_WRDD_1045593_2_All_Documents.zip</t>
        </is>
      </c>
      <c r="J4184" s="13" t="inlineStr">
        <is>
          <t>📦 ZIP Package</t>
        </is>
      </c>
      <c r="K4184" s="15" t="n">
        <v>11.6</v>
      </c>
      <c r="L4184" s="16">
        <f>HYPERLINK("http://127.0.0.1:8000/api/documents/download?id=1706&amp;attachment=true", "⬇ Download Tender_2026_WRDD_1045593")</f>
        <v/>
      </c>
      <c r="M4184" s="16">
        <f>HYPERLINK("http://localhost:5173/?state=West%20Bengal&amp;keyword=ICT&amp;tender=2026_WRDD_1045593_2", "🚀 Open in Portal")</f>
        <v/>
      </c>
    </row>
    <row r="4185" ht="24" customHeight="1">
      <c r="A4185" s="4" t="inlineStr">
        <is>
          <t>West Bengal</t>
        </is>
      </c>
      <c r="B4185" s="5" t="inlineStr">
        <is>
          <t>ICT</t>
        </is>
      </c>
      <c r="C4185" s="6" t="inlineStr">
        <is>
          <t>2026_WRDD_1045593_3</t>
        </is>
      </c>
      <c r="D4185" s="7" t="inlineStr">
        <is>
          <t>[Re-excavation of 03 (three) number Canals including cross culvert and installation of solar operated pumping system with bank protection at different Mouzas under Amta-II Block of Howrah District under Core-sector Program ]</t>
        </is>
      </c>
      <c r="E4185" s="7" t="inlineStr">
        <is>
          <t>West Bengal Public Works &amp; Technology Department</t>
        </is>
      </c>
      <c r="F4185" s="6" t="inlineStr">
        <is>
          <t>06 Oct 2026</t>
        </is>
      </c>
      <c r="G4185" s="5" t="inlineStr">
        <is>
          <t>08 Nov 2026</t>
        </is>
      </c>
      <c r="H4185" s="17" t="inlineStr">
        <is>
          <t>🟢 LIVE ACTIVE</t>
        </is>
      </c>
      <c r="I4185" s="4" t="inlineStr">
        <is>
          <t>Tendernotice_1.pdf</t>
        </is>
      </c>
      <c r="J4185" s="6" t="inlineStr">
        <is>
          <t>📕 PDF Document</t>
        </is>
      </c>
      <c r="K4185" s="9" t="n">
        <v>17.9</v>
      </c>
      <c r="L4185" s="10">
        <f>HYPERLINK("http://127.0.0.1:8000/api/documents/download?id=1698&amp;attachment=true", "⬇ Download Tendernotice_1.pdf")</f>
        <v/>
      </c>
      <c r="M4185" s="10">
        <f>HYPERLINK("http://localhost:5173/?state=West%20Bengal&amp;keyword=ICT&amp;tender=2026_WRDD_1045593_3", "🚀 Open in Portal")</f>
        <v/>
      </c>
    </row>
    <row r="4186" ht="24" customHeight="1">
      <c r="A4186" s="11" t="inlineStr">
        <is>
          <t>West Bengal</t>
        </is>
      </c>
      <c r="B4186" s="12" t="inlineStr">
        <is>
          <t>ICT</t>
        </is>
      </c>
      <c r="C4186" s="13" t="inlineStr">
        <is>
          <t>2026_WRDD_1045593_3</t>
        </is>
      </c>
      <c r="D4186" s="14" t="inlineStr">
        <is>
          <t>[Re-excavation of 03 (three) number Canals including cross culvert and installation of solar operated pumping system with bank protection at different Mouzas under Amta-II Block of Howrah District under Core-sector Program ]</t>
        </is>
      </c>
      <c r="E4186" s="14" t="inlineStr">
        <is>
          <t>West Bengal Public Works &amp; Technology Department</t>
        </is>
      </c>
      <c r="F4186" s="13" t="inlineStr">
        <is>
          <t>06 Oct 2026</t>
        </is>
      </c>
      <c r="G4186" s="12" t="inlineStr">
        <is>
          <t>08 Nov 2026</t>
        </is>
      </c>
      <c r="H4186" s="17" t="inlineStr">
        <is>
          <t>🟢 LIVE ACTIVE</t>
        </is>
      </c>
      <c r="I4186" s="11" t="inlineStr">
        <is>
          <t>BOQ_2563081.xls</t>
        </is>
      </c>
      <c r="J4186" s="13" t="inlineStr">
        <is>
          <t>📊 Excel BOQ</t>
        </is>
      </c>
      <c r="K4186" s="15" t="n">
        <v>2.5</v>
      </c>
      <c r="L4186" s="16">
        <f>HYPERLINK("http://127.0.0.1:8000/api/documents/download?id=1699&amp;attachment=true", "⬇ Download BOQ_2563081.xls")</f>
        <v/>
      </c>
      <c r="M4186" s="16">
        <f>HYPERLINK("http://localhost:5173/?state=West%20Bengal&amp;keyword=ICT&amp;tender=2026_WRDD_1045593_3", "🚀 Open in Portal")</f>
        <v/>
      </c>
    </row>
    <row r="4187" ht="24" customHeight="1">
      <c r="A4187" s="4" t="inlineStr">
        <is>
          <t>West Bengal</t>
        </is>
      </c>
      <c r="B4187" s="5" t="inlineStr">
        <is>
          <t>ICT</t>
        </is>
      </c>
      <c r="C4187" s="6" t="inlineStr">
        <is>
          <t>2026_WRDD_1045593_3</t>
        </is>
      </c>
      <c r="D4187" s="7" t="inlineStr">
        <is>
          <t>[Re-excavation of 03 (three) number Canals including cross culvert and installation of solar operated pumping system with bank protection at different Mouzas under Amta-II Block of Howrah District under Core-sector Program ]</t>
        </is>
      </c>
      <c r="E4187" s="7" t="inlineStr">
        <is>
          <t>West Bengal Public Works &amp; Technology Department</t>
        </is>
      </c>
      <c r="F4187" s="6" t="inlineStr">
        <is>
          <t>06 Oct 2026</t>
        </is>
      </c>
      <c r="G4187" s="5" t="inlineStr">
        <is>
          <t>08 Nov 2026</t>
        </is>
      </c>
      <c r="H4187" s="17" t="inlineStr">
        <is>
          <t>🟢 LIVE ACTIVE</t>
        </is>
      </c>
      <c r="I4187" s="4" t="inlineStr">
        <is>
          <t>Tender_2026_WRDD_1045593_3_All_Documents.zip</t>
        </is>
      </c>
      <c r="J4187" s="6" t="inlineStr">
        <is>
          <t>📦 ZIP Package</t>
        </is>
      </c>
      <c r="K4187" s="9" t="n">
        <v>11.7</v>
      </c>
      <c r="L4187" s="10">
        <f>HYPERLINK("http://127.0.0.1:8000/api/documents/download?id=1700&amp;attachment=true", "⬇ Download Tender_2026_WRDD_1045593")</f>
        <v/>
      </c>
      <c r="M4187" s="10">
        <f>HYPERLINK("http://localhost:5173/?state=West%20Bengal&amp;keyword=ICT&amp;tender=2026_WRDD_1045593_3", "🚀 Open in Portal")</f>
        <v/>
      </c>
    </row>
    <row r="4188" ht="24" customHeight="1">
      <c r="A4188" s="11" t="inlineStr">
        <is>
          <t>West Bengal</t>
        </is>
      </c>
      <c r="B4188" s="12" t="inlineStr">
        <is>
          <t>ICT</t>
        </is>
      </c>
      <c r="C4188" s="13" t="inlineStr">
        <is>
          <t>2026_WRDD_1046001_1</t>
        </is>
      </c>
      <c r="D4188" s="14" t="inlineStr">
        <is>
          <t>[Installation of 02 (two) new Midi (E) RLI at different mouzas in Farakka Block of the District of Murshidabad under Berhampore-I (Agri-Mech) Division under Core Sector Programme]</t>
        </is>
      </c>
      <c r="E4188" s="14" t="inlineStr">
        <is>
          <t>West Bengal Public Works &amp; Technology Department</t>
        </is>
      </c>
      <c r="F4188" s="13" t="inlineStr">
        <is>
          <t>25 Oct 2026</t>
        </is>
      </c>
      <c r="G4188" s="12" t="inlineStr">
        <is>
          <t>15 Nov 2026</t>
        </is>
      </c>
      <c r="H4188" s="8" t="inlineStr">
        <is>
          <t>⏳ UPCOMING</t>
        </is>
      </c>
      <c r="I4188" s="11" t="inlineStr">
        <is>
          <t>Tendernotice_1.pdf</t>
        </is>
      </c>
      <c r="J4188" s="13" t="inlineStr">
        <is>
          <t>📕 PDF Document</t>
        </is>
      </c>
      <c r="K4188" s="15" t="n">
        <v>17.9</v>
      </c>
      <c r="L4188" s="16">
        <f>HYPERLINK("http://127.0.0.1:8000/api/documents/download?id=1692&amp;attachment=true", "⬇ Download Tendernotice_1.pdf")</f>
        <v/>
      </c>
      <c r="M4188" s="16">
        <f>HYPERLINK("http://localhost:5173/?state=West%20Bengal&amp;keyword=ICT&amp;tender=2026_WRDD_1046001_1", "🚀 Open in Portal")</f>
        <v/>
      </c>
    </row>
    <row r="4189" ht="24" customHeight="1">
      <c r="A4189" s="4" t="inlineStr">
        <is>
          <t>West Bengal</t>
        </is>
      </c>
      <c r="B4189" s="5" t="inlineStr">
        <is>
          <t>ICT</t>
        </is>
      </c>
      <c r="C4189" s="6" t="inlineStr">
        <is>
          <t>2026_WRDD_1046001_1</t>
        </is>
      </c>
      <c r="D4189" s="7" t="inlineStr">
        <is>
          <t>[Installation of 02 (two) new Midi (E) RLI at different mouzas in Farakka Block of the District of Murshidabad under Berhampore-I (Agri-Mech) Division under Core Sector Programme]</t>
        </is>
      </c>
      <c r="E4189" s="7" t="inlineStr">
        <is>
          <t>West Bengal Public Works &amp; Technology Department</t>
        </is>
      </c>
      <c r="F4189" s="6" t="inlineStr">
        <is>
          <t>25 Oct 2026</t>
        </is>
      </c>
      <c r="G4189" s="5" t="inlineStr">
        <is>
          <t>15 Nov 2026</t>
        </is>
      </c>
      <c r="H4189" s="8" t="inlineStr">
        <is>
          <t>⏳ UPCOMING</t>
        </is>
      </c>
      <c r="I4189" s="4" t="inlineStr">
        <is>
          <t>BOQ_2563571.xls</t>
        </is>
      </c>
      <c r="J4189" s="6" t="inlineStr">
        <is>
          <t>📊 Excel BOQ</t>
        </is>
      </c>
      <c r="K4189" s="9" t="n">
        <v>2.5</v>
      </c>
      <c r="L4189" s="10">
        <f>HYPERLINK("http://127.0.0.1:8000/api/documents/download?id=1693&amp;attachment=true", "⬇ Download BOQ_2563571.xls")</f>
        <v/>
      </c>
      <c r="M4189" s="10">
        <f>HYPERLINK("http://localhost:5173/?state=West%20Bengal&amp;keyword=ICT&amp;tender=2026_WRDD_1046001_1", "🚀 Open in Portal")</f>
        <v/>
      </c>
    </row>
    <row r="4190" ht="24" customHeight="1">
      <c r="A4190" s="11" t="inlineStr">
        <is>
          <t>West Bengal</t>
        </is>
      </c>
      <c r="B4190" s="12" t="inlineStr">
        <is>
          <t>ICT</t>
        </is>
      </c>
      <c r="C4190" s="13" t="inlineStr">
        <is>
          <t>2026_WRDD_1046001_1</t>
        </is>
      </c>
      <c r="D4190" s="14" t="inlineStr">
        <is>
          <t>[Installation of 02 (two) new Midi (E) RLI at different mouzas in Farakka Block of the District of Murshidabad under Berhampore-I (Agri-Mech) Division under Core Sector Programme]</t>
        </is>
      </c>
      <c r="E4190" s="14" t="inlineStr">
        <is>
          <t>West Bengal Public Works &amp; Technology Department</t>
        </is>
      </c>
      <c r="F4190" s="13" t="inlineStr">
        <is>
          <t>25 Oct 2026</t>
        </is>
      </c>
      <c r="G4190" s="12" t="inlineStr">
        <is>
          <t>15 Nov 2026</t>
        </is>
      </c>
      <c r="H4190" s="8" t="inlineStr">
        <is>
          <t>⏳ UPCOMING</t>
        </is>
      </c>
      <c r="I4190" s="11" t="inlineStr">
        <is>
          <t>Tender_2026_WRDD_1046001_1_All_Documents.zip</t>
        </is>
      </c>
      <c r="J4190" s="13" t="inlineStr">
        <is>
          <t>📦 ZIP Package</t>
        </is>
      </c>
      <c r="K4190" s="15" t="n">
        <v>11.6</v>
      </c>
      <c r="L4190" s="16">
        <f>HYPERLINK("http://127.0.0.1:8000/api/documents/download?id=1694&amp;attachment=true", "⬇ Download Tender_2026_WRDD_1046001")</f>
        <v/>
      </c>
      <c r="M4190" s="16">
        <f>HYPERLINK("http://localhost:5173/?state=West%20Bengal&amp;keyword=ICT&amp;tender=2026_WRDD_1046001_1", "🚀 Open in Portal")</f>
        <v/>
      </c>
    </row>
    <row r="4191" ht="24" customHeight="1">
      <c r="A4191" s="4" t="inlineStr">
        <is>
          <t>West Bengal</t>
        </is>
      </c>
      <c r="B4191" s="5" t="inlineStr">
        <is>
          <t>ICT</t>
        </is>
      </c>
      <c r="C4191" s="6" t="inlineStr">
        <is>
          <t>2026_WRDD_1046001_2</t>
        </is>
      </c>
      <c r="D4191" s="7" t="inlineStr">
        <is>
          <t>[Installation of 02 (two) new Midi (E) RLI at different mouzas in Farakka Block of the District of Murshidabad under Berhampore-I (Agri-Mech) Division under Core Sector Programme]</t>
        </is>
      </c>
      <c r="E4191" s="7" t="inlineStr">
        <is>
          <t>West Bengal Public Works &amp; Technology Department</t>
        </is>
      </c>
      <c r="F4191" s="6" t="inlineStr">
        <is>
          <t>04 Sep 2026</t>
        </is>
      </c>
      <c r="G4191" s="5" t="inlineStr">
        <is>
          <t>30 Sep 2026</t>
        </is>
      </c>
      <c r="H4191" s="8" t="inlineStr">
        <is>
          <t>⏳ UPCOMING</t>
        </is>
      </c>
      <c r="I4191" s="4" t="inlineStr">
        <is>
          <t>Tendernotice_1.pdf</t>
        </is>
      </c>
      <c r="J4191" s="6" t="inlineStr">
        <is>
          <t>📕 PDF Document</t>
        </is>
      </c>
      <c r="K4191" s="9" t="n">
        <v>17.9</v>
      </c>
      <c r="L4191" s="10">
        <f>HYPERLINK("http://127.0.0.1:8000/api/documents/download?id=1689&amp;attachment=true", "⬇ Download Tendernotice_1.pdf")</f>
        <v/>
      </c>
      <c r="M4191" s="10">
        <f>HYPERLINK("http://localhost:5173/?state=West%20Bengal&amp;keyword=ICT&amp;tender=2026_WRDD_1046001_2", "🚀 Open in Portal")</f>
        <v/>
      </c>
    </row>
    <row r="4192" ht="24" customHeight="1">
      <c r="A4192" s="11" t="inlineStr">
        <is>
          <t>West Bengal</t>
        </is>
      </c>
      <c r="B4192" s="12" t="inlineStr">
        <is>
          <t>ICT</t>
        </is>
      </c>
      <c r="C4192" s="13" t="inlineStr">
        <is>
          <t>2026_WRDD_1046001_2</t>
        </is>
      </c>
      <c r="D4192" s="14" t="inlineStr">
        <is>
          <t>[Installation of 02 (two) new Midi (E) RLI at different mouzas in Farakka Block of the District of Murshidabad under Berhampore-I (Agri-Mech) Division under Core Sector Programme]</t>
        </is>
      </c>
      <c r="E4192" s="14" t="inlineStr">
        <is>
          <t>West Bengal Public Works &amp; Technology Department</t>
        </is>
      </c>
      <c r="F4192" s="13" t="inlineStr">
        <is>
          <t>04 Sep 2026</t>
        </is>
      </c>
      <c r="G4192" s="12" t="inlineStr">
        <is>
          <t>30 Sep 2026</t>
        </is>
      </c>
      <c r="H4192" s="8" t="inlineStr">
        <is>
          <t>⏳ UPCOMING</t>
        </is>
      </c>
      <c r="I4192" s="11" t="inlineStr">
        <is>
          <t>BOQ_2563574.xls</t>
        </is>
      </c>
      <c r="J4192" s="13" t="inlineStr">
        <is>
          <t>📊 Excel BOQ</t>
        </is>
      </c>
      <c r="K4192" s="15" t="n">
        <v>2.5</v>
      </c>
      <c r="L4192" s="16">
        <f>HYPERLINK("http://127.0.0.1:8000/api/documents/download?id=1690&amp;attachment=true", "⬇ Download BOQ_2563574.xls")</f>
        <v/>
      </c>
      <c r="M4192" s="16">
        <f>HYPERLINK("http://localhost:5173/?state=West%20Bengal&amp;keyword=ICT&amp;tender=2026_WRDD_1046001_2", "🚀 Open in Portal")</f>
        <v/>
      </c>
    </row>
    <row r="4193" ht="24" customHeight="1">
      <c r="A4193" s="4" t="inlineStr">
        <is>
          <t>West Bengal</t>
        </is>
      </c>
      <c r="B4193" s="5" t="inlineStr">
        <is>
          <t>ICT</t>
        </is>
      </c>
      <c r="C4193" s="6" t="inlineStr">
        <is>
          <t>2026_WRDD_1046001_2</t>
        </is>
      </c>
      <c r="D4193" s="7" t="inlineStr">
        <is>
          <t>[Installation of 02 (two) new Midi (E) RLI at different mouzas in Farakka Block of the District of Murshidabad under Berhampore-I (Agri-Mech) Division under Core Sector Programme]</t>
        </is>
      </c>
      <c r="E4193" s="7" t="inlineStr">
        <is>
          <t>West Bengal Public Works &amp; Technology Department</t>
        </is>
      </c>
      <c r="F4193" s="6" t="inlineStr">
        <is>
          <t>04 Sep 2026</t>
        </is>
      </c>
      <c r="G4193" s="5" t="inlineStr">
        <is>
          <t>30 Sep 2026</t>
        </is>
      </c>
      <c r="H4193" s="8" t="inlineStr">
        <is>
          <t>⏳ UPCOMING</t>
        </is>
      </c>
      <c r="I4193" s="4" t="inlineStr">
        <is>
          <t>Tender_2026_WRDD_1046001_2_All_Documents.zip</t>
        </is>
      </c>
      <c r="J4193" s="6" t="inlineStr">
        <is>
          <t>📦 ZIP Package</t>
        </is>
      </c>
      <c r="K4193" s="9" t="n">
        <v>11.6</v>
      </c>
      <c r="L4193" s="10">
        <f>HYPERLINK("http://127.0.0.1:8000/api/documents/download?id=1691&amp;attachment=true", "⬇ Download Tender_2026_WRDD_1046001")</f>
        <v/>
      </c>
      <c r="M4193" s="10">
        <f>HYPERLINK("http://localhost:5173/?state=West%20Bengal&amp;keyword=ICT&amp;tender=2026_WRDD_1046001_2", "🚀 Open in Portal")</f>
        <v/>
      </c>
    </row>
    <row r="4194" ht="24" customHeight="1">
      <c r="A4194" s="11" t="inlineStr">
        <is>
          <t>West Bengal</t>
        </is>
      </c>
      <c r="B4194" s="12" t="inlineStr">
        <is>
          <t>ICT</t>
        </is>
      </c>
      <c r="C4194" s="13" t="inlineStr">
        <is>
          <t>2026_WRDD_1046062_1</t>
        </is>
      </c>
      <c r="D4194" s="14" t="inlineStr">
        <is>
          <t>[Re-Excavation of canal including installation of solar oprated pumping system at Kamina and Chakbhagabatipur Mouza in Uluberia-II Block under Howrah (A-I) Division in Howrah District.]</t>
        </is>
      </c>
      <c r="E4194" s="14" t="inlineStr">
        <is>
          <t>West Bengal Public Works &amp; Technology Department</t>
        </is>
      </c>
      <c r="F4194" s="13" t="inlineStr">
        <is>
          <t>19 Aug 2026</t>
        </is>
      </c>
      <c r="G4194" s="12" t="inlineStr">
        <is>
          <t>14 Sep 2026</t>
        </is>
      </c>
      <c r="H4194" s="8" t="inlineStr">
        <is>
          <t>⏳ UPCOMING</t>
        </is>
      </c>
      <c r="I4194" s="11" t="inlineStr">
        <is>
          <t>Tendernotice_1.pdf</t>
        </is>
      </c>
      <c r="J4194" s="13" t="inlineStr">
        <is>
          <t>📕 PDF Document</t>
        </is>
      </c>
      <c r="K4194" s="15" t="n">
        <v>17.9</v>
      </c>
      <c r="L4194" s="16">
        <f>HYPERLINK("http://127.0.0.1:8000/api/documents/download?id=1686&amp;attachment=true", "⬇ Download Tendernotice_1.pdf")</f>
        <v/>
      </c>
      <c r="M4194" s="16">
        <f>HYPERLINK("http://localhost:5173/?state=West%20Bengal&amp;keyword=ICT&amp;tender=2026_WRDD_1046062_1", "🚀 Open in Portal")</f>
        <v/>
      </c>
    </row>
    <row r="4195" ht="24" customHeight="1">
      <c r="A4195" s="4" t="inlineStr">
        <is>
          <t>West Bengal</t>
        </is>
      </c>
      <c r="B4195" s="5" t="inlineStr">
        <is>
          <t>ICT</t>
        </is>
      </c>
      <c r="C4195" s="6" t="inlineStr">
        <is>
          <t>2026_WRDD_1046062_1</t>
        </is>
      </c>
      <c r="D4195" s="7" t="inlineStr">
        <is>
          <t>[Re-Excavation of canal including installation of solar oprated pumping system at Kamina and Chakbhagabatipur Mouza in Uluberia-II Block under Howrah (A-I) Division in Howrah District.]</t>
        </is>
      </c>
      <c r="E4195" s="7" t="inlineStr">
        <is>
          <t>West Bengal Public Works &amp; Technology Department</t>
        </is>
      </c>
      <c r="F4195" s="6" t="inlineStr">
        <is>
          <t>19 Aug 2026</t>
        </is>
      </c>
      <c r="G4195" s="5" t="inlineStr">
        <is>
          <t>14 Sep 2026</t>
        </is>
      </c>
      <c r="H4195" s="8" t="inlineStr">
        <is>
          <t>⏳ UPCOMING</t>
        </is>
      </c>
      <c r="I4195" s="4" t="inlineStr">
        <is>
          <t>BOQ_2563651.xls</t>
        </is>
      </c>
      <c r="J4195" s="6" t="inlineStr">
        <is>
          <t>📊 Excel BOQ</t>
        </is>
      </c>
      <c r="K4195" s="9" t="n">
        <v>2.5</v>
      </c>
      <c r="L4195" s="10">
        <f>HYPERLINK("http://127.0.0.1:8000/api/documents/download?id=1687&amp;attachment=true", "⬇ Download BOQ_2563651.xls")</f>
        <v/>
      </c>
      <c r="M4195" s="10">
        <f>HYPERLINK("http://localhost:5173/?state=West%20Bengal&amp;keyword=ICT&amp;tender=2026_WRDD_1046062_1", "🚀 Open in Portal")</f>
        <v/>
      </c>
    </row>
    <row r="4196" ht="24" customHeight="1">
      <c r="A4196" s="11" t="inlineStr">
        <is>
          <t>West Bengal</t>
        </is>
      </c>
      <c r="B4196" s="12" t="inlineStr">
        <is>
          <t>ICT</t>
        </is>
      </c>
      <c r="C4196" s="13" t="inlineStr">
        <is>
          <t>2026_WRDD_1046062_1</t>
        </is>
      </c>
      <c r="D4196" s="14" t="inlineStr">
        <is>
          <t>[Re-Excavation of canal including installation of solar oprated pumping system at Kamina and Chakbhagabatipur Mouza in Uluberia-II Block under Howrah (A-I) Division in Howrah District.]</t>
        </is>
      </c>
      <c r="E4196" s="14" t="inlineStr">
        <is>
          <t>West Bengal Public Works &amp; Technology Department</t>
        </is>
      </c>
      <c r="F4196" s="13" t="inlineStr">
        <is>
          <t>19 Aug 2026</t>
        </is>
      </c>
      <c r="G4196" s="12" t="inlineStr">
        <is>
          <t>14 Sep 2026</t>
        </is>
      </c>
      <c r="H4196" s="8" t="inlineStr">
        <is>
          <t>⏳ UPCOMING</t>
        </is>
      </c>
      <c r="I4196" s="11" t="inlineStr">
        <is>
          <t>Tender_2026_WRDD_1046062_1_All_Documents.zip</t>
        </is>
      </c>
      <c r="J4196" s="13" t="inlineStr">
        <is>
          <t>📦 ZIP Package</t>
        </is>
      </c>
      <c r="K4196" s="15" t="n">
        <v>11.6</v>
      </c>
      <c r="L4196" s="16">
        <f>HYPERLINK("http://127.0.0.1:8000/api/documents/download?id=1688&amp;attachment=true", "⬇ Download Tender_2026_WRDD_1046062")</f>
        <v/>
      </c>
      <c r="M4196" s="16">
        <f>HYPERLINK("http://localhost:5173/?state=West%20Bengal&amp;keyword=ICT&amp;tender=2026_WRDD_1046062_1", "🚀 Open in Portal")</f>
        <v/>
      </c>
    </row>
    <row r="4197" ht="24" customHeight="1">
      <c r="A4197" s="4" t="inlineStr">
        <is>
          <t>West Bengal</t>
        </is>
      </c>
      <c r="B4197" s="5" t="inlineStr">
        <is>
          <t>ICT</t>
        </is>
      </c>
      <c r="C4197" s="6" t="inlineStr">
        <is>
          <t>2026_WRDD_1046062_2</t>
        </is>
      </c>
      <c r="D4197" s="7" t="inlineStr">
        <is>
          <t>[Re-Excavation of canal including installation of solar oprated pumping system at Kamina and Chakbhagabatipur Mouza in Uluberia-II Block under Howrah (A-I) Division in Howrah District.]</t>
        </is>
      </c>
      <c r="E4197" s="7" t="inlineStr">
        <is>
          <t>West Bengal Public Works &amp; Technology Department</t>
        </is>
      </c>
      <c r="F4197" s="6" t="inlineStr">
        <is>
          <t>23 Sep 2026</t>
        </is>
      </c>
      <c r="G4197" s="5" t="inlineStr">
        <is>
          <t>20 Oct 2026</t>
        </is>
      </c>
      <c r="H4197" s="18" t="inlineStr">
        <is>
          <t>⚠️ CLOSING SOON</t>
        </is>
      </c>
      <c r="I4197" s="4" t="inlineStr">
        <is>
          <t>Tendernotice_1.pdf</t>
        </is>
      </c>
      <c r="J4197" s="6" t="inlineStr">
        <is>
          <t>📕 PDF Document</t>
        </is>
      </c>
      <c r="K4197" s="9" t="n">
        <v>17.9</v>
      </c>
      <c r="L4197" s="10">
        <f>HYPERLINK("http://127.0.0.1:8000/api/documents/download?id=1677&amp;attachment=true", "⬇ Download Tendernotice_1.pdf")</f>
        <v/>
      </c>
      <c r="M4197" s="10">
        <f>HYPERLINK("http://localhost:5173/?state=West%20Bengal&amp;keyword=ICT&amp;tender=2026_WRDD_1046062_2", "🚀 Open in Portal")</f>
        <v/>
      </c>
    </row>
    <row r="4198" ht="24" customHeight="1">
      <c r="A4198" s="11" t="inlineStr">
        <is>
          <t>West Bengal</t>
        </is>
      </c>
      <c r="B4198" s="12" t="inlineStr">
        <is>
          <t>ICT</t>
        </is>
      </c>
      <c r="C4198" s="13" t="inlineStr">
        <is>
          <t>2026_WRDD_1046062_2</t>
        </is>
      </c>
      <c r="D4198" s="14" t="inlineStr">
        <is>
          <t>[Re-Excavation of canal including installation of solar oprated pumping system at Kamina and Chakbhagabatipur Mouza in Uluberia-II Block under Howrah (A-I) Division in Howrah District.]</t>
        </is>
      </c>
      <c r="E4198" s="14" t="inlineStr">
        <is>
          <t>West Bengal Public Works &amp; Technology Department</t>
        </is>
      </c>
      <c r="F4198" s="13" t="inlineStr">
        <is>
          <t>23 Sep 2026</t>
        </is>
      </c>
      <c r="G4198" s="12" t="inlineStr">
        <is>
          <t>20 Oct 2026</t>
        </is>
      </c>
      <c r="H4198" s="18" t="inlineStr">
        <is>
          <t>⚠️ CLOSING SOON</t>
        </is>
      </c>
      <c r="I4198" s="11" t="inlineStr">
        <is>
          <t>BOQ_2563659.xls</t>
        </is>
      </c>
      <c r="J4198" s="13" t="inlineStr">
        <is>
          <t>📊 Excel BOQ</t>
        </is>
      </c>
      <c r="K4198" s="15" t="n">
        <v>2.5</v>
      </c>
      <c r="L4198" s="16">
        <f>HYPERLINK("http://127.0.0.1:8000/api/documents/download?id=1678&amp;attachment=true", "⬇ Download BOQ_2563659.xls")</f>
        <v/>
      </c>
      <c r="M4198" s="16">
        <f>HYPERLINK("http://localhost:5173/?state=West%20Bengal&amp;keyword=ICT&amp;tender=2026_WRDD_1046062_2", "🚀 Open in Portal")</f>
        <v/>
      </c>
    </row>
    <row r="4199" ht="24" customHeight="1">
      <c r="A4199" s="4" t="inlineStr">
        <is>
          <t>West Bengal</t>
        </is>
      </c>
      <c r="B4199" s="5" t="inlineStr">
        <is>
          <t>ICT</t>
        </is>
      </c>
      <c r="C4199" s="6" t="inlineStr">
        <is>
          <t>2026_WRDD_1046062_2</t>
        </is>
      </c>
      <c r="D4199" s="7" t="inlineStr">
        <is>
          <t>[Re-Excavation of canal including installation of solar oprated pumping system at Kamina and Chakbhagabatipur Mouza in Uluberia-II Block under Howrah (A-I) Division in Howrah District.]</t>
        </is>
      </c>
      <c r="E4199" s="7" t="inlineStr">
        <is>
          <t>West Bengal Public Works &amp; Technology Department</t>
        </is>
      </c>
      <c r="F4199" s="6" t="inlineStr">
        <is>
          <t>23 Sep 2026</t>
        </is>
      </c>
      <c r="G4199" s="5" t="inlineStr">
        <is>
          <t>20 Oct 2026</t>
        </is>
      </c>
      <c r="H4199" s="18" t="inlineStr">
        <is>
          <t>⚠️ CLOSING SOON</t>
        </is>
      </c>
      <c r="I4199" s="4" t="inlineStr">
        <is>
          <t>Tender_2026_WRDD_1046062_2_All_Documents.zip</t>
        </is>
      </c>
      <c r="J4199" s="6" t="inlineStr">
        <is>
          <t>📦 ZIP Package</t>
        </is>
      </c>
      <c r="K4199" s="9" t="n">
        <v>11.6</v>
      </c>
      <c r="L4199" s="10">
        <f>HYPERLINK("http://127.0.0.1:8000/api/documents/download?id=1679&amp;attachment=true", "⬇ Download Tender_2026_WRDD_1046062")</f>
        <v/>
      </c>
      <c r="M4199" s="10">
        <f>HYPERLINK("http://localhost:5173/?state=West%20Bengal&amp;keyword=ICT&amp;tender=2026_WRDD_1046062_2", "🚀 Open in Portal")</f>
        <v/>
      </c>
    </row>
    <row r="4200" ht="24" customHeight="1">
      <c r="A4200" s="11" t="inlineStr">
        <is>
          <t>West Bengal</t>
        </is>
      </c>
      <c r="B4200" s="12" t="inlineStr">
        <is>
          <t>ICT</t>
        </is>
      </c>
      <c r="C4200" s="13" t="inlineStr">
        <is>
          <t>2026_WTL_1046226_1</t>
        </is>
      </c>
      <c r="D4200" s="14" t="inlineStr">
        <is>
          <t>[Supply, Installation, Operation and Maintenance of SDWAN Solution along with revamping of WBSWAN AMC devices at 168 no of police office along with central location at Lal bazar under the jurisdiction of Kolkata Police in the State of West Bengal]</t>
        </is>
      </c>
      <c r="E4200" s="14" t="inlineStr">
        <is>
          <t>West Bengal Public Works &amp; Technology Department</t>
        </is>
      </c>
      <c r="F4200" s="13" t="inlineStr">
        <is>
          <t>09 Oct 2026</t>
        </is>
      </c>
      <c r="G4200" s="12" t="inlineStr">
        <is>
          <t>25 Oct 2026</t>
        </is>
      </c>
      <c r="H4200" s="17" t="inlineStr">
        <is>
          <t>🟢 LIVE ACTIVE</t>
        </is>
      </c>
      <c r="I4200" s="11" t="inlineStr">
        <is>
          <t>Tendernotice_1.pdf</t>
        </is>
      </c>
      <c r="J4200" s="13" t="inlineStr">
        <is>
          <t>📕 PDF Document</t>
        </is>
      </c>
      <c r="K4200" s="15" t="n">
        <v>17.9</v>
      </c>
      <c r="L4200" s="16">
        <f>HYPERLINK("http://127.0.0.1:8000/api/documents/download?id=1669&amp;attachment=true", "⬇ Download Tendernotice_1.pdf")</f>
        <v/>
      </c>
      <c r="M4200" s="16">
        <f>HYPERLINK("http://localhost:5173/?state=West%20Bengal&amp;keyword=ICT&amp;tender=2026_WTL_1046226_1", "🚀 Open in Portal")</f>
        <v/>
      </c>
    </row>
    <row r="4201" ht="24" customHeight="1">
      <c r="A4201" s="4" t="inlineStr">
        <is>
          <t>West Bengal</t>
        </is>
      </c>
      <c r="B4201" s="5" t="inlineStr">
        <is>
          <t>ICT</t>
        </is>
      </c>
      <c r="C4201" s="6" t="inlineStr">
        <is>
          <t>2026_WTL_1046226_1</t>
        </is>
      </c>
      <c r="D4201" s="7" t="inlineStr">
        <is>
          <t>[Supply, Installation, Operation and Maintenance of SDWAN Solution along with revamping of WBSWAN AMC devices at 168 no of police office along with central location at Lal bazar under the jurisdiction of Kolkata Police in the State of West Bengal]</t>
        </is>
      </c>
      <c r="E4201" s="7" t="inlineStr">
        <is>
          <t>West Bengal Public Works &amp; Technology Department</t>
        </is>
      </c>
      <c r="F4201" s="6" t="inlineStr">
        <is>
          <t>09 Oct 2026</t>
        </is>
      </c>
      <c r="G4201" s="5" t="inlineStr">
        <is>
          <t>25 Oct 2026</t>
        </is>
      </c>
      <c r="H4201" s="17" t="inlineStr">
        <is>
          <t>🟢 LIVE ACTIVE</t>
        </is>
      </c>
      <c r="I4201" s="4" t="inlineStr">
        <is>
          <t>BOQ_2563857.xls</t>
        </is>
      </c>
      <c r="J4201" s="6" t="inlineStr">
        <is>
          <t>📊 Excel BOQ</t>
        </is>
      </c>
      <c r="K4201" s="9" t="n">
        <v>2.5</v>
      </c>
      <c r="L4201" s="10">
        <f>HYPERLINK("http://127.0.0.1:8000/api/documents/download?id=1670&amp;attachment=true", "⬇ Download BOQ_2563857.xls")</f>
        <v/>
      </c>
      <c r="M4201" s="10">
        <f>HYPERLINK("http://localhost:5173/?state=West%20Bengal&amp;keyword=ICT&amp;tender=2026_WTL_1046226_1", "🚀 Open in Portal")</f>
        <v/>
      </c>
    </row>
    <row r="4202" ht="24" customHeight="1">
      <c r="A4202" s="11" t="inlineStr">
        <is>
          <t>West Bengal</t>
        </is>
      </c>
      <c r="B4202" s="12" t="inlineStr">
        <is>
          <t>ICT</t>
        </is>
      </c>
      <c r="C4202" s="13" t="inlineStr">
        <is>
          <t>2026_WTL_1046226_1</t>
        </is>
      </c>
      <c r="D4202" s="14" t="inlineStr">
        <is>
          <t>[Supply, Installation, Operation and Maintenance of SDWAN Solution along with revamping of WBSWAN AMC devices at 168 no of police office along with central location at Lal bazar under the jurisdiction of Kolkata Police in the State of West Bengal]</t>
        </is>
      </c>
      <c r="E4202" s="14" t="inlineStr">
        <is>
          <t>West Bengal Public Works &amp; Technology Department</t>
        </is>
      </c>
      <c r="F4202" s="13" t="inlineStr">
        <is>
          <t>09 Oct 2026</t>
        </is>
      </c>
      <c r="G4202" s="12" t="inlineStr">
        <is>
          <t>25 Oct 2026</t>
        </is>
      </c>
      <c r="H4202" s="17" t="inlineStr">
        <is>
          <t>🟢 LIVE ACTIVE</t>
        </is>
      </c>
      <c r="I4202" s="11" t="inlineStr">
        <is>
          <t>Tender_2026_WTL_1046226_1_All_Documents.zip</t>
        </is>
      </c>
      <c r="J4202" s="13" t="inlineStr">
        <is>
          <t>📦 ZIP Package</t>
        </is>
      </c>
      <c r="K4202" s="15" t="n">
        <v>11.6</v>
      </c>
      <c r="L4202" s="16">
        <f>HYPERLINK("http://127.0.0.1:8000/api/documents/download?id=1671&amp;attachment=true", "⬇ Download Tender_2026_WTL_1046226_")</f>
        <v/>
      </c>
      <c r="M4202" s="16">
        <f>HYPERLINK("http://localhost:5173/?state=West%20Bengal&amp;keyword=ICT&amp;tender=2026_WTL_1046226_1", "🚀 Open in Portal")</f>
        <v/>
      </c>
    </row>
    <row r="4203" ht="24" customHeight="1">
      <c r="A4203" s="4" t="inlineStr">
        <is>
          <t>West Bengal</t>
        </is>
      </c>
      <c r="B4203" s="5" t="inlineStr">
        <is>
          <t>Water Resources</t>
        </is>
      </c>
      <c r="C4203" s="6" t="inlineStr">
        <is>
          <t>2026_WES_6053098_75</t>
        </is>
      </c>
      <c r="D4203" s="7" t="inlineStr">
        <is>
          <t>Water Resources-Based River Basin Hydro-Meteorological Sensor Network &amp; GIS Flood Simulation</t>
        </is>
      </c>
      <c r="E4203" s="7" t="inlineStr">
        <is>
          <t>WATER RESOURCES &amp; IRRIGATION DEPARTMENT</t>
        </is>
      </c>
      <c r="F4203" s="6" t="inlineStr">
        <is>
          <t>19 Aug 2026</t>
        </is>
      </c>
      <c r="G4203" s="5" t="inlineStr">
        <is>
          <t>18 Sep 2026</t>
        </is>
      </c>
      <c r="H4203" s="8" t="inlineStr">
        <is>
          <t>⏳ UPCOMING</t>
        </is>
      </c>
      <c r="I4203" s="4" t="inlineStr">
        <is>
          <t>Tendernotice_2026_WES_6053098_75.pdf</t>
        </is>
      </c>
      <c r="J4203" s="6" t="inlineStr">
        <is>
          <t>📕 PDF Document</t>
        </is>
      </c>
      <c r="K4203" s="9" t="n">
        <v>7.7</v>
      </c>
      <c r="L4203" s="10">
        <f>HYPERLINK("http://127.0.0.1:8000/api/documents/download?id=3489&amp;attachment=true", "⬇ Download Tendernotice_2026_WES_60")</f>
        <v/>
      </c>
      <c r="M4203" s="10">
        <f>HYPERLINK("http://localhost:5173/?state=West%20Bengal&amp;keyword=Water%20Resources&amp;tender=2026_WES_6053098_75", "🚀 Open in Portal")</f>
        <v/>
      </c>
    </row>
    <row r="4204" ht="24" customHeight="1">
      <c r="A4204" s="11" t="inlineStr">
        <is>
          <t>West Bengal</t>
        </is>
      </c>
      <c r="B4204" s="12" t="inlineStr">
        <is>
          <t>Water Resources</t>
        </is>
      </c>
      <c r="C4204" s="13" t="inlineStr">
        <is>
          <t>2026_WES_6053098_75</t>
        </is>
      </c>
      <c r="D4204" s="14" t="inlineStr">
        <is>
          <t>Water Resources-Based River Basin Hydro-Meteorological Sensor Network &amp; GIS Flood Simulation</t>
        </is>
      </c>
      <c r="E4204" s="14" t="inlineStr">
        <is>
          <t>WATER RESOURCES &amp; IRRIGATION DEPARTMENT</t>
        </is>
      </c>
      <c r="F4204" s="13" t="inlineStr">
        <is>
          <t>19 Aug 2026</t>
        </is>
      </c>
      <c r="G4204" s="12" t="inlineStr">
        <is>
          <t>18 Sep 2026</t>
        </is>
      </c>
      <c r="H4204" s="8" t="inlineStr">
        <is>
          <t>⏳ UPCOMING</t>
        </is>
      </c>
      <c r="I4204" s="11" t="inlineStr">
        <is>
          <t>Technical_RFP_Specification_Water Resources.pdf</t>
        </is>
      </c>
      <c r="J4204" s="13" t="inlineStr">
        <is>
          <t>📕 PDF Document</t>
        </is>
      </c>
      <c r="K4204" s="15" t="n">
        <v>7.7</v>
      </c>
      <c r="L4204" s="16">
        <f>HYPERLINK("http://127.0.0.1:8000/api/documents/download?id=3490&amp;attachment=true", "⬇ Download Technical_RFP_Specificat")</f>
        <v/>
      </c>
      <c r="M4204" s="16">
        <f>HYPERLINK("http://localhost:5173/?state=West%20Bengal&amp;keyword=Water%20Resources&amp;tender=2026_WES_6053098_75", "🚀 Open in Portal")</f>
        <v/>
      </c>
    </row>
    <row r="4205" ht="24" customHeight="1">
      <c r="A4205" s="4" t="inlineStr">
        <is>
          <t>West Bengal</t>
        </is>
      </c>
      <c r="B4205" s="5" t="inlineStr">
        <is>
          <t>Water Resources</t>
        </is>
      </c>
      <c r="C4205" s="6" t="inlineStr">
        <is>
          <t>2026_WES_6053098_75</t>
        </is>
      </c>
      <c r="D4205" s="7" t="inlineStr">
        <is>
          <t>Water Resources-Based River Basin Hydro-Meteorological Sensor Network &amp; GIS Flood Simulation</t>
        </is>
      </c>
      <c r="E4205" s="7" t="inlineStr">
        <is>
          <t>WATER RESOURCES &amp; IRRIGATION DEPARTMENT</t>
        </is>
      </c>
      <c r="F4205" s="6" t="inlineStr">
        <is>
          <t>19 Aug 2026</t>
        </is>
      </c>
      <c r="G4205" s="5" t="inlineStr">
        <is>
          <t>18 Sep 2026</t>
        </is>
      </c>
      <c r="H4205" s="8" t="inlineStr">
        <is>
          <t>⏳ UPCOMING</t>
        </is>
      </c>
      <c r="I4205" s="4" t="inlineStr">
        <is>
          <t>BOQ_Financial_Schedule_2026_WES_6053098_75.xlsx</t>
        </is>
      </c>
      <c r="J4205" s="6" t="inlineStr">
        <is>
          <t>📊 Excel BOQ</t>
        </is>
      </c>
      <c r="K4205" s="9" t="n">
        <v>5.9</v>
      </c>
      <c r="L4205" s="10">
        <f>HYPERLINK("http://127.0.0.1:8000/api/documents/download?id=3491&amp;attachment=true", "⬇ Download BOQ_Financial_Schedule_2")</f>
        <v/>
      </c>
      <c r="M4205" s="10">
        <f>HYPERLINK("http://localhost:5173/?state=West%20Bengal&amp;keyword=Water%20Resources&amp;tender=2026_WES_6053098_75", "🚀 Open in Portal")</f>
        <v/>
      </c>
    </row>
    <row r="4206" ht="24" customHeight="1">
      <c r="A4206" s="11" t="inlineStr">
        <is>
          <t>West Bengal</t>
        </is>
      </c>
      <c r="B4206" s="12" t="inlineStr">
        <is>
          <t>Water Resources</t>
        </is>
      </c>
      <c r="C4206" s="13" t="inlineStr">
        <is>
          <t>2026_WES_6053098_75</t>
        </is>
      </c>
      <c r="D4206" s="14" t="inlineStr">
        <is>
          <t>Water Resources-Based River Basin Hydro-Meteorological Sensor Network &amp; GIS Flood Simulation</t>
        </is>
      </c>
      <c r="E4206" s="14" t="inlineStr">
        <is>
          <t>WATER RESOURCES &amp; IRRIGATION DEPARTMENT</t>
        </is>
      </c>
      <c r="F4206" s="13" t="inlineStr">
        <is>
          <t>19 Aug 2026</t>
        </is>
      </c>
      <c r="G4206" s="12" t="inlineStr">
        <is>
          <t>18 Sep 2026</t>
        </is>
      </c>
      <c r="H4206" s="8" t="inlineStr">
        <is>
          <t>⏳ UPCOMING</t>
        </is>
      </c>
      <c r="I4206" s="11" t="inlineStr">
        <is>
          <t>Tender_2026_WES_6053098_75_All_Documents.zip</t>
        </is>
      </c>
      <c r="J4206" s="13" t="inlineStr">
        <is>
          <t>📦 ZIP Package</t>
        </is>
      </c>
      <c r="K4206" s="15" t="n">
        <v>45</v>
      </c>
      <c r="L4206" s="16">
        <f>HYPERLINK("https://wbtenders.gov.in/tender/2026_WES_6053098_75", "⬇ Download Tender_2026_WES_6053098_")</f>
        <v/>
      </c>
      <c r="M4206" s="16">
        <f>HYPERLINK("http://localhost:5173/?state=West%20Bengal&amp;keyword=Water%20Resources&amp;tender=2026_WES_6053098_75", "🚀 Open in Portal")</f>
        <v/>
      </c>
    </row>
    <row r="4207" ht="24" customHeight="1">
      <c r="A4207" s="4" t="inlineStr">
        <is>
          <t>West Bengal</t>
        </is>
      </c>
      <c r="B4207" s="5" t="inlineStr">
        <is>
          <t>Spatial</t>
        </is>
      </c>
      <c r="C4207" s="6" t="inlineStr">
        <is>
          <t>2026_WES_6267904_60</t>
        </is>
      </c>
      <c r="D4207" s="7" t="inlineStr">
        <is>
          <t>Spatial-Based Geospatial Road Asset Inventory &amp; Pavement Condition Digital Survey</t>
        </is>
      </c>
      <c r="E4207" s="7" t="inlineStr">
        <is>
          <t>PUBLIC WORKS &amp; HIGHWAYS DEPARTMENT</t>
        </is>
      </c>
      <c r="F4207" s="6" t="inlineStr">
        <is>
          <t>10 Aug 2026</t>
        </is>
      </c>
      <c r="G4207" s="5" t="inlineStr">
        <is>
          <t>07 Sep 2026</t>
        </is>
      </c>
      <c r="H4207" s="8" t="inlineStr">
        <is>
          <t>⏳ UPCOMING</t>
        </is>
      </c>
      <c r="I4207" s="4" t="inlineStr">
        <is>
          <t>Tendernotice_2026_WES_6267904_60.pdf</t>
        </is>
      </c>
      <c r="J4207" s="6" t="inlineStr">
        <is>
          <t>📕 PDF Document</t>
        </is>
      </c>
      <c r="K4207" s="9" t="n">
        <v>17.9</v>
      </c>
      <c r="L4207" s="10">
        <f>HYPERLINK("http://127.0.0.1:8000/api/documents/download?id=3341&amp;attachment=true", "⬇ Download Tendernotice_2026_WES_62")</f>
        <v/>
      </c>
      <c r="M4207" s="10">
        <f>HYPERLINK("http://localhost:5173/?state=West%20Bengal&amp;keyword=Spatial&amp;tender=2026_WES_6267904_60", "🚀 Open in Portal")</f>
        <v/>
      </c>
    </row>
    <row r="4208" ht="24" customHeight="1">
      <c r="A4208" s="11" t="inlineStr">
        <is>
          <t>West Bengal</t>
        </is>
      </c>
      <c r="B4208" s="12" t="inlineStr">
        <is>
          <t>Spatial</t>
        </is>
      </c>
      <c r="C4208" s="13" t="inlineStr">
        <is>
          <t>2026_WES_6267904_60</t>
        </is>
      </c>
      <c r="D4208" s="14" t="inlineStr">
        <is>
          <t>Spatial-Based Geospatial Road Asset Inventory &amp; Pavement Condition Digital Survey</t>
        </is>
      </c>
      <c r="E4208" s="14" t="inlineStr">
        <is>
          <t>PUBLIC WORKS &amp; HIGHWAYS DEPARTMENT</t>
        </is>
      </c>
      <c r="F4208" s="13" t="inlineStr">
        <is>
          <t>10 Aug 2026</t>
        </is>
      </c>
      <c r="G4208" s="12" t="inlineStr">
        <is>
          <t>07 Sep 2026</t>
        </is>
      </c>
      <c r="H4208" s="8" t="inlineStr">
        <is>
          <t>⏳ UPCOMING</t>
        </is>
      </c>
      <c r="I4208" s="11" t="inlineStr">
        <is>
          <t>Technical_RFP_Specification_Spatial.pdf</t>
        </is>
      </c>
      <c r="J4208" s="13" t="inlineStr">
        <is>
          <t>📕 PDF Document</t>
        </is>
      </c>
      <c r="K4208" s="15" t="n">
        <v>17.9</v>
      </c>
      <c r="L4208" s="16">
        <f>HYPERLINK("http://127.0.0.1:8000/api/documents/download?id=3342&amp;attachment=true", "⬇ Download Technical_RFP_Specificat")</f>
        <v/>
      </c>
      <c r="M4208" s="16">
        <f>HYPERLINK("http://localhost:5173/?state=West%20Bengal&amp;keyword=Spatial&amp;tender=2026_WES_6267904_60", "🚀 Open in Portal")</f>
        <v/>
      </c>
    </row>
    <row r="4209" ht="24" customHeight="1">
      <c r="A4209" s="4" t="inlineStr">
        <is>
          <t>West Bengal</t>
        </is>
      </c>
      <c r="B4209" s="5" t="inlineStr">
        <is>
          <t>Spatial</t>
        </is>
      </c>
      <c r="C4209" s="6" t="inlineStr">
        <is>
          <t>2026_WES_6267904_60</t>
        </is>
      </c>
      <c r="D4209" s="7" t="inlineStr">
        <is>
          <t>Spatial-Based Geospatial Road Asset Inventory &amp; Pavement Condition Digital Survey</t>
        </is>
      </c>
      <c r="E4209" s="7" t="inlineStr">
        <is>
          <t>PUBLIC WORKS &amp; HIGHWAYS DEPARTMENT</t>
        </is>
      </c>
      <c r="F4209" s="6" t="inlineStr">
        <is>
          <t>10 Aug 2026</t>
        </is>
      </c>
      <c r="G4209" s="5" t="inlineStr">
        <is>
          <t>07 Sep 2026</t>
        </is>
      </c>
      <c r="H4209" s="8" t="inlineStr">
        <is>
          <t>⏳ UPCOMING</t>
        </is>
      </c>
      <c r="I4209" s="4" t="inlineStr">
        <is>
          <t>BOQ_Financial_Schedule_2026_WES_6267904_60.xlsx</t>
        </is>
      </c>
      <c r="J4209" s="6" t="inlineStr">
        <is>
          <t>📊 Excel BOQ</t>
        </is>
      </c>
      <c r="K4209" s="9" t="n">
        <v>2.4</v>
      </c>
      <c r="L4209" s="10">
        <f>HYPERLINK("http://127.0.0.1:8000/api/documents/download?id=3343&amp;attachment=true", "⬇ Download BOQ_Financial_Schedule_2")</f>
        <v/>
      </c>
      <c r="M4209" s="10">
        <f>HYPERLINK("http://localhost:5173/?state=West%20Bengal&amp;keyword=Spatial&amp;tender=2026_WES_6267904_60", "🚀 Open in Portal")</f>
        <v/>
      </c>
    </row>
    <row r="4210" ht="24" customHeight="1">
      <c r="A4210" s="11" t="inlineStr">
        <is>
          <t>West Bengal</t>
        </is>
      </c>
      <c r="B4210" s="12" t="inlineStr">
        <is>
          <t>Spatial</t>
        </is>
      </c>
      <c r="C4210" s="13" t="inlineStr">
        <is>
          <t>2026_WES_6267904_60</t>
        </is>
      </c>
      <c r="D4210" s="14" t="inlineStr">
        <is>
          <t>Spatial-Based Geospatial Road Asset Inventory &amp; Pavement Condition Digital Survey</t>
        </is>
      </c>
      <c r="E4210" s="14" t="inlineStr">
        <is>
          <t>PUBLIC WORKS &amp; HIGHWAYS DEPARTMENT</t>
        </is>
      </c>
      <c r="F4210" s="13" t="inlineStr">
        <is>
          <t>10 Aug 2026</t>
        </is>
      </c>
      <c r="G4210" s="12" t="inlineStr">
        <is>
          <t>07 Sep 2026</t>
        </is>
      </c>
      <c r="H4210" s="8" t="inlineStr">
        <is>
          <t>⏳ UPCOMING</t>
        </is>
      </c>
      <c r="I4210" s="11" t="inlineStr">
        <is>
          <t>Tender_2026_WES_6267904_60_All_Documents.zip</t>
        </is>
      </c>
      <c r="J4210" s="13" t="inlineStr">
        <is>
          <t>📦 ZIP Package</t>
        </is>
      </c>
      <c r="K4210" s="15" t="n">
        <v>45</v>
      </c>
      <c r="L4210" s="16">
        <f>HYPERLINK("https://wbtenders.gov.in/tender/2026_WES_6267904_60", "⬇ Download Tender_2026_WES_6267904_")</f>
        <v/>
      </c>
      <c r="M4210" s="16">
        <f>HYPERLINK("http://localhost:5173/?state=West%20Bengal&amp;keyword=Spatial&amp;tender=2026_WES_6267904_60", "🚀 Open in Portal")</f>
        <v/>
      </c>
    </row>
    <row r="4211" ht="24" customHeight="1">
      <c r="A4211" s="4" t="inlineStr">
        <is>
          <t>West Bengal</t>
        </is>
      </c>
      <c r="B4211" s="5" t="inlineStr">
        <is>
          <t>Mapping</t>
        </is>
      </c>
      <c r="C4211" s="6" t="inlineStr">
        <is>
          <t>2026_WES_2012370_81</t>
        </is>
      </c>
      <c r="D4211" s="7" t="inlineStr">
        <is>
          <t>Mapping-Based High Resolution Satellite Imagery Land Use &amp; Land Cover Spatial Mapping</t>
        </is>
      </c>
      <c r="E4211" s="7" t="inlineStr">
        <is>
          <t>DEPARTMENT OF SCIENCE, TECHNOLOGY &amp; REMOTE SENSING</t>
        </is>
      </c>
      <c r="F4211" s="6" t="inlineStr">
        <is>
          <t>30 Jul 2026</t>
        </is>
      </c>
      <c r="G4211" s="5" t="inlineStr">
        <is>
          <t>29 Aug 2026</t>
        </is>
      </c>
      <c r="H4211" s="8" t="inlineStr">
        <is>
          <t>⏳ UPCOMING</t>
        </is>
      </c>
      <c r="I4211" s="4" t="inlineStr">
        <is>
          <t>Tendernotice_2026_WES_2012370_81.pdf</t>
        </is>
      </c>
      <c r="J4211" s="6" t="inlineStr">
        <is>
          <t>📕 PDF Document</t>
        </is>
      </c>
      <c r="K4211" s="9" t="n">
        <v>17.9</v>
      </c>
      <c r="L4211" s="10">
        <f>HYPERLINK("http://127.0.0.1:8000/api/documents/download?id=3173&amp;attachment=true", "⬇ Download Tendernotice_2026_WES_20")</f>
        <v/>
      </c>
      <c r="M4211" s="10">
        <f>HYPERLINK("http://localhost:5173/?state=West%20Bengal&amp;keyword=Mapping&amp;tender=2026_WES_2012370_81", "🚀 Open in Portal")</f>
        <v/>
      </c>
    </row>
    <row r="4212" ht="24" customHeight="1">
      <c r="A4212" s="11" t="inlineStr">
        <is>
          <t>West Bengal</t>
        </is>
      </c>
      <c r="B4212" s="12" t="inlineStr">
        <is>
          <t>Mapping</t>
        </is>
      </c>
      <c r="C4212" s="13" t="inlineStr">
        <is>
          <t>2026_WES_2012370_81</t>
        </is>
      </c>
      <c r="D4212" s="14" t="inlineStr">
        <is>
          <t>Mapping-Based High Resolution Satellite Imagery Land Use &amp; Land Cover Spatial Mapping</t>
        </is>
      </c>
      <c r="E4212" s="14" t="inlineStr">
        <is>
          <t>DEPARTMENT OF SCIENCE, TECHNOLOGY &amp; REMOTE SENSING</t>
        </is>
      </c>
      <c r="F4212" s="13" t="inlineStr">
        <is>
          <t>30 Jul 2026</t>
        </is>
      </c>
      <c r="G4212" s="12" t="inlineStr">
        <is>
          <t>29 Aug 2026</t>
        </is>
      </c>
      <c r="H4212" s="8" t="inlineStr">
        <is>
          <t>⏳ UPCOMING</t>
        </is>
      </c>
      <c r="I4212" s="11" t="inlineStr">
        <is>
          <t>Technical_RFP_Specification_Mapping.pdf</t>
        </is>
      </c>
      <c r="J4212" s="13" t="inlineStr">
        <is>
          <t>📕 PDF Document</t>
        </is>
      </c>
      <c r="K4212" s="15" t="n">
        <v>18</v>
      </c>
      <c r="L4212" s="16">
        <f>HYPERLINK("http://127.0.0.1:8000/api/documents/download?id=3174&amp;attachment=true", "⬇ Download Technical_RFP_Specificat")</f>
        <v/>
      </c>
      <c r="M4212" s="16">
        <f>HYPERLINK("http://localhost:5173/?state=West%20Bengal&amp;keyword=Mapping&amp;tender=2026_WES_2012370_81", "🚀 Open in Portal")</f>
        <v/>
      </c>
    </row>
    <row r="4213" ht="24" customHeight="1">
      <c r="A4213" s="4" t="inlineStr">
        <is>
          <t>West Bengal</t>
        </is>
      </c>
      <c r="B4213" s="5" t="inlineStr">
        <is>
          <t>Mapping</t>
        </is>
      </c>
      <c r="C4213" s="6" t="inlineStr">
        <is>
          <t>2026_WES_2012370_81</t>
        </is>
      </c>
      <c r="D4213" s="7" t="inlineStr">
        <is>
          <t>Mapping-Based High Resolution Satellite Imagery Land Use &amp; Land Cover Spatial Mapping</t>
        </is>
      </c>
      <c r="E4213" s="7" t="inlineStr">
        <is>
          <t>DEPARTMENT OF SCIENCE, TECHNOLOGY &amp; REMOTE SENSING</t>
        </is>
      </c>
      <c r="F4213" s="6" t="inlineStr">
        <is>
          <t>30 Jul 2026</t>
        </is>
      </c>
      <c r="G4213" s="5" t="inlineStr">
        <is>
          <t>29 Aug 2026</t>
        </is>
      </c>
      <c r="H4213" s="8" t="inlineStr">
        <is>
          <t>⏳ UPCOMING</t>
        </is>
      </c>
      <c r="I4213" s="4" t="inlineStr">
        <is>
          <t>BOQ_Financial_Schedule_2026_WES_2012370_81.xlsx</t>
        </is>
      </c>
      <c r="J4213" s="6" t="inlineStr">
        <is>
          <t>📊 Excel BOQ</t>
        </is>
      </c>
      <c r="K4213" s="9" t="n">
        <v>2.5</v>
      </c>
      <c r="L4213" s="10">
        <f>HYPERLINK("http://127.0.0.1:8000/api/documents/download?id=3175&amp;attachment=true", "⬇ Download BOQ_Financial_Schedule_2")</f>
        <v/>
      </c>
      <c r="M4213" s="10">
        <f>HYPERLINK("http://localhost:5173/?state=West%20Bengal&amp;keyword=Mapping&amp;tender=2026_WES_2012370_81", "🚀 Open in Portal")</f>
        <v/>
      </c>
    </row>
    <row r="4214" ht="24" customHeight="1">
      <c r="A4214" s="11" t="inlineStr">
        <is>
          <t>West Bengal</t>
        </is>
      </c>
      <c r="B4214" s="12" t="inlineStr">
        <is>
          <t>Mapping</t>
        </is>
      </c>
      <c r="C4214" s="13" t="inlineStr">
        <is>
          <t>2026_WES_2012370_81</t>
        </is>
      </c>
      <c r="D4214" s="14" t="inlineStr">
        <is>
          <t>Mapping-Based High Resolution Satellite Imagery Land Use &amp; Land Cover Spatial Mapping</t>
        </is>
      </c>
      <c r="E4214" s="14" t="inlineStr">
        <is>
          <t>DEPARTMENT OF SCIENCE, TECHNOLOGY &amp; REMOTE SENSING</t>
        </is>
      </c>
      <c r="F4214" s="13" t="inlineStr">
        <is>
          <t>30 Jul 2026</t>
        </is>
      </c>
      <c r="G4214" s="12" t="inlineStr">
        <is>
          <t>29 Aug 2026</t>
        </is>
      </c>
      <c r="H4214" s="8" t="inlineStr">
        <is>
          <t>⏳ UPCOMING</t>
        </is>
      </c>
      <c r="I4214" s="11" t="inlineStr">
        <is>
          <t>Tender_2026_WES_2012370_81_All_Documents.zip</t>
        </is>
      </c>
      <c r="J4214" s="13" t="inlineStr">
        <is>
          <t>📦 ZIP Package</t>
        </is>
      </c>
      <c r="K4214" s="15" t="n">
        <v>45</v>
      </c>
      <c r="L4214" s="16">
        <f>HYPERLINK("https://wbtenders.gov.in/tender/2026_WES_2012370_81", "⬇ Download Tender_2026_WES_2012370_")</f>
        <v/>
      </c>
      <c r="M4214" s="16">
        <f>HYPERLINK("http://localhost:5173/?state=West%20Bengal&amp;keyword=Mapping&amp;tender=2026_WES_2012370_81", "🚀 Open in Portal")</f>
        <v/>
      </c>
    </row>
  </sheetData>
  <mergeCells count="2">
    <mergeCell ref="A2:M2"/>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2"/>
  <sheetViews>
    <sheetView showGridLines="1" workbookViewId="0">
      <pane ySplit="3" topLeftCell="A4" activePane="bottomLeft" state="frozen"/>
      <selection pane="bottomLeft" activeCell="A1" sqref="A1"/>
    </sheetView>
  </sheetViews>
  <sheetFormatPr baseColWidth="8" defaultRowHeight="15"/>
  <cols>
    <col width="24" customWidth="1" min="1" max="1"/>
    <col width="24" customWidth="1" min="2" max="2"/>
    <col width="40" customWidth="1" min="3" max="3"/>
    <col width="22" customWidth="1" min="4" max="4"/>
    <col width="26" customWidth="1" min="5" max="5"/>
    <col width="25" customWidth="1" min="6" max="6"/>
  </cols>
  <sheetData>
    <row r="1" ht="28" customHeight="1">
      <c r="A1" s="22" t="inlineStr">
        <is>
          <t>GISFY Automated Proposals — Monitored States &amp; Keywords Matrix</t>
        </is>
      </c>
    </row>
    <row r="3" ht="26" customHeight="1">
      <c r="A3" s="23" t="inlineStr">
        <is>
          <t>State Name</t>
        </is>
      </c>
      <c r="B3" s="23" t="inlineStr">
        <is>
          <t>Official Portal URL</t>
        </is>
      </c>
      <c r="C3" s="23" t="inlineStr">
        <is>
          <t>Target Keywords Monitored</t>
        </is>
      </c>
      <c r="D3" s="23" t="inlineStr">
        <is>
          <t>Total Active Proposals</t>
        </is>
      </c>
      <c r="E3" s="23" t="inlineStr">
        <is>
          <t>Available Proposal Documents</t>
        </is>
      </c>
      <c r="F3" s="23" t="inlineStr">
        <is>
          <t>Launch State in Portal</t>
        </is>
      </c>
    </row>
    <row r="4" ht="22" customHeight="1">
      <c r="A4" s="24" t="inlineStr">
        <is>
          <t>Andhra Pradesh</t>
        </is>
      </c>
      <c r="B4" s="25">
        <f>HYPERLINK("https://tender.apeprocurement.gov.in", "Official Portal ↗")</f>
        <v/>
      </c>
      <c r="C4" s="26" t="inlineStr">
        <is>
          <t>GIS, ICT, Forest, Environment, Water Resources, Spatial, Software Development, MIS, Mapping, Design, Digital, Development, Empanelment</t>
        </is>
      </c>
      <c r="D4" s="5" t="n">
        <v>59</v>
      </c>
      <c r="E4" s="5" t="n">
        <v>499</v>
      </c>
      <c r="F4" s="10">
        <f>HYPERLINK("http://localhost:5173/?state=Andhra%20Pradesh", "🌐 Open State Portal")</f>
        <v/>
      </c>
    </row>
    <row r="5" ht="22" customHeight="1">
      <c r="A5" s="27" t="inlineStr">
        <is>
          <t>Arunachal Pradesh</t>
        </is>
      </c>
      <c r="B5" s="28">
        <f>HYPERLINK("https://arunachaltenders.gov.in", "Official Portal ↗")</f>
        <v/>
      </c>
      <c r="C5" s="29" t="inlineStr">
        <is>
          <t>GIS, ICT, Agriculture, Forest, Environment, Health, Spatial, MIS, Mobile Application, Mapping, Empanelment</t>
        </is>
      </c>
      <c r="D5" s="12" t="n">
        <v>18</v>
      </c>
      <c r="E5" s="12" t="n">
        <v>37</v>
      </c>
      <c r="F5" s="16">
        <f>HYPERLINK("http://localhost:5173/?state=Arunachal%20Pradesh", "🌐 Open State Portal")</f>
        <v/>
      </c>
    </row>
    <row r="6" ht="22" customHeight="1">
      <c r="A6" s="24" t="inlineStr">
        <is>
          <t>Assam</t>
        </is>
      </c>
      <c r="B6" s="25">
        <f>HYPERLINK("https://assamtenders.gov.in", "Official Portal ↗")</f>
        <v/>
      </c>
      <c r="C6" s="26" t="inlineStr">
        <is>
          <t>GIS, ICT, Forest, Water Resources, Spatial</t>
        </is>
      </c>
      <c r="D6" s="5" t="n">
        <v>11</v>
      </c>
      <c r="E6" s="5" t="n">
        <v>58</v>
      </c>
      <c r="F6" s="10">
        <f>HYPERLINK("http://localhost:5173/?state=Assam", "🌐 Open State Portal")</f>
        <v/>
      </c>
    </row>
    <row r="7" ht="22" customHeight="1">
      <c r="A7" s="27" t="inlineStr">
        <is>
          <t>Bihar</t>
        </is>
      </c>
      <c r="B7" s="28">
        <f>HYPERLINK("https://eproc2.bihar.gov.in", "Official Portal ↗")</f>
        <v/>
      </c>
      <c r="C7" s="29" t="inlineStr">
        <is>
          <t>GIS, ICT, Agriculture, Forest, Climate Change, Environment, Water Resources, Health, Spatial, Software Development, MIS, Mobile Application, Mapping, Digital</t>
        </is>
      </c>
      <c r="D7" s="12" t="n">
        <v>20</v>
      </c>
      <c r="E7" s="12" t="n">
        <v>32</v>
      </c>
      <c r="F7" s="16">
        <f>HYPERLINK("http://localhost:5173/?state=Bihar", "🌐 Open State Portal")</f>
        <v/>
      </c>
    </row>
    <row r="8" ht="22" customHeight="1">
      <c r="A8" s="24" t="inlineStr">
        <is>
          <t>Chhattisgarh</t>
        </is>
      </c>
      <c r="B8" s="25">
        <f>HYPERLINK("https://eproc.cgstate.gov.in", "Official Portal ↗")</f>
        <v/>
      </c>
      <c r="C8" s="26" t="inlineStr">
        <is>
          <t>GIS, ICT, Agriculture, Forest, Climate Change, Environment, Water Resources, Health, Spatial, Software Development, MIS, Mobile Application, Mapping, Empanelment</t>
        </is>
      </c>
      <c r="D8" s="5" t="n">
        <v>16</v>
      </c>
      <c r="E8" s="5" t="n">
        <v>20</v>
      </c>
      <c r="F8" s="10">
        <f>HYPERLINK("http://localhost:5173/?state=Chhattisgarh", "🌐 Open State Portal")</f>
        <v/>
      </c>
    </row>
    <row r="9" ht="22" customHeight="1">
      <c r="A9" s="27" t="inlineStr">
        <is>
          <t>Delhi</t>
        </is>
      </c>
      <c r="B9" s="28">
        <f>HYPERLINK("https://govtprocurement.delhi.gov.in", "Official Portal ↗")</f>
        <v/>
      </c>
      <c r="C9" s="29" t="inlineStr">
        <is>
          <t>ICT, Forest, Environment, Water Resources, Health, Spatial, MIS, Mapping, Development, Empanelment</t>
        </is>
      </c>
      <c r="D9" s="12" t="n">
        <v>69</v>
      </c>
      <c r="E9" s="12" t="n">
        <v>233</v>
      </c>
      <c r="F9" s="16">
        <f>HYPERLINK("http://localhost:5173/?state=Delhi", "🌐 Open State Portal")</f>
        <v/>
      </c>
    </row>
    <row r="10" ht="22" customHeight="1">
      <c r="A10" s="24" t="inlineStr">
        <is>
          <t>Goa</t>
        </is>
      </c>
      <c r="B10" s="25">
        <f>HYPERLINK("https://eprocure.goa.gov.in", "Official Portal ↗")</f>
        <v/>
      </c>
      <c r="C10" s="26" t="inlineStr">
        <is>
          <t>GIS, ICT, Forest, Design</t>
        </is>
      </c>
      <c r="D10" s="5" t="n">
        <v>27</v>
      </c>
      <c r="E10" s="5" t="n">
        <v>77</v>
      </c>
      <c r="F10" s="10">
        <f>HYPERLINK("http://localhost:5173/?state=Goa", "🌐 Open State Portal")</f>
        <v/>
      </c>
    </row>
    <row r="11" ht="22" customHeight="1">
      <c r="A11" s="27" t="inlineStr">
        <is>
          <t>Gujarat</t>
        </is>
      </c>
      <c r="B11" s="28">
        <f>HYPERLINK("https://tender.nprocure.com", "Official Portal ↗")</f>
        <v/>
      </c>
      <c r="C11" s="29" t="inlineStr">
        <is>
          <t>GIS, ICT, Agriculture, Forest, Climate Change, Environment, Spatial, Software Development, MIS, Mobile Application, Mapping, Website Development/Application, Design, Digital, Development</t>
        </is>
      </c>
      <c r="D11" s="12" t="n">
        <v>18</v>
      </c>
      <c r="E11" s="12" t="n">
        <v>13</v>
      </c>
      <c r="F11" s="16">
        <f>HYPERLINK("http://localhost:5173/?state=Gujarat", "🌐 Open State Portal")</f>
        <v/>
      </c>
    </row>
    <row r="12" ht="22" customHeight="1">
      <c r="A12" s="24" t="inlineStr">
        <is>
          <t>Haryana</t>
        </is>
      </c>
      <c r="B12" s="25">
        <f>HYPERLINK("https://etenders.hry.nic.in", "Official Portal ↗")</f>
        <v/>
      </c>
      <c r="C12" s="26" t="inlineStr">
        <is>
          <t>GIS, ICT, Forest, Water Resources, Design, Development, Empanelment</t>
        </is>
      </c>
      <c r="D12" s="5" t="n">
        <v>14</v>
      </c>
      <c r="E12" s="5" t="n">
        <v>50</v>
      </c>
      <c r="F12" s="10">
        <f>HYPERLINK("http://localhost:5173/?state=Haryana", "🌐 Open State Portal")</f>
        <v/>
      </c>
    </row>
    <row r="13" ht="22" customHeight="1">
      <c r="A13" s="27" t="inlineStr">
        <is>
          <t>Himachal Pradesh</t>
        </is>
      </c>
      <c r="B13" s="28">
        <f>HYPERLINK("https://hptenders.gov.in", "Official Portal ↗")</f>
        <v/>
      </c>
      <c r="C13" s="29" t="inlineStr">
        <is>
          <t>GIS, ICT, Water Resources, Mapping, Development</t>
        </is>
      </c>
      <c r="D13" s="12" t="n">
        <v>28</v>
      </c>
      <c r="E13" s="12" t="n">
        <v>115</v>
      </c>
      <c r="F13" s="16">
        <f>HYPERLINK("http://localhost:5173/?state=Himachal%20Pradesh", "🌐 Open State Portal")</f>
        <v/>
      </c>
    </row>
    <row r="14" ht="22" customHeight="1">
      <c r="A14" s="24" t="inlineStr">
        <is>
          <t>Jharkhand</t>
        </is>
      </c>
      <c r="B14" s="25">
        <f>HYPERLINK("https://jharkhandtenders.gov.in", "Official Portal ↗")</f>
        <v/>
      </c>
      <c r="C14" s="26" t="inlineStr">
        <is>
          <t>GIS, ICT, Water Resources, Spatial, Mapping</t>
        </is>
      </c>
      <c r="D14" s="5" t="n">
        <v>25</v>
      </c>
      <c r="E14" s="5" t="n">
        <v>98</v>
      </c>
      <c r="F14" s="10">
        <f>HYPERLINK("http://localhost:5173/?state=Jharkhand", "🌐 Open State Portal")</f>
        <v/>
      </c>
    </row>
    <row r="15" ht="22" customHeight="1">
      <c r="A15" s="27" t="inlineStr">
        <is>
          <t>Karnataka</t>
        </is>
      </c>
      <c r="B15" s="28">
        <f>HYPERLINK("https://kppp.karnataka.gov.in", "Official Portal ↗")</f>
        <v/>
      </c>
      <c r="C15" s="29" t="inlineStr">
        <is>
          <t>GIS, ICT, Agriculture, Forest, Climate Change, Environment, Water Resources, Health, Spatial, Software Development, MIS, Mobile Application, Mapping, Website Development/Application, Development</t>
        </is>
      </c>
      <c r="D15" s="12" t="n">
        <v>23</v>
      </c>
      <c r="E15" s="12" t="n">
        <v>43</v>
      </c>
      <c r="F15" s="16">
        <f>HYPERLINK("http://localhost:5173/?state=Karnataka", "🌐 Open State Portal")</f>
        <v/>
      </c>
    </row>
    <row r="16" ht="22" customHeight="1">
      <c r="A16" s="24" t="inlineStr">
        <is>
          <t>Kerala</t>
        </is>
      </c>
      <c r="B16" s="25">
        <f>HYPERLINK("https://etenders.kerala.gov.in", "Official Portal ↗")</f>
        <v/>
      </c>
      <c r="C16" s="26" t="inlineStr">
        <is>
          <t>GIS, ICT, Forest, Mapping, Development, Empanelment</t>
        </is>
      </c>
      <c r="D16" s="5" t="n">
        <v>37</v>
      </c>
      <c r="E16" s="5" t="n">
        <v>191</v>
      </c>
      <c r="F16" s="10">
        <f>HYPERLINK("http://localhost:5173/?state=Kerala", "🌐 Open State Portal")</f>
        <v/>
      </c>
    </row>
    <row r="17" ht="22" customHeight="1">
      <c r="A17" s="27" t="inlineStr">
        <is>
          <t>Madhya Pradesh</t>
        </is>
      </c>
      <c r="B17" s="28">
        <f>HYPERLINK("https://mptenders.gov.in", "Official Portal ↗")</f>
        <v/>
      </c>
      <c r="C17" s="29" t="inlineStr">
        <is>
          <t>GIS, ICT, Water Resources, Development, Empanelment</t>
        </is>
      </c>
      <c r="D17" s="12" t="n">
        <v>24</v>
      </c>
      <c r="E17" s="12" t="n">
        <v>83</v>
      </c>
      <c r="F17" s="16">
        <f>HYPERLINK("http://localhost:5173/?state=Madhya%20Pradesh", "🌐 Open State Portal")</f>
        <v/>
      </c>
    </row>
    <row r="18" ht="22" customHeight="1">
      <c r="A18" s="24" t="inlineStr">
        <is>
          <t>Maharashtra</t>
        </is>
      </c>
      <c r="B18" s="25">
        <f>HYPERLINK("https://mahatenders.gov.in", "Official Portal ↗")</f>
        <v/>
      </c>
      <c r="C18" s="26" t="inlineStr">
        <is>
          <t>GIS, ICT, Forest, Climate Change, Environment, Water Resources, Health, Spatial, MIS, Mapping, Design, Digital, Development</t>
        </is>
      </c>
      <c r="D18" s="5" t="n">
        <v>121</v>
      </c>
      <c r="E18" s="5" t="n">
        <v>369</v>
      </c>
      <c r="F18" s="10">
        <f>HYPERLINK("http://localhost:5173/?state=Maharashtra", "🌐 Open State Portal")</f>
        <v/>
      </c>
    </row>
    <row r="19" ht="22" customHeight="1">
      <c r="A19" s="27" t="inlineStr">
        <is>
          <t>Manipur</t>
        </is>
      </c>
      <c r="B19" s="28">
        <f>HYPERLINK("https://manipurtenders.gov.in", "Official Portal ↗")</f>
        <v/>
      </c>
      <c r="C19" s="29" t="inlineStr">
        <is>
          <t>GIS, ICT, Spatial, Mapping, Design</t>
        </is>
      </c>
      <c r="D19" s="12" t="n">
        <v>11</v>
      </c>
      <c r="E19" s="12" t="n">
        <v>34</v>
      </c>
      <c r="F19" s="16">
        <f>HYPERLINK("http://localhost:5173/?state=Manipur", "🌐 Open State Portal")</f>
        <v/>
      </c>
    </row>
    <row r="20" ht="22" customHeight="1">
      <c r="A20" s="24" t="inlineStr">
        <is>
          <t>Meghalaya</t>
        </is>
      </c>
      <c r="B20" s="25">
        <f>HYPERLINK("https://meghalayatenders.gov.in", "Official Portal ↗")</f>
        <v/>
      </c>
      <c r="C20" s="26" t="inlineStr">
        <is>
          <t>GIS, ICT, Agriculture, Forest, Climate Change, Environment, Water Resources, Spatial, Software Development, MIS, Mobile Application, Mapping, Website Development/Application, Empanelment</t>
        </is>
      </c>
      <c r="D20" s="5" t="n">
        <v>20</v>
      </c>
      <c r="E20" s="5" t="n">
        <v>33</v>
      </c>
      <c r="F20" s="10">
        <f>HYPERLINK("http://localhost:5173/?state=Meghalaya", "🌐 Open State Portal")</f>
        <v/>
      </c>
    </row>
    <row r="21" ht="22" customHeight="1">
      <c r="A21" s="27" t="inlineStr">
        <is>
          <t>Mizoram</t>
        </is>
      </c>
      <c r="B21" s="28">
        <f>HYPERLINK("https://mizoramtenders.gov.in", "Official Portal ↗")</f>
        <v/>
      </c>
      <c r="C21" s="29" t="inlineStr">
        <is>
          <t>GIS, ICT, Agriculture, Forest, Climate Change, Environment, Spatial, MIS, Mobile Application, Mapping, Website Development/Application, Empanelment</t>
        </is>
      </c>
      <c r="D21" s="12" t="n">
        <v>14</v>
      </c>
      <c r="E21" s="12" t="n">
        <v>21</v>
      </c>
      <c r="F21" s="16">
        <f>HYPERLINK("http://localhost:5173/?state=Mizoram", "🌐 Open State Portal")</f>
        <v/>
      </c>
    </row>
    <row r="22" ht="22" customHeight="1">
      <c r="A22" s="24" t="inlineStr">
        <is>
          <t>Nagaland</t>
        </is>
      </c>
      <c r="B22" s="25">
        <f>HYPERLINK("https://nagalandtenders.gov.in", "Official Portal ↗")</f>
        <v/>
      </c>
      <c r="C22" s="26" t="inlineStr">
        <is>
          <t>GIS, ICT, Forest, Climate Change, Environment, Water Resources, Health, Spatial, Software Development, MIS, Mobile Application, Mapping, Website Development/Application, Empanelment</t>
        </is>
      </c>
      <c r="D22" s="5" t="n">
        <v>17</v>
      </c>
      <c r="E22" s="5" t="n">
        <v>30</v>
      </c>
      <c r="F22" s="10">
        <f>HYPERLINK("http://localhost:5173/?state=Nagaland", "🌐 Open State Portal")</f>
        <v/>
      </c>
    </row>
    <row r="23" ht="22" customHeight="1">
      <c r="A23" s="27" t="inlineStr">
        <is>
          <t>Odisha</t>
        </is>
      </c>
      <c r="B23" s="28">
        <f>HYPERLINK("https://tendersodisha.gov.in", "Official Portal ↗")</f>
        <v/>
      </c>
      <c r="C23" s="29" t="inlineStr">
        <is>
          <t>GIS, ICT, Spatial, Mapping</t>
        </is>
      </c>
      <c r="D23" s="12" t="n">
        <v>24</v>
      </c>
      <c r="E23" s="12" t="n">
        <v>76</v>
      </c>
      <c r="F23" s="16">
        <f>HYPERLINK("http://localhost:5173/?state=Odisha", "🌐 Open State Portal")</f>
        <v/>
      </c>
    </row>
    <row r="24" ht="22" customHeight="1">
      <c r="A24" s="24" t="inlineStr">
        <is>
          <t>Punjab</t>
        </is>
      </c>
      <c r="B24" s="25">
        <f>HYPERLINK("https://eproc.punjab.gov.in", "Official Portal ↗")</f>
        <v/>
      </c>
      <c r="C24" s="26" t="inlineStr">
        <is>
          <t>GIS, ICT, Spatial, Mapping, Empanelment</t>
        </is>
      </c>
      <c r="D24" s="5" t="n">
        <v>29</v>
      </c>
      <c r="E24" s="5" t="n">
        <v>115</v>
      </c>
      <c r="F24" s="10">
        <f>HYPERLINK("http://localhost:5173/?state=Punjab", "🌐 Open State Portal")</f>
        <v/>
      </c>
    </row>
    <row r="25" ht="22" customHeight="1">
      <c r="A25" s="27" t="inlineStr">
        <is>
          <t>Rajasthan</t>
        </is>
      </c>
      <c r="B25" s="28">
        <f>HYPERLINK("https://eproc.rajasthan.gov.in", "Official Portal ↗")</f>
        <v/>
      </c>
      <c r="C25" s="29" t="inlineStr">
        <is>
          <t>GIS, ICT, Empanelment</t>
        </is>
      </c>
      <c r="D25" s="12" t="n">
        <v>32</v>
      </c>
      <c r="E25" s="12" t="n">
        <v>111</v>
      </c>
      <c r="F25" s="16">
        <f>HYPERLINK("http://localhost:5173/?state=Rajasthan", "🌐 Open State Portal")</f>
        <v/>
      </c>
    </row>
    <row r="26" ht="22" customHeight="1">
      <c r="A26" s="24" t="inlineStr">
        <is>
          <t>Sikkim</t>
        </is>
      </c>
      <c r="B26" s="25">
        <f>HYPERLINK("https://sikkimtenders.gov.in", "Official Portal ↗")</f>
        <v/>
      </c>
      <c r="C26" s="26" t="inlineStr">
        <is>
          <t>GIS, Agriculture, Forest, Climate Change, Environment, Water Resources, Spatial, Blockchain, Software Development, Mobile Application, Mapping, Website Development/Application, Empanelment</t>
        </is>
      </c>
      <c r="D26" s="5" t="n">
        <v>18</v>
      </c>
      <c r="E26" s="5" t="n">
        <v>30</v>
      </c>
      <c r="F26" s="10">
        <f>HYPERLINK("http://localhost:5173/?state=Sikkim", "🌐 Open State Portal")</f>
        <v/>
      </c>
    </row>
    <row r="27" ht="22" customHeight="1">
      <c r="A27" s="27" t="inlineStr">
        <is>
          <t>Tamil Nadu</t>
        </is>
      </c>
      <c r="B27" s="28">
        <f>HYPERLINK("https://tntenders.gov.in", "Official Portal ↗")</f>
        <v/>
      </c>
      <c r="C27" s="29" t="inlineStr">
        <is>
          <t>GIS, ICT</t>
        </is>
      </c>
      <c r="D27" s="12" t="n">
        <v>44</v>
      </c>
      <c r="E27" s="12" t="n">
        <v>161</v>
      </c>
      <c r="F27" s="16">
        <f>HYPERLINK("http://localhost:5173/?state=Tamil%20Nadu", "🌐 Open State Portal")</f>
        <v/>
      </c>
    </row>
    <row r="28" ht="22" customHeight="1">
      <c r="A28" s="24" t="inlineStr">
        <is>
          <t>Telangana</t>
        </is>
      </c>
      <c r="B28" s="25">
        <f>HYPERLINK("https://tender.telangana.gov.in", "Official Portal ↗")</f>
        <v/>
      </c>
      <c r="C28" s="26" t="inlineStr">
        <is>
          <t>GIS, ICT, Agriculture, Forest, Climate Change, Environment, Water Resources, Health, Spatial, Software Development, MIS, Mobile Application, Mapping, Website Development/Application, Development</t>
        </is>
      </c>
      <c r="D28" s="5" t="n">
        <v>23</v>
      </c>
      <c r="E28" s="5" t="n">
        <v>38</v>
      </c>
      <c r="F28" s="10">
        <f>HYPERLINK("http://localhost:5173/?state=Telangana", "🌐 Open State Portal")</f>
        <v/>
      </c>
    </row>
    <row r="29" ht="22" customHeight="1">
      <c r="A29" s="27" t="inlineStr">
        <is>
          <t>Tripura</t>
        </is>
      </c>
      <c r="B29" s="28">
        <f>HYPERLINK("https://tripuratenders.gov.in", "Official Portal ↗")</f>
        <v/>
      </c>
      <c r="C29" s="29" t="inlineStr">
        <is>
          <t>GIS, ICT, Water Resources, Development</t>
        </is>
      </c>
      <c r="D29" s="12" t="n">
        <v>28</v>
      </c>
      <c r="E29" s="12" t="n">
        <v>98</v>
      </c>
      <c r="F29" s="16">
        <f>HYPERLINK("http://localhost:5173/?state=Tripura", "🌐 Open State Portal")</f>
        <v/>
      </c>
    </row>
    <row r="30" ht="22" customHeight="1">
      <c r="A30" s="24" t="inlineStr">
        <is>
          <t>Uttar Pradesh</t>
        </is>
      </c>
      <c r="B30" s="25">
        <f>HYPERLINK("https://etender.up.nic.in", "Official Portal ↗")</f>
        <v/>
      </c>
      <c r="C30" s="26" t="inlineStr">
        <is>
          <t>GIS, ICT, Agriculture, Forest, Water Resources, Health, Spatial, Software Development, MIS, Mapping, Design, Development, Empanelment</t>
        </is>
      </c>
      <c r="D30" s="5" t="n">
        <v>120</v>
      </c>
      <c r="E30" s="5" t="n">
        <v>366</v>
      </c>
      <c r="F30" s="10">
        <f>HYPERLINK("http://localhost:5173/?state=Uttar%20Pradesh", "🌐 Open State Portal")</f>
        <v/>
      </c>
    </row>
    <row r="31" ht="22" customHeight="1">
      <c r="A31" s="27" t="inlineStr">
        <is>
          <t>Uttarakhand</t>
        </is>
      </c>
      <c r="B31" s="28">
        <f>HYPERLINK("https://uktenders.gov.in", "Official Portal ↗")</f>
        <v/>
      </c>
      <c r="C31" s="29" t="inlineStr">
        <is>
          <t>ICT, Design, Development</t>
        </is>
      </c>
      <c r="D31" s="12" t="n">
        <v>23</v>
      </c>
      <c r="E31" s="12" t="n">
        <v>80</v>
      </c>
      <c r="F31" s="16">
        <f>HYPERLINK("http://localhost:5173/?state=Uttarakhand", "🌐 Open State Portal")</f>
        <v/>
      </c>
    </row>
    <row r="32" ht="22" customHeight="1">
      <c r="A32" s="24" t="inlineStr">
        <is>
          <t>West Bengal</t>
        </is>
      </c>
      <c r="B32" s="25">
        <f>HYPERLINK("https://wbtenders.gov.in", "Official Portal ↗")</f>
        <v/>
      </c>
      <c r="C32" s="26" t="inlineStr">
        <is>
          <t>GIS, ICT, Water Resources, Spatial, Mapping</t>
        </is>
      </c>
      <c r="D32" s="5" t="n">
        <v>29</v>
      </c>
      <c r="E32" s="5" t="n">
        <v>99</v>
      </c>
      <c r="F32" s="10">
        <f>HYPERLINK("http://localhost:5173/?state=West%20Bengal", "🌐 Open State Portal")</f>
        <v/>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2026-10-19T15:25:10Z</dcterms:created>
  <dcterms:modified xsi:type="dcterms:W3CDTF">2026-10-19T15:25:12Z</dcterms:modified>
</cp:coreProperties>
</file>