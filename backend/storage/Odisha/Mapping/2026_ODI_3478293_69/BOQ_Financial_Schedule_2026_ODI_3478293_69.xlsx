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2026_ODI_3478293_69 | Authority: DEPARTMENT OF SCIENCE, TECHNOLOGY &amp; REMOTE SENSING</t>
        </is>
      </c>
    </row>
    <row r="3">
      <c r="A3" s="3" t="inlineStr">
        <is>
          <t>Work: Mapping-Based High Resolution Satellite Imagery Land Use &amp; Land Cover Spatial Mapping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Inception Planning, High-Accuracy DGPS Ground Survey &amp; CORS Geo-referencing</t>
        </is>
      </c>
      <c r="C7" s="8" t="n">
        <v>1</v>
      </c>
      <c r="D7" s="6" t="inlineStr">
        <is>
          <t>Job</t>
        </is>
      </c>
      <c r="E7" s="9" t="n">
        <v>1800000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Drone / Aerial Remote Sensing Imagery Acquisition &amp; Photogrammetry Ortho-mosaic</t>
        </is>
      </c>
      <c r="C8" s="13" t="n">
        <v>1</v>
      </c>
      <c r="D8" s="11" t="inlineStr">
        <is>
          <t>Job</t>
        </is>
      </c>
      <c r="E8" s="14" t="n">
        <v>3800000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Spatial Vector Feature Extraction, Attribute Classification &amp; Quality Verification</t>
        </is>
      </c>
      <c r="C9" s="8" t="n">
        <v>1</v>
      </c>
      <c r="D9" s="6" t="inlineStr">
        <is>
          <t>Job</t>
        </is>
      </c>
      <c r="E9" s="9" t="n">
        <v>3200000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Enterprise Geodatabase Architecture Design &amp; State Portal Integration</t>
        </is>
      </c>
      <c r="C10" s="13" t="n">
        <v>1</v>
      </c>
      <c r="D10" s="11" t="inlineStr">
        <is>
          <t>System</t>
        </is>
      </c>
      <c r="E10" s="14" t="n">
        <v>4500000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Interactive Web GIS Dashboard Development with Spatial Query &amp; Decision Support</t>
        </is>
      </c>
      <c r="C11" s="8" t="n">
        <v>1</v>
      </c>
      <c r="D11" s="6" t="inlineStr">
        <is>
          <t>Platform</t>
        </is>
      </c>
      <c r="E11" s="9" t="n">
        <v>3600000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Training, Technology Transfer, Cloud Infrastructure Setup &amp; 1-Year AMC Maintenance</t>
        </is>
      </c>
      <c r="C12" s="13" t="n">
        <v>12</v>
      </c>
      <c r="D12" s="11" t="inlineStr">
        <is>
          <t>Months</t>
        </is>
      </c>
      <c r="E12" s="14" t="n">
        <v>110000</v>
      </c>
      <c r="F12" s="14">
        <f>C12*E12</f>
        <v/>
      </c>
      <c r="G12" s="15" t="n">
        <v>18</v>
      </c>
      <c r="H12" s="14">
        <f>F12*(1+G12/100)</f>
        <v/>
      </c>
    </row>
    <row r="13" ht="24" customHeight="1">
      <c r="A13" s="16" t="inlineStr">
        <is>
          <t>SUB-TOTAL BASIC CONTRACT VALUE (INR)</t>
        </is>
      </c>
      <c r="B13" s="17" t="n"/>
      <c r="C13" s="17" t="n"/>
      <c r="D13" s="17" t="n"/>
      <c r="E13" s="17" t="n"/>
      <c r="F13" s="18">
        <f>SUM(F7:F12)</f>
        <v/>
      </c>
      <c r="G13" s="17" t="n"/>
      <c r="H13" s="17" t="n"/>
    </row>
    <row r="14" ht="24" customHeight="1">
      <c r="A14" s="16" t="inlineStr">
        <is>
          <t>APPLICABLE GOODS &amp; SERVICES TAX (GST @ 18%) (INR)</t>
        </is>
      </c>
      <c r="B14" s="17" t="n"/>
      <c r="C14" s="17" t="n"/>
      <c r="D14" s="17" t="n"/>
      <c r="E14" s="17" t="n"/>
      <c r="F14" s="18">
        <f>F13*0.18</f>
        <v/>
      </c>
      <c r="G14" s="17" t="n"/>
      <c r="H14" s="17" t="n"/>
    </row>
    <row r="15" ht="28" customHeight="1">
      <c r="A15" s="19" t="inlineStr">
        <is>
          <t>TOTAL ESTIMATED TENDER VALUE INCLUSIVE OF ALL TAXES (INR)</t>
        </is>
      </c>
      <c r="B15" s="20" t="n"/>
      <c r="C15" s="20" t="n"/>
      <c r="D15" s="20" t="n"/>
      <c r="E15" s="20" t="n"/>
      <c r="F15" s="21">
        <f>F13+F14</f>
        <v/>
      </c>
      <c r="G15" s="20" t="n"/>
      <c r="H15" s="21">
        <f>F15</f>
        <v/>
      </c>
    </row>
  </sheetData>
  <mergeCells count="7">
    <mergeCell ref="A4:H4"/>
    <mergeCell ref="A3:H3"/>
    <mergeCell ref="A14:E14"/>
    <mergeCell ref="A15:E15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2026-10-23T11:04:39Z</dcterms:created>
  <dcterms:modified xmlns:dcterms="http://purl.org/dc/terms/" xmlns:xsi="http://www.w3.org/2001/XMLSchema-instance" xsi:type="dcterms:W3CDTF">2026-10-23T11:04:39Z</dcterms:modified>
</cp:coreProperties>
</file>