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2026_MIZ_702027_75 | Authority: DIRECTORATE OF MUNICIPAL URBAN INFRASTRUCTURE</t>
        </is>
      </c>
    </row>
    <row r="3">
      <c r="A3" s="3" t="inlineStr">
        <is>
          <t>Work: GIS-Based Drone LiDAR Survey &amp; Web GIS Geodatabase Integration for Smart Infrastructure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Establishment of DGPS Ground Control Points (GCP) network linked to Survey of India CORS network</t>
        </is>
      </c>
      <c r="C7" s="8" t="n">
        <v>45</v>
      </c>
      <c r="D7" s="6" t="inlineStr">
        <is>
          <t>Points</t>
        </is>
      </c>
      <c r="E7" s="9" t="n">
        <v>12500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High-Resolution Drone Aerial Photogrammetric Survey (5 cm GSD, True Orthophoto in GeoTIFF/ECW format)</t>
        </is>
      </c>
      <c r="C8" s="13" t="n">
        <v>180</v>
      </c>
      <c r="D8" s="11" t="inlineStr">
        <is>
          <t>Sq. Km</t>
        </is>
      </c>
      <c r="E8" s="14" t="n">
        <v>18500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3D Digital Surface Model (DSM) &amp; Digital Terrain Model (DTM) extraction with 0.5m contour interval</t>
        </is>
      </c>
      <c r="C9" s="8" t="n">
        <v>180</v>
      </c>
      <c r="D9" s="6" t="inlineStr">
        <is>
          <t>Sq. Km</t>
        </is>
      </c>
      <c r="E9" s="9" t="n">
        <v>8000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Base Map Vectorization &amp; Building Footprint Digitization with rooftop material and floor classification</t>
        </is>
      </c>
      <c r="C10" s="13" t="n">
        <v>125000</v>
      </c>
      <c r="D10" s="11" t="inlineStr">
        <is>
          <t>Properties</t>
        </is>
      </c>
      <c r="E10" s="14" t="n">
        <v>45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100% Door-to-Door Field Property Geospatial Assessment &amp; Socio-economic Geo-tagging via Mobile GIS App</t>
        </is>
      </c>
      <c r="C11" s="8" t="n">
        <v>125000</v>
      </c>
      <c r="D11" s="6" t="inlineStr">
        <is>
          <t>Properties</t>
        </is>
      </c>
      <c r="E11" s="9" t="n">
        <v>115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Unique Property Identification Number (UPIN / BUID) QR-Code Plate Generation &amp; Field Fixing</t>
        </is>
      </c>
      <c r="C12" s="13" t="n">
        <v>125000</v>
      </c>
      <c r="D12" s="11" t="inlineStr">
        <is>
          <t>Units</t>
        </is>
      </c>
      <c r="E12" s="14" t="n">
        <v>38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Integration of Spatial Geodatabase with Municipal CDMA / Revenue Billing Software &amp; Tax Demand Registers</t>
        </is>
      </c>
      <c r="C13" s="8" t="n">
        <v>1</v>
      </c>
      <c r="D13" s="6" t="inlineStr">
        <is>
          <t>Lump-sum</t>
        </is>
      </c>
      <c r="E13" s="9" t="n">
        <v>2850000</v>
      </c>
      <c r="F13" s="9">
        <f>C13*E13</f>
        <v/>
      </c>
      <c r="G13" s="10" t="n">
        <v>18</v>
      </c>
      <c r="H13" s="9">
        <f>F13*(1+G13/100)</f>
        <v/>
      </c>
    </row>
    <row r="14" ht="28" customHeight="1">
      <c r="A14" s="11" t="inlineStr">
        <is>
          <t>1.08</t>
        </is>
      </c>
      <c r="B14" s="12" t="inlineStr">
        <is>
          <t>Enterprise Web GIS Public Portal &amp; Municipal Administrative Dashboard Development (PostgreSQL/PostGIS, GeoServer)</t>
        </is>
      </c>
      <c r="C14" s="13" t="n">
        <v>1</v>
      </c>
      <c r="D14" s="11" t="inlineStr">
        <is>
          <t>System</t>
        </is>
      </c>
      <c r="E14" s="14" t="n">
        <v>3600000</v>
      </c>
      <c r="F14" s="14">
        <f>C14*E14</f>
        <v/>
      </c>
      <c r="G14" s="15" t="n">
        <v>18</v>
      </c>
      <c r="H14" s="14">
        <f>F14*(1+G14/100)</f>
        <v/>
      </c>
    </row>
    <row r="15" ht="28" customHeight="1">
      <c r="A15" s="6" t="inlineStr">
        <is>
          <t>1.09</t>
        </is>
      </c>
      <c r="B15" s="7" t="inlineStr">
        <is>
          <t>Comprehensive 3-Year On-site Technical Operations, Software Maintenance &amp; Field Updates (FMS)</t>
        </is>
      </c>
      <c r="C15" s="8" t="n">
        <v>36</v>
      </c>
      <c r="D15" s="6" t="inlineStr">
        <is>
          <t>Months</t>
        </is>
      </c>
      <c r="E15" s="9" t="n">
        <v>125000</v>
      </c>
      <c r="F15" s="9">
        <f>C15*E15</f>
        <v/>
      </c>
      <c r="G15" s="10" t="n">
        <v>18</v>
      </c>
      <c r="H15" s="9">
        <f>F15*(1+G15/100)</f>
        <v/>
      </c>
    </row>
    <row r="16" ht="24" customHeight="1">
      <c r="A16" s="16" t="inlineStr">
        <is>
          <t>SUB-TOTAL BASIC CONTRACT VALUE (INR)</t>
        </is>
      </c>
      <c r="B16" s="17" t="n"/>
      <c r="C16" s="17" t="n"/>
      <c r="D16" s="17" t="n"/>
      <c r="E16" s="17" t="n"/>
      <c r="F16" s="18">
        <f>SUM(F7:F15)</f>
        <v/>
      </c>
      <c r="G16" s="17" t="n"/>
      <c r="H16" s="17" t="n"/>
    </row>
    <row r="17" ht="24" customHeight="1">
      <c r="A17" s="16" t="inlineStr">
        <is>
          <t>APPLICABLE GOODS &amp; SERVICES TAX (GST @ 18%) (INR)</t>
        </is>
      </c>
      <c r="B17" s="17" t="n"/>
      <c r="C17" s="17" t="n"/>
      <c r="D17" s="17" t="n"/>
      <c r="E17" s="17" t="n"/>
      <c r="F17" s="18">
        <f>F16*0.18</f>
        <v/>
      </c>
      <c r="G17" s="17" t="n"/>
      <c r="H17" s="17" t="n"/>
    </row>
    <row r="18" ht="28" customHeight="1">
      <c r="A18" s="19" t="inlineStr">
        <is>
          <t>TOTAL ESTIMATED TENDER VALUE INCLUSIVE OF ALL TAXES (INR)</t>
        </is>
      </c>
      <c r="B18" s="20" t="n"/>
      <c r="C18" s="20" t="n"/>
      <c r="D18" s="20" t="n"/>
      <c r="E18" s="20" t="n"/>
      <c r="F18" s="21">
        <f>F16+F17</f>
        <v/>
      </c>
      <c r="G18" s="20" t="n"/>
      <c r="H18" s="21">
        <f>F18</f>
        <v/>
      </c>
    </row>
  </sheetData>
  <mergeCells count="7">
    <mergeCell ref="A4:H4"/>
    <mergeCell ref="A3:H3"/>
    <mergeCell ref="A16:E16"/>
    <mergeCell ref="A2:H2"/>
    <mergeCell ref="A1:H1"/>
    <mergeCell ref="A17:E17"/>
    <mergeCell ref="A18:E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2026-10-23T13:05:02Z</dcterms:created>
  <dcterms:modified xmlns:dcterms="http://purl.org/dc/terms/" xmlns:xsi="http://www.w3.org/2001/XMLSchema-instance" xsi:type="dcterms:W3CDTF">2026-10-23T13:05:02Z</dcterms:modified>
</cp:coreProperties>
</file>