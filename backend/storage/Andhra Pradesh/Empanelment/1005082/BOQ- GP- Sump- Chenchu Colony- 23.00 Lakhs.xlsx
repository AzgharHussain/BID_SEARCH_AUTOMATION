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3256" windowHeight="12216"/>
  </bookViews>
  <sheets>
    <sheet name="BOQ" sheetId="1" r:id="rId1"/>
    <sheet name="Part-1" sheetId="3" r:id="rId2"/>
    <sheet name="Part-2" sheetId="4" r:id="rId3"/>
  </sheets>
  <definedNames>
    <definedName name="_xlnm.Print_Area" localSheetId="0">BOQ!$A$1:$H$15</definedName>
    <definedName name="_xlnm.Print_Area" localSheetId="1">'Part-1'!$A$2:$C$19</definedName>
    <definedName name="_xlnm.Print_Area" localSheetId="2">'Part-2'!$A$1:$C$16</definedName>
  </definedNames>
  <calcPr calcId="152511"/>
</workbook>
</file>

<file path=xl/calcChain.xml><?xml version="1.0" encoding="utf-8"?>
<calcChain xmlns="http://schemas.openxmlformats.org/spreadsheetml/2006/main">
  <c r="H13" i="1"/>
  <c r="H12"/>
  <c r="H11"/>
  <c r="H9"/>
  <c r="H8"/>
  <c r="H4"/>
  <c r="H15" l="1"/>
  <c r="H10"/>
  <c r="H7"/>
  <c r="H14" l="1"/>
  <c r="H5"/>
  <c r="H6"/>
  <c r="H3"/>
  <c r="A1" i="4" l="1"/>
  <c r="A1" i="3"/>
  <c r="C11" i="4" l="1"/>
  <c r="E12" s="1"/>
  <c r="B6" i="3" l="1"/>
  <c r="E11" i="4" l="1"/>
  <c r="C6" i="3" l="1"/>
  <c r="E14" i="4"/>
  <c r="F14" s="1"/>
</calcChain>
</file>

<file path=xl/sharedStrings.xml><?xml version="1.0" encoding="utf-8"?>
<sst xmlns="http://schemas.openxmlformats.org/spreadsheetml/2006/main" count="100" uniqueCount="62">
  <si>
    <t>Estimate Quantity (only Figures)</t>
  </si>
  <si>
    <t>Item Detailed Specification Description</t>
  </si>
  <si>
    <t>Type(200 Characters)</t>
  </si>
  <si>
    <t>Item Short Description (100 Characters)</t>
  </si>
  <si>
    <t>Technical Specification No</t>
  </si>
  <si>
    <t>Rate</t>
  </si>
  <si>
    <t>Unit</t>
  </si>
  <si>
    <t>Amount</t>
  </si>
  <si>
    <t>As per dept. Specifications</t>
  </si>
  <si>
    <t>TOTAL</t>
  </si>
  <si>
    <t>Sl.No</t>
  </si>
  <si>
    <t>Description of the item</t>
  </si>
  <si>
    <t>Estimate contract value</t>
  </si>
  <si>
    <t>Part-I</t>
  </si>
  <si>
    <t xml:space="preserve">I am willing to execute the above mentioned work as per original agreement conditions </t>
  </si>
  <si>
    <t>Note:</t>
  </si>
  <si>
    <t>The above percentage quoted will be operated on the items in Part-I only</t>
  </si>
  <si>
    <t>The quantities specified in the above items of work are approximate.  If there are any deviations / alteration (excess or less) in quantities or units</t>
  </si>
  <si>
    <t>Payament will be made as per agreement conditions  for actual quantities executed.</t>
  </si>
  <si>
    <t>The drawings for the foundation of all structures are based on the  assumed bearing capacity of soils. The contractor shall get the foundation design of all 'structures approved by the department as per the site conditions and execute the work for any variations inthe quantities in such approved designs.</t>
  </si>
  <si>
    <t>Signature of the Tenderer</t>
  </si>
  <si>
    <t>Executive Engineer</t>
  </si>
  <si>
    <t>RWS &amp; S Division, Rajamahendravaram</t>
  </si>
  <si>
    <t>Estimated contract value</t>
  </si>
  <si>
    <t>Part-II</t>
  </si>
  <si>
    <t xml:space="preserve">(Lumpsum provisions made in the estimate) </t>
  </si>
  <si>
    <t>Provision for GST @18%</t>
  </si>
  <si>
    <t>Provision for Q.C @ 0.50%</t>
  </si>
  <si>
    <t>Provision for NAC @ 0.10%</t>
  </si>
  <si>
    <t>Total</t>
  </si>
  <si>
    <t xml:space="preserve">  </t>
  </si>
  <si>
    <t>Signature of the  Tenderer</t>
  </si>
  <si>
    <t>As per Dept Specifications</t>
  </si>
  <si>
    <t>One Cubic meter only</t>
  </si>
  <si>
    <t>Provision for Supervision charges @3%</t>
  </si>
  <si>
    <t xml:space="preserve">Provision for Unforseen items </t>
  </si>
  <si>
    <t>Name of the Work: Construction of Sump at Chenchu Colony of Kolamuru GP of Rajamahendravaram Rural (M).  Est Cost Rs 23.00 Lakhs.</t>
  </si>
  <si>
    <t>Earthwork in excavation for structures as per drawing and technical specifications Clause 305.</t>
  </si>
  <si>
    <t>Sand filling in basement with watering and tamping including cost and conveyance of all  materials and all labour charges etc. complete.</t>
  </si>
  <si>
    <t>Sand filling in basement with watering and tamping including cost and conveyance</t>
  </si>
  <si>
    <t xml:space="preserve">Plain Cement concrete (1:4:8) prop using 40 mm gauge HG metal including cost &amp; conveyance of all materials and labour charges, seigniorage charges etc complete.                </t>
  </si>
  <si>
    <t>Plain Cement concrete (1:4:8) prop using 40 mm gauge HG metal including cost &amp; conveyance</t>
  </si>
  <si>
    <r>
      <t xml:space="preserve">Cost and Supply of steel, Fitting and Placing un-coated </t>
    </r>
    <r>
      <rPr>
        <b/>
        <sz val="10"/>
        <rFont val="Verdana"/>
        <family val="2"/>
      </rPr>
      <t>HYSD bar</t>
    </r>
    <r>
      <rPr>
        <sz val="10"/>
        <rFont val="Verdana"/>
        <family val="2"/>
      </rPr>
      <t xml:space="preserve"> Reinforcement in Foundation complete as per Drawing and Technical Specifications 1600 MORTH (5th Revision), including cutting, bending, shifting to site, tying and placing in position and 5 per cent overlaps and wastage.</t>
    </r>
  </si>
  <si>
    <t>Cost and Supply of steel, Fitting and Placing un-coated HYSD bar Reinforcement etc.</t>
  </si>
  <si>
    <t>One metric Ton only</t>
  </si>
  <si>
    <t>One cubic metre only</t>
  </si>
  <si>
    <r>
      <t xml:space="preserve">M30 Grade concrete using 20 mm HBG metal including cost and conveyance of all the materials, but excluding the cost of the steel etc complete. </t>
    </r>
    <r>
      <rPr>
        <b/>
        <sz val="9"/>
        <rFont val="Verdana"/>
        <family val="2"/>
      </rPr>
      <t>for Bottom Raft.</t>
    </r>
  </si>
  <si>
    <t>M30 Grade concrete using 20 mm HBG metal</t>
  </si>
  <si>
    <t>Construction of Sump</t>
  </si>
  <si>
    <r>
      <t xml:space="preserve">M30 Grade concrete using 20 mm HBG metal including cost and conveyance of all the materials, but excluding the cost of the steel etc complete. </t>
    </r>
    <r>
      <rPr>
        <b/>
        <sz val="9"/>
        <rFont val="Verdana"/>
        <family val="2"/>
      </rPr>
      <t>for Side walls Circular.</t>
    </r>
  </si>
  <si>
    <r>
      <t xml:space="preserve">M30 Grade concrete using 20 mm HBG metal including cost and conveyance of all the materials, but excluding the cost of the steel etc complete. </t>
    </r>
    <r>
      <rPr>
        <b/>
        <sz val="9"/>
        <rFont val="Verdana"/>
        <family val="2"/>
      </rPr>
      <t>for Top Slab 0.15 mt. thick.</t>
    </r>
  </si>
  <si>
    <t>Ten square  metre only</t>
  </si>
  <si>
    <r>
      <t xml:space="preserve">M30 Grade concrete using 20 mm HBG metal including cost and conveyance of all the materials, but excluding the cost of the steel etc complete. </t>
    </r>
    <r>
      <rPr>
        <b/>
        <sz val="9"/>
        <rFont val="Verdana"/>
        <family val="2"/>
      </rPr>
      <t>for Ring Beam.</t>
    </r>
  </si>
  <si>
    <t>Plastering with CM (1:5)mix, 12 mm  including cost of all materials</t>
  </si>
  <si>
    <t>Ten Square metre only</t>
  </si>
  <si>
    <t xml:space="preserve">Snowcem paint two coats including cost of all materials and labour charges etc,,complete </t>
  </si>
  <si>
    <t xml:space="preserve">Accoproof Plastering with CM (1:3)mix, 12 mm thick including cost and conveyance of all the materials and labour charges etc,,complete </t>
  </si>
  <si>
    <t xml:space="preserve">Cement Plastering with CM (1:3)mix, 12 mm thick including cost and conveyance of all the materials and labour charges etc,,complete </t>
  </si>
  <si>
    <t>M30 Grade concrete using 20 mm HBG metal for Bottom Raft. for Side walls Circular.</t>
  </si>
  <si>
    <r>
      <t xml:space="preserve">Earthwork in excavation for structures as per drawing and technical specifications Clause 305.1 including setting out, construction of shoring and bracing, removal of stumps and other deleterious material and disposal upto a lead of 50 m, dressing of sides and bottom and backfilling in trenches with excavated suitable material as per Technical Specification 305 MORD / 304 MORTH for finished item. </t>
    </r>
    <r>
      <rPr>
        <b/>
        <sz val="10"/>
        <rFont val="Verdana"/>
        <family val="2"/>
      </rPr>
      <t>for 1st mettu</t>
    </r>
  </si>
  <si>
    <r>
      <t xml:space="preserve">Earthwork in excavation for structures as per drawing and technical specifications Clause 305.1 including setting out, construction of shoring and bracing, removal of stumps and other deleterious material and disposal upto a lead of 50 m, dressing of sides and bottom and backfilling in trenches with excavated suitable material as per Technical Specification 305 MORD / 304 MORTH for finished item. </t>
    </r>
    <r>
      <rPr>
        <b/>
        <sz val="10"/>
        <rFont val="Verdana"/>
        <family val="2"/>
      </rPr>
      <t>for 2nd mettu</t>
    </r>
  </si>
  <si>
    <t>Provision for Seignorage charges</t>
  </si>
</sst>
</file>

<file path=xl/styles.xml><?xml version="1.0" encoding="utf-8"?>
<styleSheet xmlns="http://schemas.openxmlformats.org/spreadsheetml/2006/main">
  <numFmts count="1">
    <numFmt numFmtId="164" formatCode="0.000"/>
  </numFmts>
  <fonts count="28">
    <font>
      <sz val="11"/>
      <color theme="1"/>
      <name val="Calibri"/>
      <charset val="134"/>
      <scheme val="minor"/>
    </font>
    <font>
      <sz val="11"/>
      <color theme="1"/>
      <name val="Calibri"/>
      <family val="2"/>
      <scheme val="minor"/>
    </font>
    <font>
      <b/>
      <sz val="11"/>
      <name val="Verdana"/>
      <charset val="134"/>
    </font>
    <font>
      <b/>
      <sz val="10"/>
      <name val="Arial"/>
      <charset val="134"/>
    </font>
    <font>
      <sz val="10"/>
      <name val="Arial"/>
      <charset val="134"/>
    </font>
    <font>
      <sz val="11"/>
      <name val="Calibri"/>
      <charset val="134"/>
      <scheme val="minor"/>
    </font>
    <font>
      <b/>
      <sz val="11"/>
      <name val="Calibri"/>
      <charset val="134"/>
      <scheme val="minor"/>
    </font>
    <font>
      <b/>
      <sz val="10"/>
      <name val="Times New Roman"/>
      <charset val="134"/>
    </font>
    <font>
      <sz val="11"/>
      <color theme="1"/>
      <name val="Times New Roman"/>
      <charset val="134"/>
    </font>
    <font>
      <b/>
      <u/>
      <sz val="10"/>
      <name val="Times New Roman"/>
      <charset val="134"/>
    </font>
    <font>
      <sz val="10"/>
      <name val="Times New Roman"/>
      <charset val="134"/>
    </font>
    <font>
      <sz val="11"/>
      <name val="Arial"/>
      <charset val="134"/>
    </font>
    <font>
      <sz val="11"/>
      <color theme="1"/>
      <name val="Verdana"/>
      <charset val="134"/>
    </font>
    <font>
      <b/>
      <sz val="10"/>
      <name val="Verdana"/>
      <charset val="134"/>
    </font>
    <font>
      <b/>
      <sz val="11"/>
      <color theme="1"/>
      <name val="Calibri"/>
      <charset val="134"/>
      <scheme val="minor"/>
    </font>
    <font>
      <b/>
      <sz val="8"/>
      <name val="Verdana"/>
      <charset val="134"/>
    </font>
    <font>
      <b/>
      <sz val="11"/>
      <color theme="1"/>
      <name val="Verdana"/>
      <charset val="134"/>
    </font>
    <font>
      <sz val="11"/>
      <color theme="1"/>
      <name val="Calibri"/>
      <charset val="134"/>
      <scheme val="minor"/>
    </font>
    <font>
      <sz val="10"/>
      <color rgb="FF000000"/>
      <name val="Arial"/>
      <charset val="134"/>
    </font>
    <font>
      <sz val="11"/>
      <name val="Calibri"/>
      <family val="2"/>
      <scheme val="minor"/>
    </font>
    <font>
      <sz val="10"/>
      <name val="Arial"/>
      <family val="2"/>
    </font>
    <font>
      <b/>
      <sz val="10"/>
      <name val="Verdana"/>
      <family val="2"/>
    </font>
    <font>
      <sz val="10"/>
      <name val="Verdana"/>
      <family val="2"/>
    </font>
    <font>
      <sz val="10"/>
      <color rgb="FF000000"/>
      <name val="Arial"/>
      <family val="2"/>
    </font>
    <font>
      <sz val="10"/>
      <color theme="1"/>
      <name val="Verdana"/>
      <family val="2"/>
    </font>
    <font>
      <sz val="9"/>
      <color theme="1"/>
      <name val="Verdana"/>
      <family val="2"/>
    </font>
    <font>
      <sz val="9"/>
      <name val="Verdana"/>
      <family val="2"/>
    </font>
    <font>
      <b/>
      <sz val="9"/>
      <name val="Verdan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9">
    <xf numFmtId="0" fontId="0"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17" fillId="0" borderId="0"/>
    <xf numFmtId="0" fontId="1" fillId="0" borderId="0"/>
    <xf numFmtId="0" fontId="20" fillId="0" borderId="0"/>
    <xf numFmtId="0" fontId="20" fillId="0" borderId="0"/>
    <xf numFmtId="0" fontId="20" fillId="0" borderId="0"/>
    <xf numFmtId="0" fontId="1" fillId="0" borderId="0"/>
    <xf numFmtId="0" fontId="20" fillId="0" borderId="0"/>
    <xf numFmtId="0" fontId="20" fillId="0" borderId="0"/>
    <xf numFmtId="0" fontId="23" fillId="0" borderId="0"/>
    <xf numFmtId="0" fontId="1"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cellStyleXfs>
  <cellXfs count="69">
    <xf numFmtId="0" fontId="0" fillId="0" borderId="0" xfId="0"/>
    <xf numFmtId="0" fontId="0" fillId="0" borderId="0" xfId="0" applyAlignment="1">
      <alignment vertical="center"/>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5" fillId="0" borderId="3" xfId="0" applyFont="1" applyBorder="1" applyAlignment="1">
      <alignment vertical="center"/>
    </xf>
    <xf numFmtId="2" fontId="5" fillId="0" borderId="3" xfId="0" applyNumberFormat="1" applyFont="1" applyBorder="1" applyAlignment="1">
      <alignment horizontal="right" vertical="center"/>
    </xf>
    <xf numFmtId="0" fontId="6" fillId="0" borderId="3" xfId="0" applyFont="1" applyBorder="1" applyAlignment="1">
      <alignment horizontal="center" vertical="center"/>
    </xf>
    <xf numFmtId="0" fontId="6" fillId="0" borderId="3" xfId="0" applyFont="1" applyBorder="1" applyAlignment="1">
      <alignment vertical="center"/>
    </xf>
    <xf numFmtId="2" fontId="6" fillId="0" borderId="3" xfId="0" applyNumberFormat="1" applyFont="1" applyBorder="1" applyAlignment="1">
      <alignment horizontal="right" vertical="center"/>
    </xf>
    <xf numFmtId="2" fontId="0" fillId="0" borderId="0" xfId="0" applyNumberFormat="1" applyAlignment="1">
      <alignment vertical="center"/>
    </xf>
    <xf numFmtId="0" fontId="0" fillId="0" borderId="0" xfId="0" applyAlignment="1">
      <alignment horizontal="center" vertical="center"/>
    </xf>
    <xf numFmtId="0" fontId="4" fillId="0" borderId="0" xfId="0" applyFont="1" applyAlignment="1">
      <alignment vertical="center"/>
    </xf>
    <xf numFmtId="2" fontId="4" fillId="0" borderId="0" xfId="0" applyNumberFormat="1" applyFont="1" applyAlignment="1">
      <alignment horizontal="right" vertical="center"/>
    </xf>
    <xf numFmtId="0" fontId="4" fillId="0" borderId="0" xfId="0" applyFont="1" applyAlignment="1">
      <alignment horizontal="center"/>
    </xf>
    <xf numFmtId="0" fontId="4" fillId="0" borderId="0" xfId="0" applyFont="1" applyAlignment="1">
      <alignment horizontal="left" vertical="center"/>
    </xf>
    <xf numFmtId="0" fontId="4" fillId="0" borderId="0" xfId="0" applyFont="1" applyAlignment="1">
      <alignment horizontal="right" vertical="center"/>
    </xf>
    <xf numFmtId="0" fontId="7" fillId="0" borderId="0" xfId="0" applyFont="1" applyAlignment="1">
      <alignment vertical="center"/>
    </xf>
    <xf numFmtId="0" fontId="8" fillId="0" borderId="0" xfId="0" applyFont="1" applyAlignment="1">
      <alignment vertical="center"/>
    </xf>
    <xf numFmtId="0" fontId="7" fillId="0" borderId="3" xfId="0" applyFont="1" applyBorder="1" applyAlignment="1">
      <alignment horizontal="center" vertical="center"/>
    </xf>
    <xf numFmtId="0" fontId="8" fillId="0" borderId="3" xfId="0" applyFont="1" applyBorder="1" applyAlignment="1">
      <alignment horizontal="center" vertical="center"/>
    </xf>
    <xf numFmtId="0" fontId="10" fillId="0" borderId="3" xfId="0" applyFont="1" applyBorder="1" applyAlignment="1">
      <alignment horizontal="center" vertical="center" wrapText="1"/>
    </xf>
    <xf numFmtId="0" fontId="11" fillId="0" borderId="3" xfId="0" applyFont="1" applyBorder="1" applyAlignment="1">
      <alignment horizontal="justify" vertical="center" wrapText="1"/>
    </xf>
    <xf numFmtId="2" fontId="8" fillId="0" borderId="0" xfId="0" applyNumberFormat="1" applyFont="1" applyAlignment="1">
      <alignment vertical="center"/>
    </xf>
    <xf numFmtId="0" fontId="8" fillId="0" borderId="3" xfId="0" applyFont="1" applyBorder="1" applyAlignment="1">
      <alignment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right" vertical="center"/>
    </xf>
    <xf numFmtId="0" fontId="12" fillId="0" borderId="0" xfId="0" applyFont="1"/>
    <xf numFmtId="0" fontId="14" fillId="0" borderId="0" xfId="0" applyFont="1"/>
    <xf numFmtId="0" fontId="15"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6" fillId="0" borderId="0" xfId="0" applyFont="1"/>
    <xf numFmtId="0" fontId="19" fillId="0" borderId="3" xfId="0" applyFont="1" applyFill="1" applyBorder="1" applyAlignment="1">
      <alignment vertical="center"/>
    </xf>
    <xf numFmtId="2" fontId="19" fillId="0" borderId="3" xfId="0" applyNumberFormat="1" applyFont="1" applyFill="1" applyBorder="1" applyAlignment="1">
      <alignment horizontal="right" vertical="center"/>
    </xf>
    <xf numFmtId="1" fontId="0" fillId="0" borderId="0" xfId="0" applyNumberFormat="1" applyAlignment="1">
      <alignment vertical="center"/>
    </xf>
    <xf numFmtId="0" fontId="22" fillId="0" borderId="3" xfId="0" applyFont="1" applyFill="1" applyBorder="1" applyAlignment="1">
      <alignment horizontal="center" vertical="center" wrapText="1"/>
    </xf>
    <xf numFmtId="0" fontId="22" fillId="0" borderId="3" xfId="0" applyFont="1" applyFill="1" applyBorder="1" applyAlignment="1">
      <alignment horizontal="left" vertical="center" wrapText="1"/>
    </xf>
    <xf numFmtId="2" fontId="22" fillId="0" borderId="3" xfId="0" applyNumberFormat="1" applyFont="1" applyFill="1" applyBorder="1" applyAlignment="1">
      <alignment horizontal="center" vertical="center" wrapText="1"/>
    </xf>
    <xf numFmtId="0" fontId="19" fillId="0" borderId="3" xfId="0" applyFont="1" applyBorder="1" applyAlignment="1">
      <alignment vertical="center"/>
    </xf>
    <xf numFmtId="2" fontId="11" fillId="0" borderId="3" xfId="0" applyNumberFormat="1" applyFont="1" applyBorder="1" applyAlignment="1">
      <alignment horizontal="center" vertical="center" wrapText="1"/>
    </xf>
    <xf numFmtId="2" fontId="22" fillId="0" borderId="3" xfId="0" applyNumberFormat="1" applyFont="1" applyBorder="1" applyAlignment="1">
      <alignment horizontal="center" vertical="center" shrinkToFit="1"/>
    </xf>
    <xf numFmtId="0" fontId="22" fillId="0" borderId="3" xfId="0" applyNumberFormat="1" applyFont="1" applyBorder="1" applyAlignment="1">
      <alignment horizontal="justify" vertical="center" wrapText="1"/>
    </xf>
    <xf numFmtId="0" fontId="24" fillId="0" borderId="3" xfId="0" applyFont="1" applyBorder="1" applyAlignment="1">
      <alignment horizontal="center" vertical="center" wrapText="1"/>
    </xf>
    <xf numFmtId="0" fontId="22" fillId="3" borderId="3" xfId="23" applyFont="1" applyFill="1" applyBorder="1" applyAlignment="1">
      <alignment horizontal="center" vertical="center" wrapText="1"/>
    </xf>
    <xf numFmtId="2" fontId="22" fillId="3" borderId="3" xfId="9" applyNumberFormat="1" applyFont="1" applyFill="1" applyBorder="1" applyAlignment="1">
      <alignment horizontal="center" vertical="center"/>
    </xf>
    <xf numFmtId="2" fontId="22" fillId="3" borderId="3" xfId="23" applyNumberFormat="1" applyFont="1" applyFill="1" applyBorder="1" applyAlignment="1">
      <alignment horizontal="center" vertical="center"/>
    </xf>
    <xf numFmtId="2" fontId="22" fillId="3" borderId="3" xfId="23" applyNumberFormat="1" applyFont="1" applyFill="1" applyBorder="1" applyAlignment="1">
      <alignment horizontal="center" vertical="center" wrapText="1"/>
    </xf>
    <xf numFmtId="2" fontId="25" fillId="0" borderId="3" xfId="23" applyNumberFormat="1" applyFont="1" applyFill="1" applyBorder="1" applyAlignment="1">
      <alignment horizontal="center" vertical="center"/>
    </xf>
    <xf numFmtId="0" fontId="26" fillId="0" borderId="3" xfId="0" applyFont="1" applyFill="1" applyBorder="1" applyAlignment="1">
      <alignment vertical="center" wrapText="1"/>
    </xf>
    <xf numFmtId="0" fontId="26" fillId="0" borderId="3" xfId="0" applyFont="1" applyFill="1" applyBorder="1" applyAlignment="1">
      <alignment horizontal="center" vertical="center" wrapText="1"/>
    </xf>
    <xf numFmtId="0" fontId="25" fillId="0" borderId="3" xfId="0" applyFont="1" applyBorder="1" applyAlignment="1">
      <alignment horizontal="center" vertical="center" wrapText="1"/>
    </xf>
    <xf numFmtId="2" fontId="26" fillId="0" borderId="3" xfId="0" applyNumberFormat="1" applyFont="1" applyBorder="1" applyAlignment="1">
      <alignment horizontal="center" vertical="center" shrinkToFit="1"/>
    </xf>
    <xf numFmtId="0" fontId="26" fillId="3" borderId="3" xfId="23" applyFont="1" applyFill="1" applyBorder="1" applyAlignment="1">
      <alignment horizontal="center" vertical="center" wrapText="1"/>
    </xf>
    <xf numFmtId="2" fontId="26" fillId="0" borderId="3" xfId="19" applyNumberFormat="1" applyFont="1" applyFill="1" applyBorder="1" applyAlignment="1">
      <alignment horizontal="center" vertical="center" wrapText="1"/>
    </xf>
    <xf numFmtId="164" fontId="22" fillId="3" borderId="3" xfId="23" applyNumberFormat="1" applyFont="1" applyFill="1" applyBorder="1" applyAlignment="1">
      <alignment horizontal="center" vertical="center"/>
    </xf>
    <xf numFmtId="0" fontId="21" fillId="0" borderId="1" xfId="8" applyFont="1" applyBorder="1" applyAlignment="1">
      <alignment horizontal="left" vertical="center" wrapText="1"/>
    </xf>
    <xf numFmtId="0" fontId="13" fillId="0" borderId="2" xfId="8" applyFont="1" applyBorder="1" applyAlignment="1">
      <alignment horizontal="left" vertical="center" wrapText="1"/>
    </xf>
    <xf numFmtId="0" fontId="13" fillId="0" borderId="4" xfId="8"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0" xfId="0" quotePrefix="1" applyFont="1" applyAlignment="1">
      <alignment horizontal="left" vertical="center" wrapText="1"/>
    </xf>
    <xf numFmtId="0" fontId="2" fillId="0" borderId="1" xfId="8" applyFont="1" applyBorder="1" applyAlignment="1">
      <alignment horizontal="left" vertical="center" wrapText="1"/>
    </xf>
    <xf numFmtId="0" fontId="2" fillId="0" borderId="2" xfId="8" applyFont="1" applyBorder="1" applyAlignment="1">
      <alignment horizontal="left" vertical="center" wrapText="1"/>
    </xf>
    <xf numFmtId="0" fontId="9" fillId="0" borderId="3" xfId="0" applyFont="1" applyBorder="1" applyAlignment="1">
      <alignment horizontal="center" vertical="center"/>
    </xf>
    <xf numFmtId="0" fontId="7" fillId="0" borderId="3" xfId="0" applyFont="1" applyBorder="1" applyAlignment="1">
      <alignment horizontal="center" vertical="center"/>
    </xf>
    <xf numFmtId="0" fontId="7" fillId="0" borderId="0" xfId="0" quotePrefix="1" applyFont="1" applyAlignment="1">
      <alignment horizontal="left" vertical="center" wrapText="1"/>
    </xf>
    <xf numFmtId="0" fontId="7" fillId="0" borderId="0" xfId="0" applyFont="1" applyAlignment="1">
      <alignment horizontal="left" vertical="center" wrapText="1"/>
    </xf>
    <xf numFmtId="0" fontId="3" fillId="0" borderId="3" xfId="0" applyFont="1" applyBorder="1" applyAlignment="1">
      <alignment horizontal="center" vertical="center"/>
    </xf>
  </cellXfs>
  <cellStyles count="29">
    <cellStyle name="Normal" xfId="0" builtinId="0"/>
    <cellStyle name="Normal - Style1 2 2 2" xfId="1"/>
    <cellStyle name="Normal - Style1 2 2 2 2" xfId="22"/>
    <cellStyle name="Normal 177" xfId="2"/>
    <cellStyle name="Normal 177 2" xfId="20"/>
    <cellStyle name="Normal 2" xfId="3"/>
    <cellStyle name="Normal 2 10" xfId="28"/>
    <cellStyle name="Normal 2 2" xfId="4"/>
    <cellStyle name="Normal 2 2 2" xfId="15"/>
    <cellStyle name="Normal 2 28" xfId="5"/>
    <cellStyle name="Normal 2 28 2" xfId="27"/>
    <cellStyle name="Normal 2 28 3" xfId="26"/>
    <cellStyle name="Normal 2 3" xfId="14"/>
    <cellStyle name="Normal 24" xfId="6"/>
    <cellStyle name="Normal 24 2" xfId="7"/>
    <cellStyle name="Normal 24 2 2" xfId="19"/>
    <cellStyle name="Normal 24 3" xfId="18"/>
    <cellStyle name="Normal 3" xfId="8"/>
    <cellStyle name="Normal 3 2" xfId="9"/>
    <cellStyle name="Normal 3 2 2" xfId="17"/>
    <cellStyle name="Normal 3 3" xfId="10"/>
    <cellStyle name="Normal 3 3 2" xfId="23"/>
    <cellStyle name="Normal 3 4" xfId="11"/>
    <cellStyle name="Normal 3 4 2" xfId="24"/>
    <cellStyle name="Normal 3 5" xfId="16"/>
    <cellStyle name="Normal 4" xfId="12"/>
    <cellStyle name="Normal 4 2" xfId="25"/>
    <cellStyle name="Normal 5" xfId="13"/>
    <cellStyle name="Normal 6"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I15"/>
  <sheetViews>
    <sheetView tabSelected="1" view="pageBreakPreview" zoomScaleSheetLayoutView="100" workbookViewId="0">
      <selection activeCell="H3" sqref="H3"/>
    </sheetView>
  </sheetViews>
  <sheetFormatPr defaultColWidth="9" defaultRowHeight="14.4"/>
  <cols>
    <col min="1" max="1" width="12" customWidth="1"/>
    <col min="2" max="2" width="68.6640625" customWidth="1"/>
    <col min="3" max="3" width="18.5546875" customWidth="1"/>
    <col min="4" max="4" width="18.6640625" customWidth="1"/>
    <col min="5" max="5" width="16.109375" customWidth="1"/>
    <col min="6" max="6" width="11.33203125" customWidth="1"/>
    <col min="7" max="7" width="11" customWidth="1"/>
    <col min="8" max="8" width="14.88671875" customWidth="1"/>
  </cols>
  <sheetData>
    <row r="1" spans="1:9" ht="36" customHeight="1">
      <c r="A1" s="56" t="s">
        <v>36</v>
      </c>
      <c r="B1" s="57"/>
      <c r="C1" s="57"/>
      <c r="D1" s="57"/>
      <c r="E1" s="57"/>
      <c r="F1" s="57"/>
      <c r="G1" s="57"/>
      <c r="H1" s="58"/>
      <c r="I1" s="29"/>
    </row>
    <row r="2" spans="1:9" s="28" customFormat="1" ht="52.5" customHeight="1">
      <c r="A2" s="30" t="s">
        <v>0</v>
      </c>
      <c r="B2" s="31" t="s">
        <v>1</v>
      </c>
      <c r="C2" s="31" t="s">
        <v>2</v>
      </c>
      <c r="D2" s="31" t="s">
        <v>3</v>
      </c>
      <c r="E2" s="31" t="s">
        <v>4</v>
      </c>
      <c r="F2" s="31" t="s">
        <v>5</v>
      </c>
      <c r="G2" s="31" t="s">
        <v>6</v>
      </c>
      <c r="H2" s="31" t="s">
        <v>7</v>
      </c>
      <c r="I2" s="32"/>
    </row>
    <row r="3" spans="1:9" ht="88.2">
      <c r="A3" s="41">
        <v>362.29</v>
      </c>
      <c r="B3" s="37" t="s">
        <v>59</v>
      </c>
      <c r="C3" s="42" t="s">
        <v>37</v>
      </c>
      <c r="D3" s="50" t="s">
        <v>48</v>
      </c>
      <c r="E3" s="43" t="s">
        <v>32</v>
      </c>
      <c r="F3" s="41">
        <v>318</v>
      </c>
      <c r="G3" s="44" t="s">
        <v>33</v>
      </c>
      <c r="H3" s="45">
        <f t="shared" ref="H3:H7" si="0">A3*F3</f>
        <v>115208.22</v>
      </c>
      <c r="I3" s="29"/>
    </row>
    <row r="4" spans="1:9" ht="88.2">
      <c r="A4" s="41">
        <v>84.53</v>
      </c>
      <c r="B4" s="37" t="s">
        <v>60</v>
      </c>
      <c r="C4" s="42" t="s">
        <v>37</v>
      </c>
      <c r="D4" s="50" t="s">
        <v>48</v>
      </c>
      <c r="E4" s="43" t="s">
        <v>32</v>
      </c>
      <c r="F4" s="41">
        <v>408.8</v>
      </c>
      <c r="G4" s="44" t="s">
        <v>33</v>
      </c>
      <c r="H4" s="45">
        <f t="shared" ref="H4" si="1">A4*F4</f>
        <v>34555.864000000001</v>
      </c>
      <c r="I4" s="29"/>
    </row>
    <row r="5" spans="1:9" ht="63.75" customHeight="1">
      <c r="A5" s="46">
        <v>31.72</v>
      </c>
      <c r="B5" s="37" t="s">
        <v>40</v>
      </c>
      <c r="C5" s="44" t="s">
        <v>41</v>
      </c>
      <c r="D5" s="50" t="s">
        <v>48</v>
      </c>
      <c r="E5" s="44" t="s">
        <v>8</v>
      </c>
      <c r="F5" s="47">
        <v>4429.8999999999996</v>
      </c>
      <c r="G5" s="44" t="s">
        <v>33</v>
      </c>
      <c r="H5" s="45">
        <f>A5*F5</f>
        <v>140516.42799999999</v>
      </c>
      <c r="I5" s="29"/>
    </row>
    <row r="6" spans="1:9" ht="75.599999999999994">
      <c r="A6" s="46">
        <v>31.72</v>
      </c>
      <c r="B6" s="37" t="s">
        <v>38</v>
      </c>
      <c r="C6" s="44" t="s">
        <v>39</v>
      </c>
      <c r="D6" s="50" t="s">
        <v>48</v>
      </c>
      <c r="E6" s="44" t="s">
        <v>8</v>
      </c>
      <c r="F6" s="47">
        <v>278.7</v>
      </c>
      <c r="G6" s="44" t="s">
        <v>33</v>
      </c>
      <c r="H6" s="45">
        <f t="shared" si="0"/>
        <v>8840.3639999999996</v>
      </c>
      <c r="I6" s="29"/>
    </row>
    <row r="7" spans="1:9" ht="57">
      <c r="A7" s="46">
        <v>31.72</v>
      </c>
      <c r="B7" s="49" t="s">
        <v>46</v>
      </c>
      <c r="C7" s="50" t="s">
        <v>58</v>
      </c>
      <c r="D7" s="50" t="s">
        <v>48</v>
      </c>
      <c r="E7" s="51" t="s">
        <v>32</v>
      </c>
      <c r="F7" s="52">
        <v>10507</v>
      </c>
      <c r="G7" s="53" t="s">
        <v>45</v>
      </c>
      <c r="H7" s="54">
        <f t="shared" si="0"/>
        <v>333282.03999999998</v>
      </c>
      <c r="I7" s="29"/>
    </row>
    <row r="8" spans="1:9" ht="34.200000000000003">
      <c r="A8" s="48">
        <v>22.4</v>
      </c>
      <c r="B8" s="49" t="s">
        <v>49</v>
      </c>
      <c r="C8" s="50" t="s">
        <v>47</v>
      </c>
      <c r="D8" s="50" t="s">
        <v>48</v>
      </c>
      <c r="E8" s="51" t="s">
        <v>32</v>
      </c>
      <c r="F8" s="52">
        <v>25477.8</v>
      </c>
      <c r="G8" s="53" t="s">
        <v>45</v>
      </c>
      <c r="H8" s="54">
        <f t="shared" ref="H8" si="2">A8*F8</f>
        <v>570702.72</v>
      </c>
      <c r="I8" s="29"/>
    </row>
    <row r="9" spans="1:9" ht="49.5" customHeight="1">
      <c r="A9" s="48">
        <v>9.84</v>
      </c>
      <c r="B9" s="49" t="s">
        <v>50</v>
      </c>
      <c r="C9" s="50" t="s">
        <v>47</v>
      </c>
      <c r="D9" s="50" t="s">
        <v>48</v>
      </c>
      <c r="E9" s="51" t="s">
        <v>32</v>
      </c>
      <c r="F9" s="52">
        <v>14253.3</v>
      </c>
      <c r="G9" s="53" t="s">
        <v>51</v>
      </c>
      <c r="H9" s="54">
        <f>A9*F9/10</f>
        <v>14025.247199999998</v>
      </c>
      <c r="I9" s="29"/>
    </row>
    <row r="10" spans="1:9" ht="49.5" customHeight="1">
      <c r="A10" s="48">
        <v>2.57</v>
      </c>
      <c r="B10" s="49" t="s">
        <v>52</v>
      </c>
      <c r="C10" s="50" t="s">
        <v>47</v>
      </c>
      <c r="D10" s="50" t="s">
        <v>48</v>
      </c>
      <c r="E10" s="51" t="s">
        <v>32</v>
      </c>
      <c r="F10" s="52">
        <v>11961.3</v>
      </c>
      <c r="G10" s="53" t="s">
        <v>45</v>
      </c>
      <c r="H10" s="54">
        <f t="shared" ref="H10" si="3">A10*F10</f>
        <v>30740.540999999997</v>
      </c>
      <c r="I10" s="29"/>
    </row>
    <row r="11" spans="1:9" ht="49.5" customHeight="1">
      <c r="A11" s="48">
        <v>279.99</v>
      </c>
      <c r="B11" s="49" t="s">
        <v>56</v>
      </c>
      <c r="C11" s="50" t="s">
        <v>53</v>
      </c>
      <c r="D11" s="50" t="s">
        <v>48</v>
      </c>
      <c r="E11" s="51" t="s">
        <v>32</v>
      </c>
      <c r="F11" s="52">
        <v>4292.7</v>
      </c>
      <c r="G11" s="53" t="s">
        <v>54</v>
      </c>
      <c r="H11" s="54">
        <f>A11*F11/10</f>
        <v>120191.30730000001</v>
      </c>
      <c r="I11" s="29"/>
    </row>
    <row r="12" spans="1:9" ht="49.5" customHeight="1">
      <c r="A12" s="48">
        <v>17.29</v>
      </c>
      <c r="B12" s="49" t="s">
        <v>57</v>
      </c>
      <c r="C12" s="50" t="s">
        <v>53</v>
      </c>
      <c r="D12" s="50" t="s">
        <v>48</v>
      </c>
      <c r="E12" s="51" t="s">
        <v>32</v>
      </c>
      <c r="F12" s="52">
        <v>4139.3</v>
      </c>
      <c r="G12" s="53" t="s">
        <v>54</v>
      </c>
      <c r="H12" s="54">
        <f>A12*F12/10</f>
        <v>7156.8497000000007</v>
      </c>
      <c r="I12" s="29"/>
    </row>
    <row r="13" spans="1:9" ht="49.5" customHeight="1">
      <c r="A13" s="48">
        <v>138.6</v>
      </c>
      <c r="B13" s="49" t="s">
        <v>55</v>
      </c>
      <c r="C13" s="50" t="s">
        <v>53</v>
      </c>
      <c r="D13" s="50" t="s">
        <v>48</v>
      </c>
      <c r="E13" s="51" t="s">
        <v>32</v>
      </c>
      <c r="F13" s="52">
        <v>2140.5</v>
      </c>
      <c r="G13" s="53" t="s">
        <v>54</v>
      </c>
      <c r="H13" s="54">
        <f>A13*F13/10</f>
        <v>29667.329999999998</v>
      </c>
      <c r="I13" s="29"/>
    </row>
    <row r="14" spans="1:9" ht="49.5" customHeight="1">
      <c r="A14" s="55">
        <v>5.6550000000000002</v>
      </c>
      <c r="B14" s="37" t="s">
        <v>42</v>
      </c>
      <c r="C14" s="37" t="s">
        <v>43</v>
      </c>
      <c r="D14" s="50" t="s">
        <v>48</v>
      </c>
      <c r="E14" s="44" t="s">
        <v>8</v>
      </c>
      <c r="F14" s="47">
        <v>84694.3</v>
      </c>
      <c r="G14" s="44" t="s">
        <v>44</v>
      </c>
      <c r="H14" s="45">
        <f t="shared" ref="H14" si="4">A14*F14</f>
        <v>478946.26650000003</v>
      </c>
      <c r="I14" s="29"/>
    </row>
    <row r="15" spans="1:9" ht="22.5" customHeight="1">
      <c r="A15" s="36"/>
      <c r="B15" s="37"/>
      <c r="C15" s="36"/>
      <c r="D15" s="36"/>
      <c r="E15" s="36" t="s">
        <v>9</v>
      </c>
      <c r="F15" s="36"/>
      <c r="G15" s="36"/>
      <c r="H15" s="38">
        <f>SUM(H3:H14)</f>
        <v>1883833.1776999999</v>
      </c>
    </row>
  </sheetData>
  <mergeCells count="1">
    <mergeCell ref="A1:H1"/>
  </mergeCells>
  <dataValidations count="6">
    <dataValidation type="decimal" operator="lessThan" allowBlank="1" showInputMessage="1" showErrorMessage="1" sqref="H14 H3:H6">
      <formula1>999999999999999</formula1>
    </dataValidation>
    <dataValidation type="decimal" operator="lessThan" allowBlank="1" showInputMessage="1" showErrorMessage="1" sqref="F3:F4">
      <formula1>9999999999999990</formula1>
    </dataValidation>
    <dataValidation type="textLength" operator="lessThan" allowBlank="1" showInputMessage="1" showErrorMessage="1" error="Text Length Exceed the Required Value of 200 Characters" promptTitle="WORK TYPE" prompt="Ex. Earth Work, Electrical Work" sqref="D5:D14 C3:D4">
      <formula1>200</formula1>
    </dataValidation>
    <dataValidation type="decimal" operator="greaterThan" allowBlank="1" showInputMessage="1" showErrorMessage="1" sqref="F7:F13 A3:A4 A8:A13">
      <formula1>0</formula1>
    </dataValidation>
    <dataValidation type="textLength" operator="lessThan" allowBlank="1" showInputMessage="1" showErrorMessage="1" error="Text Length Exceed the Required Value of 200 Characters" promptTitle="APSS / Morth Cl. Number" prompt="Enter APSS / Morth Cl. Number" sqref="E7:E13 E3:E4">
      <formula1>201</formula1>
    </dataValidation>
    <dataValidation type="textLength" operator="lessThan" allowBlank="1" showInputMessage="1" showErrorMessage="1" sqref="G7:G13">
      <formula1>51</formula1>
    </dataValidation>
  </dataValidations>
  <pageMargins left="0.7" right="0.7" top="0.75" bottom="0.75" header="0.3" footer="0.3"/>
  <pageSetup scale="57" orientation="landscape" r:id="rId1"/>
</worksheet>
</file>

<file path=xl/worksheets/sheet2.xml><?xml version="1.0" encoding="utf-8"?>
<worksheet xmlns="http://schemas.openxmlformats.org/spreadsheetml/2006/main" xmlns:r="http://schemas.openxmlformats.org/officeDocument/2006/relationships">
  <dimension ref="A1:D19"/>
  <sheetViews>
    <sheetView workbookViewId="0">
      <selection activeCell="I13" sqref="I13"/>
    </sheetView>
  </sheetViews>
  <sheetFormatPr defaultColWidth="9.109375" defaultRowHeight="13.8"/>
  <cols>
    <col min="1" max="1" width="9.109375" style="17"/>
    <col min="2" max="2" width="107.109375" style="17" customWidth="1"/>
    <col min="3" max="3" width="30.44140625" style="17" customWidth="1"/>
    <col min="4" max="4" width="10.5546875" style="17" customWidth="1"/>
    <col min="5" max="16384" width="9.109375" style="17"/>
  </cols>
  <sheetData>
    <row r="1" spans="1:4" ht="50.25" customHeight="1">
      <c r="A1" s="62" t="str">
        <f>BOQ!A1</f>
        <v>Name of the Work: Construction of Sump at Chenchu Colony of Kolamuru GP of Rajamahendravaram Rural (M).  Est Cost Rs 23.00 Lakhs.</v>
      </c>
      <c r="B1" s="63"/>
      <c r="C1" s="63"/>
    </row>
    <row r="2" spans="1:4" ht="24.75" customHeight="1">
      <c r="A2" s="64" t="s">
        <v>10</v>
      </c>
      <c r="B2" s="64"/>
      <c r="C2" s="64"/>
    </row>
    <row r="3" spans="1:4" s="16" customFormat="1" ht="24.75" customHeight="1">
      <c r="A3" s="18" t="s">
        <v>10</v>
      </c>
      <c r="B3" s="18" t="s">
        <v>11</v>
      </c>
      <c r="C3" s="18" t="s">
        <v>12</v>
      </c>
    </row>
    <row r="4" spans="1:4" ht="24.75" customHeight="1">
      <c r="A4" s="19">
        <v>1</v>
      </c>
      <c r="B4" s="19">
        <v>2</v>
      </c>
      <c r="C4" s="19">
        <v>3</v>
      </c>
    </row>
    <row r="5" spans="1:4" ht="24.75" customHeight="1">
      <c r="A5" s="65" t="s">
        <v>13</v>
      </c>
      <c r="B5" s="65"/>
      <c r="C5" s="65"/>
    </row>
    <row r="6" spans="1:4" ht="53.25" customHeight="1">
      <c r="A6" s="20">
        <v>1</v>
      </c>
      <c r="B6" s="21" t="str">
        <f>A1</f>
        <v>Name of the Work: Construction of Sump at Chenchu Colony of Kolamuru GP of Rajamahendravaram Rural (M).  Est Cost Rs 23.00 Lakhs.</v>
      </c>
      <c r="C6" s="40">
        <f>BOQ!H15</f>
        <v>1883833.1776999999</v>
      </c>
      <c r="D6" s="22"/>
    </row>
    <row r="7" spans="1:4" ht="15.75" customHeight="1">
      <c r="A7" s="23"/>
      <c r="B7" s="23"/>
      <c r="C7" s="23"/>
    </row>
    <row r="8" spans="1:4" ht="27" customHeight="1">
      <c r="B8" s="66" t="s">
        <v>14</v>
      </c>
      <c r="C8" s="67"/>
    </row>
    <row r="9" spans="1:4" ht="27" customHeight="1"/>
    <row r="11" spans="1:4">
      <c r="A11" s="24" t="s">
        <v>15</v>
      </c>
      <c r="B11" s="60" t="s">
        <v>16</v>
      </c>
      <c r="C11" s="60"/>
    </row>
    <row r="12" spans="1:4" ht="30" customHeight="1">
      <c r="B12" s="59" t="s">
        <v>17</v>
      </c>
      <c r="C12" s="59"/>
    </row>
    <row r="13" spans="1:4">
      <c r="B13" s="60" t="s">
        <v>18</v>
      </c>
      <c r="C13" s="60"/>
    </row>
    <row r="14" spans="1:4" ht="45" customHeight="1">
      <c r="B14" s="61" t="s">
        <v>19</v>
      </c>
      <c r="C14" s="59"/>
    </row>
    <row r="15" spans="1:4" ht="34.200000000000003" customHeight="1">
      <c r="B15" s="25"/>
      <c r="C15" s="25"/>
    </row>
    <row r="17" spans="2:3">
      <c r="B17" s="17" t="s">
        <v>20</v>
      </c>
      <c r="C17" s="26" t="s">
        <v>21</v>
      </c>
    </row>
    <row r="18" spans="2:3">
      <c r="C18" s="27" t="s">
        <v>22</v>
      </c>
    </row>
    <row r="19" spans="2:3">
      <c r="C19" s="27"/>
    </row>
  </sheetData>
  <mergeCells count="8">
    <mergeCell ref="B12:C12"/>
    <mergeCell ref="B13:C13"/>
    <mergeCell ref="B14:C14"/>
    <mergeCell ref="A1:C1"/>
    <mergeCell ref="A2:C2"/>
    <mergeCell ref="A5:C5"/>
    <mergeCell ref="B8:C8"/>
    <mergeCell ref="B11:C11"/>
  </mergeCells>
  <printOptions horizontalCentered="1"/>
  <pageMargins left="0.511811023622047" right="0.511811023622047" top="0.74803149606299202" bottom="0.74803149606299202" header="0.31496062992126" footer="0.31496062992126"/>
  <pageSetup paperSize="9" scale="90" orientation="landscape"/>
</worksheet>
</file>

<file path=xl/worksheets/sheet3.xml><?xml version="1.0" encoding="utf-8"?>
<worksheet xmlns="http://schemas.openxmlformats.org/spreadsheetml/2006/main" xmlns:r="http://schemas.openxmlformats.org/officeDocument/2006/relationships">
  <dimension ref="A1:F20"/>
  <sheetViews>
    <sheetView view="pageBreakPreview" workbookViewId="0">
      <selection activeCell="C21" sqref="C21"/>
    </sheetView>
  </sheetViews>
  <sheetFormatPr defaultColWidth="9.109375" defaultRowHeight="14.4"/>
  <cols>
    <col min="1" max="1" width="9.109375" style="1"/>
    <col min="2" max="2" width="105.5546875" style="1" customWidth="1"/>
    <col min="3" max="3" width="22.6640625" style="1" customWidth="1"/>
    <col min="4" max="4" width="10.5546875" style="1" customWidth="1"/>
    <col min="5" max="5" width="10.6640625" style="1" customWidth="1"/>
    <col min="6" max="6" width="12.88671875" style="1"/>
    <col min="7" max="16384" width="9.109375" style="1"/>
  </cols>
  <sheetData>
    <row r="1" spans="1:6" ht="51" customHeight="1">
      <c r="A1" s="62" t="str">
        <f>BOQ!A1</f>
        <v>Name of the Work: Construction of Sump at Chenchu Colony of Kolamuru GP of Rajamahendravaram Rural (M).  Est Cost Rs 23.00 Lakhs.</v>
      </c>
      <c r="B1" s="63"/>
      <c r="C1" s="63"/>
    </row>
    <row r="2" spans="1:6" ht="21" customHeight="1">
      <c r="A2" s="2" t="s">
        <v>10</v>
      </c>
      <c r="B2" s="2" t="s">
        <v>11</v>
      </c>
      <c r="C2" s="2" t="s">
        <v>23</v>
      </c>
    </row>
    <row r="3" spans="1:6" ht="21" customHeight="1">
      <c r="A3" s="68" t="s">
        <v>24</v>
      </c>
      <c r="B3" s="68"/>
      <c r="C3" s="68"/>
    </row>
    <row r="4" spans="1:6" ht="21" customHeight="1">
      <c r="A4" s="68" t="s">
        <v>25</v>
      </c>
      <c r="B4" s="68"/>
      <c r="C4" s="68"/>
    </row>
    <row r="5" spans="1:6" ht="21" customHeight="1">
      <c r="A5" s="3">
        <v>1</v>
      </c>
      <c r="B5" s="4" t="s">
        <v>26</v>
      </c>
      <c r="C5" s="5">
        <v>339429</v>
      </c>
    </row>
    <row r="6" spans="1:6" ht="21" customHeight="1">
      <c r="A6" s="3">
        <v>2</v>
      </c>
      <c r="B6" s="4" t="s">
        <v>27</v>
      </c>
      <c r="C6" s="5">
        <v>9419</v>
      </c>
    </row>
    <row r="7" spans="1:6" ht="21" customHeight="1">
      <c r="A7" s="3">
        <v>3</v>
      </c>
      <c r="B7" s="4" t="s">
        <v>28</v>
      </c>
      <c r="C7" s="5">
        <v>1884</v>
      </c>
    </row>
    <row r="8" spans="1:6" ht="21" customHeight="1">
      <c r="A8" s="3">
        <v>4</v>
      </c>
      <c r="B8" s="39" t="s">
        <v>34</v>
      </c>
      <c r="C8" s="5">
        <v>56515</v>
      </c>
    </row>
    <row r="9" spans="1:6" ht="21" customHeight="1">
      <c r="A9" s="3">
        <v>5</v>
      </c>
      <c r="B9" s="33" t="s">
        <v>61</v>
      </c>
      <c r="C9" s="34">
        <v>8500</v>
      </c>
    </row>
    <row r="10" spans="1:6" ht="21" customHeight="1">
      <c r="A10" s="3">
        <v>6</v>
      </c>
      <c r="B10" s="39" t="s">
        <v>35</v>
      </c>
      <c r="C10" s="5">
        <v>419</v>
      </c>
    </row>
    <row r="11" spans="1:6" ht="21" customHeight="1">
      <c r="A11" s="6"/>
      <c r="B11" s="7" t="s">
        <v>29</v>
      </c>
      <c r="C11" s="8">
        <f>SUM(C5:C10)</f>
        <v>416166</v>
      </c>
      <c r="D11" s="9"/>
      <c r="E11" s="35">
        <f>BOQ!H15</f>
        <v>1883833.1776999999</v>
      </c>
    </row>
    <row r="12" spans="1:6">
      <c r="A12" s="10"/>
      <c r="B12" s="11"/>
      <c r="C12" s="12"/>
      <c r="E12" s="9">
        <f>C11</f>
        <v>416166</v>
      </c>
    </row>
    <row r="13" spans="1:6">
      <c r="A13" s="10"/>
      <c r="B13" s="11"/>
      <c r="C13" s="9"/>
      <c r="E13" s="9">
        <v>0.82</v>
      </c>
    </row>
    <row r="14" spans="1:6">
      <c r="C14" s="13" t="s">
        <v>30</v>
      </c>
      <c r="E14" s="9">
        <f>SUM(E11:E13)</f>
        <v>2299999.9976999997</v>
      </c>
      <c r="F14" s="9">
        <f>2300000-E14</f>
        <v>2.3000002838671207E-3</v>
      </c>
    </row>
    <row r="15" spans="1:6">
      <c r="B15" s="1" t="s">
        <v>31</v>
      </c>
      <c r="C15" s="14" t="s">
        <v>21</v>
      </c>
      <c r="F15" s="9"/>
    </row>
    <row r="16" spans="1:6">
      <c r="C16" s="15" t="s">
        <v>22</v>
      </c>
    </row>
    <row r="17" spans="6:6">
      <c r="F17" s="9"/>
    </row>
    <row r="18" spans="6:6">
      <c r="F18" s="9"/>
    </row>
    <row r="20" spans="6:6">
      <c r="F20" s="9"/>
    </row>
  </sheetData>
  <mergeCells count="3">
    <mergeCell ref="A1:C1"/>
    <mergeCell ref="A3:C3"/>
    <mergeCell ref="A4:C4"/>
  </mergeCells>
  <printOptions horizontalCentered="1"/>
  <pageMargins left="0.511811023622047" right="0.511811023622047" top="0.74803149606299202" bottom="0.74803149606299202" header="0.31496062992126" footer="0.31496062992126"/>
  <pageSetup paperSize="9"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BOQ</vt:lpstr>
      <vt:lpstr>Part-1</vt:lpstr>
      <vt:lpstr>Part-2</vt:lpstr>
      <vt:lpstr>BOQ!Print_Area</vt:lpstr>
      <vt:lpstr>'Part-1'!Print_Area</vt:lpstr>
      <vt:lpstr>'Part-2'!Print_Area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swsm</cp:lastModifiedBy>
  <dcterms:created xsi:type="dcterms:W3CDTF">2025-09-18T13:03:00Z</dcterms:created>
  <dcterms:modified xsi:type="dcterms:W3CDTF">2026-10-22T12:34:40Z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05083C3D2C0D4418AED51A3BC954E05E_13</vt:lpwstr>
  </property>
  <property fmtid="{D5CDD505-2E9C-101B-9397-08002B2CF9AE}" pid="3" name="KSOProductBuildVer">
    <vt:lpwstr>1033-12.1.0.28485</vt:lpwstr>
  </property>
  <property fmtid="{D5CDD505-2E9C-101B-9397-08002B2CF9AE}" pid="4" name="CalculationRule">
    <vt:i4>0</vt:i4>
  </property>
</Properties>
</file>