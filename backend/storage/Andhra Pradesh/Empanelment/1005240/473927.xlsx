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Backup east\east backup\2026-27\55(2026-27)\Item 1\"/>
    </mc:Choice>
  </mc:AlternateContent>
  <xr:revisionPtr revIDLastSave="0" documentId="13_ncr:1_{14EAD1B3-EE40-40D2-8948-9ED207890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2" i="1"/>
  <c r="H3" i="1" s="1"/>
  <c r="C2" i="1"/>
  <c r="D2" i="1" s="1"/>
  <c r="H4" i="1" l="1"/>
  <c r="H5" i="1" s="1"/>
  <c r="H6" i="1" l="1"/>
  <c r="H9" i="1" l="1"/>
</calcChain>
</file>

<file path=xl/sharedStrings.xml><?xml version="1.0" encoding="utf-8"?>
<sst xmlns="http://schemas.openxmlformats.org/spreadsheetml/2006/main" count="16" uniqueCount="16">
  <si>
    <t>Estimate Quantity (only Figures)</t>
  </si>
  <si>
    <t>Item Detailed 
Specification Description</t>
  </si>
  <si>
    <t>Item Short Description 
( upto 100 Characters)</t>
  </si>
  <si>
    <t>APSS / Morth Cl. Number 
( upto 200 Characters)</t>
  </si>
  <si>
    <t>Work Type 
eg. Earth Work, Electrical works.. etc
( upto 200 Characters)</t>
  </si>
  <si>
    <t>Rate (INR) 
( Upto 2 Decimals )</t>
  </si>
  <si>
    <t>UOM
( upto 50 Characters)</t>
  </si>
  <si>
    <t>Amount (INR) 
( Upto 2 Decimals )</t>
  </si>
  <si>
    <t>As per Tender Process</t>
  </si>
  <si>
    <t>ECV</t>
  </si>
  <si>
    <t>Provision for NAC @ 0.10%</t>
  </si>
  <si>
    <t>Provision for TPQA @ 0.739 %</t>
  </si>
  <si>
    <t>Unforeseen  item</t>
  </si>
  <si>
    <t xml:space="preserve">Total </t>
  </si>
  <si>
    <t>Engaging of man mazdoor for UGD Workers maintanance of UGD System etc.,complete as per ss</t>
  </si>
  <si>
    <t>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</si>
</sst>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Verdana"/>
      <family val="2"/>
      <charset val="1"/>
    </font>
    <font>
      <sz val="11"/>
      <name val="Calibri"/>
    </font>
    <font>
      <b/>
      <sz val="11"/>
      <name val="Calibri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I13" sqref="I13"/>
    </sheetView>
  </sheetViews>
  <sheetFormatPr defaultRowHeight="15"/>
  <cols>
    <col min="1" max="1" width="21.28515625" customWidth="1"/>
    <col min="2" max="2" width="62" customWidth="1"/>
    <col min="3" max="3" width="32.28515625" customWidth="1"/>
    <col min="4" max="4" width="35.5703125" customWidth="1"/>
    <col min="5" max="5" width="27.7109375" customWidth="1"/>
    <col min="6" max="6" width="18.5703125" customWidth="1"/>
    <col min="7" max="7" width="15.85546875" customWidth="1"/>
    <col min="8" max="8" width="21" customWidth="1"/>
    <col min="9" max="9" width="19.42578125" customWidth="1"/>
    <col min="10" max="10" width="9.140625" customWidth="1"/>
  </cols>
  <sheetData>
    <row r="1" spans="1:8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>
      <c r="A2" s="5">
        <v>540</v>
      </c>
      <c r="B2" s="6" t="s">
        <v>14</v>
      </c>
      <c r="C2" s="6" t="str">
        <f t="shared" ref="C2" si="0">LEFT(B2,95)</f>
        <v>Engaging of man mazdoor for UGD Workers maintanance of UGD System etc.,complete as per ss</v>
      </c>
      <c r="D2" s="6" t="str">
        <f t="shared" ref="D2" si="1">C2</f>
        <v>Engaging of man mazdoor for UGD Workers maintanance of UGD System etc.,complete as per ss</v>
      </c>
      <c r="E2" s="7" t="s">
        <v>8</v>
      </c>
      <c r="F2" s="7">
        <v>700</v>
      </c>
      <c r="G2" s="7" t="s">
        <v>15</v>
      </c>
      <c r="H2" s="5">
        <f>ROUND(F2*A2,0)</f>
        <v>378000</v>
      </c>
    </row>
    <row r="3" spans="1:8">
      <c r="A3" s="8"/>
      <c r="B3" s="8"/>
      <c r="C3" s="8"/>
      <c r="D3" s="8"/>
      <c r="E3" s="8"/>
      <c r="F3" s="8"/>
      <c r="G3" s="9" t="s">
        <v>9</v>
      </c>
      <c r="H3" s="9">
        <f>SUM(H2:H2)</f>
        <v>378000</v>
      </c>
    </row>
    <row r="4" spans="1:8">
      <c r="A4" s="2"/>
      <c r="B4" s="2"/>
      <c r="C4" s="2"/>
      <c r="D4" s="2"/>
      <c r="E4" s="2"/>
      <c r="F4" s="2"/>
      <c r="G4" s="2"/>
      <c r="H4" s="3">
        <f>SUM(H3:H3)</f>
        <v>378000</v>
      </c>
    </row>
    <row r="5" spans="1:8">
      <c r="A5" s="2"/>
      <c r="B5" s="2" t="s">
        <v>10</v>
      </c>
      <c r="C5" s="2"/>
      <c r="D5" s="2"/>
      <c r="E5" s="2"/>
      <c r="F5" s="2"/>
      <c r="G5" s="2"/>
      <c r="H5" s="3">
        <f>H4*0.1%</f>
        <v>378</v>
      </c>
    </row>
    <row r="6" spans="1:8">
      <c r="A6" s="2"/>
      <c r="B6" s="2"/>
      <c r="C6" s="2"/>
      <c r="D6" s="2"/>
      <c r="E6" s="2"/>
      <c r="F6" s="2"/>
      <c r="G6" s="2"/>
      <c r="H6" s="3">
        <f>SUM(H4:H5)</f>
        <v>378378</v>
      </c>
    </row>
    <row r="7" spans="1:8">
      <c r="A7" s="2"/>
      <c r="B7" s="2" t="s">
        <v>11</v>
      </c>
      <c r="C7" s="2"/>
      <c r="D7" s="2"/>
      <c r="E7" s="2"/>
      <c r="F7" s="2"/>
      <c r="G7" s="2"/>
      <c r="H7" s="3">
        <f>H3*0.739%</f>
        <v>2793.42</v>
      </c>
    </row>
    <row r="8" spans="1:8">
      <c r="A8" s="2"/>
      <c r="B8" s="2"/>
      <c r="C8" s="2"/>
      <c r="D8" s="2"/>
      <c r="E8" s="2"/>
      <c r="F8" s="2"/>
      <c r="G8" s="2"/>
      <c r="H8" s="3">
        <f>SUM(H6:H7)</f>
        <v>381171.42</v>
      </c>
    </row>
    <row r="9" spans="1:8">
      <c r="A9" s="2"/>
      <c r="B9" s="2" t="s">
        <v>12</v>
      </c>
      <c r="C9" s="2"/>
      <c r="D9" s="2"/>
      <c r="E9" s="2"/>
      <c r="F9" s="2"/>
      <c r="G9" s="2"/>
      <c r="H9" s="3">
        <f>H10-H8</f>
        <v>828.5800000000163</v>
      </c>
    </row>
    <row r="10" spans="1:8">
      <c r="A10" s="2"/>
      <c r="B10" s="2"/>
      <c r="C10" s="2"/>
      <c r="D10" s="2"/>
      <c r="E10" s="2"/>
      <c r="F10" s="2" t="s">
        <v>13</v>
      </c>
      <c r="G10" s="2"/>
      <c r="H10" s="3">
        <v>382000</v>
      </c>
    </row>
    <row r="13" spans="1:8">
      <c r="F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2026-07-13T05:30:28Z</dcterms:created>
  <dcterms:modified xsi:type="dcterms:W3CDTF">2026-10-26T06:52:32Z</dcterms:modified>
</cp:coreProperties>
</file>