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055" windowHeight="7185"/>
  </bookViews>
  <sheets>
    <sheet name="BOQ" sheetId="1" r:id="rId1"/>
    <sheet name="Sheet1" sheetId="2" r:id="rId2"/>
  </sheets>
  <externalReferences>
    <externalReference r:id="rId3"/>
    <externalReference r:id="rId4"/>
  </externalReferences>
  <definedNames>
    <definedName name="_me10">'[1]Lead statement'!$P$12</definedName>
    <definedName name="_me12">'[1]Lead statement'!#REF!</definedName>
    <definedName name="_me20">'[1]Lead statement'!$P$13</definedName>
    <definedName name="_me40">'[1]Lead statement'!$P$14</definedName>
    <definedName name="_me6">'[1]Lead statement'!$P$11</definedName>
    <definedName name="_ss202">'[1]SSR 2014-15 Rates'!$E$101</definedName>
    <definedName name="_ss304">'[1]SSR 2014-15 Rates'!$E$102</definedName>
    <definedName name="aa">'[1]Lead statement'!$J$26</definedName>
    <definedName name="aldrop300">'[1]SSR 2014-15 Rates'!$E$110</definedName>
    <definedName name="br">'[1]Lead statement'!$P$19</definedName>
    <definedName name="butthing150">'[1]SSR 2014-15 Rates'!$E$109</definedName>
    <definedName name="carpenter">'[1]SSR 2014-15 Rates'!#REF!</definedName>
    <definedName name="Carpenter1">'[1]SSR 2014-15 Rates'!$E$36</definedName>
    <definedName name="carpenter2">'[1]SSR 2014-15 Rates'!$E$37</definedName>
    <definedName name="cem">'[1]Lead statement'!$P$20</definedName>
    <definedName name="CERAMIC">'[1]SSR 2014-15 Rates'!$E$92</definedName>
    <definedName name="cp">'[1]Lead statement'!$J$27</definedName>
    <definedName name="crs">'[1]Lead statement'!$P$16</definedName>
    <definedName name="doorhandle150">'[1]SSR 2014-15 Rates'!$E$112</definedName>
    <definedName name="doorstopper">'[1]SSR 2014-15 Rates'!$E$113</definedName>
    <definedName name="Excel_BuiltIn_Print_Area_1">#REF!</definedName>
    <definedName name="Excel_BuiltIn_Print_Area_1_1">#REF!</definedName>
    <definedName name="Excel_BuiltIn_Print_Area_2">#REF!</definedName>
    <definedName name="Flush35">'[1]SSR 2014-15 Rates'!$E$108</definedName>
    <definedName name="fn">'[1]SSR 2014-15 Rates'!$E$116</definedName>
    <definedName name="fxgrill">'[1]SSR 2014-15 Rates'!$E$118</definedName>
    <definedName name="fxtruss">'[1]SSR 2014-15 Rates'!$E$120</definedName>
    <definedName name="glazed">'[1]SSR 2014-15 Rates'!$E$93</definedName>
    <definedName name="gr">'[1]Lead statement'!$P$9</definedName>
    <definedName name="gra">'[1]SSR 2014-15 Rates'!$E$87</definedName>
    <definedName name="holdfast">'[1]SSR 2014-15 Rates'!$E$115</definedName>
    <definedName name="lagrill">'[1]SSR 2014-15 Rates'!$E$117</definedName>
    <definedName name="latruss">'[1]SSR 2014-15 Rates'!$E$119</definedName>
    <definedName name="lcfixing">'[1]SSR 2014-15 Rates'!$E$114</definedName>
    <definedName name="MARBLE1">'[1]SSR 2014-15 Rates'!$E$88</definedName>
    <definedName name="mason1">'[1]SSR 2014-15 Rates'!$E$27</definedName>
    <definedName name="mason2">'[1]SSR 2014-15 Rates'!$E$28</definedName>
    <definedName name="Mazdoor">'[1]SSR 2014-15 Rates'!$E$29</definedName>
    <definedName name="mc">'[1]SSR 2014-15 Rates'!$E$91</definedName>
    <definedName name="Painter1">'[1]SSR 2014-15 Rates'!$E$30</definedName>
    <definedName name="Painter2">'[1]SSR 2014-15 Rates'!$E$31</definedName>
    <definedName name="pe">'[1]SSR 2014-15 Rates'!$E$70</definedName>
    <definedName name="ppsv">'[1]SSR 2014-15 Rates'!$E$97</definedName>
    <definedName name="ppsw">'[1]SSR 2014-15 Rates'!$E$96</definedName>
    <definedName name="primer">'[1]SSR 2014-15 Rates'!$E$59</definedName>
    <definedName name="_xlnm.Print_Area" localSheetId="0">BOQ!$A$1:$E$21</definedName>
    <definedName name="_xlnm.Print_Titles" localSheetId="0">BOQ!$4:$4</definedName>
    <definedName name="qr">'[1]Lead statement'!$P$10</definedName>
    <definedName name="RM">'[1]SSR 2014-15 Rates'!$E$90</definedName>
    <definedName name="rrg">'[1]Lead statement'!$P$17</definedName>
    <definedName name="rrotg">'[1]Lead statement'!$P$18</definedName>
    <definedName name="rs">'[1]SSR 2014-15 Rates'!$E$94</definedName>
    <definedName name="sc">'[1]Lead statement'!$P$7</definedName>
    <definedName name="sf">'[1]Lead statement'!$P$8</definedName>
    <definedName name="sm">'[1]Lead statement'!$P$6</definedName>
    <definedName name="sslabour">'[1]SSR 2014-15 Rates'!$E$121</definedName>
    <definedName name="st">'[1]Lead statement'!$P$21</definedName>
    <definedName name="towerbolt10">'[1]SSR 2014-15 Rates'!$E$111</definedName>
    <definedName name="twp">'[1]SSR 2014-15 Rates'!$E$100</definedName>
    <definedName name="tws">'[1]SSR 2014-15 Rates'!$E$98</definedName>
    <definedName name="twsless">'[1]SSR 2014-15 Rates'!$E$99</definedName>
    <definedName name="vitrinorm">'[1]SSR 2014-15 Rates'!$E$89</definedName>
    <definedName name="welder1">'[1]SSR 2014-15 Rates'!$E$34</definedName>
    <definedName name="welder2">'[1]SSR 2014-15 Rates'!$E$35</definedName>
    <definedName name="whitecem">'[1]SSR 2014-15 Rates'!$E$73</definedName>
  </definedNames>
  <calcPr calcId="144525"/>
</workbook>
</file>

<file path=xl/calcChain.xml><?xml version="1.0" encoding="utf-8"?>
<calcChain xmlns="http://schemas.openxmlformats.org/spreadsheetml/2006/main">
  <c r="E13" i="1" l="1"/>
  <c r="E12" i="1"/>
  <c r="E11" i="1"/>
  <c r="E10" i="1"/>
  <c r="E9" i="1"/>
  <c r="E8" i="1" l="1"/>
  <c r="E7" i="1"/>
  <c r="E5" i="1"/>
  <c r="E6" i="1" l="1"/>
  <c r="E14" i="1" s="1"/>
  <c r="A1" i="1" l="1"/>
</calcChain>
</file>

<file path=xl/sharedStrings.xml><?xml version="1.0" encoding="utf-8"?>
<sst xmlns="http://schemas.openxmlformats.org/spreadsheetml/2006/main" count="26" uniqueCount="19">
  <si>
    <t>Estimate Quantity (only Figures)</t>
  </si>
  <si>
    <t>Item Detailed 
Specification Description</t>
  </si>
  <si>
    <t>Rate (INR) 
( Upto 2 Decimals )</t>
  </si>
  <si>
    <t>UOM
( upto 50 Characters)</t>
  </si>
  <si>
    <t>Amount (INR) 
( Upto 2 Decimals )</t>
  </si>
  <si>
    <t xml:space="preserve">ECV </t>
  </si>
  <si>
    <t xml:space="preserve">                                          BOQ</t>
  </si>
  <si>
    <t>Name of the Work : Korukonda Theppotsavam-2026</t>
  </si>
  <si>
    <t>Towards engaging labour for clearance of vegetation around Koneru bund, erection of Q-lines, barricading and chain link mesh for Teppotsavam, and removal of the same after completion of the festival and safe storage in Devasthanam store including all allied miscellaneous works</t>
  </si>
  <si>
    <t>each</t>
  </si>
  <si>
    <t>Towards filling water in Koneru, repairs to canal and painting works to Mandapam in connection with Teppotsavam</t>
  </si>
  <si>
    <t>Job</t>
  </si>
  <si>
    <t>Towards complete painting work to Hamsa Vahanam including cost of materials and labour charges in connection with Teppotsavam.</t>
  </si>
  <si>
    <t>Towards removal of Tutti reeds and Lotus stems in Koneru and dumping on the bund side including cleaning in connection with Teppotsavam.</t>
  </si>
  <si>
    <t>Towards arrangement of Fireworks / Crackers display in connection with Teppotsavam.</t>
  </si>
  <si>
    <t>Towards Insurance charges for boatmen, fishermen and others engaged during Teppotsavam (Approx. 10 Nos)</t>
  </si>
  <si>
    <t>Towards engaging persons for rowing and pushing Hamsa Vahanam with poles during Teppotsavam</t>
  </si>
  <si>
    <t>Towards lowering of Pantu into Koneru and shifting back to bund after completion of festival including crane charges, labour charges and transport charges in connection with Teppotsavam.</t>
  </si>
  <si>
    <t>Towards supply of garlands, flower balls for decoration of Hamsa Vahanam and arranging motor for water fountain through Hamsa mouth in connection with Teppotsavam.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</si>
</sst>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_-;\-* #,##0_-;_-* \-??_-;_-@_-"/>
    <numFmt numFmtId="166" formatCode="_(* #,##0.000_);_(* \(#,##0.000\);_(* \-??_);_(@_)"/>
    <numFmt numFmtId="167" formatCode="_(* #,##0.00_);_(* \(#,##0.00\);_(* \-??_);_(@_)"/>
    <numFmt numFmtId="168" formatCode="_(* #,##0_);_(* \(#,##0\);_(* \-??_);_(@_)"/>
    <numFmt numFmtId="169" formatCode="_(\$* #,##0.00_);_(\$* \(#,##0.00\);_(\$* \-??_);_(@_)"/>
    <numFmt numFmtId="170" formatCode="0.0"/>
    <numFmt numFmtId="171" formatCode="0.00_)"/>
    <numFmt numFmtId="172" formatCode="mm/dd/yy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sz val="10"/>
      <name val="Arial"/>
      <family val="2"/>
      <charset val="204"/>
    </font>
    <font>
      <sz val="11"/>
      <color indexed="8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sz val="7"/>
      <name val="Small Fonts"/>
      <family val="2"/>
    </font>
    <font>
      <b/>
      <i/>
      <sz val="16"/>
      <name val="Helv"/>
    </font>
    <font>
      <b/>
      <i/>
      <sz val="16"/>
      <name val="Arial"/>
      <family val="2"/>
    </font>
    <font>
      <sz val="8"/>
      <name val="Helv"/>
    </font>
    <font>
      <b/>
      <sz val="12"/>
      <name val="MS Sans Serif"/>
      <family val="2"/>
    </font>
    <font>
      <sz val="10"/>
      <name val="Helv"/>
      <charset val="204"/>
    </font>
    <font>
      <sz val="12"/>
      <name val="MS Sans Serif"/>
      <family val="2"/>
    </font>
    <font>
      <b/>
      <sz val="8"/>
      <color indexed="8"/>
      <name val="Helv"/>
    </font>
    <font>
      <sz val="12"/>
      <name val="Bookman Old Style"/>
      <family val="1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08">
    <xf numFmtId="0" fontId="0" fillId="0" borderId="0"/>
    <xf numFmtId="43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6" fontId="6" fillId="0" borderId="0" applyFill="0" applyBorder="0" applyAlignment="0" applyProtection="0"/>
    <xf numFmtId="166" fontId="6" fillId="0" borderId="0" applyFill="0" applyBorder="0" applyAlignment="0" applyProtection="0"/>
    <xf numFmtId="167" fontId="6" fillId="0" borderId="0" applyFill="0" applyBorder="0" applyAlignment="0" applyProtection="0"/>
    <xf numFmtId="43" fontId="3" fillId="0" borderId="0" applyFont="0" applyFill="0" applyBorder="0" applyAlignment="0" applyProtection="0"/>
    <xf numFmtId="168" fontId="6" fillId="0" borderId="0" applyFill="0" applyBorder="0" applyAlignment="0" applyProtection="0"/>
    <xf numFmtId="43" fontId="2" fillId="0" borderId="0" applyFont="0" applyFill="0" applyBorder="0" applyAlignment="0" applyProtection="0"/>
    <xf numFmtId="0" fontId="6" fillId="0" borderId="0" applyFill="0" applyBorder="0" applyAlignment="0" applyProtection="0"/>
    <xf numFmtId="0" fontId="6" fillId="0" borderId="0" applyFill="0" applyBorder="0" applyAlignment="0" applyProtection="0"/>
    <xf numFmtId="0" fontId="6" fillId="0" borderId="0" applyFill="0" applyBorder="0" applyAlignment="0" applyProtection="0"/>
    <xf numFmtId="0" fontId="6" fillId="0" borderId="0" applyFill="0" applyBorder="0" applyAlignment="0" applyProtection="0"/>
    <xf numFmtId="0" fontId="6" fillId="0" borderId="0" applyFill="0" applyBorder="0" applyAlignment="0" applyProtection="0"/>
    <xf numFmtId="0" fontId="6" fillId="0" borderId="0" applyFill="0" applyBorder="0" applyAlignment="0" applyProtection="0"/>
    <xf numFmtId="169" fontId="6" fillId="0" borderId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 applyFill="0" applyBorder="0" applyAlignment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6" fillId="0" borderId="0" applyNumberFormat="0" applyAlignment="0">
      <alignment horizontal="left"/>
    </xf>
    <xf numFmtId="0" fontId="17" fillId="0" borderId="0" applyNumberFormat="0" applyAlignment="0">
      <alignment horizontal="left"/>
    </xf>
    <xf numFmtId="0" fontId="18" fillId="0" borderId="6" applyNumberFormat="0" applyFill="0" applyAlignment="0" applyProtection="0"/>
    <xf numFmtId="1" fontId="2" fillId="0" borderId="0"/>
    <xf numFmtId="38" fontId="19" fillId="3" borderId="0" applyNumberFormat="0" applyBorder="0" applyAlignment="0" applyProtection="0"/>
    <xf numFmtId="38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0" borderId="7" applyNumberFormat="0" applyAlignment="0" applyProtection="0">
      <alignment horizontal="left" vertical="center"/>
    </xf>
    <xf numFmtId="0" fontId="20" fillId="0" borderId="5">
      <alignment horizontal="left" vertical="center"/>
    </xf>
    <xf numFmtId="10" fontId="19" fillId="5" borderId="4" applyNumberFormat="0" applyBorder="0" applyAlignment="0" applyProtection="0"/>
    <xf numFmtId="10" fontId="19" fillId="5" borderId="4" applyNumberFormat="0" applyBorder="0" applyAlignment="0" applyProtection="0"/>
    <xf numFmtId="0" fontId="19" fillId="6" borderId="0" applyNumberFormat="0" applyBorder="0" applyAlignment="0" applyProtection="0"/>
    <xf numFmtId="170" fontId="8" fillId="0" borderId="8">
      <alignment horizontal="right"/>
    </xf>
    <xf numFmtId="37" fontId="21" fillId="0" borderId="0"/>
    <xf numFmtId="171" fontId="22" fillId="0" borderId="0"/>
    <xf numFmtId="171" fontId="22" fillId="0" borderId="0"/>
    <xf numFmtId="171" fontId="23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12" fillId="0" borderId="0"/>
    <xf numFmtId="0" fontId="7" fillId="0" borderId="0"/>
    <xf numFmtId="0" fontId="11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2" fontId="24" fillId="0" borderId="0" applyNumberFormat="0" applyFill="0" applyBorder="0" applyAlignment="0" applyProtection="0">
      <alignment horizontal="left"/>
    </xf>
    <xf numFmtId="0" fontId="25" fillId="0" borderId="4">
      <alignment horizontal="center"/>
    </xf>
    <xf numFmtId="0" fontId="26" fillId="0" borderId="0"/>
    <xf numFmtId="0" fontId="25" fillId="0" borderId="0">
      <alignment horizontal="center" vertical="center"/>
    </xf>
    <xf numFmtId="0" fontId="27" fillId="7" borderId="0" applyNumberFormat="0" applyFill="0">
      <alignment horizontal="left" vertical="center"/>
    </xf>
    <xf numFmtId="40" fontId="28" fillId="0" borderId="0" applyBorder="0">
      <alignment horizontal="right"/>
    </xf>
    <xf numFmtId="164" fontId="2" fillId="0" borderId="0" applyFont="0" applyFill="0" applyBorder="0" applyAlignment="0" applyProtection="0"/>
    <xf numFmtId="0" fontId="2" fillId="0" borderId="0"/>
    <xf numFmtId="40" fontId="14" fillId="0" borderId="0"/>
    <xf numFmtId="0" fontId="13" fillId="0" borderId="3" applyNumberFormat="0" applyFill="0" applyAlignment="0" applyProtection="0"/>
    <xf numFmtId="0" fontId="11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2" fillId="0" borderId="0"/>
    <xf numFmtId="0" fontId="11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43" fontId="10" fillId="2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top"/>
    </xf>
    <xf numFmtId="0" fontId="30" fillId="0" borderId="2" xfId="105" applyFont="1" applyBorder="1" applyAlignment="1">
      <alignment vertical="top" wrapText="1"/>
    </xf>
    <xf numFmtId="0" fontId="30" fillId="0" borderId="10" xfId="105" applyFont="1" applyBorder="1" applyAlignment="1">
      <alignment vertical="top" wrapText="1"/>
    </xf>
    <xf numFmtId="43" fontId="10" fillId="2" borderId="1" xfId="1" applyNumberFormat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105" applyFont="1" applyBorder="1" applyAlignment="1">
      <alignment vertical="top" wrapText="1"/>
    </xf>
    <xf numFmtId="2" fontId="30" fillId="0" borderId="1" xfId="105" applyNumberFormat="1" applyFont="1" applyBorder="1" applyAlignment="1">
      <alignment horizontal="center" vertical="center" wrapText="1"/>
    </xf>
    <xf numFmtId="2" fontId="10" fillId="2" borderId="1" xfId="1" applyNumberFormat="1" applyFont="1" applyFill="1" applyBorder="1" applyAlignment="1">
      <alignment horizontal="center" vertical="center" wrapText="1"/>
    </xf>
    <xf numFmtId="2" fontId="0" fillId="0" borderId="0" xfId="0" applyNumberFormat="1"/>
    <xf numFmtId="43" fontId="30" fillId="0" borderId="1" xfId="105" applyNumberFormat="1" applyFont="1" applyBorder="1" applyAlignment="1">
      <alignment vertical="center" wrapText="1"/>
    </xf>
    <xf numFmtId="43" fontId="0" fillId="0" borderId="0" xfId="0" applyNumberFormat="1" applyAlignment="1">
      <alignment vertical="center"/>
    </xf>
    <xf numFmtId="0" fontId="30" fillId="0" borderId="0" xfId="105" applyFont="1" applyBorder="1" applyAlignment="1">
      <alignment vertical="top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justify" vertical="top"/>
    </xf>
    <xf numFmtId="2" fontId="4" fillId="0" borderId="0" xfId="1" applyNumberFormat="1" applyFont="1" applyBorder="1" applyAlignment="1">
      <alignment horizontal="right" vertical="center" wrapText="1"/>
    </xf>
    <xf numFmtId="43" fontId="5" fillId="0" borderId="0" xfId="0" applyNumberFormat="1" applyFont="1" applyBorder="1" applyAlignment="1">
      <alignment horizontal="right" vertical="center" wrapText="1"/>
    </xf>
    <xf numFmtId="43" fontId="30" fillId="0" borderId="1" xfId="1" applyNumberFormat="1" applyFont="1" applyBorder="1" applyAlignment="1">
      <alignment horizontal="center" vertical="center"/>
    </xf>
    <xf numFmtId="2" fontId="30" fillId="0" borderId="1" xfId="1" applyNumberFormat="1" applyFont="1" applyBorder="1" applyAlignment="1">
      <alignment horizontal="right" vertical="center" wrapText="1"/>
    </xf>
    <xf numFmtId="0" fontId="30" fillId="0" borderId="1" xfId="0" applyFont="1" applyBorder="1" applyAlignment="1">
      <alignment horizontal="center" vertical="center" wrapText="1"/>
    </xf>
    <xf numFmtId="43" fontId="31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/>
    <xf numFmtId="0" fontId="32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wrapText="1"/>
    </xf>
    <xf numFmtId="0" fontId="8" fillId="0" borderId="9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</cellXfs>
  <cellStyles count="108">
    <cellStyle name="Calc Currency (0)" xfId="32"/>
    <cellStyle name="Comma" xfId="1" builtinId="3"/>
    <cellStyle name="Comma  - Style1" xfId="33"/>
    <cellStyle name="Comma  - Style2" xfId="34"/>
    <cellStyle name="Comma  - Style3" xfId="35"/>
    <cellStyle name="Comma  - Style4" xfId="36"/>
    <cellStyle name="Comma  - Style5" xfId="37"/>
    <cellStyle name="Comma  - Style6" xfId="38"/>
    <cellStyle name="Comma  - Style7" xfId="39"/>
    <cellStyle name="Comma  - Style8" xfId="40"/>
    <cellStyle name="Comma 10" xfId="4"/>
    <cellStyle name="Comma 11" xfId="5"/>
    <cellStyle name="Comma 12" xfId="6"/>
    <cellStyle name="Comma 13" xfId="7"/>
    <cellStyle name="Comma 14" xfId="8"/>
    <cellStyle name="Comma 15" xfId="106"/>
    <cellStyle name="Comma 2" xfId="9"/>
    <cellStyle name="Comma 2 2" xfId="10"/>
    <cellStyle name="Comma 2 3" xfId="41"/>
    <cellStyle name="Comma 2 4" xfId="95"/>
    <cellStyle name="Comma 3" xfId="3"/>
    <cellStyle name="Comma 3 2" xfId="11"/>
    <cellStyle name="Comma 3 3" xfId="42"/>
    <cellStyle name="Comma 3 4" xfId="96"/>
    <cellStyle name="Comma 4" xfId="12"/>
    <cellStyle name="Comma 5" xfId="13"/>
    <cellStyle name="Comma 6" xfId="14"/>
    <cellStyle name="Comma 7" xfId="15"/>
    <cellStyle name="Comma 8" xfId="16"/>
    <cellStyle name="Comma 9" xfId="17"/>
    <cellStyle name="Copied" xfId="43"/>
    <cellStyle name="Currency 2" xfId="18"/>
    <cellStyle name="Currency 3" xfId="19"/>
    <cellStyle name="Entered" xfId="44"/>
    <cellStyle name="Excel_BuiltIn_Total" xfId="45"/>
    <cellStyle name="general" xfId="46"/>
    <cellStyle name="Grey" xfId="47"/>
    <cellStyle name="Grey 2" xfId="48"/>
    <cellStyle name="Grey_- MODEL ESTIMATE 29.3.2012 - With Feb2012 PVC Rates &amp; 5% VAT - Copy" xfId="49"/>
    <cellStyle name="Header1" xfId="50"/>
    <cellStyle name="Header2" xfId="51"/>
    <cellStyle name="Input [yellow]" xfId="52"/>
    <cellStyle name="Input [yellow] 2" xfId="53"/>
    <cellStyle name="Input [yellow]_- MODEL ESTIMATE 29.3.2012 - With Feb2012 PVC Rates &amp; 5% VAT - Copy" xfId="54"/>
    <cellStyle name="MANKAD" xfId="55"/>
    <cellStyle name="no dec" xfId="56"/>
    <cellStyle name="Normal" xfId="0" builtinId="0"/>
    <cellStyle name="Normal - Style1" xfId="57"/>
    <cellStyle name="Normal - Style1 2" xfId="58"/>
    <cellStyle name="Normal - Style1_- MODEL ESTIMATE 29.3.2012 - With Feb2012 PVC Rates &amp; 5% VAT - Copy" xfId="59"/>
    <cellStyle name="Normal 10" xfId="105"/>
    <cellStyle name="Normal 10 2" xfId="60"/>
    <cellStyle name="Normal 2" xfId="2"/>
    <cellStyle name="Normal 2 2" xfId="20"/>
    <cellStyle name="Normal 2 3" xfId="31"/>
    <cellStyle name="Normal 2 3 2" xfId="93"/>
    <cellStyle name="Normal 2 35" xfId="107"/>
    <cellStyle name="Normal 2 4" xfId="61"/>
    <cellStyle name="Normal 2 5" xfId="62"/>
    <cellStyle name="Normal 2 6" xfId="94"/>
    <cellStyle name="Normal 2_Gen.Abstract" xfId="63"/>
    <cellStyle name="Normal 3" xfId="21"/>
    <cellStyle name="Normal 3 2" xfId="22"/>
    <cellStyle name="Normal 3 2 2" xfId="64"/>
    <cellStyle name="Normal 3 2 3" xfId="97"/>
    <cellStyle name="Normal 3 3" xfId="65"/>
    <cellStyle name="Normal 4" xfId="23"/>
    <cellStyle name="Normal 4 2" xfId="66"/>
    <cellStyle name="Normal 4 3" xfId="67"/>
    <cellStyle name="Normal 4_- MODEL ESTIMATE 29.3.2012 - With Feb2012 PVC Rates &amp; 5% VAT - Copy" xfId="68"/>
    <cellStyle name="Normal 5" xfId="24"/>
    <cellStyle name="Normal 5 2" xfId="25"/>
    <cellStyle name="Normal 5 2 2" xfId="70"/>
    <cellStyle name="Normal 5 2 3" xfId="99"/>
    <cellStyle name="Normal 5 3" xfId="69"/>
    <cellStyle name="Normal 5 4" xfId="98"/>
    <cellStyle name="Normal 5_- MODEL ESTIMATE 29.3.2012 - With Feb2012 PVC Rates &amp; 5% VAT - Copy" xfId="71"/>
    <cellStyle name="Normal 6" xfId="26"/>
    <cellStyle name="Normal 6 2" xfId="72"/>
    <cellStyle name="Normal 6 2 2" xfId="73"/>
    <cellStyle name="Normal 6 2 3" xfId="101"/>
    <cellStyle name="Normal 6 3" xfId="100"/>
    <cellStyle name="Normal 6_BOQ" xfId="74"/>
    <cellStyle name="Normal 7" xfId="27"/>
    <cellStyle name="Normal 7 2" xfId="75"/>
    <cellStyle name="Normal 7 3" xfId="102"/>
    <cellStyle name="Normal 8" xfId="28"/>
    <cellStyle name="Normal 8 2" xfId="76"/>
    <cellStyle name="Normal 8 2 2" xfId="92"/>
    <cellStyle name="Normal 8 2 3" xfId="104"/>
    <cellStyle name="Normal 8 3" xfId="103"/>
    <cellStyle name="Normal 9" xfId="29"/>
    <cellStyle name="Percent [2]" xfId="77"/>
    <cellStyle name="Percent [2] 2" xfId="78"/>
    <cellStyle name="Percent [2]_- MODEL ESTIMATE 29.3.2012 - With Feb2012 PVC Rates &amp; 5% VAT - Copy" xfId="79"/>
    <cellStyle name="Percent 2" xfId="30"/>
    <cellStyle name="Percent 2 2" xfId="80"/>
    <cellStyle name="Percent 3" xfId="81"/>
    <cellStyle name="RevList" xfId="82"/>
    <cellStyle name="style" xfId="83"/>
    <cellStyle name="Style 1" xfId="84"/>
    <cellStyle name="style1" xfId="85"/>
    <cellStyle name="style2" xfId="86"/>
    <cellStyle name="Subtotal" xfId="87"/>
    <cellStyle name="þ_x001d_ð &amp;ý&amp;†ýG_x0008_ X_x000a__x0007__x0001__x0001_" xfId="88"/>
    <cellStyle name="þ_x001d_ð&quot;_x000c_Býò_x000c_5ýU_x0001_e_x0005_¹,_x0007__x0001__x0001_" xfId="89"/>
    <cellStyle name="Times New Roman" xfId="90"/>
    <cellStyle name="Total 2" xfId="9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SKTOP/Electrical/New%20Estimtes/Users/Administrator/Downloads/Data-2015-16%20%20Dwaraka%20Tirumala%2019-09-2015%20FInal%20E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ESKTOP/Electrical/New%20Estimtes/Engineering/A.E%20Rajababu/2021/Estimate%20-%20Ratnagiri%20Building%20Dismantling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Lead statement"/>
      <sheetName val="Building Datas"/>
      <sheetName val="Shilpi"/>
      <sheetName val="SSR 2014-15 Rates"/>
      <sheetName val="centering"/>
      <sheetName val="Doors &amp; Floorings"/>
      <sheetName val="40KL-250KL Estimate &amp; data"/>
    </sheetNames>
    <sheetDataSet>
      <sheetData sheetId="0" refreshError="1"/>
      <sheetData sheetId="1">
        <row r="6">
          <cell r="P6">
            <v>1515.93</v>
          </cell>
        </row>
        <row r="7">
          <cell r="P7">
            <v>1448.93</v>
          </cell>
        </row>
        <row r="8">
          <cell r="P8">
            <v>845.64</v>
          </cell>
        </row>
        <row r="9">
          <cell r="P9">
            <v>175.96</v>
          </cell>
        </row>
        <row r="10">
          <cell r="P10">
            <v>683.28</v>
          </cell>
        </row>
        <row r="11">
          <cell r="P11">
            <v>1357.28</v>
          </cell>
        </row>
        <row r="12">
          <cell r="P12">
            <v>1557.28</v>
          </cell>
        </row>
        <row r="13">
          <cell r="P13">
            <v>1987.28</v>
          </cell>
        </row>
        <row r="14">
          <cell r="P14">
            <v>1467.28</v>
          </cell>
        </row>
        <row r="16">
          <cell r="P16">
            <v>1074.28</v>
          </cell>
        </row>
        <row r="17">
          <cell r="P17">
            <v>874.28</v>
          </cell>
        </row>
        <row r="18">
          <cell r="P18">
            <v>466.5</v>
          </cell>
        </row>
        <row r="19">
          <cell r="P19">
            <v>5323.76</v>
          </cell>
        </row>
        <row r="20">
          <cell r="P20">
            <v>5840</v>
          </cell>
        </row>
        <row r="21">
          <cell r="P21">
            <v>34000</v>
          </cell>
        </row>
        <row r="26">
          <cell r="J26">
            <v>0</v>
          </cell>
        </row>
        <row r="27">
          <cell r="J27">
            <v>0.13614999999999999</v>
          </cell>
        </row>
      </sheetData>
      <sheetData sheetId="2" refreshError="1"/>
      <sheetData sheetId="3" refreshError="1"/>
      <sheetData sheetId="4">
        <row r="27">
          <cell r="E27">
            <v>420</v>
          </cell>
        </row>
        <row r="28">
          <cell r="E28">
            <v>375</v>
          </cell>
        </row>
        <row r="29">
          <cell r="E29">
            <v>320</v>
          </cell>
        </row>
        <row r="30">
          <cell r="E30">
            <v>480</v>
          </cell>
        </row>
        <row r="31">
          <cell r="E31">
            <v>375</v>
          </cell>
        </row>
        <row r="34">
          <cell r="E34">
            <v>420</v>
          </cell>
        </row>
        <row r="35">
          <cell r="E35">
            <v>375</v>
          </cell>
        </row>
        <row r="36">
          <cell r="E36">
            <v>420</v>
          </cell>
        </row>
        <row r="37">
          <cell r="E37">
            <v>375</v>
          </cell>
        </row>
        <row r="59">
          <cell r="E59">
            <v>165</v>
          </cell>
        </row>
        <row r="70">
          <cell r="E70">
            <v>248</v>
          </cell>
        </row>
        <row r="73">
          <cell r="E73">
            <v>29</v>
          </cell>
        </row>
        <row r="87">
          <cell r="E87">
            <v>2767</v>
          </cell>
        </row>
        <row r="88">
          <cell r="E88">
            <v>589</v>
          </cell>
        </row>
        <row r="89">
          <cell r="E89">
            <v>674</v>
          </cell>
        </row>
        <row r="90">
          <cell r="E90">
            <v>2145</v>
          </cell>
        </row>
        <row r="91">
          <cell r="E91">
            <v>15</v>
          </cell>
        </row>
        <row r="92">
          <cell r="E92">
            <v>560</v>
          </cell>
        </row>
        <row r="93">
          <cell r="E93">
            <v>730</v>
          </cell>
        </row>
        <row r="94">
          <cell r="E94">
            <v>2861</v>
          </cell>
        </row>
        <row r="96">
          <cell r="E96">
            <v>5952</v>
          </cell>
        </row>
        <row r="97">
          <cell r="E97">
            <v>6924</v>
          </cell>
        </row>
        <row r="98">
          <cell r="E98">
            <v>146840</v>
          </cell>
        </row>
        <row r="99">
          <cell r="E99">
            <v>137941</v>
          </cell>
        </row>
        <row r="100">
          <cell r="E100">
            <v>173539</v>
          </cell>
        </row>
        <row r="101">
          <cell r="E101" t="str">
            <v>Deleted</v>
          </cell>
        </row>
        <row r="102">
          <cell r="E102">
            <v>391</v>
          </cell>
        </row>
        <row r="108">
          <cell r="E108">
            <v>2461</v>
          </cell>
        </row>
        <row r="109">
          <cell r="E109">
            <v>44</v>
          </cell>
        </row>
        <row r="110">
          <cell r="E110">
            <v>181</v>
          </cell>
        </row>
        <row r="111">
          <cell r="E111">
            <v>75</v>
          </cell>
        </row>
        <row r="112">
          <cell r="E112">
            <v>140</v>
          </cell>
        </row>
        <row r="113">
          <cell r="E113">
            <v>198</v>
          </cell>
        </row>
        <row r="114">
          <cell r="E114">
            <v>348</v>
          </cell>
        </row>
        <row r="115">
          <cell r="E115">
            <v>35</v>
          </cell>
        </row>
        <row r="116">
          <cell r="E116">
            <v>45</v>
          </cell>
        </row>
        <row r="117">
          <cell r="E117">
            <v>24</v>
          </cell>
        </row>
        <row r="118">
          <cell r="E118">
            <v>4</v>
          </cell>
        </row>
        <row r="119">
          <cell r="E119">
            <v>21</v>
          </cell>
        </row>
        <row r="120">
          <cell r="E120">
            <v>19</v>
          </cell>
        </row>
        <row r="121">
          <cell r="E121">
            <v>119</v>
          </cell>
        </row>
      </sheetData>
      <sheetData sheetId="5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TRACT (2)"/>
      <sheetName val="Office (2)"/>
      <sheetName val="Office"/>
      <sheetName val="Data (2)"/>
      <sheetName val="Data"/>
      <sheetName val="ABSTRACT"/>
      <sheetName val="Sh"/>
    </sheetNames>
    <sheetDataSet>
      <sheetData sheetId="0" refreshError="1"/>
      <sheetData sheetId="1" refreshError="1"/>
      <sheetData sheetId="2" refreshError="1">
        <row r="1">
          <cell r="A1" t="str">
            <v>Sri Veera Venkata Satyanarayana Swamy Vari Devasthanam, Annavaram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view="pageBreakPreview" topLeftCell="A7" zoomScale="115" zoomScaleNormal="85" zoomScaleSheetLayoutView="115" workbookViewId="0">
      <selection activeCell="E26" sqref="E26:E30"/>
    </sheetView>
  </sheetViews>
  <sheetFormatPr defaultRowHeight="12.75"/>
  <cols>
    <col min="1" max="1" width="15" bestFit="1" customWidth="1"/>
    <col min="2" max="2" width="123.28515625" customWidth="1"/>
    <col min="3" max="3" width="14.28515625" style="11" bestFit="1" customWidth="1"/>
    <col min="4" max="4" width="12.28515625" bestFit="1" customWidth="1"/>
    <col min="5" max="5" width="19.140625" style="13" bestFit="1" customWidth="1"/>
    <col min="7" max="7" width="13.5703125" bestFit="1" customWidth="1"/>
  </cols>
  <sheetData>
    <row r="1" spans="1:9">
      <c r="A1" s="23" t="str">
        <f>[2]Office!A1</f>
        <v>Sri Veera Venkata Satyanarayana Swamy Vari Devasthanam, Annavaram</v>
      </c>
      <c r="B1" s="23"/>
      <c r="C1" s="24"/>
      <c r="D1" s="24"/>
      <c r="E1" s="24"/>
    </row>
    <row r="2" spans="1:9" ht="15.75" customHeight="1">
      <c r="A2" s="25" t="s">
        <v>7</v>
      </c>
      <c r="B2" s="25"/>
      <c r="C2" s="26"/>
      <c r="D2" s="26"/>
      <c r="E2" s="26"/>
    </row>
    <row r="3" spans="1:9" ht="15.75" customHeight="1">
      <c r="A3" s="27" t="s">
        <v>6</v>
      </c>
      <c r="B3" s="28"/>
      <c r="C3" s="28"/>
      <c r="D3" s="28"/>
      <c r="E3" s="29"/>
    </row>
    <row r="4" spans="1:9" ht="33.75">
      <c r="A4" s="2" t="s">
        <v>0</v>
      </c>
      <c r="B4" s="2" t="s">
        <v>1</v>
      </c>
      <c r="C4" s="10" t="s">
        <v>2</v>
      </c>
      <c r="D4" s="2" t="s">
        <v>3</v>
      </c>
      <c r="E4" s="6" t="s">
        <v>4</v>
      </c>
    </row>
    <row r="5" spans="1:9" ht="47.25">
      <c r="A5" s="19">
        <v>33</v>
      </c>
      <c r="B5" s="8" t="s">
        <v>8</v>
      </c>
      <c r="C5" s="9">
        <v>680</v>
      </c>
      <c r="D5" s="7" t="s">
        <v>9</v>
      </c>
      <c r="E5" s="12">
        <f t="shared" ref="E5:E13" si="0">ROUND(C5*A5,0)</f>
        <v>22440</v>
      </c>
      <c r="F5" s="4"/>
      <c r="G5" s="4"/>
      <c r="H5" s="4"/>
      <c r="I5" s="5"/>
    </row>
    <row r="6" spans="1:9" ht="31.5">
      <c r="A6" s="19">
        <v>1</v>
      </c>
      <c r="B6" s="8" t="s">
        <v>10</v>
      </c>
      <c r="C6" s="9">
        <v>15000</v>
      </c>
      <c r="D6" s="7" t="s">
        <v>11</v>
      </c>
      <c r="E6" s="12">
        <f t="shared" si="0"/>
        <v>15000</v>
      </c>
      <c r="F6" s="14"/>
      <c r="G6" s="14"/>
      <c r="H6" s="14"/>
      <c r="I6" s="14"/>
    </row>
    <row r="7" spans="1:9" ht="31.5">
      <c r="A7" s="19">
        <v>1</v>
      </c>
      <c r="B7" s="8" t="s">
        <v>12</v>
      </c>
      <c r="C7" s="9">
        <v>15000</v>
      </c>
      <c r="D7" s="7" t="s">
        <v>11</v>
      </c>
      <c r="E7" s="12">
        <f t="shared" si="0"/>
        <v>15000</v>
      </c>
      <c r="F7" s="14"/>
      <c r="G7" s="14"/>
      <c r="H7" s="14"/>
      <c r="I7" s="14"/>
    </row>
    <row r="8" spans="1:9" ht="31.5">
      <c r="A8" s="19">
        <v>1</v>
      </c>
      <c r="B8" s="8" t="s">
        <v>13</v>
      </c>
      <c r="C8" s="9">
        <v>28000</v>
      </c>
      <c r="D8" s="7" t="s">
        <v>11</v>
      </c>
      <c r="E8" s="12">
        <f t="shared" si="0"/>
        <v>28000</v>
      </c>
      <c r="F8" s="14"/>
      <c r="G8" s="14"/>
      <c r="H8" s="14"/>
      <c r="I8" s="14"/>
    </row>
    <row r="9" spans="1:9" ht="15.75">
      <c r="A9" s="19">
        <v>1</v>
      </c>
      <c r="B9" s="8" t="s">
        <v>14</v>
      </c>
      <c r="C9" s="9">
        <v>23700</v>
      </c>
      <c r="D9" s="7" t="s">
        <v>11</v>
      </c>
      <c r="E9" s="12">
        <f t="shared" si="0"/>
        <v>23700</v>
      </c>
      <c r="F9" s="14"/>
      <c r="G9" s="14"/>
      <c r="H9" s="14"/>
      <c r="I9" s="14"/>
    </row>
    <row r="10" spans="1:9" ht="27.75" customHeight="1">
      <c r="A10" s="19">
        <v>1</v>
      </c>
      <c r="B10" s="8" t="s">
        <v>15</v>
      </c>
      <c r="C10" s="9">
        <v>600</v>
      </c>
      <c r="D10" s="7" t="s">
        <v>11</v>
      </c>
      <c r="E10" s="12">
        <f t="shared" si="0"/>
        <v>600</v>
      </c>
      <c r="F10" s="14"/>
      <c r="G10" s="14"/>
      <c r="H10" s="14"/>
      <c r="I10" s="14"/>
    </row>
    <row r="11" spans="1:9" ht="15.75">
      <c r="A11" s="19">
        <v>8</v>
      </c>
      <c r="B11" s="8" t="s">
        <v>16</v>
      </c>
      <c r="C11" s="9">
        <v>1000</v>
      </c>
      <c r="D11" s="7" t="s">
        <v>9</v>
      </c>
      <c r="E11" s="12">
        <f t="shared" si="0"/>
        <v>8000</v>
      </c>
      <c r="F11" s="14"/>
      <c r="G11" s="14"/>
      <c r="H11" s="14"/>
      <c r="I11" s="14"/>
    </row>
    <row r="12" spans="1:9" ht="31.5">
      <c r="A12" s="19">
        <v>1</v>
      </c>
      <c r="B12" s="8" t="s">
        <v>17</v>
      </c>
      <c r="C12" s="9">
        <v>15000</v>
      </c>
      <c r="D12" s="7" t="s">
        <v>11</v>
      </c>
      <c r="E12" s="12">
        <f t="shared" si="0"/>
        <v>15000</v>
      </c>
      <c r="F12" s="14"/>
      <c r="G12" s="14"/>
      <c r="H12" s="14"/>
      <c r="I12" s="14"/>
    </row>
    <row r="13" spans="1:9" ht="31.5">
      <c r="A13" s="19">
        <v>1</v>
      </c>
      <c r="B13" s="8" t="s">
        <v>18</v>
      </c>
      <c r="C13" s="9">
        <v>10000</v>
      </c>
      <c r="D13" s="7" t="s">
        <v>11</v>
      </c>
      <c r="E13" s="12">
        <f t="shared" si="0"/>
        <v>10000</v>
      </c>
      <c r="F13" s="14"/>
      <c r="G13" s="14"/>
      <c r="H13" s="14"/>
      <c r="I13" s="14"/>
    </row>
    <row r="14" spans="1:9" ht="15.75">
      <c r="A14" s="1"/>
      <c r="B14" s="3" t="s">
        <v>5</v>
      </c>
      <c r="C14" s="20"/>
      <c r="D14" s="21"/>
      <c r="E14" s="22">
        <f>SUM(E5:E13)</f>
        <v>137740</v>
      </c>
    </row>
    <row r="15" spans="1:9" ht="15">
      <c r="A15" s="15"/>
      <c r="B15" s="16"/>
      <c r="C15" s="17"/>
      <c r="D15" s="15"/>
      <c r="E15" s="18"/>
    </row>
  </sheetData>
  <mergeCells count="4">
    <mergeCell ref="A1:E1"/>
    <mergeCell ref="A2:E2"/>
    <mergeCell ref="A3:C3"/>
    <mergeCell ref="D3:E3"/>
  </mergeCells>
  <dataValidations count="5">
    <dataValidation type="decimal" operator="lessThan" allowBlank="1" showInputMessage="1" showErrorMessage="1" sqref="E4 E14:E15">
      <formula1>999999999999999</formula1>
    </dataValidation>
    <dataValidation type="textLength" operator="lessThan" allowBlank="1" showInputMessage="1" showErrorMessage="1" sqref="D4 D14:D15">
      <formula1>51</formula1>
    </dataValidation>
    <dataValidation type="decimal" operator="lessThan" allowBlank="1" showInputMessage="1" showErrorMessage="1" sqref="C4 C14:C15">
      <formula1>9999999999999990</formula1>
    </dataValidation>
    <dataValidation type="decimal" operator="greaterThan" allowBlank="1" showInputMessage="1" showErrorMessage="1" sqref="A1 C5:C13 A4:A15">
      <formula1>0</formula1>
    </dataValidation>
    <dataValidation operator="greaterThan" allowBlank="1" showInputMessage="1" showErrorMessage="1" sqref="A2:A3 B2:E2"/>
  </dataValidations>
  <pageMargins left="0.7" right="0.7" top="0.75" bottom="0.75" header="0.3" footer="0.3"/>
  <pageSetup paperSize="5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BOQ</vt:lpstr>
      <vt:lpstr>Sheet1</vt:lpstr>
      <vt:lpstr>BOQ!Print_Area</vt:lpstr>
      <vt:lpstr>BOQ!Print_Titles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DELL</cp:lastModifiedBy>
  <cp:lastPrinted>2026-10-16T11:38:56Z</cp:lastPrinted>
  <dcterms:created xsi:type="dcterms:W3CDTF">2023-03-29T06:28:45Z</dcterms:created>
  <dcterms:modified xsi:type="dcterms:W3CDTF">2026-10-22T13:00:22Z</dcterms:modified>
</cp:coreProperties>
</file>