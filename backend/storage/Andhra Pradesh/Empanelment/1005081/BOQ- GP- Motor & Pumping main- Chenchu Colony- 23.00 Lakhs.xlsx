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SWSM\Desktop\BOQ- GP- Kolamuru- 22-10-2026\"/>
    </mc:Choice>
  </mc:AlternateContent>
  <bookViews>
    <workbookView xWindow="0" yWindow="0" windowWidth="28800" windowHeight="12315"/>
  </bookViews>
  <sheets>
    <sheet name="BOQ" sheetId="1" r:id="rId1"/>
    <sheet name="Part-1" sheetId="3" r:id="rId2"/>
    <sheet name="Part-2" sheetId="4" r:id="rId3"/>
  </sheets>
  <definedNames>
    <definedName name="_xlnm.Print_Area" localSheetId="0">BOQ!$A$1:$H$9</definedName>
    <definedName name="_xlnm.Print_Area" localSheetId="1">'Part-1'!$A$2:$C$19</definedName>
    <definedName name="_xlnm.Print_Area" localSheetId="2">'Part-2'!$A$1:$C$16</definedName>
  </definedNames>
  <calcPr calcId="152511"/>
</workbook>
</file>

<file path=xl/calcChain.xml><?xml version="1.0" encoding="utf-8"?>
<calcChain xmlns="http://schemas.openxmlformats.org/spreadsheetml/2006/main">
  <c r="C10" i="4" l="1"/>
  <c r="E11" i="4"/>
  <c r="A1" i="4"/>
  <c r="A1" i="3"/>
  <c r="H5" i="1"/>
  <c r="H7" i="1"/>
  <c r="H6" i="1"/>
  <c r="H4" i="1" l="1"/>
  <c r="H3" i="1"/>
  <c r="C11" i="4" l="1"/>
  <c r="E12" i="4" s="1"/>
  <c r="B6" i="3" l="1"/>
  <c r="H8" i="1"/>
  <c r="H9" i="1" l="1"/>
  <c r="C6" i="3" l="1"/>
  <c r="E14" i="4"/>
  <c r="F14" i="4" s="1"/>
</calcChain>
</file>

<file path=xl/sharedStrings.xml><?xml version="1.0" encoding="utf-8"?>
<sst xmlns="http://schemas.openxmlformats.org/spreadsheetml/2006/main" count="70" uniqueCount="54">
  <si>
    <t>Estimate Quantity (only Figures)</t>
  </si>
  <si>
    <t>Item Detailed Specification Description</t>
  </si>
  <si>
    <t>Type(200 Characters)</t>
  </si>
  <si>
    <t>Item Short Description (100 Characters)</t>
  </si>
  <si>
    <t>Technical Specification No</t>
  </si>
  <si>
    <t>Rate</t>
  </si>
  <si>
    <t>Unit</t>
  </si>
  <si>
    <t>Amount</t>
  </si>
  <si>
    <t>As per dept. Specifications</t>
  </si>
  <si>
    <t>One Number Only</t>
  </si>
  <si>
    <t>TOTAL</t>
  </si>
  <si>
    <t>Sl.No</t>
  </si>
  <si>
    <t>Description of the item</t>
  </si>
  <si>
    <t>Estimate contract value</t>
  </si>
  <si>
    <t>Part-I</t>
  </si>
  <si>
    <t xml:space="preserve">I am willing to execute the above mentioned work as per original agreement conditions </t>
  </si>
  <si>
    <t>Note:</t>
  </si>
  <si>
    <t>The above percentage quoted will be operated on the items in Part-I only</t>
  </si>
  <si>
    <t>The quantities specified in the above items of work are approximate.  If there are any deviations / alteration (excess or less) in quantities or units</t>
  </si>
  <si>
    <t>Payament will be made as per agreement conditions  for actual quantities executed.</t>
  </si>
  <si>
    <t>The drawings for the foundation of all structures are based on the  assumed bearing capacity of soils. The contractor shall get the foundation design of all 'structures approved by the department as per the site conditions and execute the work for any variations inthe quantities in such approved designs.</t>
  </si>
  <si>
    <t>Signature of the Tenderer</t>
  </si>
  <si>
    <t>Executive Engineer</t>
  </si>
  <si>
    <t>RWS &amp; S Division, Rajamahendravaram</t>
  </si>
  <si>
    <t>Estimated contract value</t>
  </si>
  <si>
    <t>Part-II</t>
  </si>
  <si>
    <t xml:space="preserve">(Lumpsum provisions made in the estimate) </t>
  </si>
  <si>
    <t>Provision for GST @18%</t>
  </si>
  <si>
    <t>Provision for Q.C @ 0.50%</t>
  </si>
  <si>
    <t>Provision for NAC @ 0.10%</t>
  </si>
  <si>
    <t>Total</t>
  </si>
  <si>
    <t xml:space="preserve">  </t>
  </si>
  <si>
    <t>Signature of the  Tenderer</t>
  </si>
  <si>
    <r>
      <t xml:space="preserve">Cost, Supply and delivery of HDPE PE-100 6 Kg/Sqcm Pipes as per IS : 4984/2016 including cost and conveyance, excluding taxes etc. complete for 1.00 Rmt.  The rate inclding Contractor's Profit @ 13.615%  </t>
    </r>
    <r>
      <rPr>
        <b/>
        <sz val="11"/>
        <color theme="1"/>
        <rFont val="Calibri"/>
        <family val="2"/>
        <scheme val="minor"/>
      </rPr>
      <t>For 200</t>
    </r>
    <r>
      <rPr>
        <b/>
        <sz val="11"/>
        <color rgb="FF000000"/>
        <rFont val="Calibri"/>
        <family val="2"/>
      </rPr>
      <t>mm dia PE -100 PN 6 HDPE Pipe - 6Kg/cm2</t>
    </r>
  </si>
  <si>
    <r>
      <t xml:space="preserve">Earth work excavation for pipe line trences </t>
    </r>
    <r>
      <rPr>
        <b/>
        <sz val="10"/>
        <rFont val="Arial"/>
        <family val="2"/>
      </rPr>
      <t>(2/3 machinery and 1/3 manual)</t>
    </r>
    <r>
      <rPr>
        <sz val="10"/>
        <rFont val="Arial"/>
        <family val="2"/>
      </rPr>
      <t xml:space="preserve"> in all soils except rocky soils including lowering, laying and jointing of pipes with required fittings/specials true to alingment and gradient, refilling with already excavated earth, watering, tamping and removing surplus earth and testing to required hydraulic test pressure etc. complete excluding cost of specials/fittings  for finished item of work.1 rmt. </t>
    </r>
    <r>
      <rPr>
        <b/>
        <sz val="10"/>
        <rFont val="Arial"/>
        <family val="2"/>
      </rPr>
      <t>For 200mm dia PE -100 PN 6 HDPE Pipe - 6Kg/cm2</t>
    </r>
  </si>
  <si>
    <t>Cost and suppy of 200mm HDPE Pipeline</t>
  </si>
  <si>
    <t>Earth work excavation for pipe line trences for 200mm HDPE Pipeline</t>
  </si>
  <si>
    <t xml:space="preserve">Supply and delivery of "Resilient Seated Soft Sealing" Gate Valves (Sluice Valves) with Body and Bonnet of Ductile Iron </t>
  </si>
  <si>
    <t>One Number only</t>
  </si>
  <si>
    <r>
      <t xml:space="preserve">Supply and delivery of "Resilient Seated Soft Sealing" Gate Valves (Sluice Valves) with Body and Bonnet of Ductile Iron GGG-40/SG-400/15 or GGG-50/SG-500/7 or equivalent as per IS:1865, IS:3896-2 and Wedge fully Rubber Lined with food grade quality grade W270 grade EPDM, replaceable Spindle Nut without gland packing with 3-O ring protection system on the Shaft and Seals of NBR. The valves should be Vacuum tight and 100% leak proof with face to face dimensions as per BS:5163 Type A/IS:14846. All the valves should be with fusion bonded Electrostatic Powder coating both inside and outside (Min 250 Microns)- RAL 5005 with Pocket Less Straight through body Passage conforming to Design standards of DIN-3202F4/BS:5163 Type A Flange drilling as per IS:1538,  but excluding GST  as specified in Technical specifications including overheads and Contractor's profit @ 13.615%. </t>
    </r>
    <r>
      <rPr>
        <b/>
        <sz val="11"/>
        <rFont val="Calibri"/>
        <family val="2"/>
        <scheme val="minor"/>
      </rPr>
      <t>For 200mm dia DI Sluice Valve on 200mm dia line.</t>
    </r>
  </si>
  <si>
    <t>Cutting open C.C Road surface with concrete saw cutter and removal with Breaker including all incidental and all labour charges etc completed.</t>
  </si>
  <si>
    <t>Cutting open C.C Road surface with concrete saw cutter.</t>
  </si>
  <si>
    <t>As per Dept Specifications</t>
  </si>
  <si>
    <t>One Cubic meter only</t>
  </si>
  <si>
    <t>PCC M-20 Nominal mix for Pipe encasing works and CC road restoration (Cement:fine aggregate: coarse aggregate) corresponding to Table 9 of IS 456 using 20mm size graded machine crushed hard granite metal (coarse aggregate) from approved quarry including cost and conveyance of all materials like cement, fine aggregate (sand) coarse aggregate, water etc., to site including all operational, incidental and labour charges such as machine mixing, laying concrete, curing etc., complete and including Overheads and Contractors Profit @13.615% etc., complete but excluding GST and Seigniorage charges.</t>
  </si>
  <si>
    <t>PCC M-20 Nominal mix for Pipe encasing works and CC road restoration</t>
  </si>
  <si>
    <t>One Running Meter only</t>
  </si>
  <si>
    <t>Design, Supply, delivery, erection, testing and commissioning of pumping Machinery with all accessories, appurtenances, on common delivery main at each pumping station, piping as per design requirement and as directed by the department as per Technical specifications, as specified complete as specified in technical specifications and details as given below complete on turn-key basis including trial run. The scope of the work includes electrical switchgear Panels, electrical equipment connections including required cabling from pump starter panel to transformers with necessary piping etc. as per requirement, electrical safety system etc., for finished item of work inclusive/exclusive of all taxes of all etc complete. For 45 HP open well Submersible Pump sets each Discharging of 1163 LPM and head of 55.00 meters at Sump at Chenchu Colony.</t>
  </si>
  <si>
    <t>Design, Supply, delivery, erection, testing and commissioning of pumping Machinery , For 45 HP open well Submersible Pump sets each Discharging of 1163 LPM and head of 55.00 meters at Sump at Chenchu Colony.</t>
  </si>
  <si>
    <t>Provision for Supervision charges @3%</t>
  </si>
  <si>
    <t>Provision for Electrical Power supply to the new scheme</t>
  </si>
  <si>
    <t xml:space="preserve">Provision for Unforseen items </t>
  </si>
  <si>
    <t>Name of the Work: Providing Motor and Pumping Main at Chenchu Colony of Kolamuru GP of Rajamahendravaram Rural (M).  Est Cost Rs 23.00 Lakhs.</t>
  </si>
  <si>
    <t>Providing Motor and Pumping Main</t>
  </si>
</sst>
</file>

<file path=xl/styles.xml><?xml version="1.0" encoding="utf-8"?>
<styleSheet xmlns="http://schemas.openxmlformats.org/spreadsheetml/2006/main" xmlns:mc="http://schemas.openxmlformats.org/markup-compatibility/2006" xmlns:x14ac="http://schemas.microsoft.com/office/spreadsheetml/2009/9/ac" mc:Ignorable="x14ac">
  <fonts count="24">
    <font>
      <sz val="11"/>
      <color theme="1"/>
      <name val="Calibri"/>
      <charset val="134"/>
      <scheme val="minor"/>
    </font>
    <font>
      <sz val="11"/>
      <color theme="1"/>
      <name val="Calibri"/>
      <family val="2"/>
      <scheme val="minor"/>
    </font>
    <font>
      <b/>
      <sz val="11"/>
      <name val="Verdana"/>
      <family val="2"/>
    </font>
    <font>
      <b/>
      <sz val="10"/>
      <name val="Arial"/>
      <family val="2"/>
    </font>
    <font>
      <sz val="10"/>
      <name val="Arial"/>
      <family val="2"/>
    </font>
    <font>
      <sz val="11"/>
      <name val="Calibri"/>
      <family val="2"/>
      <scheme val="minor"/>
    </font>
    <font>
      <b/>
      <sz val="11"/>
      <name val="Calibri"/>
      <family val="2"/>
      <scheme val="minor"/>
    </font>
    <font>
      <b/>
      <sz val="10"/>
      <name val="Times New Roman"/>
      <family val="1"/>
    </font>
    <font>
      <sz val="11"/>
      <color theme="1"/>
      <name val="Times New Roman"/>
      <family val="1"/>
    </font>
    <font>
      <b/>
      <u/>
      <sz val="10"/>
      <name val="Times New Roman"/>
      <family val="1"/>
    </font>
    <font>
      <sz val="10"/>
      <name val="Times New Roman"/>
      <family val="1"/>
    </font>
    <font>
      <sz val="11"/>
      <name val="Arial"/>
      <family val="2"/>
    </font>
    <font>
      <sz val="11"/>
      <color theme="1"/>
      <name val="Verdana"/>
      <family val="2"/>
    </font>
    <font>
      <b/>
      <sz val="10"/>
      <name val="Verdana"/>
      <family val="2"/>
    </font>
    <font>
      <b/>
      <sz val="11"/>
      <color theme="1"/>
      <name val="Calibri"/>
      <family val="2"/>
      <scheme val="minor"/>
    </font>
    <font>
      <b/>
      <sz val="8"/>
      <name val="Verdana"/>
      <family val="2"/>
    </font>
    <font>
      <b/>
      <sz val="11"/>
      <color theme="1"/>
      <name val="Verdana"/>
      <family val="2"/>
    </font>
    <font>
      <sz val="11"/>
      <color theme="1"/>
      <name val="Calibri"/>
      <family val="2"/>
      <scheme val="minor"/>
    </font>
    <font>
      <sz val="10"/>
      <color rgb="FF000000"/>
      <name val="Arial"/>
      <family val="2"/>
    </font>
    <font>
      <sz val="11"/>
      <name val="Calibri"/>
      <family val="2"/>
      <scheme val="minor"/>
    </font>
    <font>
      <sz val="10"/>
      <name val="Arial"/>
      <family val="2"/>
    </font>
    <font>
      <b/>
      <sz val="11"/>
      <color rgb="FF000000"/>
      <name val="Calibri"/>
      <family val="2"/>
    </font>
    <font>
      <sz val="10"/>
      <name val="Verdana"/>
      <family val="2"/>
    </font>
    <font>
      <sz val="10"/>
      <color rgb="FF000000"/>
      <name val="Arial"/>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9">
    <xf numFmtId="0" fontId="0" fillId="0" borderId="0"/>
    <xf numFmtId="0" fontId="4"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xf numFmtId="0" fontId="4" fillId="0" borderId="0"/>
    <xf numFmtId="0" fontId="4" fillId="0" borderId="0"/>
    <xf numFmtId="0" fontId="17" fillId="0" borderId="0"/>
    <xf numFmtId="0" fontId="1" fillId="0" borderId="0"/>
    <xf numFmtId="0" fontId="20" fillId="0" borderId="0"/>
    <xf numFmtId="0" fontId="20" fillId="0" borderId="0"/>
    <xf numFmtId="0" fontId="20" fillId="0" borderId="0"/>
    <xf numFmtId="0" fontId="1" fillId="0" borderId="0"/>
    <xf numFmtId="0" fontId="20" fillId="0" borderId="0"/>
    <xf numFmtId="0" fontId="20" fillId="0" borderId="0"/>
    <xf numFmtId="0" fontId="23" fillId="0" borderId="0"/>
    <xf numFmtId="0" fontId="1" fillId="0" borderId="0"/>
    <xf numFmtId="0" fontId="20" fillId="0" borderId="0"/>
    <xf numFmtId="0" fontId="20" fillId="0" borderId="0"/>
    <xf numFmtId="0" fontId="20" fillId="0" borderId="0"/>
    <xf numFmtId="0" fontId="1" fillId="0" borderId="0"/>
    <xf numFmtId="0" fontId="20" fillId="0" borderId="0"/>
    <xf numFmtId="0" fontId="20" fillId="0" borderId="0"/>
    <xf numFmtId="0" fontId="20" fillId="0" borderId="0"/>
  </cellStyleXfs>
  <cellXfs count="54">
    <xf numFmtId="0" fontId="0" fillId="0" borderId="0" xfId="0"/>
    <xf numFmtId="0" fontId="0" fillId="0" borderId="0" xfId="0" applyAlignment="1">
      <alignment vertical="center"/>
    </xf>
    <xf numFmtId="0" fontId="3" fillId="0" borderId="3" xfId="0" applyFont="1" applyBorder="1" applyAlignment="1">
      <alignment horizontal="center" vertical="center"/>
    </xf>
    <xf numFmtId="0" fontId="4" fillId="0" borderId="3" xfId="0" applyFont="1" applyBorder="1" applyAlignment="1">
      <alignment horizontal="center" vertical="center"/>
    </xf>
    <xf numFmtId="0" fontId="5" fillId="0" borderId="3" xfId="0" applyFont="1" applyBorder="1" applyAlignment="1">
      <alignment vertical="center"/>
    </xf>
    <xf numFmtId="2" fontId="5" fillId="0" borderId="3" xfId="0" applyNumberFormat="1" applyFont="1" applyBorder="1" applyAlignment="1">
      <alignment horizontal="right" vertical="center"/>
    </xf>
    <xf numFmtId="0" fontId="6" fillId="0" borderId="3" xfId="0" applyFont="1" applyBorder="1" applyAlignment="1">
      <alignment horizontal="center" vertical="center"/>
    </xf>
    <xf numFmtId="0" fontId="6" fillId="0" borderId="3" xfId="0" applyFont="1" applyBorder="1" applyAlignment="1">
      <alignment vertical="center"/>
    </xf>
    <xf numFmtId="2" fontId="6" fillId="0" borderId="3" xfId="0" applyNumberFormat="1" applyFont="1" applyBorder="1" applyAlignment="1">
      <alignment horizontal="right" vertical="center"/>
    </xf>
    <xf numFmtId="2" fontId="0" fillId="0" borderId="0" xfId="0" applyNumberFormat="1" applyAlignment="1">
      <alignment vertical="center"/>
    </xf>
    <xf numFmtId="0" fontId="0" fillId="0" borderId="0" xfId="0" applyAlignment="1">
      <alignment horizontal="center" vertical="center"/>
    </xf>
    <xf numFmtId="0" fontId="4" fillId="0" borderId="0" xfId="0" applyFont="1" applyAlignment="1">
      <alignment vertical="center"/>
    </xf>
    <xf numFmtId="2" fontId="4" fillId="0" borderId="0" xfId="0" applyNumberFormat="1" applyFont="1" applyAlignment="1">
      <alignment horizontal="right" vertical="center"/>
    </xf>
    <xf numFmtId="0" fontId="4" fillId="0" borderId="0" xfId="0" applyFont="1" applyAlignment="1">
      <alignment horizontal="center"/>
    </xf>
    <xf numFmtId="0" fontId="4" fillId="0" borderId="0" xfId="0" applyFont="1" applyAlignment="1">
      <alignment horizontal="left" vertical="center"/>
    </xf>
    <xf numFmtId="0" fontId="4" fillId="0" borderId="0" xfId="0" applyFont="1" applyAlignment="1">
      <alignment horizontal="right" vertical="center"/>
    </xf>
    <xf numFmtId="0" fontId="7" fillId="0" borderId="0" xfId="0" applyFont="1" applyAlignment="1">
      <alignment vertical="center"/>
    </xf>
    <xf numFmtId="0" fontId="8" fillId="0" borderId="0" xfId="0" applyFont="1" applyAlignment="1">
      <alignment vertical="center"/>
    </xf>
    <xf numFmtId="0" fontId="7" fillId="0" borderId="3" xfId="0" applyFont="1" applyBorder="1" applyAlignment="1">
      <alignment horizontal="center" vertical="center"/>
    </xf>
    <xf numFmtId="0" fontId="8" fillId="0" borderId="3" xfId="0" applyFont="1" applyBorder="1" applyAlignment="1">
      <alignment horizontal="center" vertical="center"/>
    </xf>
    <xf numFmtId="0" fontId="10" fillId="0" borderId="3" xfId="0" applyFont="1" applyBorder="1" applyAlignment="1">
      <alignment horizontal="center" vertical="center" wrapText="1"/>
    </xf>
    <xf numFmtId="0" fontId="11" fillId="0" borderId="3" xfId="0" applyFont="1" applyBorder="1" applyAlignment="1">
      <alignment horizontal="justify" vertical="center" wrapText="1"/>
    </xf>
    <xf numFmtId="2" fontId="8" fillId="0" borderId="0" xfId="0" applyNumberFormat="1" applyFont="1" applyAlignment="1">
      <alignment vertical="center"/>
    </xf>
    <xf numFmtId="0" fontId="8" fillId="0" borderId="3" xfId="0" applyFont="1" applyBorder="1" applyAlignment="1">
      <alignment vertical="center"/>
    </xf>
    <xf numFmtId="0" fontId="7" fillId="0" borderId="0" xfId="0" applyFont="1" applyAlignment="1">
      <alignment horizontal="center" vertical="center"/>
    </xf>
    <xf numFmtId="0" fontId="8" fillId="0" borderId="0" xfId="0" applyFont="1" applyAlignment="1">
      <alignment horizontal="left" vertical="center" wrapText="1"/>
    </xf>
    <xf numFmtId="0" fontId="10" fillId="0" borderId="0" xfId="0" applyFont="1" applyAlignment="1">
      <alignment horizontal="left" vertical="center"/>
    </xf>
    <xf numFmtId="0" fontId="10" fillId="0" borderId="0" xfId="0" applyFont="1" applyAlignment="1">
      <alignment horizontal="right" vertical="center"/>
    </xf>
    <xf numFmtId="0" fontId="12" fillId="0" borderId="0" xfId="0" applyFont="1"/>
    <xf numFmtId="0" fontId="14" fillId="0" borderId="0" xfId="0" applyFont="1"/>
    <xf numFmtId="0" fontId="15" fillId="2" borderId="3"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6" fillId="0" borderId="0" xfId="0" applyFont="1"/>
    <xf numFmtId="0" fontId="19" fillId="0" borderId="3" xfId="0" applyFont="1" applyFill="1" applyBorder="1" applyAlignment="1">
      <alignment vertical="center"/>
    </xf>
    <xf numFmtId="2" fontId="19" fillId="0" borderId="3" xfId="0" applyNumberFormat="1" applyFont="1" applyFill="1" applyBorder="1" applyAlignment="1">
      <alignment horizontal="right" vertical="center"/>
    </xf>
    <xf numFmtId="1" fontId="0" fillId="0" borderId="0" xfId="0" applyNumberFormat="1" applyAlignment="1">
      <alignment vertical="center"/>
    </xf>
    <xf numFmtId="0" fontId="22" fillId="0" borderId="3" xfId="0" applyFont="1" applyFill="1" applyBorder="1" applyAlignment="1">
      <alignment horizontal="center" vertical="center" wrapText="1"/>
    </xf>
    <xf numFmtId="0" fontId="22" fillId="0" borderId="3" xfId="0" applyFont="1" applyFill="1" applyBorder="1" applyAlignment="1">
      <alignment horizontal="left" vertical="center" wrapText="1"/>
    </xf>
    <xf numFmtId="2" fontId="22" fillId="0" borderId="3" xfId="0" applyNumberFormat="1" applyFont="1" applyFill="1" applyBorder="1" applyAlignment="1">
      <alignment horizontal="center" vertical="center" wrapText="1"/>
    </xf>
    <xf numFmtId="0" fontId="19" fillId="0" borderId="3" xfId="0" applyFont="1" applyBorder="1" applyAlignment="1">
      <alignment vertical="center"/>
    </xf>
    <xf numFmtId="2" fontId="11" fillId="0" borderId="3" xfId="0" applyNumberFormat="1" applyFont="1" applyBorder="1" applyAlignment="1">
      <alignment horizontal="center" vertical="center" wrapText="1"/>
    </xf>
    <xf numFmtId="0" fontId="13" fillId="0" borderId="2" xfId="8" applyFont="1" applyBorder="1" applyAlignment="1">
      <alignment horizontal="left" vertical="center" wrapText="1"/>
    </xf>
    <xf numFmtId="0" fontId="13" fillId="0" borderId="4" xfId="8" applyFont="1" applyBorder="1" applyAlignment="1">
      <alignment horizontal="left" vertical="center" wrapText="1"/>
    </xf>
    <xf numFmtId="0" fontId="8" fillId="0" borderId="0" xfId="0" applyFont="1" applyAlignment="1">
      <alignment horizontal="left" vertical="center" wrapText="1"/>
    </xf>
    <xf numFmtId="0" fontId="8" fillId="0" borderId="0" xfId="0" applyFont="1" applyAlignment="1">
      <alignment horizontal="left" vertical="center"/>
    </xf>
    <xf numFmtId="0" fontId="8" fillId="0" borderId="0" xfId="0" quotePrefix="1" applyFont="1" applyAlignment="1">
      <alignment horizontal="left" vertical="center" wrapText="1"/>
    </xf>
    <xf numFmtId="0" fontId="2" fillId="0" borderId="1" xfId="8" applyFont="1" applyBorder="1" applyAlignment="1">
      <alignment horizontal="left" vertical="center" wrapText="1"/>
    </xf>
    <xf numFmtId="0" fontId="2" fillId="0" borderId="2" xfId="8" applyFont="1" applyBorder="1" applyAlignment="1">
      <alignment horizontal="left" vertical="center" wrapText="1"/>
    </xf>
    <xf numFmtId="0" fontId="9" fillId="0" borderId="3" xfId="0" applyFont="1" applyBorder="1" applyAlignment="1">
      <alignment horizontal="center" vertical="center"/>
    </xf>
    <xf numFmtId="0" fontId="7" fillId="0" borderId="3" xfId="0" applyFont="1" applyBorder="1" applyAlignment="1">
      <alignment horizontal="center" vertical="center"/>
    </xf>
    <xf numFmtId="0" fontId="7" fillId="0" borderId="0" xfId="0" quotePrefix="1" applyFont="1" applyAlignment="1">
      <alignment horizontal="left" vertical="center" wrapText="1"/>
    </xf>
    <xf numFmtId="0" fontId="7" fillId="0" borderId="0" xfId="0" applyFont="1" applyAlignment="1">
      <alignment horizontal="left" vertical="center" wrapText="1"/>
    </xf>
    <xf numFmtId="0" fontId="3" fillId="0" borderId="3" xfId="0" applyFont="1" applyBorder="1" applyAlignment="1">
      <alignment horizontal="center" vertical="center"/>
    </xf>
    <xf numFmtId="0" fontId="13" fillId="0" borderId="1" xfId="8" applyFont="1" applyBorder="1" applyAlignment="1">
      <alignment horizontal="left" vertical="center" wrapText="1"/>
    </xf>
  </cellXfs>
  <cellStyles count="29">
    <cellStyle name="Normal" xfId="0" builtinId="0"/>
    <cellStyle name="Normal - Style1 2 2 2" xfId="1"/>
    <cellStyle name="Normal - Style1 2 2 2 2" xfId="22"/>
    <cellStyle name="Normal 177" xfId="2"/>
    <cellStyle name="Normal 177 2" xfId="20"/>
    <cellStyle name="Normal 2" xfId="3"/>
    <cellStyle name="Normal 2 10" xfId="28"/>
    <cellStyle name="Normal 2 2" xfId="4"/>
    <cellStyle name="Normal 2 2 2" xfId="15"/>
    <cellStyle name="Normal 2 28" xfId="5"/>
    <cellStyle name="Normal 2 28 2" xfId="27"/>
    <cellStyle name="Normal 2 28 3" xfId="26"/>
    <cellStyle name="Normal 2 3" xfId="14"/>
    <cellStyle name="Normal 24" xfId="6"/>
    <cellStyle name="Normal 24 2" xfId="7"/>
    <cellStyle name="Normal 24 2 2" xfId="19"/>
    <cellStyle name="Normal 24 3" xfId="18"/>
    <cellStyle name="Normal 3" xfId="8"/>
    <cellStyle name="Normal 3 2" xfId="9"/>
    <cellStyle name="Normal 3 2 2" xfId="17"/>
    <cellStyle name="Normal 3 3" xfId="10"/>
    <cellStyle name="Normal 3 3 2" xfId="23"/>
    <cellStyle name="Normal 3 4" xfId="11"/>
    <cellStyle name="Normal 3 4 2" xfId="24"/>
    <cellStyle name="Normal 3 5" xfId="16"/>
    <cellStyle name="Normal 4" xfId="12"/>
    <cellStyle name="Normal 4 2" xfId="25"/>
    <cellStyle name="Normal 5" xfId="13"/>
    <cellStyle name="Normal 6" xf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tabSelected="1" view="pageBreakPreview" zoomScaleNormal="100" zoomScaleSheetLayoutView="100" workbookViewId="0">
      <selection activeCell="K5" sqref="K5"/>
    </sheetView>
  </sheetViews>
  <sheetFormatPr defaultColWidth="9" defaultRowHeight="15"/>
  <cols>
    <col min="1" max="1" width="12" customWidth="1"/>
    <col min="2" max="2" width="68.7109375" customWidth="1"/>
    <col min="3" max="3" width="18.5703125" customWidth="1"/>
    <col min="4" max="4" width="18.7109375" customWidth="1"/>
    <col min="5" max="5" width="16.140625" customWidth="1"/>
    <col min="6" max="6" width="11.28515625" customWidth="1"/>
    <col min="7" max="7" width="11" customWidth="1"/>
    <col min="8" max="8" width="14.85546875" customWidth="1"/>
  </cols>
  <sheetData>
    <row r="1" spans="1:9" ht="36" customHeight="1">
      <c r="A1" s="53" t="s">
        <v>52</v>
      </c>
      <c r="B1" s="41"/>
      <c r="C1" s="41"/>
      <c r="D1" s="41"/>
      <c r="E1" s="41"/>
      <c r="F1" s="41"/>
      <c r="G1" s="41"/>
      <c r="H1" s="42"/>
      <c r="I1" s="29"/>
    </row>
    <row r="2" spans="1:9" s="28" customFormat="1" ht="52.5" customHeight="1">
      <c r="A2" s="30" t="s">
        <v>0</v>
      </c>
      <c r="B2" s="31" t="s">
        <v>1</v>
      </c>
      <c r="C2" s="31" t="s">
        <v>2</v>
      </c>
      <c r="D2" s="31" t="s">
        <v>3</v>
      </c>
      <c r="E2" s="31" t="s">
        <v>4</v>
      </c>
      <c r="F2" s="31" t="s">
        <v>5</v>
      </c>
      <c r="G2" s="31" t="s">
        <v>6</v>
      </c>
      <c r="H2" s="31" t="s">
        <v>7</v>
      </c>
      <c r="I2" s="32"/>
    </row>
    <row r="3" spans="1:9" ht="63.75" customHeight="1">
      <c r="A3" s="38">
        <v>500</v>
      </c>
      <c r="B3" s="37" t="s">
        <v>33</v>
      </c>
      <c r="C3" s="36" t="s">
        <v>35</v>
      </c>
      <c r="D3" s="36" t="s">
        <v>53</v>
      </c>
      <c r="E3" s="36" t="s">
        <v>8</v>
      </c>
      <c r="F3" s="38">
        <v>1546.8</v>
      </c>
      <c r="G3" s="36" t="s">
        <v>46</v>
      </c>
      <c r="H3" s="38">
        <f t="shared" ref="H3:H5" si="0">ROUND(A3*F3,2)</f>
        <v>773400</v>
      </c>
      <c r="I3" s="29"/>
    </row>
    <row r="4" spans="1:9" ht="89.25">
      <c r="A4" s="38">
        <v>500</v>
      </c>
      <c r="B4" s="37" t="s">
        <v>34</v>
      </c>
      <c r="C4" s="36" t="s">
        <v>36</v>
      </c>
      <c r="D4" s="36" t="s">
        <v>53</v>
      </c>
      <c r="E4" s="36" t="s">
        <v>8</v>
      </c>
      <c r="F4" s="38">
        <v>400</v>
      </c>
      <c r="G4" s="36" t="s">
        <v>46</v>
      </c>
      <c r="H4" s="38">
        <f t="shared" si="0"/>
        <v>200000</v>
      </c>
      <c r="I4" s="29"/>
    </row>
    <row r="5" spans="1:9" ht="196.5" customHeight="1">
      <c r="A5" s="38">
        <v>1</v>
      </c>
      <c r="B5" s="37" t="s">
        <v>39</v>
      </c>
      <c r="C5" s="36" t="s">
        <v>37</v>
      </c>
      <c r="D5" s="36" t="s">
        <v>53</v>
      </c>
      <c r="E5" s="36" t="s">
        <v>8</v>
      </c>
      <c r="F5" s="38">
        <v>78973</v>
      </c>
      <c r="G5" s="36" t="s">
        <v>38</v>
      </c>
      <c r="H5" s="38">
        <f t="shared" si="0"/>
        <v>78973</v>
      </c>
      <c r="I5" s="29"/>
    </row>
    <row r="6" spans="1:9" ht="51">
      <c r="A6" s="38">
        <v>5</v>
      </c>
      <c r="B6" s="37" t="s">
        <v>40</v>
      </c>
      <c r="C6" s="36" t="s">
        <v>41</v>
      </c>
      <c r="D6" s="36" t="s">
        <v>53</v>
      </c>
      <c r="E6" s="36" t="s">
        <v>42</v>
      </c>
      <c r="F6" s="38">
        <v>4137.8599999999997</v>
      </c>
      <c r="G6" s="36" t="s">
        <v>43</v>
      </c>
      <c r="H6" s="38">
        <f t="shared" ref="H6:H7" si="1">A6*F6</f>
        <v>20689.3</v>
      </c>
      <c r="I6" s="29"/>
    </row>
    <row r="7" spans="1:9" ht="141" customHeight="1">
      <c r="A7" s="38">
        <v>5</v>
      </c>
      <c r="B7" s="37" t="s">
        <v>44</v>
      </c>
      <c r="C7" s="36" t="s">
        <v>45</v>
      </c>
      <c r="D7" s="36" t="s">
        <v>53</v>
      </c>
      <c r="E7" s="36" t="s">
        <v>8</v>
      </c>
      <c r="F7" s="38">
        <v>8385.4</v>
      </c>
      <c r="G7" s="36" t="s">
        <v>43</v>
      </c>
      <c r="H7" s="38">
        <f t="shared" si="1"/>
        <v>41927</v>
      </c>
      <c r="I7" s="29"/>
    </row>
    <row r="8" spans="1:9" ht="191.25">
      <c r="A8" s="38">
        <v>45</v>
      </c>
      <c r="B8" s="37" t="s">
        <v>47</v>
      </c>
      <c r="C8" s="36" t="s">
        <v>48</v>
      </c>
      <c r="D8" s="36" t="s">
        <v>53</v>
      </c>
      <c r="E8" s="36" t="s">
        <v>8</v>
      </c>
      <c r="F8" s="38">
        <v>13596</v>
      </c>
      <c r="G8" s="36" t="s">
        <v>9</v>
      </c>
      <c r="H8" s="38">
        <f t="shared" ref="H8" si="2">A8*F8</f>
        <v>611820</v>
      </c>
      <c r="I8" s="29"/>
    </row>
    <row r="9" spans="1:9" ht="22.5" customHeight="1">
      <c r="A9" s="36"/>
      <c r="B9" s="37"/>
      <c r="C9" s="36"/>
      <c r="D9" s="36"/>
      <c r="E9" s="36" t="s">
        <v>10</v>
      </c>
      <c r="F9" s="36"/>
      <c r="G9" s="36"/>
      <c r="H9" s="38">
        <f>SUM(H3:H8)</f>
        <v>1726809.3</v>
      </c>
    </row>
  </sheetData>
  <mergeCells count="1">
    <mergeCell ref="A1:H1"/>
  </mergeCells>
  <dataValidations count="6">
    <dataValidation type="decimal" operator="lessThan" allowBlank="1" showInputMessage="1" showErrorMessage="1" sqref="H3:H7">
      <formula1>999999999999999</formula1>
    </dataValidation>
    <dataValidation type="textLength" operator="lessThan" allowBlank="1" showInputMessage="1" showErrorMessage="1" sqref="G3:G4">
      <formula1>51</formula1>
    </dataValidation>
    <dataValidation type="decimal" operator="lessThan" allowBlank="1" showInputMessage="1" showErrorMessage="1" sqref="F3 F6">
      <formula1>9999999999999990</formula1>
    </dataValidation>
    <dataValidation type="textLength" operator="lessThan" allowBlank="1" showInputMessage="1" showErrorMessage="1" error="Text Length Exceed the Required Value of 200 Characters" promptTitle="WORK TYPE" prompt="Ex. Earth Work, Electrical Work" sqref="C6:D6 D3:D5 D7:D8">
      <formula1>200</formula1>
    </dataValidation>
    <dataValidation type="decimal" operator="greaterThan" allowBlank="1" showInputMessage="1" showErrorMessage="1" sqref="A3 A6">
      <formula1>0</formula1>
    </dataValidation>
    <dataValidation type="textLength" operator="lessThan" allowBlank="1" showInputMessage="1" showErrorMessage="1" error="Text Length Exceed the Required Value of 200 Characters" promptTitle="APSS / Morth Cl. Number" prompt="Enter APSS / Morth Cl. Number" sqref="E6">
      <formula1>201</formula1>
    </dataValidation>
  </dataValidations>
  <pageMargins left="0.7" right="0.7" top="0.75" bottom="0.75" header="0.3" footer="0.3"/>
  <pageSetup scale="5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election activeCell="I13" sqref="I13"/>
    </sheetView>
  </sheetViews>
  <sheetFormatPr defaultColWidth="9.140625" defaultRowHeight="15"/>
  <cols>
    <col min="1" max="1" width="9.140625" style="17"/>
    <col min="2" max="2" width="107.140625" style="17" customWidth="1"/>
    <col min="3" max="3" width="30.42578125" style="17" customWidth="1"/>
    <col min="4" max="4" width="10.5703125" style="17" customWidth="1"/>
    <col min="5" max="16384" width="9.140625" style="17"/>
  </cols>
  <sheetData>
    <row r="1" spans="1:4" ht="50.25" customHeight="1">
      <c r="A1" s="46" t="str">
        <f>BOQ!A1</f>
        <v>Name of the Work: Providing Motor and Pumping Main at Chenchu Colony of Kolamuru GP of Rajamahendravaram Rural (M).  Est Cost Rs 23.00 Lakhs.</v>
      </c>
      <c r="B1" s="47"/>
      <c r="C1" s="47"/>
    </row>
    <row r="2" spans="1:4" ht="24.75" customHeight="1">
      <c r="A2" s="48" t="s">
        <v>11</v>
      </c>
      <c r="B2" s="48"/>
      <c r="C2" s="48"/>
    </row>
    <row r="3" spans="1:4" s="16" customFormat="1" ht="24.75" customHeight="1">
      <c r="A3" s="18" t="s">
        <v>11</v>
      </c>
      <c r="B3" s="18" t="s">
        <v>12</v>
      </c>
      <c r="C3" s="18" t="s">
        <v>13</v>
      </c>
    </row>
    <row r="4" spans="1:4" ht="24.75" customHeight="1">
      <c r="A4" s="19">
        <v>1</v>
      </c>
      <c r="B4" s="19">
        <v>2</v>
      </c>
      <c r="C4" s="19">
        <v>3</v>
      </c>
    </row>
    <row r="5" spans="1:4" ht="24.75" customHeight="1">
      <c r="A5" s="49" t="s">
        <v>14</v>
      </c>
      <c r="B5" s="49"/>
      <c r="C5" s="49"/>
    </row>
    <row r="6" spans="1:4" ht="53.25" customHeight="1">
      <c r="A6" s="20">
        <v>1</v>
      </c>
      <c r="B6" s="21" t="str">
        <f>A1</f>
        <v>Name of the Work: Providing Motor and Pumping Main at Chenchu Colony of Kolamuru GP of Rajamahendravaram Rural (M).  Est Cost Rs 23.00 Lakhs.</v>
      </c>
      <c r="C6" s="40">
        <f>BOQ!H9</f>
        <v>1726809.3</v>
      </c>
      <c r="D6" s="22"/>
    </row>
    <row r="7" spans="1:4" ht="15.75" customHeight="1">
      <c r="A7" s="23"/>
      <c r="B7" s="23"/>
      <c r="C7" s="23"/>
    </row>
    <row r="8" spans="1:4" ht="27" customHeight="1">
      <c r="B8" s="50" t="s">
        <v>15</v>
      </c>
      <c r="C8" s="51"/>
    </row>
    <row r="9" spans="1:4" ht="27" customHeight="1"/>
    <row r="11" spans="1:4">
      <c r="A11" s="24" t="s">
        <v>16</v>
      </c>
      <c r="B11" s="44" t="s">
        <v>17</v>
      </c>
      <c r="C11" s="44"/>
    </row>
    <row r="12" spans="1:4" ht="30" customHeight="1">
      <c r="B12" s="43" t="s">
        <v>18</v>
      </c>
      <c r="C12" s="43"/>
    </row>
    <row r="13" spans="1:4">
      <c r="B13" s="44" t="s">
        <v>19</v>
      </c>
      <c r="C13" s="44"/>
    </row>
    <row r="14" spans="1:4" ht="45" customHeight="1">
      <c r="B14" s="45" t="s">
        <v>20</v>
      </c>
      <c r="C14" s="43"/>
    </row>
    <row r="15" spans="1:4" ht="34.15" customHeight="1">
      <c r="B15" s="25"/>
      <c r="C15" s="25"/>
    </row>
    <row r="17" spans="2:3">
      <c r="B17" s="17" t="s">
        <v>21</v>
      </c>
      <c r="C17" s="26" t="s">
        <v>22</v>
      </c>
    </row>
    <row r="18" spans="2:3">
      <c r="C18" s="27" t="s">
        <v>23</v>
      </c>
    </row>
    <row r="19" spans="2:3">
      <c r="C19" s="27"/>
    </row>
  </sheetData>
  <mergeCells count="8">
    <mergeCell ref="B12:C12"/>
    <mergeCell ref="B13:C13"/>
    <mergeCell ref="B14:C14"/>
    <mergeCell ref="A1:C1"/>
    <mergeCell ref="A2:C2"/>
    <mergeCell ref="A5:C5"/>
    <mergeCell ref="B8:C8"/>
    <mergeCell ref="B11:C11"/>
  </mergeCells>
  <printOptions horizontalCentered="1"/>
  <pageMargins left="0.511811023622047" right="0.511811023622047" top="0.74803149606299202" bottom="0.74803149606299202" header="0.31496062992126" footer="0.31496062992126"/>
  <pageSetup paperSize="9" scale="9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view="pageBreakPreview" zoomScaleNormal="100" workbookViewId="0">
      <selection activeCell="C21" sqref="C21"/>
    </sheetView>
  </sheetViews>
  <sheetFormatPr defaultColWidth="9.140625" defaultRowHeight="15"/>
  <cols>
    <col min="1" max="1" width="9.140625" style="1"/>
    <col min="2" max="2" width="105.5703125" style="1" customWidth="1"/>
    <col min="3" max="3" width="22.7109375" style="1" customWidth="1"/>
    <col min="4" max="4" width="10.5703125" style="1" customWidth="1"/>
    <col min="5" max="5" width="10.7109375" style="1" customWidth="1"/>
    <col min="6" max="6" width="12.85546875" style="1"/>
    <col min="7" max="16384" width="9.140625" style="1"/>
  </cols>
  <sheetData>
    <row r="1" spans="1:6" ht="51" customHeight="1">
      <c r="A1" s="46" t="str">
        <f>BOQ!A1</f>
        <v>Name of the Work: Providing Motor and Pumping Main at Chenchu Colony of Kolamuru GP of Rajamahendravaram Rural (M).  Est Cost Rs 23.00 Lakhs.</v>
      </c>
      <c r="B1" s="47"/>
      <c r="C1" s="47"/>
    </row>
    <row r="2" spans="1:6" ht="21" customHeight="1">
      <c r="A2" s="2" t="s">
        <v>11</v>
      </c>
      <c r="B2" s="2" t="s">
        <v>12</v>
      </c>
      <c r="C2" s="2" t="s">
        <v>24</v>
      </c>
    </row>
    <row r="3" spans="1:6" ht="21" customHeight="1">
      <c r="A3" s="52" t="s">
        <v>25</v>
      </c>
      <c r="B3" s="52"/>
      <c r="C3" s="52"/>
    </row>
    <row r="4" spans="1:6" ht="21" customHeight="1">
      <c r="A4" s="52" t="s">
        <v>26</v>
      </c>
      <c r="B4" s="52"/>
      <c r="C4" s="52"/>
    </row>
    <row r="5" spans="1:6" ht="21" customHeight="1">
      <c r="A5" s="3">
        <v>1</v>
      </c>
      <c r="B5" s="4" t="s">
        <v>27</v>
      </c>
      <c r="C5" s="5">
        <v>311922</v>
      </c>
    </row>
    <row r="6" spans="1:6" ht="21" customHeight="1">
      <c r="A6" s="3">
        <v>2</v>
      </c>
      <c r="B6" s="4" t="s">
        <v>28</v>
      </c>
      <c r="C6" s="5">
        <v>8656</v>
      </c>
    </row>
    <row r="7" spans="1:6" ht="21" customHeight="1">
      <c r="A7" s="3">
        <v>3</v>
      </c>
      <c r="B7" s="4" t="s">
        <v>29</v>
      </c>
      <c r="C7" s="5">
        <v>1731</v>
      </c>
    </row>
    <row r="8" spans="1:6" ht="21" customHeight="1">
      <c r="A8" s="3">
        <v>4</v>
      </c>
      <c r="B8" s="39" t="s">
        <v>49</v>
      </c>
      <c r="C8" s="5">
        <v>51935</v>
      </c>
    </row>
    <row r="9" spans="1:6" ht="21" customHeight="1">
      <c r="A9" s="3">
        <v>5</v>
      </c>
      <c r="B9" s="33" t="s">
        <v>50</v>
      </c>
      <c r="C9" s="34">
        <v>190000</v>
      </c>
    </row>
    <row r="10" spans="1:6" ht="21" customHeight="1">
      <c r="A10" s="3">
        <v>6</v>
      </c>
      <c r="B10" s="39" t="s">
        <v>51</v>
      </c>
      <c r="C10" s="5">
        <f>4586+4360</f>
        <v>8946</v>
      </c>
    </row>
    <row r="11" spans="1:6" ht="21" customHeight="1">
      <c r="A11" s="6"/>
      <c r="B11" s="7" t="s">
        <v>30</v>
      </c>
      <c r="C11" s="8">
        <f>SUM(C5:C10)</f>
        <v>573190</v>
      </c>
      <c r="D11" s="9"/>
      <c r="E11" s="35">
        <f>BOQ!H9</f>
        <v>1726809.3</v>
      </c>
    </row>
    <row r="12" spans="1:6">
      <c r="A12" s="10"/>
      <c r="B12" s="11"/>
      <c r="C12" s="12"/>
      <c r="E12" s="9">
        <f>C11</f>
        <v>573190</v>
      </c>
    </row>
    <row r="13" spans="1:6">
      <c r="A13" s="10"/>
      <c r="B13" s="11"/>
      <c r="C13" s="9"/>
      <c r="E13" s="9">
        <v>0.7</v>
      </c>
    </row>
    <row r="14" spans="1:6">
      <c r="C14" s="13" t="s">
        <v>31</v>
      </c>
      <c r="E14" s="9">
        <f>SUM(E11:E13)</f>
        <v>2300000</v>
      </c>
      <c r="F14" s="9">
        <f>2300000-E14</f>
        <v>0</v>
      </c>
    </row>
    <row r="15" spans="1:6">
      <c r="B15" s="1" t="s">
        <v>32</v>
      </c>
      <c r="C15" s="14" t="s">
        <v>22</v>
      </c>
      <c r="F15" s="9"/>
    </row>
    <row r="16" spans="1:6">
      <c r="C16" s="15" t="s">
        <v>23</v>
      </c>
    </row>
    <row r="17" spans="6:6">
      <c r="F17" s="9"/>
    </row>
    <row r="18" spans="6:6">
      <c r="F18" s="9"/>
    </row>
    <row r="20" spans="6:6">
      <c r="F20" s="9"/>
    </row>
  </sheetData>
  <mergeCells count="3">
    <mergeCell ref="A1:C1"/>
    <mergeCell ref="A3:C3"/>
    <mergeCell ref="A4:C4"/>
  </mergeCells>
  <printOptions horizontalCentered="1"/>
  <pageMargins left="0.511811023622047" right="0.511811023622047" top="0.74803149606299202" bottom="0.74803149606299202" header="0.31496062992126" footer="0.31496062992126"/>
  <pageSetup paperSize="9"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BOQ</vt:lpstr>
      <vt:lpstr>Part-1</vt:lpstr>
      <vt:lpstr>Part-2</vt:lpstr>
      <vt:lpstr>BOQ!Print_Area</vt:lpstr>
      <vt:lpstr>'Part-1'!Print_Area</vt:lpstr>
      <vt:lpstr>'Part-2'!Print_Area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SWSM</cp:lastModifiedBy>
  <dcterms:created xsi:type="dcterms:W3CDTF">2025-09-18T13:03:00Z</dcterms:created>
  <dcterms:modified xsi:type="dcterms:W3CDTF">2026-10-22T12:05:57Z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05083C3D2C0D4418AED51A3BC954E05E_13</vt:lpwstr>
  </property>
  <property fmtid="{D5CDD505-2E9C-101B-9397-08002B2CF9AE}" pid="3" name="KSOProductBuildVer">
    <vt:lpwstr>1033-12.1.0.28485</vt:lpwstr>
  </property>
  <property fmtid="{D5CDD505-2E9C-101B-9397-08002B2CF9AE}" pid="4" name="CalculationRule">
    <vt:i4>0</vt:i4>
  </property>
</Properties>
</file>