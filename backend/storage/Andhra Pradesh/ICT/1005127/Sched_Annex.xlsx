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135" yWindow="45" windowWidth="9720" windowHeight="6150" activeTab="1"/>
  </bookViews>
  <sheets>
    <sheet name="Sch" sheetId="3" r:id="rId1"/>
    <sheet name="Annexure" sheetId="22" r:id="rId2"/>
  </sheets>
  <definedNames>
    <definedName name="_xlnm.Print_Area" localSheetId="1">Annexure!$A$1:$M$55</definedName>
    <definedName name="_xlnm.Print_Area" localSheetId="0">Sch!$A$1:$I$22</definedName>
    <definedName name="_xlnm.Print_Titles" localSheetId="1">Annexure!$7:$8</definedName>
    <definedName name="_xlnm.Print_Titles" localSheetId="0">Sch!$7:$8</definedName>
  </definedNames>
  <calcPr calcId="124519"/>
</workbook>
</file>

<file path=xl/calcChain.xml><?xml version="1.0" encoding="utf-8"?>
<calcChain xmlns="http://schemas.openxmlformats.org/spreadsheetml/2006/main">
  <c r="C4" i="22"/>
  <c r="K37"/>
  <c r="A3"/>
  <c r="K10"/>
  <c r="K13"/>
  <c r="K16"/>
  <c r="K19"/>
  <c r="K22"/>
  <c r="K25"/>
  <c r="K28"/>
  <c r="K31"/>
  <c r="K34"/>
  <c r="K40"/>
  <c r="K42"/>
  <c r="K44"/>
  <c r="K46"/>
  <c r="K48"/>
  <c r="K51" l="1"/>
  <c r="F11" i="3" s="1"/>
</calcChain>
</file>

<file path=xl/sharedStrings.xml><?xml version="1.0" encoding="utf-8"?>
<sst xmlns="http://schemas.openxmlformats.org/spreadsheetml/2006/main" count="81" uniqueCount="46">
  <si>
    <t>S E C T I O N -III</t>
  </si>
  <si>
    <t xml:space="preserve"> S C H E D U L E</t>
  </si>
  <si>
    <t>Name of the work :</t>
  </si>
  <si>
    <t>Sl.No.</t>
  </si>
  <si>
    <t>Description</t>
  </si>
  <si>
    <t>SIGNATURE OF THE TENDERER.</t>
  </si>
  <si>
    <t>SUPERINTENDING ENGINEER</t>
  </si>
  <si>
    <t>Nos</t>
  </si>
  <si>
    <t>Quantity</t>
  </si>
  <si>
    <t>Total Amount in Rs.-ps.</t>
  </si>
  <si>
    <t>Quoted in % age of less/excess</t>
  </si>
  <si>
    <t>Note:</t>
  </si>
  <si>
    <t>Item wise details of the above work are enclosed in the Annexure</t>
  </si>
  <si>
    <t>Total :</t>
  </si>
  <si>
    <t xml:space="preserve">Rate per </t>
  </si>
  <si>
    <t xml:space="preserve"> Amount in Rs.</t>
  </si>
  <si>
    <t xml:space="preserve">Unit of </t>
  </si>
  <si>
    <t>Calculation</t>
  </si>
  <si>
    <t>O&amp;M::STAGE-III::Dr.NTTPS</t>
  </si>
  <si>
    <t>SAC/HSN code</t>
  </si>
  <si>
    <t>Applicable % age of GST</t>
  </si>
  <si>
    <t>Each</t>
  </si>
  <si>
    <t>SECTION IV  ANNEXURE (Item wise details)</t>
  </si>
  <si>
    <t>Overhauling of 14” &amp; 12” Motor operated valves</t>
  </si>
  <si>
    <t>Overhauling of 6”,5”,4”&amp; 3” motor/operated valves</t>
  </si>
  <si>
    <t>Overhauling of 2 ½” ,2”, and 1 ½”  hand operated valves</t>
  </si>
  <si>
    <t xml:space="preserve">Overhauling of 2 ½”, 2”, 1 ½” motor/pneumatic operated valves. </t>
  </si>
  <si>
    <t>Servicing of 6",5",4" &amp; 3"pneumatic/hand operated valves.</t>
  </si>
  <si>
    <t>Servicing of 2 ½”, 2”, 1 ½”, 1”, ½” and 3/8” motor pneumatic/hand operated valves.</t>
  </si>
  <si>
    <t>Replacement of 3”, 4”, 5” and 6”motor/hand/pneumatic operated valves.</t>
  </si>
  <si>
    <t xml:space="preserve">Replacement of 21/2",2,1 ½”, 1”,½” and 3/8” MO/PO/HO Valves </t>
  </si>
  <si>
    <t xml:space="preserve">Welding of pinholes at sampling line/pipe lineof valves </t>
  </si>
  <si>
    <t>Replacing/repairing of  beacon  rotor actuatorK500,K300, K150 and K60.</t>
  </si>
  <si>
    <t>Replacement of Flange Gasket for pipe size of 1",2",3"</t>
  </si>
  <si>
    <t>Sd/-x x x x</t>
  </si>
  <si>
    <t>Sd/-XXXX</t>
  </si>
  <si>
    <t>HP welding charges for 6”, 5”, 4”, 3”motor/pneumatic/hand operated valve per joint.</t>
  </si>
  <si>
    <t xml:space="preserve">Each </t>
  </si>
  <si>
    <r>
      <t xml:space="preserve">HP welding charges for </t>
    </r>
    <r>
      <rPr>
        <sz val="11"/>
        <rFont val="Arial"/>
        <family val="2"/>
      </rPr>
      <t xml:space="preserve"> 21/2",2",1 ½”, 1”,½” and 3/8” MO/PO/HO Valves per joint</t>
    </r>
  </si>
  <si>
    <t xml:space="preserve"> </t>
  </si>
  <si>
    <t xml:space="preserve">Overhauling of 1”, ½” &amp; 3/8” motor/hand/pneumatic operated valves </t>
  </si>
  <si>
    <t>Overhauling/Servicing/replacement of various sizes of valves and welding of pin holes at Valves end connection in boilers of Units- 5&amp;6  as and  when required and  during Annual Overhaul periods for  a period from 01.12.2026 or  from the date of commencement of the work to 31.03.2027.</t>
  </si>
  <si>
    <t>Specification No.896/2026-27 of CE/O&amp;M/ Dr.NTTPS (SE/O&amp;M/Stage.III).</t>
  </si>
  <si>
    <t>Overhauling/Servicing/replacement of various sizes of valves and welding of pin holes at Valves end connection in boilers of Units- 5&amp;6  as and  when required and  during Annual Overhaul periods for  a period from 01.12.2026 or  from the date of commencement of the work to 31.03.2027.(Item wise details of the above work are enclosed in the Annexure)"</t>
  </si>
  <si>
    <t>(1) The Contractor/Firm has to quote their acceptable % excess/Less on the above mentioned total amount, (duly inclusive of all applicable provisions as per minimum wages act and excluding EPF, ESI &amp; GST) for carrying out the subject work as and when required and  during Annual Overhaul periods for  a period  from 01.12.2026 or  from the date of commencement of the work to 31.03.2027., as per the scope of work attached to this schedule.
(2)The statutory appliances of EPF, ESI  shall be reimbursed subject to production of proof of acquittance and limited to the Rates &amp; Rules applicable from time to time. GST will be paid extra as per the Rates &amp; Rules applicable from time to time.
(3) If any deviation in quoting the tender by the tenderer, will be liable for rejection.                                                                                                                 (4) It is requested to furnish GSTIN with copy.                                                                                                                                                                           (5) It is requested to furnish the SAC code and applicable tax for each &amp; every item in the copy enclosed annexure.                                                                    (6) The successful bidder should submit the field quality plan duly signing before issuing the letter of intent / Agreement / PO.</t>
  </si>
  <si>
    <t>Servicing of 14” &amp; 12” motor operated without lapping.</t>
  </si>
</sst>
</file>

<file path=xl/styles.xml><?xml version="1.0" encoding="utf-8"?>
<styleSheet xmlns="http://schemas.openxmlformats.org/spreadsheetml/2006/main">
  <fonts count="10">
    <font>
      <sz val="10"/>
      <name val="Arial"/>
    </font>
    <font>
      <sz val="9"/>
      <name val="Arial"/>
      <family val="2"/>
    </font>
    <font>
      <sz val="11"/>
      <name val="Arial"/>
      <family val="2"/>
    </font>
    <font>
      <b/>
      <u/>
      <sz val="11"/>
      <name val="Arial"/>
      <family val="2"/>
    </font>
    <font>
      <b/>
      <sz val="11"/>
      <name val="Arial"/>
      <family val="2"/>
    </font>
    <font>
      <b/>
      <sz val="11"/>
      <color rgb="FFFF0000"/>
      <name val="Arial"/>
      <family val="2"/>
    </font>
    <font>
      <b/>
      <u/>
      <sz val="11"/>
      <color rgb="FFFF0000"/>
      <name val="Arial"/>
      <family val="2"/>
    </font>
    <font>
      <sz val="11"/>
      <color rgb="FFFF0000"/>
      <name val="Arial"/>
      <family val="2"/>
    </font>
    <font>
      <sz val="10"/>
      <color rgb="FFFF0000"/>
      <name val="Arial"/>
      <family val="2"/>
    </font>
    <font>
      <sz val="10"/>
      <name val="Arial"/>
      <family val="2"/>
    </font>
  </fonts>
  <fills count="2">
    <fill>
      <patternFill patternType="none"/>
    </fill>
    <fill>
      <patternFill patternType="gray125"/>
    </fill>
  </fills>
  <borders count="13">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0" fontId="1" fillId="0" borderId="0"/>
    <xf numFmtId="0" fontId="1" fillId="0" borderId="0"/>
    <xf numFmtId="0" fontId="1" fillId="0" borderId="0"/>
  </cellStyleXfs>
  <cellXfs count="85">
    <xf numFmtId="0" fontId="0" fillId="0" borderId="0" xfId="0"/>
    <xf numFmtId="0" fontId="2" fillId="0" borderId="0" xfId="1" applyFont="1" applyAlignment="1">
      <alignment horizontal="justify" vertical="top" wrapText="1"/>
    </xf>
    <xf numFmtId="0" fontId="2" fillId="0" borderId="0" xfId="0" applyFont="1" applyAlignment="1">
      <alignment horizontal="right" vertical="top"/>
    </xf>
    <xf numFmtId="0" fontId="2" fillId="0" borderId="0" xfId="0" applyFont="1" applyAlignment="1">
      <alignment vertical="top"/>
    </xf>
    <xf numFmtId="0" fontId="2" fillId="0" borderId="0" xfId="0" applyFont="1" applyAlignment="1">
      <alignment vertical="top" wrapText="1"/>
    </xf>
    <xf numFmtId="0" fontId="2" fillId="0" borderId="0" xfId="1" applyFont="1" applyAlignment="1">
      <alignment horizontal="center" vertical="top"/>
    </xf>
    <xf numFmtId="0" fontId="2" fillId="0" borderId="0" xfId="1" applyFont="1" applyBorder="1" applyAlignment="1">
      <alignment horizontal="center" vertical="top" wrapText="1"/>
    </xf>
    <xf numFmtId="0" fontId="2" fillId="0" borderId="0" xfId="1" applyFont="1" applyAlignment="1">
      <alignment vertical="top"/>
    </xf>
    <xf numFmtId="0" fontId="2" fillId="0" borderId="0" xfId="1" applyFont="1" applyAlignment="1">
      <alignment horizontal="left" vertical="top"/>
    </xf>
    <xf numFmtId="0" fontId="2" fillId="0" borderId="0" xfId="1" applyFont="1" applyBorder="1" applyAlignment="1">
      <alignment vertical="top"/>
    </xf>
    <xf numFmtId="0" fontId="2" fillId="0" borderId="0" xfId="1" applyFont="1" applyBorder="1" applyAlignment="1">
      <alignment horizontal="left" vertical="top"/>
    </xf>
    <xf numFmtId="2" fontId="2" fillId="0" borderId="0" xfId="1" applyNumberFormat="1" applyFont="1" applyAlignment="1">
      <alignment horizontal="center" vertical="top" wrapText="1"/>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0" xfId="0" applyFont="1" applyBorder="1" applyAlignment="1">
      <alignment horizontal="center" vertical="top" wrapText="1"/>
    </xf>
    <xf numFmtId="0" fontId="2" fillId="0" borderId="0" xfId="3" applyFont="1" applyAlignment="1">
      <alignment horizontal="center" vertical="top"/>
    </xf>
    <xf numFmtId="2" fontId="2" fillId="0" borderId="0" xfId="1" applyNumberFormat="1" applyFont="1" applyBorder="1" applyAlignment="1">
      <alignment horizontal="center" vertical="top" wrapText="1"/>
    </xf>
    <xf numFmtId="0" fontId="2" fillId="0" borderId="0" xfId="1" applyFont="1" applyBorder="1" applyAlignment="1">
      <alignment horizontal="right" vertical="top"/>
    </xf>
    <xf numFmtId="0" fontId="2" fillId="0" borderId="0" xfId="1" applyFont="1" applyBorder="1" applyAlignment="1">
      <alignment horizontal="center" vertical="top"/>
    </xf>
    <xf numFmtId="0" fontId="2" fillId="0" borderId="0" xfId="0" applyFont="1" applyBorder="1" applyAlignment="1">
      <alignment vertical="top"/>
    </xf>
    <xf numFmtId="0" fontId="2" fillId="0" borderId="0" xfId="3" applyFont="1" applyAlignment="1">
      <alignment vertical="top"/>
    </xf>
    <xf numFmtId="0" fontId="2" fillId="0" borderId="0" xfId="3" applyFont="1" applyAlignment="1">
      <alignment horizontal="justify" vertical="top"/>
    </xf>
    <xf numFmtId="0" fontId="2" fillId="0" borderId="0" xfId="3" applyFont="1" applyAlignment="1">
      <alignment horizontal="justify" vertical="top" wrapText="1"/>
    </xf>
    <xf numFmtId="0" fontId="2" fillId="0" borderId="0" xfId="1" applyFont="1" applyAlignment="1">
      <alignment horizontal="right" vertical="top"/>
    </xf>
    <xf numFmtId="0" fontId="4" fillId="0" borderId="0" xfId="3" applyFont="1" applyAlignment="1">
      <alignment horizontal="center" vertical="top"/>
    </xf>
    <xf numFmtId="0" fontId="2" fillId="0" borderId="0" xfId="0" applyFont="1" applyAlignment="1">
      <alignment horizontal="left" vertical="top" wrapText="1"/>
    </xf>
    <xf numFmtId="2" fontId="2" fillId="0" borderId="0" xfId="1" applyNumberFormat="1" applyFont="1" applyBorder="1" applyAlignment="1">
      <alignment horizontal="center" vertical="top"/>
    </xf>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0" xfId="0" applyFont="1" applyAlignment="1">
      <alignment horizontal="center" vertical="top" wrapText="1"/>
    </xf>
    <xf numFmtId="0" fontId="0" fillId="0" borderId="0" xfId="0" applyAlignment="1">
      <alignment horizontal="center" vertical="top" wrapText="1"/>
    </xf>
    <xf numFmtId="0" fontId="2" fillId="0" borderId="1" xfId="0" applyFont="1" applyBorder="1" applyAlignment="1">
      <alignment vertical="top"/>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2" fillId="0" borderId="6" xfId="0" applyFont="1" applyBorder="1" applyAlignment="1">
      <alignment vertical="top"/>
    </xf>
    <xf numFmtId="0" fontId="2" fillId="0" borderId="7" xfId="3" applyFont="1" applyBorder="1" applyAlignment="1">
      <alignment horizontal="center" vertical="top"/>
    </xf>
    <xf numFmtId="0" fontId="2" fillId="0" borderId="8" xfId="3" applyFont="1" applyBorder="1" applyAlignment="1">
      <alignment horizontal="center" vertical="top"/>
    </xf>
    <xf numFmtId="0" fontId="2" fillId="0" borderId="9" xfId="0" applyFont="1" applyBorder="1" applyAlignment="1">
      <alignment vertical="top"/>
    </xf>
    <xf numFmtId="2" fontId="2" fillId="0" borderId="7" xfId="1" applyNumberFormat="1" applyFont="1" applyBorder="1" applyAlignment="1">
      <alignment horizontal="center" vertical="top" wrapText="1"/>
    </xf>
    <xf numFmtId="2" fontId="2" fillId="0" borderId="8" xfId="1" applyNumberFormat="1" applyFont="1" applyBorder="1" applyAlignment="1">
      <alignment horizontal="center" vertical="top" wrapText="1"/>
    </xf>
    <xf numFmtId="0" fontId="2" fillId="0" borderId="6" xfId="1" applyFont="1" applyBorder="1" applyAlignment="1">
      <alignment vertical="top"/>
    </xf>
    <xf numFmtId="0" fontId="2" fillId="0" borderId="7" xfId="1" applyFont="1" applyBorder="1" applyAlignment="1">
      <alignment vertical="top"/>
    </xf>
    <xf numFmtId="0" fontId="2" fillId="0" borderId="8" xfId="1" applyFont="1" applyBorder="1" applyAlignment="1">
      <alignment vertical="top"/>
    </xf>
    <xf numFmtId="0" fontId="0" fillId="0" borderId="0" xfId="0" applyAlignment="1">
      <alignment horizontal="left" vertical="top" wrapText="1"/>
    </xf>
    <xf numFmtId="0" fontId="2" fillId="0" borderId="0" xfId="0" applyFont="1" applyAlignment="1">
      <alignment horizontal="justify" vertical="top"/>
    </xf>
    <xf numFmtId="0" fontId="4" fillId="0" borderId="0" xfId="1" applyFont="1" applyAlignment="1">
      <alignment horizontal="left" vertical="top"/>
    </xf>
    <xf numFmtId="2" fontId="4" fillId="0" borderId="8" xfId="1" applyNumberFormat="1" applyFont="1" applyBorder="1" applyAlignment="1">
      <alignment horizontal="center" vertical="top" wrapText="1"/>
    </xf>
    <xf numFmtId="2" fontId="4" fillId="0" borderId="3" xfId="1" applyNumberFormat="1" applyFont="1" applyBorder="1" applyAlignment="1">
      <alignment horizontal="center" vertical="top" wrapText="1"/>
    </xf>
    <xf numFmtId="0" fontId="2" fillId="0" borderId="0" xfId="0" applyFont="1" applyAlignment="1">
      <alignment horizontal="left" vertical="top" wrapText="1"/>
    </xf>
    <xf numFmtId="0" fontId="7" fillId="0" borderId="0" xfId="0" applyFont="1" applyAlignment="1">
      <alignment horizontal="center" vertical="top" wrapText="1"/>
    </xf>
    <xf numFmtId="0" fontId="8" fillId="0" borderId="0" xfId="0" applyFont="1" applyAlignment="1">
      <alignment horizontal="center" vertical="top" wrapText="1"/>
    </xf>
    <xf numFmtId="0" fontId="7" fillId="0" borderId="0" xfId="1" applyFont="1" applyAlignment="1">
      <alignment horizontal="left" vertical="top"/>
    </xf>
    <xf numFmtId="0" fontId="9" fillId="0" borderId="0" xfId="0" applyFont="1" applyAlignment="1">
      <alignment horizontal="center" vertical="top" wrapText="1"/>
    </xf>
    <xf numFmtId="0" fontId="2" fillId="0" borderId="0" xfId="3" applyFont="1" applyAlignment="1">
      <alignment horizontal="center" vertical="top"/>
    </xf>
    <xf numFmtId="0" fontId="2" fillId="0" borderId="0" xfId="0" applyFont="1" applyAlignment="1">
      <alignment horizontal="left" vertical="top" wrapText="1"/>
    </xf>
    <xf numFmtId="0" fontId="2" fillId="0" borderId="11" xfId="1" applyFont="1" applyBorder="1" applyAlignment="1">
      <alignment horizontal="justify" vertical="top" wrapText="1"/>
    </xf>
    <xf numFmtId="0" fontId="2" fillId="0" borderId="0" xfId="1" applyFont="1" applyBorder="1" applyAlignment="1">
      <alignment horizontal="justify" vertical="top" wrapText="1"/>
    </xf>
    <xf numFmtId="0" fontId="2" fillId="0" borderId="12" xfId="1" applyFont="1" applyBorder="1" applyAlignment="1">
      <alignment horizontal="justify" vertical="top" wrapText="1"/>
    </xf>
    <xf numFmtId="0" fontId="2" fillId="0" borderId="10" xfId="0" applyFont="1" applyBorder="1" applyAlignment="1">
      <alignment horizontal="justify" vertical="top" wrapText="1"/>
    </xf>
    <xf numFmtId="0" fontId="2" fillId="0" borderId="2" xfId="0" applyFont="1" applyBorder="1" applyAlignment="1">
      <alignment horizontal="justify" vertical="top" wrapText="1"/>
    </xf>
    <xf numFmtId="0" fontId="2" fillId="0" borderId="5" xfId="0" applyFont="1" applyBorder="1" applyAlignment="1">
      <alignment horizontal="justify" vertical="top" wrapText="1"/>
    </xf>
    <xf numFmtId="0" fontId="4" fillId="0" borderId="0" xfId="2" applyFont="1" applyAlignment="1">
      <alignment horizontal="center" vertical="top"/>
    </xf>
    <xf numFmtId="0" fontId="3" fillId="0" borderId="0" xfId="1" applyFont="1" applyAlignment="1">
      <alignment horizontal="center" vertical="top"/>
    </xf>
    <xf numFmtId="0" fontId="6" fillId="0" borderId="0" xfId="1" applyFont="1" applyAlignment="1">
      <alignment horizontal="center" vertical="top"/>
    </xf>
    <xf numFmtId="0" fontId="2" fillId="0" borderId="6" xfId="1" applyFont="1" applyBorder="1" applyAlignment="1">
      <alignment vertical="top" wrapText="1"/>
    </xf>
    <xf numFmtId="0" fontId="2" fillId="0" borderId="8" xfId="0" applyFont="1" applyBorder="1" applyAlignment="1">
      <alignment vertical="top"/>
    </xf>
    <xf numFmtId="0" fontId="2" fillId="0" borderId="9" xfId="1" applyFont="1" applyBorder="1" applyAlignment="1">
      <alignment horizontal="center" vertical="top" wrapText="1"/>
    </xf>
    <xf numFmtId="0" fontId="2" fillId="0" borderId="1" xfId="0" applyFont="1" applyBorder="1" applyAlignment="1">
      <alignment vertical="top"/>
    </xf>
    <xf numFmtId="0" fontId="2" fillId="0" borderId="10" xfId="0" applyFont="1" applyBorder="1" applyAlignment="1">
      <alignment vertical="top"/>
    </xf>
    <xf numFmtId="0" fontId="2" fillId="0" borderId="2" xfId="0" applyFont="1" applyBorder="1" applyAlignment="1">
      <alignment vertical="top"/>
    </xf>
    <xf numFmtId="2" fontId="2" fillId="0" borderId="6" xfId="1" applyNumberFormat="1" applyFont="1" applyBorder="1" applyAlignment="1">
      <alignment horizontal="center" vertical="top" wrapText="1"/>
    </xf>
    <xf numFmtId="0" fontId="5" fillId="0" borderId="0" xfId="0" applyFont="1" applyAlignment="1">
      <alignment horizontal="left" vertical="top" wrapText="1"/>
    </xf>
    <xf numFmtId="0" fontId="2" fillId="0" borderId="0" xfId="1" applyFont="1" applyAlignment="1">
      <alignment horizontal="justify" vertical="top" wrapText="1"/>
    </xf>
    <xf numFmtId="0" fontId="2" fillId="0" borderId="0" xfId="0" applyFont="1" applyAlignment="1">
      <alignment horizontal="justify" vertical="top"/>
    </xf>
    <xf numFmtId="0" fontId="2" fillId="0" borderId="0" xfId="0" applyFont="1" applyAlignment="1">
      <alignment vertical="top" wrapText="1"/>
    </xf>
    <xf numFmtId="2" fontId="2" fillId="0" borderId="1" xfId="1" applyNumberFormat="1" applyFont="1" applyBorder="1" applyAlignment="1">
      <alignment horizontal="center" vertical="top" wrapText="1"/>
    </xf>
    <xf numFmtId="0" fontId="2" fillId="0" borderId="0" xfId="0" applyFont="1" applyAlignment="1">
      <alignment vertical="top"/>
    </xf>
    <xf numFmtId="0" fontId="0" fillId="0" borderId="0" xfId="0" applyAlignment="1">
      <alignment horizontal="left" vertical="top" wrapText="1"/>
    </xf>
    <xf numFmtId="0" fontId="2" fillId="0" borderId="0" xfId="0" applyFont="1" applyBorder="1" applyAlignment="1">
      <alignment horizontal="justify" vertical="top" wrapText="1"/>
    </xf>
    <xf numFmtId="0" fontId="2" fillId="0" borderId="0" xfId="3" applyFont="1" applyAlignment="1">
      <alignment horizontal="justify" vertical="top" wrapText="1"/>
    </xf>
    <xf numFmtId="0" fontId="2" fillId="0" borderId="0" xfId="0" applyFont="1" applyAlignment="1">
      <alignment horizontal="justify" vertical="top" wrapText="1"/>
    </xf>
    <xf numFmtId="0" fontId="2" fillId="0" borderId="0" xfId="2" applyFont="1" applyAlignment="1">
      <alignment horizontal="center" vertical="top"/>
    </xf>
    <xf numFmtId="0" fontId="2" fillId="0" borderId="1" xfId="1" applyFont="1" applyBorder="1" applyAlignment="1">
      <alignment vertical="top" wrapText="1"/>
    </xf>
    <xf numFmtId="0" fontId="2" fillId="0" borderId="1" xfId="1" applyFont="1" applyBorder="1" applyAlignment="1">
      <alignment horizontal="center" vertical="top" wrapText="1"/>
    </xf>
    <xf numFmtId="0" fontId="2" fillId="0" borderId="0" xfId="3" applyFont="1" applyAlignment="1">
      <alignment horizontal="justify" vertical="top"/>
    </xf>
  </cellXfs>
  <cellStyles count="4">
    <cellStyle name="Normal" xfId="0" builtinId="0"/>
    <cellStyle name="Normal_Spec.50" xfId="1"/>
    <cellStyle name="Normal_Speci.165" xfId="2"/>
    <cellStyle name="Normal_Speci.171"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4"/>
  <dimension ref="A1:J22"/>
  <sheetViews>
    <sheetView view="pageBreakPreview" workbookViewId="0">
      <selection activeCell="E16" sqref="E16"/>
    </sheetView>
  </sheetViews>
  <sheetFormatPr defaultRowHeight="14.25"/>
  <cols>
    <col min="1" max="1" width="6.5703125" style="7" customWidth="1"/>
    <col min="2" max="2" width="12.7109375" style="7" customWidth="1"/>
    <col min="3" max="3" width="11.28515625" style="7" customWidth="1"/>
    <col min="4" max="4" width="17" style="7" customWidth="1"/>
    <col min="5" max="5" width="25.5703125" style="7" customWidth="1"/>
    <col min="6" max="6" width="15" style="11" customWidth="1"/>
    <col min="7" max="7" width="24.140625" style="11" customWidth="1"/>
    <col min="8" max="8" width="16" style="7" customWidth="1"/>
    <col min="9" max="9" width="15.5703125" style="7" customWidth="1"/>
    <col min="10" max="16384" width="9.140625" style="7"/>
  </cols>
  <sheetData>
    <row r="1" spans="1:10" ht="15">
      <c r="A1" s="61" t="s">
        <v>0</v>
      </c>
      <c r="B1" s="61"/>
      <c r="C1" s="61"/>
      <c r="D1" s="61"/>
      <c r="E1" s="61"/>
      <c r="F1" s="61"/>
      <c r="G1" s="61"/>
      <c r="H1" s="61"/>
      <c r="I1" s="61"/>
    </row>
    <row r="2" spans="1:10" ht="15">
      <c r="A2" s="62" t="s">
        <v>1</v>
      </c>
      <c r="B2" s="62"/>
      <c r="C2" s="62"/>
      <c r="D2" s="62"/>
      <c r="E2" s="62"/>
      <c r="F2" s="62"/>
      <c r="G2" s="62"/>
      <c r="H2" s="62"/>
      <c r="I2" s="62"/>
    </row>
    <row r="3" spans="1:10" ht="15">
      <c r="A3" s="63" t="s">
        <v>42</v>
      </c>
      <c r="B3" s="63"/>
      <c r="C3" s="63"/>
      <c r="D3" s="63"/>
      <c r="E3" s="63"/>
      <c r="F3" s="63"/>
      <c r="G3" s="63"/>
      <c r="H3" s="63"/>
      <c r="I3" s="63"/>
    </row>
    <row r="4" spans="1:10" ht="15.75" customHeight="1">
      <c r="A4" s="45" t="s">
        <v>2</v>
      </c>
      <c r="C4" s="71" t="s">
        <v>41</v>
      </c>
      <c r="D4" s="71"/>
      <c r="E4" s="71"/>
      <c r="F4" s="71"/>
      <c r="G4" s="71"/>
      <c r="H4" s="71"/>
      <c r="I4" s="71"/>
    </row>
    <row r="5" spans="1:10" ht="34.5" customHeight="1">
      <c r="B5" s="5"/>
      <c r="C5" s="71"/>
      <c r="D5" s="71"/>
      <c r="E5" s="71"/>
      <c r="F5" s="71"/>
      <c r="G5" s="71"/>
      <c r="H5" s="71"/>
      <c r="I5" s="71"/>
    </row>
    <row r="6" spans="1:10" ht="7.5" customHeight="1">
      <c r="D6" s="9"/>
      <c r="E6" s="9"/>
    </row>
    <row r="7" spans="1:10" ht="14.25" customHeight="1">
      <c r="A7" s="64" t="s">
        <v>3</v>
      </c>
      <c r="B7" s="66" t="s">
        <v>4</v>
      </c>
      <c r="C7" s="67"/>
      <c r="D7" s="67"/>
      <c r="E7" s="32"/>
      <c r="F7" s="70" t="s">
        <v>9</v>
      </c>
      <c r="G7" s="70" t="s">
        <v>10</v>
      </c>
      <c r="H7" s="70" t="s">
        <v>19</v>
      </c>
      <c r="I7" s="70" t="s">
        <v>20</v>
      </c>
    </row>
    <row r="8" spans="1:10" ht="18" customHeight="1">
      <c r="A8" s="65"/>
      <c r="B8" s="68"/>
      <c r="C8" s="69"/>
      <c r="D8" s="69"/>
      <c r="E8" s="33"/>
      <c r="F8" s="65"/>
      <c r="G8" s="65"/>
      <c r="H8" s="65"/>
      <c r="I8" s="65"/>
    </row>
    <row r="9" spans="1:10">
      <c r="A9" s="34"/>
      <c r="B9" s="37"/>
      <c r="C9" s="31"/>
      <c r="D9" s="31"/>
      <c r="E9" s="32"/>
      <c r="F9" s="34"/>
      <c r="G9" s="34"/>
      <c r="H9" s="40"/>
      <c r="I9" s="40"/>
    </row>
    <row r="10" spans="1:10" ht="15.75" customHeight="1">
      <c r="A10" s="35">
        <v>1</v>
      </c>
      <c r="B10" s="55" t="s">
        <v>43</v>
      </c>
      <c r="C10" s="56"/>
      <c r="D10" s="56"/>
      <c r="E10" s="57"/>
      <c r="F10" s="38"/>
      <c r="G10" s="38"/>
      <c r="H10" s="41"/>
      <c r="I10" s="41"/>
    </row>
    <row r="11" spans="1:10" ht="76.5" customHeight="1">
      <c r="A11" s="36"/>
      <c r="B11" s="58"/>
      <c r="C11" s="59"/>
      <c r="D11" s="59"/>
      <c r="E11" s="60"/>
      <c r="F11" s="46">
        <f>Annexure!K51</f>
        <v>626099</v>
      </c>
      <c r="G11" s="39"/>
      <c r="H11" s="42"/>
      <c r="I11" s="42"/>
    </row>
    <row r="12" spans="1:10">
      <c r="A12" s="15"/>
      <c r="B12" s="22"/>
      <c r="C12" s="22"/>
      <c r="D12" s="22"/>
      <c r="E12" s="22"/>
      <c r="F12" s="16"/>
      <c r="G12" s="16"/>
      <c r="J12" s="7" t="s">
        <v>12</v>
      </c>
    </row>
    <row r="13" spans="1:10" ht="15">
      <c r="A13" s="24" t="s">
        <v>11</v>
      </c>
      <c r="B13" s="3"/>
      <c r="C13" s="3"/>
      <c r="D13" s="3"/>
      <c r="E13" s="3"/>
      <c r="F13" s="16"/>
      <c r="G13" s="16"/>
    </row>
    <row r="14" spans="1:10" ht="152.25" customHeight="1">
      <c r="A14" s="15"/>
      <c r="B14" s="54" t="s">
        <v>44</v>
      </c>
      <c r="C14" s="54"/>
      <c r="D14" s="54"/>
      <c r="E14" s="54"/>
      <c r="F14" s="54"/>
      <c r="G14" s="54"/>
      <c r="H14" s="54"/>
      <c r="I14" s="54"/>
    </row>
    <row r="15" spans="1:10">
      <c r="A15" s="15"/>
      <c r="B15" s="3"/>
      <c r="C15" s="3"/>
      <c r="D15" s="3"/>
      <c r="E15" s="3"/>
      <c r="F15" s="16"/>
      <c r="G15" s="16"/>
    </row>
    <row r="16" spans="1:10">
      <c r="A16" s="15"/>
      <c r="B16" s="3"/>
      <c r="C16" s="3"/>
      <c r="D16" s="3"/>
      <c r="E16" s="3"/>
      <c r="F16" s="16"/>
      <c r="G16" s="16"/>
    </row>
    <row r="17" spans="1:9">
      <c r="A17" s="15"/>
      <c r="B17" s="3"/>
      <c r="C17" s="3"/>
      <c r="D17" s="3"/>
      <c r="E17" s="3"/>
      <c r="F17" s="16"/>
      <c r="G17" s="16"/>
    </row>
    <row r="18" spans="1:9">
      <c r="A18" s="15"/>
      <c r="B18" s="4"/>
      <c r="C18" s="4"/>
      <c r="D18" s="4"/>
      <c r="E18" s="4"/>
      <c r="F18" s="16"/>
      <c r="G18" s="16"/>
    </row>
    <row r="19" spans="1:9">
      <c r="A19" s="15"/>
      <c r="E19" s="19"/>
      <c r="F19" s="20"/>
      <c r="G19" s="20"/>
      <c r="H19" s="53" t="s">
        <v>35</v>
      </c>
      <c r="I19" s="53"/>
    </row>
    <row r="20" spans="1:9">
      <c r="A20" s="15"/>
      <c r="E20" s="19"/>
      <c r="F20" s="20"/>
      <c r="G20" s="20"/>
      <c r="H20" s="53" t="s">
        <v>6</v>
      </c>
      <c r="I20" s="53"/>
    </row>
    <row r="21" spans="1:9">
      <c r="A21" s="15"/>
      <c r="B21" s="20" t="s">
        <v>5</v>
      </c>
      <c r="E21" s="19"/>
      <c r="F21" s="20"/>
      <c r="G21" s="20"/>
      <c r="H21" s="53" t="s">
        <v>18</v>
      </c>
      <c r="I21" s="53"/>
    </row>
    <row r="22" spans="1:9">
      <c r="A22" s="15"/>
      <c r="B22" s="20"/>
      <c r="E22" s="19"/>
    </row>
  </sheetData>
  <mergeCells count="15">
    <mergeCell ref="A1:I1"/>
    <mergeCell ref="A2:I2"/>
    <mergeCell ref="A3:I3"/>
    <mergeCell ref="A7:A8"/>
    <mergeCell ref="B7:D8"/>
    <mergeCell ref="G7:G8"/>
    <mergeCell ref="I7:I8"/>
    <mergeCell ref="C4:I5"/>
    <mergeCell ref="F7:F8"/>
    <mergeCell ref="H7:H8"/>
    <mergeCell ref="H19:I19"/>
    <mergeCell ref="H20:I20"/>
    <mergeCell ref="H21:I21"/>
    <mergeCell ref="B14:I14"/>
    <mergeCell ref="B10:E11"/>
  </mergeCells>
  <phoneticPr fontId="1" type="noConversion"/>
  <pageMargins left="0.39370078740157483" right="0.23622047244094491" top="0.39370078740157483" bottom="0.39370078740157483" header="0" footer="0.27559055118110237"/>
  <pageSetup paperSize="9" orientation="landscape" r:id="rId1"/>
  <headerFooter alignWithMargins="0">
    <oddFooter>Page &amp;P of &amp;N</oddFooter>
  </headerFooter>
</worksheet>
</file>

<file path=xl/worksheets/sheet2.xml><?xml version="1.0" encoding="utf-8"?>
<worksheet xmlns="http://schemas.openxmlformats.org/spreadsheetml/2006/main" xmlns:r="http://schemas.openxmlformats.org/officeDocument/2006/relationships">
  <dimension ref="A1:N55"/>
  <sheetViews>
    <sheetView tabSelected="1" view="pageBreakPreview" topLeftCell="A37" workbookViewId="0">
      <selection activeCell="K46" sqref="K46"/>
    </sheetView>
  </sheetViews>
  <sheetFormatPr defaultRowHeight="14.25"/>
  <cols>
    <col min="1" max="1" width="6.5703125" style="7" customWidth="1"/>
    <col min="2" max="2" width="12.7109375" style="7" customWidth="1"/>
    <col min="3" max="3" width="11.28515625" style="7" customWidth="1"/>
    <col min="4" max="4" width="17" style="7" customWidth="1"/>
    <col min="5" max="5" width="10.42578125" style="7" customWidth="1"/>
    <col min="6" max="6" width="1.7109375" style="7" customWidth="1"/>
    <col min="7" max="7" width="5.140625" style="7" customWidth="1"/>
    <col min="8" max="8" width="7.85546875" style="8" customWidth="1"/>
    <col min="9" max="9" width="11.7109375" style="8" customWidth="1"/>
    <col min="10" max="10" width="11.7109375" style="7" customWidth="1"/>
    <col min="11" max="11" width="15.42578125" style="11" customWidth="1"/>
    <col min="12" max="12" width="15.140625" style="7" customWidth="1"/>
    <col min="13" max="13" width="16.7109375" style="7" customWidth="1"/>
    <col min="14" max="16384" width="9.140625" style="7"/>
  </cols>
  <sheetData>
    <row r="1" spans="1:13">
      <c r="A1" s="81"/>
      <c r="B1" s="81"/>
      <c r="C1" s="81"/>
      <c r="D1" s="81"/>
      <c r="E1" s="81"/>
      <c r="F1" s="81"/>
      <c r="G1" s="81"/>
      <c r="H1" s="81"/>
      <c r="I1" s="81"/>
      <c r="J1" s="81"/>
      <c r="K1" s="81"/>
    </row>
    <row r="2" spans="1:13" ht="15">
      <c r="A2" s="62" t="s">
        <v>22</v>
      </c>
      <c r="B2" s="62"/>
      <c r="C2" s="62"/>
      <c r="D2" s="62"/>
      <c r="E2" s="62"/>
      <c r="F2" s="62"/>
      <c r="G2" s="62"/>
      <c r="H2" s="62"/>
      <c r="I2" s="62"/>
      <c r="J2" s="62"/>
      <c r="K2" s="62"/>
      <c r="L2" s="62"/>
      <c r="M2" s="62"/>
    </row>
    <row r="3" spans="1:13" ht="15">
      <c r="A3" s="63" t="str">
        <f>Sch!A3</f>
        <v>Specification No.896/2026-27 of CE/O&amp;M/ Dr.NTTPS (SE/O&amp;M/Stage.III).</v>
      </c>
      <c r="B3" s="63"/>
      <c r="C3" s="63"/>
      <c r="D3" s="63"/>
      <c r="E3" s="63"/>
      <c r="F3" s="63"/>
      <c r="G3" s="63"/>
      <c r="H3" s="63"/>
      <c r="I3" s="63"/>
      <c r="J3" s="63"/>
      <c r="K3" s="63"/>
      <c r="L3" s="63"/>
      <c r="M3" s="63"/>
    </row>
    <row r="4" spans="1:13" ht="15.75" customHeight="1">
      <c r="A4" s="45" t="s">
        <v>2</v>
      </c>
      <c r="C4" s="71" t="str">
        <f>Sch!C4</f>
        <v>Overhauling/Servicing/replacement of various sizes of valves and welding of pin holes at Valves end connection in boilers of Units- 5&amp;6  as and  when required and  during Annual Overhaul periods for  a period from 01.12.2026 or  from the date of commencement of the work to 31.03.2027.</v>
      </c>
      <c r="D4" s="71"/>
      <c r="E4" s="71"/>
      <c r="F4" s="71"/>
      <c r="G4" s="71"/>
      <c r="H4" s="71"/>
      <c r="I4" s="71"/>
      <c r="J4" s="71"/>
      <c r="K4" s="71"/>
      <c r="L4" s="71"/>
      <c r="M4" s="71"/>
    </row>
    <row r="5" spans="1:13" ht="34.5" customHeight="1">
      <c r="B5" s="5"/>
      <c r="C5" s="71"/>
      <c r="D5" s="71"/>
      <c r="E5" s="71"/>
      <c r="F5" s="71"/>
      <c r="G5" s="71"/>
      <c r="H5" s="71"/>
      <c r="I5" s="71"/>
      <c r="J5" s="71"/>
      <c r="K5" s="71"/>
      <c r="L5" s="71"/>
      <c r="M5" s="71"/>
    </row>
    <row r="6" spans="1:13" ht="7.5" customHeight="1">
      <c r="D6" s="9"/>
      <c r="E6" s="9"/>
      <c r="F6" s="9"/>
      <c r="G6" s="9"/>
      <c r="H6" s="10"/>
      <c r="I6" s="10"/>
    </row>
    <row r="7" spans="1:13" ht="14.25" customHeight="1">
      <c r="A7" s="82" t="s">
        <v>3</v>
      </c>
      <c r="B7" s="83" t="s">
        <v>4</v>
      </c>
      <c r="C7" s="67"/>
      <c r="D7" s="67"/>
      <c r="E7" s="12"/>
      <c r="F7" s="12"/>
      <c r="G7" s="83" t="s">
        <v>8</v>
      </c>
      <c r="H7" s="67"/>
      <c r="I7" s="27" t="s">
        <v>16</v>
      </c>
      <c r="J7" s="83" t="s">
        <v>14</v>
      </c>
      <c r="K7" s="75" t="s">
        <v>15</v>
      </c>
      <c r="L7" s="75" t="s">
        <v>19</v>
      </c>
      <c r="M7" s="75" t="s">
        <v>20</v>
      </c>
    </row>
    <row r="8" spans="1:13">
      <c r="A8" s="69"/>
      <c r="B8" s="69"/>
      <c r="C8" s="69"/>
      <c r="D8" s="69"/>
      <c r="E8" s="13"/>
      <c r="F8" s="13"/>
      <c r="G8" s="69"/>
      <c r="H8" s="69"/>
      <c r="I8" s="28" t="s">
        <v>17</v>
      </c>
      <c r="J8" s="69"/>
      <c r="K8" s="69"/>
      <c r="L8" s="69"/>
      <c r="M8" s="69"/>
    </row>
    <row r="9" spans="1:13">
      <c r="A9" s="19"/>
      <c r="B9" s="19"/>
      <c r="C9" s="19"/>
      <c r="D9" s="19"/>
      <c r="E9" s="14"/>
      <c r="F9" s="14"/>
      <c r="G9" s="19"/>
      <c r="H9" s="19"/>
      <c r="I9" s="19"/>
      <c r="J9" s="19"/>
      <c r="K9" s="19"/>
    </row>
    <row r="10" spans="1:13" ht="15.75" customHeight="1">
      <c r="A10" s="15">
        <v>1</v>
      </c>
      <c r="B10" s="56" t="s">
        <v>23</v>
      </c>
      <c r="C10" s="56"/>
      <c r="D10" s="56"/>
      <c r="E10" s="56"/>
      <c r="F10" s="1"/>
      <c r="G10" s="2">
        <v>2</v>
      </c>
      <c r="H10" s="54" t="s">
        <v>7</v>
      </c>
      <c r="I10" s="29" t="s">
        <v>21</v>
      </c>
      <c r="J10" s="16">
        <v>23433</v>
      </c>
      <c r="K10" s="16">
        <f>G10*J10</f>
        <v>46866</v>
      </c>
    </row>
    <row r="11" spans="1:13" ht="29.25" customHeight="1">
      <c r="A11" s="15"/>
      <c r="B11" s="78"/>
      <c r="C11" s="78"/>
      <c r="D11" s="78"/>
      <c r="E11" s="78"/>
      <c r="F11" s="1"/>
      <c r="G11" s="2"/>
      <c r="H11" s="54"/>
      <c r="I11" s="29"/>
      <c r="J11" s="16"/>
      <c r="K11" s="16"/>
    </row>
    <row r="12" spans="1:13" ht="6" customHeight="1">
      <c r="A12" s="15"/>
      <c r="B12" s="22"/>
      <c r="C12" s="22"/>
      <c r="D12" s="22"/>
      <c r="E12" s="22"/>
      <c r="F12" s="22"/>
      <c r="G12" s="23"/>
      <c r="I12" s="5"/>
      <c r="J12" s="26"/>
      <c r="K12" s="16"/>
    </row>
    <row r="13" spans="1:13" ht="15.75" customHeight="1">
      <c r="A13" s="15">
        <v>2</v>
      </c>
      <c r="B13" s="84" t="s">
        <v>24</v>
      </c>
      <c r="C13" s="84"/>
      <c r="D13" s="84"/>
      <c r="E13" s="84"/>
      <c r="F13" s="21"/>
      <c r="G13" s="2">
        <v>8</v>
      </c>
      <c r="H13" s="54" t="s">
        <v>7</v>
      </c>
      <c r="I13" s="29" t="s">
        <v>37</v>
      </c>
      <c r="J13" s="16">
        <v>5882</v>
      </c>
      <c r="K13" s="16">
        <f>G13*J13</f>
        <v>47056</v>
      </c>
    </row>
    <row r="14" spans="1:13" ht="28.5" customHeight="1">
      <c r="A14" s="15"/>
      <c r="B14" s="84"/>
      <c r="C14" s="84"/>
      <c r="D14" s="84"/>
      <c r="E14" s="84"/>
      <c r="F14" s="21"/>
      <c r="G14" s="23"/>
      <c r="H14" s="54"/>
      <c r="I14" s="52"/>
      <c r="J14" s="16"/>
      <c r="K14" s="16"/>
    </row>
    <row r="15" spans="1:13" ht="8.25" customHeight="1">
      <c r="A15" s="15"/>
      <c r="B15" s="21"/>
      <c r="C15" s="21"/>
      <c r="D15" s="21"/>
      <c r="E15" s="21"/>
      <c r="F15" s="21"/>
      <c r="G15" s="17"/>
      <c r="H15" s="51"/>
      <c r="I15" s="5"/>
      <c r="J15" s="26"/>
      <c r="K15" s="16"/>
    </row>
    <row r="16" spans="1:13" ht="15.75" customHeight="1">
      <c r="A16" s="15">
        <v>3</v>
      </c>
      <c r="B16" s="79" t="s">
        <v>25</v>
      </c>
      <c r="C16" s="79"/>
      <c r="D16" s="79"/>
      <c r="E16" s="79"/>
      <c r="F16" s="22"/>
      <c r="G16" s="2">
        <v>45</v>
      </c>
      <c r="H16" s="54" t="s">
        <v>7</v>
      </c>
      <c r="I16" s="29" t="s">
        <v>37</v>
      </c>
      <c r="J16" s="16">
        <v>2663</v>
      </c>
      <c r="K16" s="16">
        <f>G16*J16</f>
        <v>119835</v>
      </c>
    </row>
    <row r="17" spans="1:11" ht="15.75" customHeight="1">
      <c r="A17" s="15"/>
      <c r="B17" s="79"/>
      <c r="C17" s="79"/>
      <c r="D17" s="79"/>
      <c r="E17" s="79"/>
      <c r="F17" s="22"/>
      <c r="G17" s="23"/>
      <c r="H17" s="54"/>
      <c r="I17" s="50"/>
      <c r="J17" s="16"/>
      <c r="K17" s="16"/>
    </row>
    <row r="18" spans="1:11" ht="7.5" customHeight="1">
      <c r="A18" s="15"/>
      <c r="B18" s="22"/>
      <c r="C18" s="22"/>
      <c r="D18" s="22"/>
      <c r="E18" s="22"/>
      <c r="F18" s="22"/>
      <c r="G18" s="17"/>
      <c r="I18" s="5"/>
      <c r="J18" s="26"/>
      <c r="K18" s="16"/>
    </row>
    <row r="19" spans="1:11">
      <c r="A19" s="15">
        <v>4</v>
      </c>
      <c r="B19" s="79" t="s">
        <v>26</v>
      </c>
      <c r="C19" s="79"/>
      <c r="D19" s="79"/>
      <c r="E19" s="79"/>
      <c r="F19" s="22"/>
      <c r="G19" s="2">
        <v>40</v>
      </c>
      <c r="H19" s="54" t="s">
        <v>7</v>
      </c>
      <c r="I19" s="29" t="s">
        <v>21</v>
      </c>
      <c r="J19" s="16">
        <v>3391</v>
      </c>
      <c r="K19" s="16">
        <f>G19*J19</f>
        <v>135640</v>
      </c>
    </row>
    <row r="20" spans="1:11" ht="30.75" customHeight="1">
      <c r="A20" s="15"/>
      <c r="B20" s="79"/>
      <c r="C20" s="79"/>
      <c r="D20" s="79"/>
      <c r="E20" s="79"/>
      <c r="F20" s="22"/>
      <c r="G20" s="23"/>
      <c r="H20" s="77"/>
      <c r="I20" s="30"/>
      <c r="J20" s="16"/>
      <c r="K20" s="16"/>
    </row>
    <row r="21" spans="1:11" ht="8.25" customHeight="1">
      <c r="A21" s="15"/>
      <c r="B21" s="74"/>
      <c r="C21" s="74"/>
      <c r="D21" s="74"/>
      <c r="E21" s="74"/>
      <c r="F21" s="1"/>
      <c r="G21" s="17"/>
      <c r="I21" s="5"/>
      <c r="J21" s="26"/>
      <c r="K21" s="16"/>
    </row>
    <row r="22" spans="1:11" ht="14.25" customHeight="1">
      <c r="A22" s="15">
        <v>5</v>
      </c>
      <c r="B22" s="72" t="s">
        <v>40</v>
      </c>
      <c r="C22" s="73"/>
      <c r="D22" s="73"/>
      <c r="E22" s="73"/>
      <c r="F22" s="1"/>
      <c r="G22" s="2">
        <v>60</v>
      </c>
      <c r="H22" s="54" t="s">
        <v>7</v>
      </c>
      <c r="I22" s="29" t="s">
        <v>37</v>
      </c>
      <c r="J22" s="16">
        <v>914</v>
      </c>
      <c r="K22" s="16">
        <f>G22*J22</f>
        <v>54840</v>
      </c>
    </row>
    <row r="23" spans="1:11" ht="24" customHeight="1">
      <c r="A23" s="15"/>
      <c r="B23" s="73"/>
      <c r="C23" s="73"/>
      <c r="D23" s="73"/>
      <c r="E23" s="73"/>
      <c r="F23" s="1"/>
      <c r="G23" s="23"/>
      <c r="H23" s="77"/>
      <c r="I23" s="50"/>
      <c r="J23" s="16"/>
      <c r="K23" s="16"/>
    </row>
    <row r="24" spans="1:11" ht="8.25" customHeight="1">
      <c r="A24" s="15"/>
      <c r="B24" s="4"/>
      <c r="C24" s="4"/>
      <c r="D24" s="4"/>
      <c r="E24" s="4"/>
      <c r="F24" s="1"/>
      <c r="G24" s="17"/>
      <c r="I24" s="5"/>
      <c r="J24" s="26"/>
      <c r="K24" s="16"/>
    </row>
    <row r="25" spans="1:11">
      <c r="A25" s="15">
        <v>6</v>
      </c>
      <c r="B25" s="72" t="s">
        <v>27</v>
      </c>
      <c r="C25" s="76"/>
      <c r="D25" s="76"/>
      <c r="E25" s="76"/>
      <c r="F25" s="1"/>
      <c r="G25" s="2">
        <v>5</v>
      </c>
      <c r="H25" s="54" t="s">
        <v>7</v>
      </c>
      <c r="I25" s="29" t="s">
        <v>21</v>
      </c>
      <c r="J25" s="26">
        <v>1309</v>
      </c>
      <c r="K25" s="16">
        <f>G25*J25</f>
        <v>6545</v>
      </c>
    </row>
    <row r="26" spans="1:11" ht="20.25" customHeight="1">
      <c r="A26" s="15"/>
      <c r="B26" s="76"/>
      <c r="C26" s="76"/>
      <c r="D26" s="76"/>
      <c r="E26" s="76"/>
      <c r="F26" s="1"/>
      <c r="G26" s="17"/>
      <c r="H26" s="77"/>
      <c r="I26" s="5"/>
      <c r="J26" s="26"/>
      <c r="K26" s="16"/>
    </row>
    <row r="27" spans="1:11" ht="6" customHeight="1">
      <c r="A27" s="15"/>
      <c r="B27" s="3"/>
      <c r="C27" s="3"/>
      <c r="D27" s="3"/>
      <c r="E27" s="3"/>
      <c r="F27" s="1"/>
      <c r="G27" s="17"/>
      <c r="H27" s="25"/>
      <c r="I27" s="5"/>
      <c r="J27" s="26"/>
      <c r="K27" s="16"/>
    </row>
    <row r="28" spans="1:11">
      <c r="A28" s="15">
        <v>7</v>
      </c>
      <c r="B28" s="74" t="s">
        <v>28</v>
      </c>
      <c r="C28" s="74"/>
      <c r="D28" s="74"/>
      <c r="E28" s="74"/>
      <c r="F28" s="1"/>
      <c r="G28" s="17">
        <v>70</v>
      </c>
      <c r="H28" s="54" t="s">
        <v>7</v>
      </c>
      <c r="I28" s="29" t="s">
        <v>21</v>
      </c>
      <c r="J28" s="26">
        <v>969</v>
      </c>
      <c r="K28" s="16">
        <f>G28*J28</f>
        <v>67830</v>
      </c>
    </row>
    <row r="29" spans="1:11" ht="15.75" customHeight="1">
      <c r="A29" s="15"/>
      <c r="B29" s="74"/>
      <c r="C29" s="74"/>
      <c r="D29" s="74"/>
      <c r="E29" s="74"/>
      <c r="F29" s="1"/>
      <c r="G29" s="17"/>
      <c r="H29" s="77"/>
      <c r="I29" s="5"/>
      <c r="J29" s="26"/>
      <c r="K29" s="16"/>
    </row>
    <row r="30" spans="1:11" ht="9.75" customHeight="1">
      <c r="A30" s="15"/>
      <c r="B30" s="3"/>
      <c r="C30" s="3"/>
      <c r="D30" s="3"/>
      <c r="E30" s="3"/>
      <c r="F30" s="1"/>
      <c r="G30" s="17"/>
      <c r="H30" s="25"/>
      <c r="I30" s="5"/>
      <c r="J30" s="26"/>
      <c r="K30" s="16"/>
    </row>
    <row r="31" spans="1:11">
      <c r="A31" s="15">
        <v>8</v>
      </c>
      <c r="B31" s="74" t="s">
        <v>45</v>
      </c>
      <c r="C31" s="74"/>
      <c r="D31" s="74"/>
      <c r="E31" s="74"/>
      <c r="F31" s="1"/>
      <c r="G31" s="17">
        <v>3</v>
      </c>
      <c r="H31" s="54" t="s">
        <v>7</v>
      </c>
      <c r="I31" s="29" t="s">
        <v>21</v>
      </c>
      <c r="J31" s="26">
        <v>2982</v>
      </c>
      <c r="K31" s="16">
        <f>G31*J31</f>
        <v>8946</v>
      </c>
    </row>
    <row r="32" spans="1:11" ht="17.25" customHeight="1">
      <c r="A32" s="15"/>
      <c r="B32" s="74"/>
      <c r="C32" s="74"/>
      <c r="D32" s="74"/>
      <c r="E32" s="74"/>
      <c r="F32" s="1"/>
      <c r="G32" s="17"/>
      <c r="H32" s="77"/>
      <c r="I32" s="5"/>
      <c r="J32" s="26"/>
      <c r="K32" s="16"/>
    </row>
    <row r="33" spans="1:11" ht="10.5" customHeight="1">
      <c r="A33" s="15"/>
      <c r="B33" s="4"/>
      <c r="C33" s="4"/>
      <c r="D33" s="4"/>
      <c r="E33" s="4"/>
      <c r="F33" s="1"/>
      <c r="G33" s="17"/>
      <c r="H33" s="25"/>
      <c r="I33" s="5"/>
      <c r="J33" s="26"/>
      <c r="K33" s="16"/>
    </row>
    <row r="34" spans="1:11">
      <c r="A34" s="15">
        <v>9</v>
      </c>
      <c r="B34" s="74" t="s">
        <v>29</v>
      </c>
      <c r="C34" s="74"/>
      <c r="D34" s="74"/>
      <c r="E34" s="74"/>
      <c r="F34" s="1"/>
      <c r="G34" s="17">
        <v>3</v>
      </c>
      <c r="H34" s="54" t="s">
        <v>7</v>
      </c>
      <c r="I34" s="29" t="s">
        <v>21</v>
      </c>
      <c r="J34" s="26">
        <v>3889</v>
      </c>
      <c r="K34" s="16">
        <f>G34*J34</f>
        <v>11667</v>
      </c>
    </row>
    <row r="35" spans="1:11">
      <c r="A35" s="15"/>
      <c r="B35" s="74"/>
      <c r="C35" s="74"/>
      <c r="D35" s="74"/>
      <c r="E35" s="74"/>
      <c r="F35" s="1"/>
      <c r="G35" s="17"/>
      <c r="H35" s="77"/>
      <c r="I35" s="5"/>
      <c r="J35" s="26"/>
      <c r="K35" s="16"/>
    </row>
    <row r="36" spans="1:11">
      <c r="A36" s="15"/>
      <c r="B36" s="4"/>
      <c r="C36" s="4"/>
      <c r="D36" s="4"/>
      <c r="E36" s="4"/>
      <c r="F36" s="1"/>
      <c r="G36" s="17"/>
      <c r="H36" s="43"/>
      <c r="I36" s="5"/>
      <c r="J36" s="26"/>
      <c r="K36" s="16"/>
    </row>
    <row r="37" spans="1:11">
      <c r="A37" s="15">
        <v>10</v>
      </c>
      <c r="B37" s="56" t="s">
        <v>36</v>
      </c>
      <c r="C37" s="56"/>
      <c r="D37" s="56"/>
      <c r="E37" s="56"/>
      <c r="F37" s="1"/>
      <c r="G37" s="2">
        <v>6</v>
      </c>
      <c r="H37" s="54" t="s">
        <v>7</v>
      </c>
      <c r="I37" s="29" t="s">
        <v>37</v>
      </c>
      <c r="J37" s="16">
        <v>4209</v>
      </c>
      <c r="K37" s="16">
        <f>G37*J37</f>
        <v>25254</v>
      </c>
    </row>
    <row r="38" spans="1:11">
      <c r="A38" s="15"/>
      <c r="B38" s="78"/>
      <c r="C38" s="78"/>
      <c r="D38" s="78"/>
      <c r="E38" s="78"/>
      <c r="F38" s="1"/>
      <c r="G38" s="2"/>
      <c r="H38" s="77"/>
      <c r="I38" s="49"/>
      <c r="J38" s="16"/>
      <c r="K38" s="16"/>
    </row>
    <row r="39" spans="1:11">
      <c r="A39" s="15"/>
      <c r="B39" s="22"/>
      <c r="C39" s="22"/>
      <c r="D39" s="22"/>
      <c r="E39" s="22"/>
      <c r="F39" s="22"/>
      <c r="G39" s="23"/>
      <c r="I39" s="5"/>
      <c r="J39" s="26"/>
      <c r="K39" s="16"/>
    </row>
    <row r="40" spans="1:11" ht="33" customHeight="1">
      <c r="A40" s="15">
        <v>11</v>
      </c>
      <c r="B40" s="79" t="s">
        <v>38</v>
      </c>
      <c r="C40" s="79"/>
      <c r="D40" s="79"/>
      <c r="E40" s="79"/>
      <c r="F40" s="21"/>
      <c r="G40" s="2">
        <v>35</v>
      </c>
      <c r="H40" s="25" t="s">
        <v>7</v>
      </c>
      <c r="I40" s="29" t="s">
        <v>21</v>
      </c>
      <c r="J40" s="16">
        <v>1426</v>
      </c>
      <c r="K40" s="16">
        <f>G40*J40</f>
        <v>49910</v>
      </c>
    </row>
    <row r="41" spans="1:11">
      <c r="A41" s="15"/>
      <c r="B41" s="22"/>
      <c r="C41" s="22"/>
      <c r="D41" s="22"/>
      <c r="E41" s="22"/>
      <c r="F41" s="21"/>
      <c r="G41" s="17"/>
      <c r="I41" s="29"/>
      <c r="J41" s="16"/>
      <c r="K41" s="16"/>
    </row>
    <row r="42" spans="1:11" ht="33" customHeight="1">
      <c r="A42" s="15">
        <v>12</v>
      </c>
      <c r="B42" s="79" t="s">
        <v>30</v>
      </c>
      <c r="C42" s="79"/>
      <c r="D42" s="79"/>
      <c r="E42" s="79"/>
      <c r="F42" s="22"/>
      <c r="G42" s="2">
        <v>20</v>
      </c>
      <c r="H42" s="25" t="s">
        <v>7</v>
      </c>
      <c r="I42" s="29" t="s">
        <v>21</v>
      </c>
      <c r="J42" s="16">
        <v>1220</v>
      </c>
      <c r="K42" s="16">
        <f>G42*J42</f>
        <v>24400</v>
      </c>
    </row>
    <row r="43" spans="1:11" ht="5.25" customHeight="1">
      <c r="A43" s="15"/>
      <c r="B43" s="80"/>
      <c r="C43" s="80"/>
      <c r="D43" s="80"/>
      <c r="E43" s="80"/>
      <c r="F43" s="22"/>
      <c r="G43" s="17"/>
      <c r="I43" s="29"/>
      <c r="J43" s="16"/>
      <c r="K43" s="16"/>
    </row>
    <row r="44" spans="1:11" ht="31.5" customHeight="1">
      <c r="A44" s="15">
        <v>13</v>
      </c>
      <c r="B44" s="72" t="s">
        <v>31</v>
      </c>
      <c r="C44" s="73"/>
      <c r="D44" s="73"/>
      <c r="E44" s="73"/>
      <c r="F44" s="22"/>
      <c r="G44" s="2">
        <v>5</v>
      </c>
      <c r="H44" s="25" t="s">
        <v>7</v>
      </c>
      <c r="I44" s="29" t="s">
        <v>21</v>
      </c>
      <c r="J44" s="16">
        <v>878</v>
      </c>
      <c r="K44" s="16">
        <f>G44*J44</f>
        <v>4390</v>
      </c>
    </row>
    <row r="45" spans="1:11">
      <c r="A45" s="15"/>
      <c r="B45" s="74"/>
      <c r="C45" s="74"/>
      <c r="D45" s="74"/>
      <c r="E45" s="74"/>
      <c r="F45" s="1"/>
      <c r="G45" s="17"/>
      <c r="I45" s="29"/>
      <c r="J45" s="16"/>
      <c r="K45" s="16"/>
    </row>
    <row r="46" spans="1:11" ht="36.75" customHeight="1">
      <c r="A46" s="15">
        <v>14</v>
      </c>
      <c r="B46" s="72" t="s">
        <v>32</v>
      </c>
      <c r="C46" s="73"/>
      <c r="D46" s="73"/>
      <c r="E46" s="73"/>
      <c r="F46" s="1"/>
      <c r="G46" s="2">
        <v>8</v>
      </c>
      <c r="H46" s="48" t="s">
        <v>7</v>
      </c>
      <c r="I46" s="29" t="s">
        <v>37</v>
      </c>
      <c r="J46" s="16">
        <v>2305</v>
      </c>
      <c r="K46" s="16">
        <f>G46*J46</f>
        <v>18440</v>
      </c>
    </row>
    <row r="47" spans="1:11">
      <c r="A47" s="15"/>
      <c r="B47" s="4"/>
      <c r="C47" s="4"/>
      <c r="D47" s="4"/>
      <c r="E47" s="4"/>
      <c r="F47" s="1"/>
      <c r="G47" s="17"/>
      <c r="I47" s="29"/>
      <c r="J47" s="26"/>
      <c r="K47" s="16"/>
    </row>
    <row r="48" spans="1:11">
      <c r="A48" s="15">
        <v>15</v>
      </c>
      <c r="B48" s="72" t="s">
        <v>33</v>
      </c>
      <c r="C48" s="73"/>
      <c r="D48" s="73"/>
      <c r="E48" s="73"/>
      <c r="F48" s="1"/>
      <c r="G48" s="2">
        <v>5</v>
      </c>
      <c r="H48" s="48" t="s">
        <v>7</v>
      </c>
      <c r="I48" s="29" t="s">
        <v>21</v>
      </c>
      <c r="J48" s="26">
        <v>896</v>
      </c>
      <c r="K48" s="16">
        <f>G48*J48</f>
        <v>4480</v>
      </c>
    </row>
    <row r="49" spans="1:14">
      <c r="A49" s="15"/>
      <c r="B49" s="44"/>
      <c r="C49" s="44"/>
      <c r="D49" s="44"/>
      <c r="E49" s="44"/>
      <c r="F49" s="1"/>
      <c r="G49" s="17"/>
      <c r="H49" s="25"/>
      <c r="I49" s="29"/>
      <c r="J49" s="26"/>
      <c r="K49" s="16"/>
    </row>
    <row r="50" spans="1:14">
      <c r="A50" s="15"/>
      <c r="B50" s="4"/>
      <c r="C50" s="4"/>
      <c r="D50" s="4"/>
      <c r="E50" s="4"/>
      <c r="F50" s="1"/>
      <c r="G50" s="17"/>
      <c r="H50" s="43"/>
      <c r="I50" s="5"/>
      <c r="J50" s="26"/>
      <c r="K50" s="16"/>
    </row>
    <row r="51" spans="1:14" ht="15">
      <c r="A51" s="15"/>
      <c r="B51" s="3"/>
      <c r="C51" s="3"/>
      <c r="D51" s="3"/>
      <c r="E51" s="3"/>
      <c r="F51" s="1"/>
      <c r="G51" s="17"/>
      <c r="H51" s="25"/>
      <c r="I51" s="25"/>
      <c r="J51" s="6" t="s">
        <v>13</v>
      </c>
      <c r="K51" s="47">
        <f>SUM(K10:K49)</f>
        <v>626099</v>
      </c>
    </row>
    <row r="52" spans="1:14">
      <c r="A52" s="15"/>
      <c r="B52" s="4"/>
      <c r="C52" s="4"/>
      <c r="D52" s="4"/>
      <c r="E52" s="4"/>
      <c r="F52" s="1"/>
      <c r="G52" s="17"/>
      <c r="H52" s="8" t="s">
        <v>39</v>
      </c>
      <c r="J52" s="18"/>
      <c r="K52" s="16"/>
      <c r="L52" s="20"/>
      <c r="M52" s="20"/>
      <c r="N52" s="20"/>
    </row>
    <row r="53" spans="1:14">
      <c r="A53" s="15"/>
      <c r="E53" s="19"/>
      <c r="F53" s="19"/>
      <c r="G53" s="19"/>
      <c r="H53" s="10"/>
      <c r="L53" s="53" t="s">
        <v>34</v>
      </c>
      <c r="M53" s="53"/>
      <c r="N53" s="20"/>
    </row>
    <row r="54" spans="1:14" ht="16.5" customHeight="1">
      <c r="A54" s="15"/>
      <c r="E54" s="19"/>
      <c r="F54" s="19"/>
      <c r="G54" s="19"/>
      <c r="H54" s="10"/>
      <c r="L54" s="53" t="s">
        <v>6</v>
      </c>
      <c r="M54" s="53"/>
      <c r="N54" s="20"/>
    </row>
    <row r="55" spans="1:14" ht="16.5" customHeight="1">
      <c r="A55" s="15"/>
      <c r="B55" s="20" t="s">
        <v>5</v>
      </c>
      <c r="E55" s="19"/>
      <c r="F55" s="19"/>
      <c r="G55" s="19"/>
      <c r="H55" s="10"/>
      <c r="L55" s="53" t="s">
        <v>18</v>
      </c>
      <c r="M55" s="53"/>
      <c r="N55" s="20"/>
    </row>
  </sheetData>
  <mergeCells count="42">
    <mergeCell ref="L55:M55"/>
    <mergeCell ref="C4:M5"/>
    <mergeCell ref="A3:M3"/>
    <mergeCell ref="A2:M2"/>
    <mergeCell ref="B13:E14"/>
    <mergeCell ref="B16:E17"/>
    <mergeCell ref="B22:E23"/>
    <mergeCell ref="B21:E21"/>
    <mergeCell ref="H19:H20"/>
    <mergeCell ref="B19:E20"/>
    <mergeCell ref="H22:H23"/>
    <mergeCell ref="H16:H17"/>
    <mergeCell ref="L54:M54"/>
    <mergeCell ref="L53:M53"/>
    <mergeCell ref="H13:H14"/>
    <mergeCell ref="M7:M8"/>
    <mergeCell ref="B43:E43"/>
    <mergeCell ref="B34:E35"/>
    <mergeCell ref="H34:H35"/>
    <mergeCell ref="A1:K1"/>
    <mergeCell ref="A7:A8"/>
    <mergeCell ref="B7:D8"/>
    <mergeCell ref="B10:E11"/>
    <mergeCell ref="G7:H8"/>
    <mergeCell ref="K7:K8"/>
    <mergeCell ref="J7:J8"/>
    <mergeCell ref="B44:E44"/>
    <mergeCell ref="B45:E45"/>
    <mergeCell ref="B46:E46"/>
    <mergeCell ref="B48:E48"/>
    <mergeCell ref="L7:L8"/>
    <mergeCell ref="H10:H11"/>
    <mergeCell ref="B25:E26"/>
    <mergeCell ref="H25:H26"/>
    <mergeCell ref="B28:E29"/>
    <mergeCell ref="H28:H29"/>
    <mergeCell ref="B31:E32"/>
    <mergeCell ref="H31:H32"/>
    <mergeCell ref="B37:E38"/>
    <mergeCell ref="H37:H38"/>
    <mergeCell ref="B40:E40"/>
    <mergeCell ref="B42:E42"/>
  </mergeCells>
  <phoneticPr fontId="1" type="noConversion"/>
  <pageMargins left="0.39370078740157483" right="0.39370078740157483" top="0.11811023622047245" bottom="7.874015748031496E-2" header="0" footer="0.27559055118110237"/>
  <pageSetup paperSize="9" scale="95" orientation="landscape" r:id="rId1"/>
  <headerFooter alignWithMargins="0">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Sch</vt:lpstr>
      <vt:lpstr>Annexure</vt:lpstr>
      <vt:lpstr>Annexure!Print_Area</vt:lpstr>
      <vt:lpstr>Sch!Print_Area</vt:lpstr>
      <vt:lpstr>Annexure!Print_Titles</vt:lpstr>
      <vt:lpstr>Sch!Print_Titles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ADESTG3</dc:creator>
  <cp:lastModifiedBy>NTTPS</cp:lastModifiedBy>
  <cp:lastPrinted>2019-06-27T11:33:43Z</cp:lastPrinted>
  <dcterms:created xsi:type="dcterms:W3CDTF">2005-09-01T04:37:05Z</dcterms:created>
  <dcterms:modified xsi:type="dcterms:W3CDTF">2026-10-22T07:34:33Z</dcterms:modified>
</cp:coreProperties>
</file>