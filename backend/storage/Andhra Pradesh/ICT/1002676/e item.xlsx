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filterPrivacy="1" defaultThemeVersion="124226"/>
  <bookViews>
    <workbookView xWindow="-105" yWindow="-105" windowWidth="20730" windowHeight="11760"/>
  </bookViews>
  <sheets>
    <sheet name="e-item" sheetId="5" r:id="rId1"/>
  </sheets>
  <definedNames>
    <definedName name="_xlnm.Print_Area" localSheetId="0">'e-item'!$A$79:$H$84</definedName>
  </definedNames>
  <calcPr calcId="124519"/>
</workbook>
</file>

<file path=xl/calcChain.xml><?xml version="1.0" encoding="utf-8"?>
<calcChain xmlns="http://schemas.openxmlformats.org/spreadsheetml/2006/main">
  <c r="D3" i="5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2" l="1"/>
  <c r="H84"/>
  <c r="H15"/>
  <c r="H1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3"/>
  <c r="H12"/>
  <c r="H11"/>
  <c r="H10"/>
  <c r="H9"/>
  <c r="H8"/>
  <c r="H7"/>
  <c r="H6"/>
  <c r="H5"/>
  <c r="H85" s="1"/>
  <c r="H4"/>
  <c r="H3"/>
  <c r="H2"/>
  <c r="H1048567" l="1"/>
</calcChain>
</file>

<file path=xl/sharedStrings.xml><?xml version="1.0" encoding="utf-8"?>
<sst xmlns="http://schemas.openxmlformats.org/spreadsheetml/2006/main" count="341" uniqueCount="104">
  <si>
    <t>SS</t>
  </si>
  <si>
    <t>1 Job</t>
  </si>
  <si>
    <t>Estimate Quantity (only Figures)</t>
  </si>
  <si>
    <t>Item Detailed 
Specification Description</t>
  </si>
  <si>
    <t>Work Type 
eg. Earth Work, Electrical works.. etc
( upto 200 Characters)</t>
  </si>
  <si>
    <t>Item Short Description 
( upto 100 Characters)</t>
  </si>
  <si>
    <t>APSS / Morth Cl. Number 
( upto 200 Characters)</t>
  </si>
  <si>
    <t>Rate (INR) 
( Upto 2 Decimals )</t>
  </si>
  <si>
    <t>UOM
( upto 50 Characters)</t>
  </si>
  <si>
    <t>Amount (INR) 
( Upto 2 Decimals )</t>
  </si>
  <si>
    <t>EARTH WORK EXCAVATION (foundation) in all kinds of soils</t>
  </si>
  <si>
    <t>1 Cum</t>
  </si>
  <si>
    <t>1 Sqm</t>
  </si>
  <si>
    <t>1 Rm</t>
  </si>
  <si>
    <t>1 Hr</t>
  </si>
  <si>
    <t>1 No</t>
  </si>
  <si>
    <t>1 Set</t>
  </si>
  <si>
    <t>Providing floor mounting stand for keeping 4 No of fire Bucket</t>
  </si>
  <si>
    <t xml:space="preserve">Supply of round bottom GI sheet bucket of 9Ltrs capacity </t>
  </si>
  <si>
    <t xml:space="preserve">Supply and fixing of cable root indicators of size 152 mm round/ 102mm X 102mm / 152mm x 152mm </t>
  </si>
  <si>
    <t>Supply and fixing of Danger Notice plate size of 250 X 200mm</t>
  </si>
  <si>
    <t xml:space="preserve">Supply and run of 25 mm dia 'B' Class GI pipe   </t>
  </si>
  <si>
    <t xml:space="preserve">Supply and run of 40 mm dia 'B' Class GI pipe   </t>
  </si>
  <si>
    <t xml:space="preserve">Supply and run of 65 mm dia 'B' Class GI pipe   </t>
  </si>
  <si>
    <t xml:space="preserve">Supply and run of 2 of 4.0 sq mm copper wire </t>
  </si>
  <si>
    <t xml:space="preserve">Supply and run of 2 of 6.0 sqmm copper wire   </t>
  </si>
  <si>
    <t>Supply and Fixing of  63mm outer dia, 2.10 - 2.30 mm thickes Surface PVC conduit pipe</t>
  </si>
  <si>
    <t xml:space="preserve">Supply and Fixing of 20mm outer dia,1.40-1.55 mm thickness, Surface PVCconduit pipe </t>
  </si>
  <si>
    <t xml:space="preserve">Supply and fixing of 4way TPNDB of IP-43(Vertical) </t>
  </si>
  <si>
    <t xml:space="preserve">Supply and fixing of 40 Amps 4 Pole Isolater </t>
  </si>
  <si>
    <t xml:space="preserve">Supply and fixing of 6 - 32 Amp SP MCB </t>
  </si>
  <si>
    <t xml:space="preserve">Supply and fixing of 6-32 Amp TP MCB C/D curve </t>
  </si>
  <si>
    <t xml:space="preserve">Supply, transportation and fixing of 90/100 LED Flood light </t>
  </si>
  <si>
    <t>Supply and fixing of 6''X8'' T.W board with 3mm thick hylam sheet</t>
  </si>
  <si>
    <t xml:space="preserve">Supply and fixing of 6A, 3/2 pin flush type socket with shutter </t>
  </si>
  <si>
    <t>Supply and fixing ISI marked of 32A, 240V DP Flush type switch</t>
  </si>
  <si>
    <t>Supply installation testing and commissioning of free standing floor mounted dust and vermin proof</t>
  </si>
  <si>
    <t>Supply and erection of Panel mounted 630 A, 4P MCCB</t>
  </si>
  <si>
    <t xml:space="preserve">Supply and Fixing of (0-500) V range Digital type Volt meter </t>
  </si>
  <si>
    <t>1 Kg</t>
  </si>
  <si>
    <t>Supply and fixing of 250A 4pole 415V MCCB</t>
  </si>
  <si>
    <t>Supply and fixing of 630A 4pole 415V MCCB</t>
  </si>
  <si>
    <t>Supply and fixing of PVC synthetic elastomer electrically insulated</t>
  </si>
  <si>
    <t xml:space="preserve">Refilling of excavated earth in Foundations and Basement including spreading in layers watering compaction </t>
  </si>
  <si>
    <t>Hire charges for engaging of 16 Tonne capacity Crane  for erection of RS Joist poles and VCBs</t>
  </si>
  <si>
    <t>Supply,fabrication and Erection of the  following Mild Steel Members MS Chanels /Angles/  Beams /MS Flat</t>
  </si>
  <si>
    <t>supply,transportation and fixing of MS Bolts,Nuts and Washers</t>
  </si>
  <si>
    <t>Supply and fixing of 11 KV,400 Amp 3 phase central post rotating double breack type AB switch</t>
  </si>
  <si>
    <t>1  No</t>
  </si>
  <si>
    <t xml:space="preserve">Supply and fixing of distribution type lightning arresters 11KV,5kA </t>
  </si>
  <si>
    <t>Supply ans errection of GI stay set of dia 20mm,2.4 Mtr long stay rod and anchor plate 380mmX380mmX6.4mm</t>
  </si>
  <si>
    <t>Supply,transportation and run of Over Head 100 sqmm AAA conductor</t>
  </si>
  <si>
    <t>Supply and fixing of 11 KV Polymer /porceline  pin type  Insulator</t>
  </si>
  <si>
    <t>Supply, testting, transport and errection of 11KV, 800 Amps, 25kA outdoor type VCB panel</t>
  </si>
  <si>
    <t>Supply, Transportation, Installation, Testing and Commissioning of 11/0.433 500 KVA TRANSFORMER</t>
  </si>
  <si>
    <t>Supply and Making heat shrinkable type outdoor termination</t>
  </si>
  <si>
    <t>supply and transportation of  10 sqmm X 4 core XPLE Aluminium 1100v grade UG cable</t>
  </si>
  <si>
    <t>Labour charges for UG cable Run in existing pipe/trench above 50 sq mm</t>
  </si>
  <si>
    <t>Labour charges for UG cable Run in existing pipe/trench up to 50 sq mm</t>
  </si>
  <si>
    <t>Labour charges forUG cable Run on wall up to 50 sqmm</t>
  </si>
  <si>
    <t xml:space="preserve">Supply and making one end termination with 3.5 core x 400 sq.mm  </t>
  </si>
  <si>
    <t>Supply and laying of 50mm X 6mm copper flat</t>
  </si>
  <si>
    <t>Supply and laying of 50mm X 6mm GI flat</t>
  </si>
  <si>
    <t>Supply and laying of No.8 SWG GI wire</t>
  </si>
  <si>
    <t>Supply and laying of  25mm X 3mm copper strip</t>
  </si>
  <si>
    <t>Providing independent earthing for sophisticated Electronic equipment with 600mm X 600mm X 3.15 mm thick copper plate</t>
  </si>
  <si>
    <t>Providing independent earthing for Important equipment with 100mm dia Heavy gauge C.I ( Cast iron ) pipe</t>
  </si>
  <si>
    <t xml:space="preserve">Supply and fixing of Co2 type fire Exitinguishers 4.5 Kg Capacity </t>
  </si>
  <si>
    <t>Supply of 11 KV/22KV hand gloves</t>
  </si>
  <si>
    <t xml:space="preserve">Supply and run of 2 of 1.0 sqmm copper wire   </t>
  </si>
  <si>
    <t xml:space="preserve">Supply and run of 2 of 2.5 sqmm copper wire   </t>
  </si>
  <si>
    <t xml:space="preserve">Supply and run of 1 of 2.5 sqmm copper wire   </t>
  </si>
  <si>
    <t>supply and fixing of outer dia 50mm and inner dia 38mm HDPE pipe</t>
  </si>
  <si>
    <t>Supply, transportation and fixing of 90W LED Street Light Luminaire</t>
  </si>
  <si>
    <t>Supply and erection of Panel mounted 125 A, 4P MCCB</t>
  </si>
  <si>
    <t>Supply and fixing of CT operated direct reading type Above 500A Digital Ammeter</t>
  </si>
  <si>
    <t>Supply and Fixing of Current Transformer, from 500/5 to 1600/5 ratio</t>
  </si>
  <si>
    <t>Supply and fixing of bus bar by means of SMC / DMC type insulator Electrolytic grade Al- bus bar</t>
  </si>
  <si>
    <t>Supply and fixing of bus bar by means of SMC / DMC type insulator Electrolytic grade Copper- bus bar</t>
  </si>
  <si>
    <t>supply and making end termination with 400 sqmm heavy aluminium lugs (pin/ring type )</t>
  </si>
  <si>
    <t xml:space="preserve">Wiring with 2 runs of 1.0 Sq.mm, P.V.C insulated flexible copper cables 1100V </t>
  </si>
  <si>
    <t xml:space="preserve">Supply &amp; fixing of 1x 20 watts Retrofit Tube light with alluminium anadised body on wall / Ceiling with TW round blocks with all accessories </t>
  </si>
  <si>
    <t>Supply and fixing of 48"(1200mm) sweep 5 star rated BLDC Ceiling Fan</t>
  </si>
  <si>
    <t>Supply and erecting of fan D-hook in RCC roof slab by drilling the slab with machine</t>
  </si>
  <si>
    <t xml:space="preserve">Supply of 19/20 mm steel tube fan down rod including cost of transportation </t>
  </si>
  <si>
    <t xml:space="preserve">Labour charges for 19/20mm steel tube down rod with bolts &amp; nuts duly painted with matching colour of fan </t>
  </si>
  <si>
    <t>Supply and fixing of 12"(300mm) Heavy duty Exhaust fans</t>
  </si>
  <si>
    <t>1  Job</t>
  </si>
  <si>
    <t>Job chart for the CEIG approval  preparation schematic single line diagram</t>
  </si>
  <si>
    <t xml:space="preserve">Supply and fixing of 100 Amp, 11 KV Horn Gap fuse set </t>
  </si>
  <si>
    <t xml:space="preserve">Painting with aluminium paint two coats up to 3.66m hight </t>
  </si>
  <si>
    <t>Painting with aluminium paint two coats from 3.66m and above</t>
  </si>
  <si>
    <t>Supply and transportation of  400 sqmm X 3.5 core XPLE Aluminium 1100v grade UG cable</t>
  </si>
  <si>
    <t>Supply and transportation of  6 sqmm X 2 core Aluminium 1100v Grade UG cable</t>
  </si>
  <si>
    <t xml:space="preserve">Supply and transportation of 9.0 M  length 150X150 mm RS Joist poles         ( Wt of pole 333 Kgs ) </t>
  </si>
  <si>
    <t>Supply and fixing of Shock instruction chart in English/Hindi/ Telugu duly framed with front glass</t>
  </si>
  <si>
    <t>supply and fixing of Outer dia 200mm and inner dia 170mm</t>
  </si>
  <si>
    <t xml:space="preserve">Supply of Air Circuit Breaker  1600A, 4 Pole, 50kA electrically operated, manually draw out type </t>
  </si>
  <si>
    <t>Supply and Transportation of 3C X 90Sq mm  H.T. cable</t>
  </si>
  <si>
    <t>Supply and erection of Panel mounted 250 A, 4P MCCB</t>
  </si>
  <si>
    <t>Supply , Transportation and fixing of energy analyzer</t>
  </si>
  <si>
    <t xml:space="preserve">Supply transportation Testing and instalation of 100 KVAR APFC Panel </t>
  </si>
  <si>
    <t>Total</t>
  </si>
  <si>
    <t>Providing Electrical Infrastructure to Intermediate Charging Station at Adoni Bus Station, Kurnool District (3rd Call).</t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</si>
</sst>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64" formatCode="0.00_)"/>
    <numFmt numFmtId="165" formatCode="0.00\ 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ahoma"/>
      <family val="2"/>
    </font>
    <font>
      <sz val="10"/>
      <name val="Arial"/>
      <family val="2"/>
    </font>
    <font>
      <sz val="10"/>
      <name val="Courier"/>
      <family val="3"/>
    </font>
    <font>
      <sz val="11"/>
      <name val="Times New Roman"/>
      <family val="1"/>
    </font>
    <font>
      <sz val="10"/>
      <color rgb="FF000000"/>
      <name val="Calibri"/>
      <family val="2"/>
      <scheme val="minor"/>
    </font>
    <font>
      <b/>
      <sz val="14"/>
      <name val="Tahoma"/>
      <family val="2"/>
    </font>
    <font>
      <sz val="14"/>
      <name val="Tahoma"/>
      <family val="2"/>
    </font>
    <font>
      <sz val="14"/>
      <color theme="1"/>
      <name val="Tahoma"/>
      <family val="2"/>
    </font>
    <font>
      <b/>
      <sz val="10"/>
      <name val="Verdana"/>
      <family val="2"/>
    </font>
    <font>
      <sz val="12"/>
      <name val="Verdana"/>
      <family val="2"/>
    </font>
    <font>
      <b/>
      <sz val="12"/>
      <name val="Verdana"/>
      <family val="2"/>
    </font>
    <font>
      <sz val="10"/>
      <name val="Verdana"/>
      <family val="2"/>
    </font>
    <font>
      <sz val="10"/>
      <name val="Times New Roman"/>
      <family val="1"/>
    </font>
    <font>
      <sz val="12"/>
      <color rgb="FFFFFF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1" fillId="0" borderId="0"/>
    <xf numFmtId="0" fontId="5" fillId="0" borderId="0"/>
    <xf numFmtId="0" fontId="6" fillId="0" borderId="0"/>
    <xf numFmtId="0" fontId="6" fillId="0" borderId="0"/>
    <xf numFmtId="0" fontId="3" fillId="0" borderId="0"/>
    <xf numFmtId="43" fontId="1" fillId="0" borderId="0" applyFont="0" applyFill="0" applyBorder="0" applyAlignment="0" applyProtection="0"/>
    <xf numFmtId="0" fontId="5" fillId="0" borderId="0"/>
    <xf numFmtId="0" fontId="14" fillId="0" borderId="0"/>
  </cellStyleXfs>
  <cellXfs count="47">
    <xf numFmtId="0" fontId="0" fillId="0" borderId="0" xfId="0"/>
    <xf numFmtId="2" fontId="9" fillId="0" borderId="1" xfId="2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vertical="top" wrapText="1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1" fontId="2" fillId="0" borderId="0" xfId="1" applyNumberFormat="1" applyFont="1" applyBorder="1" applyAlignment="1">
      <alignment horizontal="right" vertical="center" wrapText="1"/>
    </xf>
    <xf numFmtId="0" fontId="11" fillId="0" borderId="0" xfId="0" applyFont="1" applyAlignment="1">
      <alignment horizontal="right" vertical="top" shrinkToFit="1"/>
    </xf>
    <xf numFmtId="0" fontId="12" fillId="0" borderId="0" xfId="0" applyFont="1" applyAlignment="1">
      <alignment horizontal="justify" vertical="top" wrapText="1"/>
    </xf>
    <xf numFmtId="0" fontId="11" fillId="0" borderId="0" xfId="0" applyFont="1" applyAlignment="1">
      <alignment vertical="top" wrapText="1"/>
    </xf>
    <xf numFmtId="165" fontId="11" fillId="0" borderId="0" xfId="0" applyNumberFormat="1" applyFont="1" applyAlignment="1">
      <alignment horizontal="center" vertical="top"/>
    </xf>
    <xf numFmtId="1" fontId="2" fillId="0" borderId="0" xfId="1" applyNumberFormat="1" applyFont="1" applyFill="1" applyBorder="1" applyAlignment="1">
      <alignment horizontal="right" vertical="center" wrapText="1"/>
    </xf>
    <xf numFmtId="0" fontId="13" fillId="0" borderId="0" xfId="0" applyFont="1" applyAlignment="1">
      <alignment vertical="top" shrinkToFit="1"/>
    </xf>
    <xf numFmtId="0" fontId="10" fillId="0" borderId="0" xfId="0" applyFont="1" applyAlignment="1">
      <alignment horizontal="justify" vertical="top" wrapText="1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horizontal="center" vertical="center" wrapText="1"/>
    </xf>
    <xf numFmtId="2" fontId="13" fillId="0" borderId="0" xfId="0" applyNumberFormat="1" applyFont="1" applyAlignment="1">
      <alignment horizontal="center" vertical="top"/>
    </xf>
    <xf numFmtId="0" fontId="12" fillId="0" borderId="0" xfId="0" applyFont="1" applyAlignment="1">
      <alignment horizontal="center" vertical="top" wrapText="1"/>
    </xf>
    <xf numFmtId="1" fontId="12" fillId="0" borderId="0" xfId="0" applyNumberFormat="1" applyFont="1" applyAlignment="1">
      <alignment vertical="top" wrapText="1"/>
    </xf>
    <xf numFmtId="0" fontId="13" fillId="0" borderId="0" xfId="0" applyFont="1" applyAlignment="1">
      <alignment horizontal="center" vertical="top" wrapText="1"/>
    </xf>
    <xf numFmtId="0" fontId="13" fillId="0" borderId="0" xfId="16" applyFont="1" applyAlignment="1">
      <alignment horizontal="justify" vertical="top" wrapText="1"/>
    </xf>
    <xf numFmtId="2" fontId="13" fillId="0" borderId="0" xfId="16" applyNumberFormat="1" applyFont="1" applyAlignment="1">
      <alignment horizontal="justify" vertical="top" wrapText="1"/>
    </xf>
    <xf numFmtId="2" fontId="13" fillId="0" borderId="0" xfId="0" applyNumberFormat="1" applyFont="1" applyAlignment="1">
      <alignment horizontal="right" vertical="top" shrinkToFit="1"/>
    </xf>
    <xf numFmtId="0" fontId="13" fillId="0" borderId="0" xfId="0" applyFont="1" applyAlignment="1">
      <alignment horizontal="justify" vertical="top" wrapText="1"/>
    </xf>
    <xf numFmtId="2" fontId="13" fillId="0" borderId="0" xfId="0" applyNumberFormat="1" applyFont="1" applyAlignment="1">
      <alignment vertical="top" wrapText="1"/>
    </xf>
    <xf numFmtId="0" fontId="13" fillId="0" borderId="0" xfId="0" applyFont="1" applyAlignment="1">
      <alignment vertical="top"/>
    </xf>
    <xf numFmtId="2" fontId="13" fillId="0" borderId="0" xfId="17" applyNumberFormat="1" applyFont="1"/>
    <xf numFmtId="2" fontId="13" fillId="0" borderId="0" xfId="0" applyNumberFormat="1" applyFont="1"/>
    <xf numFmtId="1" fontId="13" fillId="0" borderId="0" xfId="0" applyNumberFormat="1" applyFont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vertical="center" wrapText="1"/>
    </xf>
    <xf numFmtId="164" fontId="8" fillId="0" borderId="1" xfId="0" applyNumberFormat="1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right" vertical="center" wrapText="1"/>
    </xf>
    <xf numFmtId="1" fontId="8" fillId="0" borderId="1" xfId="1" applyNumberFormat="1" applyFont="1" applyFill="1" applyBorder="1" applyAlignment="1">
      <alignment horizontal="right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3" fillId="0" borderId="1" xfId="0" applyFont="1" applyBorder="1" applyAlignment="1">
      <alignment horizontal="center" vertical="center" wrapText="1"/>
    </xf>
    <xf numFmtId="2" fontId="13" fillId="0" borderId="1" xfId="0" applyNumberFormat="1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1" fontId="7" fillId="0" borderId="1" xfId="0" applyNumberFormat="1" applyFont="1" applyBorder="1" applyAlignment="1">
      <alignment vertical="top" wrapText="1"/>
    </xf>
  </cellXfs>
  <cellStyles count="18">
    <cellStyle name="Comma" xfId="1" builtinId="3"/>
    <cellStyle name="Comma 2" xfId="15"/>
    <cellStyle name="Normal" xfId="0" builtinId="0"/>
    <cellStyle name="Normal - Style1" xfId="14"/>
    <cellStyle name="Normal 10 3" xfId="3"/>
    <cellStyle name="Normal 11" xfId="5"/>
    <cellStyle name="Normal 14" xfId="4"/>
    <cellStyle name="Normal 15 2" xfId="13"/>
    <cellStyle name="Normal 18" xfId="12"/>
    <cellStyle name="Normal 2" xfId="8"/>
    <cellStyle name="Normal 2 2" xfId="2"/>
    <cellStyle name="Normal 21 2" xfId="11"/>
    <cellStyle name="Normal 3" xfId="9"/>
    <cellStyle name="Normal 4" xfId="6"/>
    <cellStyle name="Normal 5" xfId="10"/>
    <cellStyle name="Normal 6" xfId="7"/>
    <cellStyle name="Normal_Tel-Data-F" xfId="16"/>
    <cellStyle name="Normal_temp" xfId="1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T1048567"/>
  <sheetViews>
    <sheetView tabSelected="1" zoomScale="75" zoomScaleNormal="75" workbookViewId="0">
      <selection activeCell="F4" sqref="F4"/>
    </sheetView>
  </sheetViews>
  <sheetFormatPr defaultColWidth="9.140625" defaultRowHeight="12.75"/>
  <cols>
    <col min="1" max="1" width="13.85546875" style="16" customWidth="1"/>
    <col min="2" max="2" width="46.5703125" style="16" customWidth="1"/>
    <col min="3" max="3" width="30.85546875" style="16" customWidth="1"/>
    <col min="4" max="4" width="36.140625" style="16" customWidth="1"/>
    <col min="5" max="5" width="21" style="17" customWidth="1"/>
    <col min="6" max="6" width="17.28515625" style="26" customWidth="1"/>
    <col min="7" max="7" width="15" style="21" customWidth="1"/>
    <col min="8" max="8" width="16" style="16" customWidth="1"/>
    <col min="9" max="16384" width="9.140625" style="16"/>
  </cols>
  <sheetData>
    <row r="1" spans="1:254" s="3" customFormat="1" ht="90">
      <c r="A1" s="31" t="s">
        <v>2</v>
      </c>
      <c r="B1" s="31" t="s">
        <v>3</v>
      </c>
      <c r="C1" s="31" t="s">
        <v>4</v>
      </c>
      <c r="D1" s="31" t="s">
        <v>5</v>
      </c>
      <c r="E1" s="32" t="s">
        <v>6</v>
      </c>
      <c r="F1" s="33" t="s">
        <v>7</v>
      </c>
      <c r="G1" s="34" t="s">
        <v>8</v>
      </c>
      <c r="H1" s="31" t="s">
        <v>9</v>
      </c>
    </row>
    <row r="2" spans="1:254" s="11" customFormat="1" ht="108">
      <c r="A2" s="2">
        <v>25.3</v>
      </c>
      <c r="B2" s="35" t="s">
        <v>10</v>
      </c>
      <c r="C2" s="36" t="s">
        <v>103</v>
      </c>
      <c r="D2" s="35" t="str">
        <f>B2</f>
        <v>EARTH WORK EXCAVATION (foundation) in all kinds of soils</v>
      </c>
      <c r="E2" s="37" t="s">
        <v>0</v>
      </c>
      <c r="F2" s="1">
        <v>395.4</v>
      </c>
      <c r="G2" s="37" t="s">
        <v>11</v>
      </c>
      <c r="H2" s="38">
        <f t="shared" ref="H2:H7" si="0">ROUND((A2*F2),0)</f>
        <v>10004</v>
      </c>
      <c r="I2" s="9"/>
      <c r="J2" s="10"/>
      <c r="K2" s="10"/>
      <c r="N2" s="12"/>
      <c r="Q2" s="9"/>
      <c r="R2" s="10"/>
      <c r="S2" s="10"/>
      <c r="V2" s="12"/>
      <c r="Y2" s="9"/>
      <c r="Z2" s="10"/>
      <c r="AA2" s="10"/>
      <c r="AD2" s="12"/>
      <c r="AG2" s="9"/>
      <c r="AH2" s="10"/>
      <c r="AI2" s="10"/>
      <c r="AL2" s="12"/>
      <c r="AO2" s="9"/>
      <c r="AP2" s="10"/>
      <c r="AQ2" s="10"/>
      <c r="AT2" s="12"/>
      <c r="AW2" s="9"/>
      <c r="AX2" s="10"/>
      <c r="AY2" s="10"/>
      <c r="BB2" s="12"/>
      <c r="BE2" s="9"/>
      <c r="BF2" s="10"/>
      <c r="BG2" s="10"/>
      <c r="BJ2" s="12"/>
      <c r="BM2" s="9"/>
      <c r="BN2" s="10"/>
      <c r="BO2" s="10"/>
      <c r="BR2" s="12"/>
      <c r="BU2" s="9"/>
      <c r="BV2" s="10"/>
      <c r="BW2" s="10"/>
      <c r="BZ2" s="12"/>
      <c r="CC2" s="9"/>
      <c r="CD2" s="10"/>
      <c r="CE2" s="10"/>
      <c r="CH2" s="12"/>
      <c r="CK2" s="9"/>
      <c r="CL2" s="10"/>
      <c r="CM2" s="10"/>
      <c r="CP2" s="12"/>
      <c r="CS2" s="9"/>
      <c r="CT2" s="10"/>
      <c r="CU2" s="10"/>
      <c r="CX2" s="12"/>
      <c r="DA2" s="9"/>
      <c r="DB2" s="10"/>
      <c r="DC2" s="10"/>
      <c r="DF2" s="12"/>
      <c r="DI2" s="9"/>
      <c r="DJ2" s="10"/>
      <c r="DK2" s="10"/>
      <c r="DN2" s="12"/>
      <c r="DQ2" s="9"/>
      <c r="DR2" s="10"/>
      <c r="DS2" s="10"/>
      <c r="DV2" s="12"/>
      <c r="DY2" s="9"/>
      <c r="DZ2" s="10"/>
      <c r="EA2" s="10"/>
      <c r="ED2" s="12"/>
      <c r="EG2" s="9"/>
      <c r="EH2" s="10"/>
      <c r="EI2" s="10"/>
      <c r="EL2" s="12"/>
      <c r="EO2" s="9"/>
      <c r="EP2" s="10"/>
      <c r="EQ2" s="10"/>
      <c r="ET2" s="12"/>
      <c r="EW2" s="9"/>
      <c r="EX2" s="10"/>
      <c r="EY2" s="10"/>
      <c r="FB2" s="12"/>
      <c r="FE2" s="9"/>
      <c r="FF2" s="10"/>
      <c r="FG2" s="10"/>
      <c r="FJ2" s="12"/>
      <c r="FM2" s="9"/>
      <c r="FN2" s="10"/>
      <c r="FO2" s="10"/>
      <c r="FR2" s="12"/>
      <c r="FU2" s="9"/>
      <c r="FV2" s="10"/>
      <c r="FW2" s="10"/>
      <c r="FZ2" s="12"/>
      <c r="GC2" s="9"/>
      <c r="GD2" s="10"/>
      <c r="GE2" s="10"/>
      <c r="GH2" s="12"/>
      <c r="GK2" s="9"/>
      <c r="GL2" s="10"/>
      <c r="GM2" s="10"/>
      <c r="GP2" s="12"/>
      <c r="GS2" s="9"/>
      <c r="GT2" s="10"/>
      <c r="GU2" s="10"/>
      <c r="GX2" s="12"/>
      <c r="HA2" s="9"/>
      <c r="HB2" s="10"/>
      <c r="HC2" s="10"/>
      <c r="HF2" s="12"/>
      <c r="HI2" s="9"/>
      <c r="HJ2" s="10"/>
      <c r="HK2" s="10"/>
      <c r="HN2" s="12"/>
      <c r="HQ2" s="9"/>
      <c r="HR2" s="10"/>
      <c r="HS2" s="10"/>
      <c r="HV2" s="12"/>
      <c r="HY2" s="9"/>
      <c r="HZ2" s="10"/>
      <c r="IA2" s="10"/>
      <c r="ID2" s="12"/>
      <c r="IG2" s="9"/>
      <c r="IH2" s="10"/>
      <c r="II2" s="10"/>
      <c r="IL2" s="12"/>
      <c r="IO2" s="9"/>
      <c r="IP2" s="10"/>
      <c r="IQ2" s="10"/>
      <c r="IT2" s="12"/>
    </row>
    <row r="3" spans="1:254" s="11" customFormat="1" ht="108">
      <c r="A3" s="2">
        <v>2</v>
      </c>
      <c r="B3" s="35" t="s">
        <v>94</v>
      </c>
      <c r="C3" s="36" t="s">
        <v>103</v>
      </c>
      <c r="D3" s="35" t="str">
        <f t="shared" ref="D3:D66" si="1">B3</f>
        <v xml:space="preserve">Supply and transportation of 9.0 M  length 150X150 mm RS Joist poles         ( Wt of pole 333 Kgs ) </v>
      </c>
      <c r="E3" s="37" t="s">
        <v>0</v>
      </c>
      <c r="F3" s="1">
        <v>28375.4</v>
      </c>
      <c r="G3" s="37" t="s">
        <v>15</v>
      </c>
      <c r="H3" s="38">
        <f>ROUND((A3*F3),0)</f>
        <v>56751</v>
      </c>
      <c r="I3" s="9"/>
      <c r="J3" s="10"/>
      <c r="K3" s="10"/>
      <c r="N3" s="12"/>
      <c r="Q3" s="9"/>
      <c r="R3" s="10"/>
      <c r="S3" s="10"/>
      <c r="V3" s="12"/>
      <c r="Y3" s="9"/>
      <c r="Z3" s="10"/>
      <c r="AA3" s="10"/>
      <c r="AD3" s="12"/>
      <c r="AG3" s="9"/>
      <c r="AH3" s="10"/>
      <c r="AI3" s="10"/>
      <c r="AL3" s="12"/>
      <c r="AO3" s="9"/>
      <c r="AP3" s="10"/>
      <c r="AQ3" s="10"/>
      <c r="AT3" s="12"/>
      <c r="AW3" s="9"/>
      <c r="AX3" s="10"/>
      <c r="AY3" s="10"/>
      <c r="BB3" s="12"/>
      <c r="BE3" s="9"/>
      <c r="BF3" s="10"/>
      <c r="BG3" s="10"/>
      <c r="BJ3" s="12"/>
      <c r="BM3" s="9"/>
      <c r="BN3" s="10"/>
      <c r="BO3" s="10"/>
      <c r="BR3" s="12"/>
      <c r="BU3" s="9"/>
      <c r="BV3" s="10"/>
      <c r="BW3" s="10"/>
      <c r="BZ3" s="12"/>
      <c r="CC3" s="9"/>
      <c r="CD3" s="10"/>
      <c r="CE3" s="10"/>
      <c r="CH3" s="12"/>
      <c r="CK3" s="9"/>
      <c r="CL3" s="10"/>
      <c r="CM3" s="10"/>
      <c r="CP3" s="12"/>
      <c r="CS3" s="9"/>
      <c r="CT3" s="10"/>
      <c r="CU3" s="10"/>
      <c r="CX3" s="12"/>
      <c r="DA3" s="9"/>
      <c r="DB3" s="10"/>
      <c r="DC3" s="10"/>
      <c r="DF3" s="12"/>
      <c r="DI3" s="9"/>
      <c r="DJ3" s="10"/>
      <c r="DK3" s="10"/>
      <c r="DN3" s="12"/>
      <c r="DQ3" s="9"/>
      <c r="DR3" s="10"/>
      <c r="DS3" s="10"/>
      <c r="DV3" s="12"/>
      <c r="DY3" s="9"/>
      <c r="DZ3" s="10"/>
      <c r="EA3" s="10"/>
      <c r="ED3" s="12"/>
      <c r="EG3" s="9"/>
      <c r="EH3" s="10"/>
      <c r="EI3" s="10"/>
      <c r="EL3" s="12"/>
      <c r="EO3" s="9"/>
      <c r="EP3" s="10"/>
      <c r="EQ3" s="10"/>
      <c r="ET3" s="12"/>
      <c r="EW3" s="9"/>
      <c r="EX3" s="10"/>
      <c r="EY3" s="10"/>
      <c r="FB3" s="12"/>
      <c r="FE3" s="9"/>
      <c r="FF3" s="10"/>
      <c r="FG3" s="10"/>
      <c r="FJ3" s="12"/>
      <c r="FM3" s="9"/>
      <c r="FN3" s="10"/>
      <c r="FO3" s="10"/>
      <c r="FR3" s="12"/>
      <c r="FU3" s="9"/>
      <c r="FV3" s="10"/>
      <c r="FW3" s="10"/>
      <c r="FZ3" s="12"/>
      <c r="GC3" s="9"/>
      <c r="GD3" s="10"/>
      <c r="GE3" s="10"/>
      <c r="GH3" s="12"/>
      <c r="GK3" s="9"/>
      <c r="GL3" s="10"/>
      <c r="GM3" s="10"/>
      <c r="GP3" s="12"/>
      <c r="GS3" s="9"/>
      <c r="GT3" s="10"/>
      <c r="GU3" s="10"/>
      <c r="GX3" s="12"/>
      <c r="HA3" s="9"/>
      <c r="HB3" s="10"/>
      <c r="HC3" s="10"/>
      <c r="HF3" s="12"/>
      <c r="HI3" s="9"/>
      <c r="HJ3" s="10"/>
      <c r="HK3" s="10"/>
      <c r="HN3" s="12"/>
      <c r="HQ3" s="9"/>
      <c r="HR3" s="10"/>
      <c r="HS3" s="10"/>
      <c r="HV3" s="12"/>
      <c r="HY3" s="9"/>
      <c r="HZ3" s="10"/>
      <c r="IA3" s="10"/>
      <c r="ID3" s="12"/>
      <c r="IG3" s="9"/>
      <c r="IH3" s="10"/>
      <c r="II3" s="10"/>
      <c r="IL3" s="12"/>
      <c r="IO3" s="9"/>
      <c r="IP3" s="10"/>
      <c r="IQ3" s="10"/>
      <c r="IT3" s="12"/>
    </row>
    <row r="4" spans="1:254" s="11" customFormat="1" ht="108">
      <c r="A4" s="2">
        <v>23</v>
      </c>
      <c r="B4" s="35" t="s">
        <v>43</v>
      </c>
      <c r="C4" s="36" t="s">
        <v>103</v>
      </c>
      <c r="D4" s="35" t="str">
        <f t="shared" si="1"/>
        <v xml:space="preserve">Refilling of excavated earth in Foundations and Basement including spreading in layers watering compaction </v>
      </c>
      <c r="E4" s="37" t="s">
        <v>0</v>
      </c>
      <c r="F4" s="1">
        <v>43.8</v>
      </c>
      <c r="G4" s="37" t="s">
        <v>11</v>
      </c>
      <c r="H4" s="38">
        <f t="shared" si="0"/>
        <v>1007</v>
      </c>
      <c r="I4" s="9"/>
      <c r="J4" s="10"/>
      <c r="K4" s="10"/>
      <c r="N4" s="12"/>
      <c r="Q4" s="9"/>
      <c r="R4" s="10"/>
      <c r="S4" s="10"/>
      <c r="V4" s="12"/>
      <c r="Y4" s="9"/>
      <c r="Z4" s="10"/>
      <c r="AA4" s="10"/>
      <c r="AD4" s="12"/>
      <c r="AG4" s="9"/>
      <c r="AH4" s="10"/>
      <c r="AI4" s="10"/>
      <c r="AL4" s="12"/>
      <c r="AO4" s="9"/>
      <c r="AP4" s="10"/>
      <c r="AQ4" s="10"/>
      <c r="AT4" s="12"/>
      <c r="AW4" s="9"/>
      <c r="AX4" s="10"/>
      <c r="AY4" s="10"/>
      <c r="BB4" s="12"/>
      <c r="BE4" s="9"/>
      <c r="BF4" s="10"/>
      <c r="BG4" s="10"/>
      <c r="BJ4" s="12"/>
      <c r="BM4" s="9"/>
      <c r="BN4" s="10"/>
      <c r="BO4" s="10"/>
      <c r="BR4" s="12"/>
      <c r="BU4" s="9"/>
      <c r="BV4" s="10"/>
      <c r="BW4" s="10"/>
      <c r="BZ4" s="12"/>
      <c r="CC4" s="9"/>
      <c r="CD4" s="10"/>
      <c r="CE4" s="10"/>
      <c r="CH4" s="12"/>
      <c r="CK4" s="9"/>
      <c r="CL4" s="10"/>
      <c r="CM4" s="10"/>
      <c r="CP4" s="12"/>
      <c r="CS4" s="9"/>
      <c r="CT4" s="10"/>
      <c r="CU4" s="10"/>
      <c r="CX4" s="12"/>
      <c r="DA4" s="9"/>
      <c r="DB4" s="10"/>
      <c r="DC4" s="10"/>
      <c r="DF4" s="12"/>
      <c r="DI4" s="9"/>
      <c r="DJ4" s="10"/>
      <c r="DK4" s="10"/>
      <c r="DN4" s="12"/>
      <c r="DQ4" s="9"/>
      <c r="DR4" s="10"/>
      <c r="DS4" s="10"/>
      <c r="DV4" s="12"/>
      <c r="DY4" s="9"/>
      <c r="DZ4" s="10"/>
      <c r="EA4" s="10"/>
      <c r="ED4" s="12"/>
      <c r="EG4" s="9"/>
      <c r="EH4" s="10"/>
      <c r="EI4" s="10"/>
      <c r="EL4" s="12"/>
      <c r="EO4" s="9"/>
      <c r="EP4" s="10"/>
      <c r="EQ4" s="10"/>
      <c r="ET4" s="12"/>
      <c r="EW4" s="9"/>
      <c r="EX4" s="10"/>
      <c r="EY4" s="10"/>
      <c r="FB4" s="12"/>
      <c r="FE4" s="9"/>
      <c r="FF4" s="10"/>
      <c r="FG4" s="10"/>
      <c r="FJ4" s="12"/>
      <c r="FM4" s="9"/>
      <c r="FN4" s="10"/>
      <c r="FO4" s="10"/>
      <c r="FR4" s="12"/>
      <c r="FU4" s="9"/>
      <c r="FV4" s="10"/>
      <c r="FW4" s="10"/>
      <c r="FZ4" s="12"/>
      <c r="GC4" s="9"/>
      <c r="GD4" s="10"/>
      <c r="GE4" s="10"/>
      <c r="GH4" s="12"/>
      <c r="GK4" s="9"/>
      <c r="GL4" s="10"/>
      <c r="GM4" s="10"/>
      <c r="GP4" s="12"/>
      <c r="GS4" s="9"/>
      <c r="GT4" s="10"/>
      <c r="GU4" s="10"/>
      <c r="GX4" s="12"/>
      <c r="HA4" s="9"/>
      <c r="HB4" s="10"/>
      <c r="HC4" s="10"/>
      <c r="HF4" s="12"/>
      <c r="HI4" s="9"/>
      <c r="HJ4" s="10"/>
      <c r="HK4" s="10"/>
      <c r="HN4" s="12"/>
      <c r="HQ4" s="9"/>
      <c r="HR4" s="10"/>
      <c r="HS4" s="10"/>
      <c r="HV4" s="12"/>
      <c r="HY4" s="9"/>
      <c r="HZ4" s="10"/>
      <c r="IA4" s="10"/>
      <c r="ID4" s="12"/>
      <c r="IG4" s="9"/>
      <c r="IH4" s="10"/>
      <c r="II4" s="10"/>
      <c r="IL4" s="12"/>
      <c r="IO4" s="9"/>
      <c r="IP4" s="10"/>
      <c r="IQ4" s="10"/>
      <c r="IT4" s="12"/>
    </row>
    <row r="5" spans="1:254" s="11" customFormat="1" ht="108">
      <c r="A5" s="2">
        <v>4</v>
      </c>
      <c r="B5" s="35" t="s">
        <v>44</v>
      </c>
      <c r="C5" s="36" t="s">
        <v>103</v>
      </c>
      <c r="D5" s="35" t="str">
        <f t="shared" si="1"/>
        <v>Hire charges for engaging of 16 Tonne capacity Crane  for erection of RS Joist poles and VCBs</v>
      </c>
      <c r="E5" s="37" t="s">
        <v>0</v>
      </c>
      <c r="F5" s="1">
        <v>5619</v>
      </c>
      <c r="G5" s="37" t="s">
        <v>14</v>
      </c>
      <c r="H5" s="38">
        <f t="shared" si="0"/>
        <v>22476</v>
      </c>
      <c r="I5" s="9"/>
      <c r="J5" s="10"/>
      <c r="K5" s="10"/>
      <c r="N5" s="12"/>
      <c r="Q5" s="9"/>
      <c r="R5" s="10"/>
      <c r="S5" s="10"/>
      <c r="V5" s="12"/>
      <c r="Y5" s="9"/>
      <c r="Z5" s="10"/>
      <c r="AA5" s="10"/>
      <c r="AD5" s="12"/>
      <c r="AG5" s="9"/>
      <c r="AH5" s="10"/>
      <c r="AI5" s="10"/>
      <c r="AL5" s="12"/>
      <c r="AO5" s="9"/>
      <c r="AP5" s="10"/>
      <c r="AQ5" s="10"/>
      <c r="AT5" s="12"/>
      <c r="AW5" s="9"/>
      <c r="AX5" s="10"/>
      <c r="AY5" s="10"/>
      <c r="BB5" s="12"/>
      <c r="BE5" s="9"/>
      <c r="BF5" s="10"/>
      <c r="BG5" s="10"/>
      <c r="BJ5" s="12"/>
      <c r="BM5" s="9"/>
      <c r="BN5" s="10"/>
      <c r="BO5" s="10"/>
      <c r="BR5" s="12"/>
      <c r="BU5" s="9"/>
      <c r="BV5" s="10"/>
      <c r="BW5" s="10"/>
      <c r="BZ5" s="12"/>
      <c r="CC5" s="9"/>
      <c r="CD5" s="10"/>
      <c r="CE5" s="10"/>
      <c r="CH5" s="12"/>
      <c r="CK5" s="9"/>
      <c r="CL5" s="10"/>
      <c r="CM5" s="10"/>
      <c r="CP5" s="12"/>
      <c r="CS5" s="9"/>
      <c r="CT5" s="10"/>
      <c r="CU5" s="10"/>
      <c r="CX5" s="12"/>
      <c r="DA5" s="9"/>
      <c r="DB5" s="10"/>
      <c r="DC5" s="10"/>
      <c r="DF5" s="12"/>
      <c r="DI5" s="9"/>
      <c r="DJ5" s="10"/>
      <c r="DK5" s="10"/>
      <c r="DN5" s="12"/>
      <c r="DQ5" s="9"/>
      <c r="DR5" s="10"/>
      <c r="DS5" s="10"/>
      <c r="DV5" s="12"/>
      <c r="DY5" s="9"/>
      <c r="DZ5" s="10"/>
      <c r="EA5" s="10"/>
      <c r="ED5" s="12"/>
      <c r="EG5" s="9"/>
      <c r="EH5" s="10"/>
      <c r="EI5" s="10"/>
      <c r="EL5" s="12"/>
      <c r="EO5" s="9"/>
      <c r="EP5" s="10"/>
      <c r="EQ5" s="10"/>
      <c r="ET5" s="12"/>
      <c r="EW5" s="9"/>
      <c r="EX5" s="10"/>
      <c r="EY5" s="10"/>
      <c r="FB5" s="12"/>
      <c r="FE5" s="9"/>
      <c r="FF5" s="10"/>
      <c r="FG5" s="10"/>
      <c r="FJ5" s="12"/>
      <c r="FM5" s="9"/>
      <c r="FN5" s="10"/>
      <c r="FO5" s="10"/>
      <c r="FR5" s="12"/>
      <c r="FU5" s="9"/>
      <c r="FV5" s="10"/>
      <c r="FW5" s="10"/>
      <c r="FZ5" s="12"/>
      <c r="GC5" s="9"/>
      <c r="GD5" s="10"/>
      <c r="GE5" s="10"/>
      <c r="GH5" s="12"/>
      <c r="GK5" s="9"/>
      <c r="GL5" s="10"/>
      <c r="GM5" s="10"/>
      <c r="GP5" s="12"/>
      <c r="GS5" s="9"/>
      <c r="GT5" s="10"/>
      <c r="GU5" s="10"/>
      <c r="GX5" s="12"/>
      <c r="HA5" s="9"/>
      <c r="HB5" s="10"/>
      <c r="HC5" s="10"/>
      <c r="HF5" s="12"/>
      <c r="HI5" s="9"/>
      <c r="HJ5" s="10"/>
      <c r="HK5" s="10"/>
      <c r="HN5" s="12"/>
      <c r="HQ5" s="9"/>
      <c r="HR5" s="10"/>
      <c r="HS5" s="10"/>
      <c r="HV5" s="12"/>
      <c r="HY5" s="9"/>
      <c r="HZ5" s="10"/>
      <c r="IA5" s="10"/>
      <c r="ID5" s="12"/>
      <c r="IG5" s="9"/>
      <c r="IH5" s="10"/>
      <c r="II5" s="10"/>
      <c r="IL5" s="12"/>
      <c r="IO5" s="9"/>
      <c r="IP5" s="10"/>
      <c r="IQ5" s="10"/>
      <c r="IT5" s="12"/>
    </row>
    <row r="6" spans="1:254" s="11" customFormat="1" ht="108">
      <c r="A6" s="2">
        <v>890</v>
      </c>
      <c r="B6" s="35" t="s">
        <v>45</v>
      </c>
      <c r="C6" s="36" t="s">
        <v>103</v>
      </c>
      <c r="D6" s="35" t="str">
        <f t="shared" si="1"/>
        <v>Supply,fabrication and Erection of the  following Mild Steel Members MS Chanels /Angles/  Beams /MS Flat</v>
      </c>
      <c r="E6" s="37" t="s">
        <v>0</v>
      </c>
      <c r="F6" s="2">
        <v>129.9</v>
      </c>
      <c r="G6" s="37" t="s">
        <v>39</v>
      </c>
      <c r="H6" s="38">
        <f t="shared" si="0"/>
        <v>115611</v>
      </c>
    </row>
    <row r="7" spans="1:254" s="11" customFormat="1" ht="108">
      <c r="A7" s="2">
        <v>50</v>
      </c>
      <c r="B7" s="35" t="s">
        <v>46</v>
      </c>
      <c r="C7" s="36" t="s">
        <v>103</v>
      </c>
      <c r="D7" s="35" t="str">
        <f t="shared" si="1"/>
        <v>supply,transportation and fixing of MS Bolts,Nuts and Washers</v>
      </c>
      <c r="E7" s="37" t="s">
        <v>0</v>
      </c>
      <c r="F7" s="2">
        <v>139.19999999999999</v>
      </c>
      <c r="G7" s="37" t="s">
        <v>39</v>
      </c>
      <c r="H7" s="38">
        <f t="shared" si="0"/>
        <v>6960</v>
      </c>
      <c r="I7" s="41"/>
    </row>
    <row r="8" spans="1:254" s="11" customFormat="1" ht="108">
      <c r="A8" s="2">
        <v>1</v>
      </c>
      <c r="B8" s="35" t="s">
        <v>47</v>
      </c>
      <c r="C8" s="36" t="s">
        <v>103</v>
      </c>
      <c r="D8" s="35" t="str">
        <f t="shared" si="1"/>
        <v>Supply and fixing of 11 KV,400 Amp 3 phase central post rotating double breack type AB switch</v>
      </c>
      <c r="E8" s="37" t="s">
        <v>0</v>
      </c>
      <c r="F8" s="2">
        <v>24745.3</v>
      </c>
      <c r="G8" s="37" t="s">
        <v>48</v>
      </c>
      <c r="H8" s="38">
        <f>ROUND((A8*F8),0)</f>
        <v>24745</v>
      </c>
      <c r="I8" s="9"/>
      <c r="J8" s="10"/>
      <c r="K8" s="10"/>
      <c r="N8" s="12"/>
      <c r="Q8" s="9"/>
      <c r="R8" s="10"/>
      <c r="S8" s="10"/>
      <c r="V8" s="12"/>
      <c r="Y8" s="9"/>
      <c r="Z8" s="10"/>
      <c r="AA8" s="10"/>
      <c r="AD8" s="12"/>
      <c r="AG8" s="9"/>
      <c r="AH8" s="10"/>
      <c r="AI8" s="10"/>
      <c r="AL8" s="12"/>
      <c r="AO8" s="9"/>
      <c r="AP8" s="10"/>
      <c r="AQ8" s="10"/>
      <c r="AT8" s="12"/>
      <c r="AW8" s="9"/>
      <c r="AX8" s="10"/>
      <c r="AY8" s="10"/>
      <c r="BB8" s="12"/>
      <c r="BE8" s="9"/>
      <c r="BF8" s="10"/>
      <c r="BG8" s="10"/>
      <c r="BJ8" s="12"/>
      <c r="BM8" s="9"/>
      <c r="BN8" s="10"/>
      <c r="BO8" s="10"/>
      <c r="BR8" s="12"/>
      <c r="BU8" s="9"/>
      <c r="BV8" s="10"/>
      <c r="BW8" s="10"/>
      <c r="BZ8" s="12"/>
      <c r="CC8" s="9"/>
      <c r="CD8" s="10"/>
      <c r="CE8" s="10"/>
      <c r="CH8" s="12"/>
      <c r="CK8" s="9"/>
      <c r="CL8" s="10"/>
      <c r="CM8" s="10"/>
      <c r="CP8" s="12"/>
      <c r="CS8" s="9"/>
      <c r="CT8" s="10"/>
      <c r="CU8" s="10"/>
      <c r="CX8" s="12"/>
      <c r="DA8" s="9"/>
      <c r="DB8" s="10"/>
      <c r="DC8" s="10"/>
      <c r="DF8" s="12"/>
      <c r="DI8" s="9"/>
      <c r="DJ8" s="10"/>
      <c r="DK8" s="10"/>
      <c r="DN8" s="12"/>
      <c r="DQ8" s="9"/>
      <c r="DR8" s="10"/>
      <c r="DS8" s="10"/>
      <c r="DV8" s="12"/>
      <c r="DY8" s="9"/>
      <c r="DZ8" s="10"/>
      <c r="EA8" s="10"/>
      <c r="ED8" s="12"/>
      <c r="EG8" s="9"/>
      <c r="EH8" s="10"/>
      <c r="EI8" s="10"/>
      <c r="EL8" s="12"/>
      <c r="EO8" s="9"/>
      <c r="EP8" s="10"/>
      <c r="EQ8" s="10"/>
      <c r="ET8" s="12"/>
      <c r="EW8" s="9"/>
      <c r="EX8" s="10"/>
      <c r="EY8" s="10"/>
      <c r="FB8" s="12"/>
      <c r="FE8" s="9"/>
      <c r="FF8" s="10"/>
      <c r="FG8" s="10"/>
      <c r="FJ8" s="12"/>
      <c r="FM8" s="9"/>
      <c r="FN8" s="10"/>
      <c r="FO8" s="10"/>
      <c r="FR8" s="12"/>
      <c r="FU8" s="9"/>
      <c r="FV8" s="10"/>
      <c r="FW8" s="10"/>
      <c r="FZ8" s="12"/>
      <c r="GC8" s="9"/>
      <c r="GD8" s="10"/>
      <c r="GE8" s="10"/>
      <c r="GH8" s="12"/>
      <c r="GK8" s="9"/>
      <c r="GL8" s="10"/>
      <c r="GM8" s="10"/>
      <c r="GP8" s="12"/>
      <c r="GS8" s="9"/>
      <c r="GT8" s="10"/>
      <c r="GU8" s="10"/>
      <c r="GX8" s="12"/>
      <c r="HA8" s="9"/>
      <c r="HB8" s="10"/>
      <c r="HC8" s="10"/>
      <c r="HF8" s="12"/>
      <c r="HI8" s="9"/>
      <c r="HJ8" s="10"/>
      <c r="HK8" s="10"/>
      <c r="HN8" s="12"/>
      <c r="HQ8" s="9"/>
      <c r="HR8" s="10"/>
      <c r="HS8" s="10"/>
      <c r="HV8" s="12"/>
      <c r="HY8" s="9"/>
      <c r="HZ8" s="10"/>
      <c r="IA8" s="10"/>
      <c r="ID8" s="12"/>
      <c r="IG8" s="9"/>
      <c r="IH8" s="10"/>
      <c r="II8" s="10"/>
      <c r="IL8" s="12"/>
      <c r="IO8" s="9"/>
      <c r="IP8" s="10"/>
      <c r="IQ8" s="10"/>
      <c r="IT8" s="12"/>
    </row>
    <row r="9" spans="1:254" s="11" customFormat="1" ht="108">
      <c r="A9" s="2">
        <v>3</v>
      </c>
      <c r="B9" s="35" t="s">
        <v>49</v>
      </c>
      <c r="C9" s="36" t="s">
        <v>103</v>
      </c>
      <c r="D9" s="35" t="str">
        <f t="shared" si="1"/>
        <v xml:space="preserve">Supply and fixing of distribution type lightning arresters 11KV,5kA </v>
      </c>
      <c r="E9" s="37" t="s">
        <v>0</v>
      </c>
      <c r="F9" s="2">
        <v>3436.9</v>
      </c>
      <c r="G9" s="37" t="s">
        <v>12</v>
      </c>
      <c r="H9" s="38">
        <f t="shared" ref="H9:H13" si="2">ROUND((A9*F9),0)</f>
        <v>10311</v>
      </c>
      <c r="I9" s="9"/>
      <c r="J9" s="10"/>
      <c r="K9" s="10"/>
      <c r="N9" s="12"/>
      <c r="Q9" s="9"/>
      <c r="R9" s="10"/>
      <c r="S9" s="10"/>
      <c r="V9" s="12"/>
      <c r="Y9" s="9"/>
      <c r="Z9" s="10"/>
      <c r="AA9" s="10"/>
      <c r="AD9" s="12"/>
      <c r="AG9" s="9"/>
      <c r="AH9" s="10"/>
      <c r="AI9" s="10"/>
      <c r="AL9" s="12"/>
      <c r="AO9" s="9"/>
      <c r="AP9" s="10"/>
      <c r="AQ9" s="10"/>
      <c r="AT9" s="12"/>
      <c r="AW9" s="9"/>
      <c r="AX9" s="10"/>
      <c r="AY9" s="10"/>
      <c r="BB9" s="12"/>
      <c r="BE9" s="9"/>
      <c r="BF9" s="10"/>
      <c r="BG9" s="10"/>
      <c r="BJ9" s="12"/>
      <c r="BM9" s="9"/>
      <c r="BN9" s="10"/>
      <c r="BO9" s="10"/>
      <c r="BR9" s="12"/>
      <c r="BU9" s="9"/>
      <c r="BV9" s="10"/>
      <c r="BW9" s="10"/>
      <c r="BZ9" s="12"/>
      <c r="CC9" s="9"/>
      <c r="CD9" s="10"/>
      <c r="CE9" s="10"/>
      <c r="CH9" s="12"/>
      <c r="CK9" s="9"/>
      <c r="CL9" s="10"/>
      <c r="CM9" s="10"/>
      <c r="CP9" s="12"/>
      <c r="CS9" s="9"/>
      <c r="CT9" s="10"/>
      <c r="CU9" s="10"/>
      <c r="CX9" s="12"/>
      <c r="DA9" s="9"/>
      <c r="DB9" s="10"/>
      <c r="DC9" s="10"/>
      <c r="DF9" s="12"/>
      <c r="DI9" s="9"/>
      <c r="DJ9" s="10"/>
      <c r="DK9" s="10"/>
      <c r="DN9" s="12"/>
      <c r="DQ9" s="9"/>
      <c r="DR9" s="10"/>
      <c r="DS9" s="10"/>
      <c r="DV9" s="12"/>
      <c r="DY9" s="9"/>
      <c r="DZ9" s="10"/>
      <c r="EA9" s="10"/>
      <c r="ED9" s="12"/>
      <c r="EG9" s="9"/>
      <c r="EH9" s="10"/>
      <c r="EI9" s="10"/>
      <c r="EL9" s="12"/>
      <c r="EO9" s="9"/>
      <c r="EP9" s="10"/>
      <c r="EQ9" s="10"/>
      <c r="ET9" s="12"/>
      <c r="EW9" s="9"/>
      <c r="EX9" s="10"/>
      <c r="EY9" s="10"/>
      <c r="FB9" s="12"/>
      <c r="FE9" s="9"/>
      <c r="FF9" s="10"/>
      <c r="FG9" s="10"/>
      <c r="FJ9" s="12"/>
      <c r="FM9" s="9"/>
      <c r="FN9" s="10"/>
      <c r="FO9" s="10"/>
      <c r="FR9" s="12"/>
      <c r="FU9" s="9"/>
      <c r="FV9" s="10"/>
      <c r="FW9" s="10"/>
      <c r="FZ9" s="12"/>
      <c r="GC9" s="9"/>
      <c r="GD9" s="10"/>
      <c r="GE9" s="10"/>
      <c r="GH9" s="12"/>
      <c r="GK9" s="9"/>
      <c r="GL9" s="10"/>
      <c r="GM9" s="10"/>
      <c r="GP9" s="12"/>
      <c r="GS9" s="9"/>
      <c r="GT9" s="10"/>
      <c r="GU9" s="10"/>
      <c r="GX9" s="12"/>
      <c r="HA9" s="9"/>
      <c r="HB9" s="10"/>
      <c r="HC9" s="10"/>
      <c r="HF9" s="12"/>
      <c r="HI9" s="9"/>
      <c r="HJ9" s="10"/>
      <c r="HK9" s="10"/>
      <c r="HN9" s="12"/>
      <c r="HQ9" s="9"/>
      <c r="HR9" s="10"/>
      <c r="HS9" s="10"/>
      <c r="HV9" s="12"/>
      <c r="HY9" s="9"/>
      <c r="HZ9" s="10"/>
      <c r="IA9" s="10"/>
      <c r="ID9" s="12"/>
      <c r="IG9" s="9"/>
      <c r="IH9" s="10"/>
      <c r="II9" s="10"/>
      <c r="IL9" s="12"/>
      <c r="IO9" s="9"/>
      <c r="IP9" s="10"/>
      <c r="IQ9" s="10"/>
      <c r="IT9" s="12"/>
    </row>
    <row r="10" spans="1:254" s="11" customFormat="1" ht="108">
      <c r="A10" s="2">
        <v>4</v>
      </c>
      <c r="B10" s="35" t="s">
        <v>50</v>
      </c>
      <c r="C10" s="36" t="s">
        <v>103</v>
      </c>
      <c r="D10" s="35" t="str">
        <f t="shared" si="1"/>
        <v>Supply ans errection of GI stay set of dia 20mm,2.4 Mtr long stay rod and anchor plate 380mmX380mmX6.4mm</v>
      </c>
      <c r="E10" s="37" t="s">
        <v>0</v>
      </c>
      <c r="F10" s="2">
        <v>2550.6999999999998</v>
      </c>
      <c r="G10" s="37" t="s">
        <v>16</v>
      </c>
      <c r="H10" s="39">
        <f t="shared" si="2"/>
        <v>10203</v>
      </c>
    </row>
    <row r="11" spans="1:254" s="11" customFormat="1" ht="108">
      <c r="A11" s="2">
        <v>100</v>
      </c>
      <c r="B11" s="35" t="s">
        <v>51</v>
      </c>
      <c r="C11" s="36" t="s">
        <v>103</v>
      </c>
      <c r="D11" s="35" t="str">
        <f t="shared" si="1"/>
        <v>Supply,transportation and run of Over Head 100 sqmm AAA conductor</v>
      </c>
      <c r="E11" s="37" t="s">
        <v>0</v>
      </c>
      <c r="F11" s="2">
        <v>116.2</v>
      </c>
      <c r="G11" s="37" t="s">
        <v>13</v>
      </c>
      <c r="H11" s="38">
        <f t="shared" si="2"/>
        <v>11620</v>
      </c>
    </row>
    <row r="12" spans="1:254" s="11" customFormat="1" ht="108">
      <c r="A12" s="2">
        <v>3</v>
      </c>
      <c r="B12" s="35" t="s">
        <v>89</v>
      </c>
      <c r="C12" s="36" t="s">
        <v>103</v>
      </c>
      <c r="D12" s="35" t="str">
        <f t="shared" si="1"/>
        <v xml:space="preserve">Supply and fixing of 100 Amp, 11 KV Horn Gap fuse set </v>
      </c>
      <c r="E12" s="37" t="s">
        <v>0</v>
      </c>
      <c r="F12" s="2">
        <v>7561.1</v>
      </c>
      <c r="G12" s="37" t="s">
        <v>16</v>
      </c>
      <c r="H12" s="38">
        <f t="shared" si="2"/>
        <v>22683</v>
      </c>
    </row>
    <row r="13" spans="1:254" s="11" customFormat="1" ht="108">
      <c r="A13" s="2">
        <v>9</v>
      </c>
      <c r="B13" s="35" t="s">
        <v>52</v>
      </c>
      <c r="C13" s="36" t="s">
        <v>103</v>
      </c>
      <c r="D13" s="35" t="str">
        <f t="shared" si="1"/>
        <v>Supply and fixing of 11 KV Polymer /porceline  pin type  Insulator</v>
      </c>
      <c r="E13" s="37" t="s">
        <v>0</v>
      </c>
      <c r="F13" s="2">
        <v>250</v>
      </c>
      <c r="G13" s="37" t="s">
        <v>15</v>
      </c>
      <c r="H13" s="38">
        <f t="shared" si="2"/>
        <v>2250</v>
      </c>
    </row>
    <row r="14" spans="1:254" s="11" customFormat="1" ht="108">
      <c r="A14" s="2">
        <v>10</v>
      </c>
      <c r="B14" s="35" t="s">
        <v>90</v>
      </c>
      <c r="C14" s="36" t="s">
        <v>103</v>
      </c>
      <c r="D14" s="35" t="str">
        <f t="shared" si="1"/>
        <v xml:space="preserve">Painting with aluminium paint two coats up to 3.66m hight </v>
      </c>
      <c r="E14" s="37" t="s">
        <v>0</v>
      </c>
      <c r="F14" s="2">
        <v>205.8</v>
      </c>
      <c r="G14" s="37" t="s">
        <v>12</v>
      </c>
      <c r="H14" s="38">
        <f>ROUND((A14*F14),0)</f>
        <v>2058</v>
      </c>
      <c r="I14" s="9"/>
      <c r="J14" s="10"/>
      <c r="K14" s="10"/>
      <c r="N14" s="12"/>
      <c r="Q14" s="9"/>
      <c r="R14" s="10"/>
      <c r="S14" s="10"/>
      <c r="V14" s="12"/>
      <c r="Y14" s="9"/>
      <c r="Z14" s="10"/>
      <c r="AA14" s="10"/>
      <c r="AD14" s="12"/>
      <c r="AG14" s="9"/>
      <c r="AH14" s="10"/>
      <c r="AI14" s="10"/>
      <c r="AL14" s="12"/>
      <c r="AO14" s="9"/>
      <c r="AP14" s="10"/>
      <c r="AQ14" s="10"/>
      <c r="AT14" s="12"/>
      <c r="AW14" s="9"/>
      <c r="AX14" s="10"/>
      <c r="AY14" s="10"/>
      <c r="BB14" s="12"/>
      <c r="BE14" s="9"/>
      <c r="BF14" s="10"/>
      <c r="BG14" s="10"/>
      <c r="BJ14" s="12"/>
      <c r="BM14" s="9"/>
      <c r="BN14" s="10"/>
      <c r="BO14" s="10"/>
      <c r="BR14" s="12"/>
      <c r="BU14" s="9"/>
      <c r="BV14" s="10"/>
      <c r="BW14" s="10"/>
      <c r="BZ14" s="12"/>
      <c r="CC14" s="9"/>
      <c r="CD14" s="10"/>
      <c r="CE14" s="10"/>
      <c r="CH14" s="12"/>
      <c r="CK14" s="9"/>
      <c r="CL14" s="10"/>
      <c r="CM14" s="10"/>
      <c r="CP14" s="12"/>
      <c r="CS14" s="9"/>
      <c r="CT14" s="10"/>
      <c r="CU14" s="10"/>
      <c r="CX14" s="12"/>
      <c r="DA14" s="9"/>
      <c r="DB14" s="10"/>
      <c r="DC14" s="10"/>
      <c r="DF14" s="12"/>
      <c r="DI14" s="9"/>
      <c r="DJ14" s="10"/>
      <c r="DK14" s="10"/>
      <c r="DN14" s="12"/>
      <c r="DQ14" s="9"/>
      <c r="DR14" s="10"/>
      <c r="DS14" s="10"/>
      <c r="DV14" s="12"/>
      <c r="DY14" s="9"/>
      <c r="DZ14" s="10"/>
      <c r="EA14" s="10"/>
      <c r="ED14" s="12"/>
      <c r="EG14" s="9"/>
      <c r="EH14" s="10"/>
      <c r="EI14" s="10"/>
      <c r="EL14" s="12"/>
      <c r="EO14" s="9"/>
      <c r="EP14" s="10"/>
      <c r="EQ14" s="10"/>
      <c r="ET14" s="12"/>
      <c r="EW14" s="9"/>
      <c r="EX14" s="10"/>
      <c r="EY14" s="10"/>
      <c r="FB14" s="12"/>
      <c r="FE14" s="9"/>
      <c r="FF14" s="10"/>
      <c r="FG14" s="10"/>
      <c r="FJ14" s="12"/>
      <c r="FM14" s="9"/>
      <c r="FN14" s="10"/>
      <c r="FO14" s="10"/>
      <c r="FR14" s="12"/>
      <c r="FU14" s="9"/>
      <c r="FV14" s="10"/>
      <c r="FW14" s="10"/>
      <c r="FZ14" s="12"/>
      <c r="GC14" s="9"/>
      <c r="GD14" s="10"/>
      <c r="GE14" s="10"/>
      <c r="GH14" s="12"/>
      <c r="GK14" s="9"/>
      <c r="GL14" s="10"/>
      <c r="GM14" s="10"/>
      <c r="GP14" s="12"/>
      <c r="GS14" s="9"/>
      <c r="GT14" s="10"/>
      <c r="GU14" s="10"/>
      <c r="GX14" s="12"/>
      <c r="HA14" s="9"/>
      <c r="HB14" s="10"/>
      <c r="HC14" s="10"/>
      <c r="HF14" s="12"/>
      <c r="HI14" s="9"/>
      <c r="HJ14" s="10"/>
      <c r="HK14" s="10"/>
      <c r="HN14" s="12"/>
      <c r="HQ14" s="9"/>
      <c r="HR14" s="10"/>
      <c r="HS14" s="10"/>
      <c r="HV14" s="12"/>
      <c r="HY14" s="9"/>
      <c r="HZ14" s="10"/>
      <c r="IA14" s="10"/>
      <c r="ID14" s="12"/>
      <c r="IG14" s="9"/>
      <c r="IH14" s="10"/>
      <c r="II14" s="10"/>
      <c r="IL14" s="12"/>
      <c r="IO14" s="9"/>
      <c r="IP14" s="10"/>
      <c r="IQ14" s="10"/>
      <c r="IT14" s="12"/>
    </row>
    <row r="15" spans="1:254" s="11" customFormat="1" ht="108">
      <c r="A15" s="2">
        <v>40</v>
      </c>
      <c r="B15" s="35" t="s">
        <v>91</v>
      </c>
      <c r="C15" s="36" t="s">
        <v>103</v>
      </c>
      <c r="D15" s="35" t="str">
        <f t="shared" si="1"/>
        <v>Painting with aluminium paint two coats from 3.66m and above</v>
      </c>
      <c r="E15" s="37" t="s">
        <v>0</v>
      </c>
      <c r="F15" s="2">
        <v>256.2</v>
      </c>
      <c r="G15" s="37" t="s">
        <v>12</v>
      </c>
      <c r="H15" s="38">
        <f>ROUND((A15*F15),0)</f>
        <v>10248</v>
      </c>
      <c r="I15" s="9"/>
      <c r="J15" s="10"/>
      <c r="K15" s="10"/>
      <c r="N15" s="12"/>
      <c r="Q15" s="9"/>
      <c r="R15" s="10"/>
      <c r="S15" s="10"/>
      <c r="V15" s="12"/>
      <c r="Y15" s="9"/>
      <c r="Z15" s="10"/>
      <c r="AA15" s="10"/>
      <c r="AD15" s="12"/>
      <c r="AG15" s="9"/>
      <c r="AH15" s="10"/>
      <c r="AI15" s="10"/>
      <c r="AL15" s="12"/>
      <c r="AO15" s="9"/>
      <c r="AP15" s="10"/>
      <c r="AQ15" s="10"/>
      <c r="AT15" s="12"/>
      <c r="AW15" s="9"/>
      <c r="AX15" s="10"/>
      <c r="AY15" s="10"/>
      <c r="BB15" s="12"/>
      <c r="BE15" s="9"/>
      <c r="BF15" s="10"/>
      <c r="BG15" s="10"/>
      <c r="BJ15" s="12"/>
      <c r="BM15" s="9"/>
      <c r="BN15" s="10"/>
      <c r="BO15" s="10"/>
      <c r="BR15" s="12"/>
      <c r="BU15" s="9"/>
      <c r="BV15" s="10"/>
      <c r="BW15" s="10"/>
      <c r="BZ15" s="12"/>
      <c r="CC15" s="9"/>
      <c r="CD15" s="10"/>
      <c r="CE15" s="10"/>
      <c r="CH15" s="12"/>
      <c r="CK15" s="9"/>
      <c r="CL15" s="10"/>
      <c r="CM15" s="10"/>
      <c r="CP15" s="12"/>
      <c r="CS15" s="9"/>
      <c r="CT15" s="10"/>
      <c r="CU15" s="10"/>
      <c r="CX15" s="12"/>
      <c r="DA15" s="9"/>
      <c r="DB15" s="10"/>
      <c r="DC15" s="10"/>
      <c r="DF15" s="12"/>
      <c r="DI15" s="9"/>
      <c r="DJ15" s="10"/>
      <c r="DK15" s="10"/>
      <c r="DN15" s="12"/>
      <c r="DQ15" s="9"/>
      <c r="DR15" s="10"/>
      <c r="DS15" s="10"/>
      <c r="DV15" s="12"/>
      <c r="DY15" s="9"/>
      <c r="DZ15" s="10"/>
      <c r="EA15" s="10"/>
      <c r="ED15" s="12"/>
      <c r="EG15" s="9"/>
      <c r="EH15" s="10"/>
      <c r="EI15" s="10"/>
      <c r="EL15" s="12"/>
      <c r="EO15" s="9"/>
      <c r="EP15" s="10"/>
      <c r="EQ15" s="10"/>
      <c r="ET15" s="12"/>
      <c r="EW15" s="9"/>
      <c r="EX15" s="10"/>
      <c r="EY15" s="10"/>
      <c r="FB15" s="12"/>
      <c r="FE15" s="9"/>
      <c r="FF15" s="10"/>
      <c r="FG15" s="10"/>
      <c r="FJ15" s="12"/>
      <c r="FM15" s="9"/>
      <c r="FN15" s="10"/>
      <c r="FO15" s="10"/>
      <c r="FR15" s="12"/>
      <c r="FU15" s="9"/>
      <c r="FV15" s="10"/>
      <c r="FW15" s="10"/>
      <c r="FZ15" s="12"/>
      <c r="GC15" s="9"/>
      <c r="GD15" s="10"/>
      <c r="GE15" s="10"/>
      <c r="GH15" s="12"/>
      <c r="GK15" s="9"/>
      <c r="GL15" s="10"/>
      <c r="GM15" s="10"/>
      <c r="GP15" s="12"/>
      <c r="GS15" s="9"/>
      <c r="GT15" s="10"/>
      <c r="GU15" s="10"/>
      <c r="GX15" s="12"/>
      <c r="HA15" s="9"/>
      <c r="HB15" s="10"/>
      <c r="HC15" s="10"/>
      <c r="HF15" s="12"/>
      <c r="HI15" s="9"/>
      <c r="HJ15" s="10"/>
      <c r="HK15" s="10"/>
      <c r="HN15" s="12"/>
      <c r="HQ15" s="9"/>
      <c r="HR15" s="10"/>
      <c r="HS15" s="10"/>
      <c r="HV15" s="12"/>
      <c r="HY15" s="9"/>
      <c r="HZ15" s="10"/>
      <c r="IA15" s="10"/>
      <c r="ID15" s="12"/>
      <c r="IG15" s="9"/>
      <c r="IH15" s="10"/>
      <c r="II15" s="10"/>
      <c r="IL15" s="12"/>
      <c r="IO15" s="9"/>
      <c r="IP15" s="10"/>
      <c r="IQ15" s="10"/>
      <c r="IT15" s="12"/>
    </row>
    <row r="16" spans="1:254" s="11" customFormat="1" ht="108">
      <c r="A16" s="2">
        <v>1</v>
      </c>
      <c r="B16" s="35" t="s">
        <v>54</v>
      </c>
      <c r="C16" s="36" t="s">
        <v>103</v>
      </c>
      <c r="D16" s="35" t="str">
        <f t="shared" si="1"/>
        <v>Supply, Transportation, Installation, Testing and Commissioning of 11/0.433 500 KVA TRANSFORMER</v>
      </c>
      <c r="E16" s="37" t="s">
        <v>0</v>
      </c>
      <c r="F16" s="2">
        <v>1881836</v>
      </c>
      <c r="G16" s="37" t="s">
        <v>15</v>
      </c>
      <c r="H16" s="38">
        <f>ROUND((A16*F16),0)</f>
        <v>1881836</v>
      </c>
      <c r="I16" s="9"/>
      <c r="J16" s="10"/>
      <c r="K16" s="10"/>
      <c r="N16" s="12"/>
      <c r="Q16" s="9"/>
      <c r="R16" s="10"/>
      <c r="S16" s="10"/>
      <c r="V16" s="12"/>
      <c r="Y16" s="9"/>
      <c r="Z16" s="10"/>
      <c r="AA16" s="10"/>
      <c r="AD16" s="12"/>
      <c r="AG16" s="9"/>
      <c r="AH16" s="10"/>
      <c r="AI16" s="10"/>
      <c r="AL16" s="12"/>
      <c r="AO16" s="9"/>
      <c r="AP16" s="10"/>
      <c r="AQ16" s="10"/>
      <c r="AT16" s="12"/>
      <c r="AW16" s="9"/>
      <c r="AX16" s="10"/>
      <c r="AY16" s="10"/>
      <c r="BB16" s="12"/>
      <c r="BE16" s="9"/>
      <c r="BF16" s="10"/>
      <c r="BG16" s="10"/>
      <c r="BJ16" s="12"/>
      <c r="BM16" s="9"/>
      <c r="BN16" s="10"/>
      <c r="BO16" s="10"/>
      <c r="BR16" s="12"/>
      <c r="BU16" s="9"/>
      <c r="BV16" s="10"/>
      <c r="BW16" s="10"/>
      <c r="BZ16" s="12"/>
      <c r="CC16" s="9"/>
      <c r="CD16" s="10"/>
      <c r="CE16" s="10"/>
      <c r="CH16" s="12"/>
      <c r="CK16" s="9"/>
      <c r="CL16" s="10"/>
      <c r="CM16" s="10"/>
      <c r="CP16" s="12"/>
      <c r="CS16" s="9"/>
      <c r="CT16" s="10"/>
      <c r="CU16" s="10"/>
      <c r="CX16" s="12"/>
      <c r="DA16" s="9"/>
      <c r="DB16" s="10"/>
      <c r="DC16" s="10"/>
      <c r="DF16" s="12"/>
      <c r="DI16" s="9"/>
      <c r="DJ16" s="10"/>
      <c r="DK16" s="10"/>
      <c r="DN16" s="12"/>
      <c r="DQ16" s="9"/>
      <c r="DR16" s="10"/>
      <c r="DS16" s="10"/>
      <c r="DV16" s="12"/>
      <c r="DY16" s="9"/>
      <c r="DZ16" s="10"/>
      <c r="EA16" s="10"/>
      <c r="ED16" s="12"/>
      <c r="EG16" s="9"/>
      <c r="EH16" s="10"/>
      <c r="EI16" s="10"/>
      <c r="EL16" s="12"/>
      <c r="EO16" s="9"/>
      <c r="EP16" s="10"/>
      <c r="EQ16" s="10"/>
      <c r="ET16" s="12"/>
      <c r="EW16" s="9"/>
      <c r="EX16" s="10"/>
      <c r="EY16" s="10"/>
      <c r="FB16" s="12"/>
      <c r="FE16" s="9"/>
      <c r="FF16" s="10"/>
      <c r="FG16" s="10"/>
      <c r="FJ16" s="12"/>
      <c r="FM16" s="9"/>
      <c r="FN16" s="10"/>
      <c r="FO16" s="10"/>
      <c r="FR16" s="12"/>
      <c r="FU16" s="9"/>
      <c r="FV16" s="10"/>
      <c r="FW16" s="10"/>
      <c r="FZ16" s="12"/>
      <c r="GC16" s="9"/>
      <c r="GD16" s="10"/>
      <c r="GE16" s="10"/>
      <c r="GH16" s="12"/>
      <c r="GK16" s="9"/>
      <c r="GL16" s="10"/>
      <c r="GM16" s="10"/>
      <c r="GP16" s="12"/>
      <c r="GS16" s="9"/>
      <c r="GT16" s="10"/>
      <c r="GU16" s="10"/>
      <c r="GX16" s="12"/>
      <c r="HA16" s="9"/>
      <c r="HB16" s="10"/>
      <c r="HC16" s="10"/>
      <c r="HF16" s="12"/>
      <c r="HI16" s="9"/>
      <c r="HJ16" s="10"/>
      <c r="HK16" s="10"/>
      <c r="HN16" s="12"/>
      <c r="HQ16" s="9"/>
      <c r="HR16" s="10"/>
      <c r="HS16" s="10"/>
      <c r="HV16" s="12"/>
      <c r="HY16" s="9"/>
      <c r="HZ16" s="10"/>
      <c r="IA16" s="10"/>
      <c r="ID16" s="12"/>
      <c r="IG16" s="9"/>
      <c r="IH16" s="10"/>
      <c r="II16" s="10"/>
      <c r="IL16" s="12"/>
      <c r="IO16" s="9"/>
      <c r="IP16" s="10"/>
      <c r="IQ16" s="10"/>
      <c r="IT16" s="12"/>
    </row>
    <row r="17" spans="1:254" s="11" customFormat="1" ht="108">
      <c r="A17" s="2">
        <v>1</v>
      </c>
      <c r="B17" s="35" t="s">
        <v>53</v>
      </c>
      <c r="C17" s="36" t="s">
        <v>103</v>
      </c>
      <c r="D17" s="35" t="str">
        <f t="shared" si="1"/>
        <v>Supply, testting, transport and errection of 11KV, 800 Amps, 25kA outdoor type VCB panel</v>
      </c>
      <c r="E17" s="37" t="s">
        <v>0</v>
      </c>
      <c r="F17" s="2">
        <v>484500</v>
      </c>
      <c r="G17" s="37" t="s">
        <v>15</v>
      </c>
      <c r="H17" s="38">
        <f>ROUND((A17*F17),0)</f>
        <v>484500</v>
      </c>
      <c r="I17" s="9"/>
      <c r="J17" s="10"/>
      <c r="K17" s="10"/>
      <c r="N17" s="12"/>
      <c r="Q17" s="9"/>
      <c r="R17" s="10"/>
      <c r="S17" s="10"/>
      <c r="V17" s="12"/>
      <c r="Y17" s="9"/>
      <c r="Z17" s="10"/>
      <c r="AA17" s="10"/>
      <c r="AD17" s="12"/>
      <c r="AG17" s="9"/>
      <c r="AH17" s="10"/>
      <c r="AI17" s="10"/>
      <c r="AL17" s="12"/>
      <c r="AO17" s="9"/>
      <c r="AP17" s="10"/>
      <c r="AQ17" s="10"/>
      <c r="AT17" s="12"/>
      <c r="AW17" s="9"/>
      <c r="AX17" s="10"/>
      <c r="AY17" s="10"/>
      <c r="BB17" s="12"/>
      <c r="BE17" s="9"/>
      <c r="BF17" s="10"/>
      <c r="BG17" s="10"/>
      <c r="BJ17" s="12"/>
      <c r="BM17" s="9"/>
      <c r="BN17" s="10"/>
      <c r="BO17" s="10"/>
      <c r="BR17" s="12"/>
      <c r="BU17" s="9"/>
      <c r="BV17" s="10"/>
      <c r="BW17" s="10"/>
      <c r="BZ17" s="12"/>
      <c r="CC17" s="9"/>
      <c r="CD17" s="10"/>
      <c r="CE17" s="10"/>
      <c r="CH17" s="12"/>
      <c r="CK17" s="9"/>
      <c r="CL17" s="10"/>
      <c r="CM17" s="10"/>
      <c r="CP17" s="12"/>
      <c r="CS17" s="9"/>
      <c r="CT17" s="10"/>
      <c r="CU17" s="10"/>
      <c r="CX17" s="12"/>
      <c r="DA17" s="9"/>
      <c r="DB17" s="10"/>
      <c r="DC17" s="10"/>
      <c r="DF17" s="12"/>
      <c r="DI17" s="9"/>
      <c r="DJ17" s="10"/>
      <c r="DK17" s="10"/>
      <c r="DN17" s="12"/>
      <c r="DQ17" s="9"/>
      <c r="DR17" s="10"/>
      <c r="DS17" s="10"/>
      <c r="DV17" s="12"/>
      <c r="DY17" s="9"/>
      <c r="DZ17" s="10"/>
      <c r="EA17" s="10"/>
      <c r="ED17" s="12"/>
      <c r="EG17" s="9"/>
      <c r="EH17" s="10"/>
      <c r="EI17" s="10"/>
      <c r="EL17" s="12"/>
      <c r="EO17" s="9"/>
      <c r="EP17" s="10"/>
      <c r="EQ17" s="10"/>
      <c r="ET17" s="12"/>
      <c r="EW17" s="9"/>
      <c r="EX17" s="10"/>
      <c r="EY17" s="10"/>
      <c r="FB17" s="12"/>
      <c r="FE17" s="9"/>
      <c r="FF17" s="10"/>
      <c r="FG17" s="10"/>
      <c r="FJ17" s="12"/>
      <c r="FM17" s="9"/>
      <c r="FN17" s="10"/>
      <c r="FO17" s="10"/>
      <c r="FR17" s="12"/>
      <c r="FU17" s="9"/>
      <c r="FV17" s="10"/>
      <c r="FW17" s="10"/>
      <c r="FZ17" s="12"/>
      <c r="GC17" s="9"/>
      <c r="GD17" s="10"/>
      <c r="GE17" s="10"/>
      <c r="GH17" s="12"/>
      <c r="GK17" s="9"/>
      <c r="GL17" s="10"/>
      <c r="GM17" s="10"/>
      <c r="GP17" s="12"/>
      <c r="GS17" s="9"/>
      <c r="GT17" s="10"/>
      <c r="GU17" s="10"/>
      <c r="GX17" s="12"/>
      <c r="HA17" s="9"/>
      <c r="HB17" s="10"/>
      <c r="HC17" s="10"/>
      <c r="HF17" s="12"/>
      <c r="HI17" s="9"/>
      <c r="HJ17" s="10"/>
      <c r="HK17" s="10"/>
      <c r="HN17" s="12"/>
      <c r="HQ17" s="9"/>
      <c r="HR17" s="10"/>
      <c r="HS17" s="10"/>
      <c r="HV17" s="12"/>
      <c r="HY17" s="9"/>
      <c r="HZ17" s="10"/>
      <c r="IA17" s="10"/>
      <c r="ID17" s="12"/>
      <c r="IG17" s="9"/>
      <c r="IH17" s="10"/>
      <c r="II17" s="10"/>
      <c r="IL17" s="12"/>
      <c r="IO17" s="9"/>
      <c r="IP17" s="10"/>
      <c r="IQ17" s="10"/>
      <c r="IT17" s="12"/>
    </row>
    <row r="18" spans="1:254" s="11" customFormat="1" ht="108">
      <c r="A18" s="2">
        <v>8</v>
      </c>
      <c r="B18" s="35" t="s">
        <v>55</v>
      </c>
      <c r="C18" s="36" t="s">
        <v>103</v>
      </c>
      <c r="D18" s="35" t="str">
        <f t="shared" si="1"/>
        <v>Supply and Making heat shrinkable type outdoor termination</v>
      </c>
      <c r="E18" s="37" t="s">
        <v>0</v>
      </c>
      <c r="F18" s="2">
        <v>15157.4</v>
      </c>
      <c r="G18" s="37" t="s">
        <v>15</v>
      </c>
      <c r="H18" s="38">
        <f t="shared" ref="H18:H24" si="3">ROUND((A18*F18),0)</f>
        <v>121259</v>
      </c>
      <c r="I18" s="9"/>
      <c r="J18" s="10"/>
      <c r="K18" s="10"/>
      <c r="N18" s="12"/>
      <c r="Q18" s="9"/>
      <c r="R18" s="10"/>
      <c r="S18" s="10"/>
      <c r="V18" s="12"/>
      <c r="Y18" s="9"/>
      <c r="Z18" s="10"/>
      <c r="AA18" s="10"/>
      <c r="AD18" s="12"/>
      <c r="AG18" s="9"/>
      <c r="AH18" s="10"/>
      <c r="AI18" s="10"/>
      <c r="AL18" s="12"/>
      <c r="AO18" s="9"/>
      <c r="AP18" s="10"/>
      <c r="AQ18" s="10"/>
      <c r="AT18" s="12"/>
      <c r="AW18" s="9"/>
      <c r="AX18" s="10"/>
      <c r="AY18" s="10"/>
      <c r="BB18" s="12"/>
      <c r="BE18" s="9"/>
      <c r="BF18" s="10"/>
      <c r="BG18" s="10"/>
      <c r="BJ18" s="12"/>
      <c r="BM18" s="9"/>
      <c r="BN18" s="10"/>
      <c r="BO18" s="10"/>
      <c r="BR18" s="12"/>
      <c r="BU18" s="9"/>
      <c r="BV18" s="10"/>
      <c r="BW18" s="10"/>
      <c r="BZ18" s="12"/>
      <c r="CC18" s="9"/>
      <c r="CD18" s="10"/>
      <c r="CE18" s="10"/>
      <c r="CH18" s="12"/>
      <c r="CK18" s="9"/>
      <c r="CL18" s="10"/>
      <c r="CM18" s="10"/>
      <c r="CP18" s="12"/>
      <c r="CS18" s="9"/>
      <c r="CT18" s="10"/>
      <c r="CU18" s="10"/>
      <c r="CX18" s="12"/>
      <c r="DA18" s="9"/>
      <c r="DB18" s="10"/>
      <c r="DC18" s="10"/>
      <c r="DF18" s="12"/>
      <c r="DI18" s="9"/>
      <c r="DJ18" s="10"/>
      <c r="DK18" s="10"/>
      <c r="DN18" s="12"/>
      <c r="DQ18" s="9"/>
      <c r="DR18" s="10"/>
      <c r="DS18" s="10"/>
      <c r="DV18" s="12"/>
      <c r="DY18" s="9"/>
      <c r="DZ18" s="10"/>
      <c r="EA18" s="10"/>
      <c r="ED18" s="12"/>
      <c r="EG18" s="9"/>
      <c r="EH18" s="10"/>
      <c r="EI18" s="10"/>
      <c r="EL18" s="12"/>
      <c r="EO18" s="9"/>
      <c r="EP18" s="10"/>
      <c r="EQ18" s="10"/>
      <c r="ET18" s="12"/>
      <c r="EW18" s="9"/>
      <c r="EX18" s="10"/>
      <c r="EY18" s="10"/>
      <c r="FB18" s="12"/>
      <c r="FE18" s="9"/>
      <c r="FF18" s="10"/>
      <c r="FG18" s="10"/>
      <c r="FJ18" s="12"/>
      <c r="FM18" s="9"/>
      <c r="FN18" s="10"/>
      <c r="FO18" s="10"/>
      <c r="FR18" s="12"/>
      <c r="FU18" s="9"/>
      <c r="FV18" s="10"/>
      <c r="FW18" s="10"/>
      <c r="FZ18" s="12"/>
      <c r="GC18" s="9"/>
      <c r="GD18" s="10"/>
      <c r="GE18" s="10"/>
      <c r="GH18" s="12"/>
      <c r="GK18" s="9"/>
      <c r="GL18" s="10"/>
      <c r="GM18" s="10"/>
      <c r="GP18" s="12"/>
      <c r="GS18" s="9"/>
      <c r="GT18" s="10"/>
      <c r="GU18" s="10"/>
      <c r="GX18" s="12"/>
      <c r="HA18" s="9"/>
      <c r="HB18" s="10"/>
      <c r="HC18" s="10"/>
      <c r="HF18" s="12"/>
      <c r="HI18" s="9"/>
      <c r="HJ18" s="10"/>
      <c r="HK18" s="10"/>
      <c r="HN18" s="12"/>
      <c r="HQ18" s="9"/>
      <c r="HR18" s="10"/>
      <c r="HS18" s="10"/>
      <c r="HV18" s="12"/>
      <c r="HY18" s="9"/>
      <c r="HZ18" s="10"/>
      <c r="IA18" s="10"/>
      <c r="ID18" s="12"/>
      <c r="IG18" s="9"/>
      <c r="IH18" s="10"/>
      <c r="II18" s="10"/>
      <c r="IL18" s="12"/>
      <c r="IO18" s="9"/>
      <c r="IP18" s="10"/>
      <c r="IQ18" s="10"/>
      <c r="IT18" s="12"/>
    </row>
    <row r="19" spans="1:254" s="11" customFormat="1" ht="108">
      <c r="A19" s="2">
        <v>75</v>
      </c>
      <c r="B19" s="35" t="s">
        <v>98</v>
      </c>
      <c r="C19" s="36" t="s">
        <v>103</v>
      </c>
      <c r="D19" s="35" t="str">
        <f t="shared" si="1"/>
        <v>Supply and Transportation of 3C X 90Sq mm  H.T. cable</v>
      </c>
      <c r="E19" s="37" t="s">
        <v>0</v>
      </c>
      <c r="F19" s="2">
        <v>1271.4000000000001</v>
      </c>
      <c r="G19" s="37" t="s">
        <v>13</v>
      </c>
      <c r="H19" s="39">
        <f t="shared" si="3"/>
        <v>95355</v>
      </c>
    </row>
    <row r="20" spans="1:254" s="11" customFormat="1" ht="108">
      <c r="A20" s="2">
        <v>110</v>
      </c>
      <c r="B20" s="35" t="s">
        <v>92</v>
      </c>
      <c r="C20" s="36" t="s">
        <v>103</v>
      </c>
      <c r="D20" s="35" t="str">
        <f t="shared" si="1"/>
        <v>Supply and transportation of  400 sqmm X 3.5 core XPLE Aluminium 1100v grade UG cable</v>
      </c>
      <c r="E20" s="37" t="s">
        <v>0</v>
      </c>
      <c r="F20" s="2">
        <v>2823.3</v>
      </c>
      <c r="G20" s="37" t="s">
        <v>13</v>
      </c>
      <c r="H20" s="38">
        <f t="shared" si="3"/>
        <v>310563</v>
      </c>
    </row>
    <row r="21" spans="1:254" s="11" customFormat="1" ht="108">
      <c r="A21" s="2">
        <v>30</v>
      </c>
      <c r="B21" s="35" t="s">
        <v>56</v>
      </c>
      <c r="C21" s="36" t="s">
        <v>103</v>
      </c>
      <c r="D21" s="35" t="str">
        <f t="shared" si="1"/>
        <v>supply and transportation of  10 sqmm X 4 core XPLE Aluminium 1100v grade UG cable</v>
      </c>
      <c r="E21" s="37" t="s">
        <v>0</v>
      </c>
      <c r="F21" s="2">
        <v>195.4</v>
      </c>
      <c r="G21" s="37" t="s">
        <v>13</v>
      </c>
      <c r="H21" s="38">
        <f t="shared" si="3"/>
        <v>5862</v>
      </c>
    </row>
    <row r="22" spans="1:254" s="11" customFormat="1" ht="108">
      <c r="A22" s="2">
        <v>100</v>
      </c>
      <c r="B22" s="35" t="s">
        <v>93</v>
      </c>
      <c r="C22" s="36" t="s">
        <v>103</v>
      </c>
      <c r="D22" s="35" t="str">
        <f t="shared" si="1"/>
        <v>Supply and transportation of  6 sqmm X 2 core Aluminium 1100v Grade UG cable</v>
      </c>
      <c r="E22" s="37" t="s">
        <v>0</v>
      </c>
      <c r="F22" s="2">
        <v>125</v>
      </c>
      <c r="G22" s="37" t="s">
        <v>13</v>
      </c>
      <c r="H22" s="38">
        <f t="shared" si="3"/>
        <v>12500</v>
      </c>
    </row>
    <row r="23" spans="1:254" s="11" customFormat="1" ht="108">
      <c r="A23" s="2">
        <v>110</v>
      </c>
      <c r="B23" s="35" t="s">
        <v>57</v>
      </c>
      <c r="C23" s="36" t="s">
        <v>103</v>
      </c>
      <c r="D23" s="35" t="str">
        <f t="shared" si="1"/>
        <v>Labour charges for UG cable Run in existing pipe/trench above 50 sq mm</v>
      </c>
      <c r="E23" s="37" t="s">
        <v>0</v>
      </c>
      <c r="F23" s="2">
        <v>47.4</v>
      </c>
      <c r="G23" s="37" t="s">
        <v>13</v>
      </c>
      <c r="H23" s="38">
        <f t="shared" si="3"/>
        <v>5214</v>
      </c>
    </row>
    <row r="24" spans="1:254" s="11" customFormat="1" ht="108">
      <c r="A24" s="2">
        <v>100</v>
      </c>
      <c r="B24" s="35" t="s">
        <v>58</v>
      </c>
      <c r="C24" s="36" t="s">
        <v>103</v>
      </c>
      <c r="D24" s="35" t="str">
        <f t="shared" si="1"/>
        <v>Labour charges for UG cable Run in existing pipe/trench up to 50 sq mm</v>
      </c>
      <c r="E24" s="37" t="s">
        <v>0</v>
      </c>
      <c r="F24" s="2">
        <v>47.4</v>
      </c>
      <c r="G24" s="37" t="s">
        <v>13</v>
      </c>
      <c r="H24" s="38">
        <f t="shared" si="3"/>
        <v>4740</v>
      </c>
    </row>
    <row r="25" spans="1:254" s="11" customFormat="1" ht="108">
      <c r="A25" s="2">
        <v>30</v>
      </c>
      <c r="B25" s="35" t="s">
        <v>59</v>
      </c>
      <c r="C25" s="36" t="s">
        <v>103</v>
      </c>
      <c r="D25" s="35" t="str">
        <f t="shared" si="1"/>
        <v>Labour charges forUG cable Run on wall up to 50 sqmm</v>
      </c>
      <c r="E25" s="37" t="s">
        <v>0</v>
      </c>
      <c r="F25" s="2">
        <v>65.7</v>
      </c>
      <c r="G25" s="37" t="s">
        <v>13</v>
      </c>
      <c r="H25" s="38">
        <f>ROUND((A25*F25),0)</f>
        <v>1971</v>
      </c>
      <c r="I25" s="9"/>
      <c r="J25" s="10"/>
      <c r="K25" s="10"/>
      <c r="N25" s="12"/>
      <c r="Q25" s="9"/>
      <c r="R25" s="10"/>
      <c r="S25" s="10"/>
      <c r="V25" s="12"/>
      <c r="Y25" s="9"/>
      <c r="Z25" s="10"/>
      <c r="AA25" s="10"/>
      <c r="AD25" s="12"/>
      <c r="AG25" s="9"/>
      <c r="AH25" s="10"/>
      <c r="AI25" s="10"/>
      <c r="AL25" s="12"/>
      <c r="AO25" s="9"/>
      <c r="AP25" s="10"/>
      <c r="AQ25" s="10"/>
      <c r="AT25" s="12"/>
      <c r="AW25" s="9"/>
      <c r="AX25" s="10"/>
      <c r="AY25" s="10"/>
      <c r="BB25" s="12"/>
      <c r="BE25" s="9"/>
      <c r="BF25" s="10"/>
      <c r="BG25" s="10"/>
      <c r="BJ25" s="12"/>
      <c r="BM25" s="9"/>
      <c r="BN25" s="10"/>
      <c r="BO25" s="10"/>
      <c r="BR25" s="12"/>
      <c r="BU25" s="9"/>
      <c r="BV25" s="10"/>
      <c r="BW25" s="10"/>
      <c r="BZ25" s="12"/>
      <c r="CC25" s="9"/>
      <c r="CD25" s="10"/>
      <c r="CE25" s="10"/>
      <c r="CH25" s="12"/>
      <c r="CK25" s="9"/>
      <c r="CL25" s="10"/>
      <c r="CM25" s="10"/>
      <c r="CP25" s="12"/>
      <c r="CS25" s="9"/>
      <c r="CT25" s="10"/>
      <c r="CU25" s="10"/>
      <c r="CX25" s="12"/>
      <c r="DA25" s="9"/>
      <c r="DB25" s="10"/>
      <c r="DC25" s="10"/>
      <c r="DF25" s="12"/>
      <c r="DI25" s="9"/>
      <c r="DJ25" s="10"/>
      <c r="DK25" s="10"/>
      <c r="DN25" s="12"/>
      <c r="DQ25" s="9"/>
      <c r="DR25" s="10"/>
      <c r="DS25" s="10"/>
      <c r="DV25" s="12"/>
      <c r="DY25" s="9"/>
      <c r="DZ25" s="10"/>
      <c r="EA25" s="10"/>
      <c r="ED25" s="12"/>
      <c r="EG25" s="9"/>
      <c r="EH25" s="10"/>
      <c r="EI25" s="10"/>
      <c r="EL25" s="12"/>
      <c r="EO25" s="9"/>
      <c r="EP25" s="10"/>
      <c r="EQ25" s="10"/>
      <c r="ET25" s="12"/>
      <c r="EW25" s="9"/>
      <c r="EX25" s="10"/>
      <c r="EY25" s="10"/>
      <c r="FB25" s="12"/>
      <c r="FE25" s="9"/>
      <c r="FF25" s="10"/>
      <c r="FG25" s="10"/>
      <c r="FJ25" s="12"/>
      <c r="FM25" s="9"/>
      <c r="FN25" s="10"/>
      <c r="FO25" s="10"/>
      <c r="FR25" s="12"/>
      <c r="FU25" s="9"/>
      <c r="FV25" s="10"/>
      <c r="FW25" s="10"/>
      <c r="FZ25" s="12"/>
      <c r="GC25" s="9"/>
      <c r="GD25" s="10"/>
      <c r="GE25" s="10"/>
      <c r="GH25" s="12"/>
      <c r="GK25" s="9"/>
      <c r="GL25" s="10"/>
      <c r="GM25" s="10"/>
      <c r="GP25" s="12"/>
      <c r="GS25" s="9"/>
      <c r="GT25" s="10"/>
      <c r="GU25" s="10"/>
      <c r="GX25" s="12"/>
      <c r="HA25" s="9"/>
      <c r="HB25" s="10"/>
      <c r="HC25" s="10"/>
      <c r="HF25" s="12"/>
      <c r="HI25" s="9"/>
      <c r="HJ25" s="10"/>
      <c r="HK25" s="10"/>
      <c r="HN25" s="12"/>
      <c r="HQ25" s="9"/>
      <c r="HR25" s="10"/>
      <c r="HS25" s="10"/>
      <c r="HV25" s="12"/>
      <c r="HY25" s="9"/>
      <c r="HZ25" s="10"/>
      <c r="IA25" s="10"/>
      <c r="ID25" s="12"/>
      <c r="IG25" s="9"/>
      <c r="IH25" s="10"/>
      <c r="II25" s="10"/>
      <c r="IL25" s="12"/>
      <c r="IO25" s="9"/>
      <c r="IP25" s="10"/>
      <c r="IQ25" s="10"/>
      <c r="IT25" s="12"/>
    </row>
    <row r="26" spans="1:254" s="11" customFormat="1" ht="108">
      <c r="A26" s="2">
        <v>2</v>
      </c>
      <c r="B26" s="35" t="s">
        <v>60</v>
      </c>
      <c r="C26" s="36" t="s">
        <v>103</v>
      </c>
      <c r="D26" s="35" t="str">
        <f t="shared" si="1"/>
        <v xml:space="preserve">Supply and making one end termination with 3.5 core x 400 sq.mm  </v>
      </c>
      <c r="E26" s="37" t="s">
        <v>0</v>
      </c>
      <c r="F26" s="2">
        <v>3299.4</v>
      </c>
      <c r="G26" s="37" t="s">
        <v>15</v>
      </c>
      <c r="H26" s="38">
        <f>ROUND((A26*F26),0)</f>
        <v>6599</v>
      </c>
    </row>
    <row r="27" spans="1:254" s="11" customFormat="1" ht="108">
      <c r="A27" s="2">
        <v>30</v>
      </c>
      <c r="B27" s="35" t="s">
        <v>61</v>
      </c>
      <c r="C27" s="36" t="s">
        <v>103</v>
      </c>
      <c r="D27" s="35" t="str">
        <f t="shared" si="1"/>
        <v>Supply and laying of 50mm X 6mm copper flat</v>
      </c>
      <c r="E27" s="37" t="s">
        <v>0</v>
      </c>
      <c r="F27" s="2">
        <v>2794.9</v>
      </c>
      <c r="G27" s="37" t="s">
        <v>13</v>
      </c>
      <c r="H27" s="38">
        <f>ROUND((A27*F27),0)</f>
        <v>83847</v>
      </c>
    </row>
    <row r="28" spans="1:254" s="11" customFormat="1" ht="108">
      <c r="A28" s="2">
        <v>125</v>
      </c>
      <c r="B28" s="35" t="s">
        <v>62</v>
      </c>
      <c r="C28" s="36" t="s">
        <v>103</v>
      </c>
      <c r="D28" s="35" t="str">
        <f t="shared" si="1"/>
        <v>Supply and laying of 50mm X 6mm GI flat</v>
      </c>
      <c r="E28" s="37" t="s">
        <v>0</v>
      </c>
      <c r="F28" s="2">
        <v>236.3</v>
      </c>
      <c r="G28" s="37" t="s">
        <v>13</v>
      </c>
      <c r="H28" s="38">
        <f t="shared" ref="H28" si="4">ROUND((A28*F28),0)</f>
        <v>29538</v>
      </c>
    </row>
    <row r="29" spans="1:254" s="11" customFormat="1" ht="108">
      <c r="A29" s="2">
        <v>25</v>
      </c>
      <c r="B29" s="35" t="s">
        <v>63</v>
      </c>
      <c r="C29" s="36" t="s">
        <v>103</v>
      </c>
      <c r="D29" s="35" t="str">
        <f t="shared" si="1"/>
        <v>Supply and laying of No.8 SWG GI wire</v>
      </c>
      <c r="E29" s="37" t="s">
        <v>0</v>
      </c>
      <c r="F29" s="2">
        <v>11.4</v>
      </c>
      <c r="G29" s="37" t="s">
        <v>13</v>
      </c>
      <c r="H29" s="38">
        <f>ROUND((A29*F29),0)</f>
        <v>285</v>
      </c>
      <c r="I29" s="9"/>
      <c r="J29" s="10"/>
      <c r="K29" s="10"/>
      <c r="N29" s="12"/>
      <c r="Q29" s="9"/>
      <c r="R29" s="10"/>
      <c r="S29" s="10"/>
      <c r="V29" s="12"/>
      <c r="Y29" s="9"/>
      <c r="Z29" s="10"/>
      <c r="AA29" s="10"/>
      <c r="AD29" s="12"/>
      <c r="AG29" s="9"/>
      <c r="AH29" s="10"/>
      <c r="AI29" s="10"/>
      <c r="AL29" s="12"/>
      <c r="AO29" s="9"/>
      <c r="AP29" s="10"/>
      <c r="AQ29" s="10"/>
      <c r="AT29" s="12"/>
      <c r="AW29" s="9"/>
      <c r="AX29" s="10"/>
      <c r="AY29" s="10"/>
      <c r="BB29" s="12"/>
      <c r="BE29" s="9"/>
      <c r="BF29" s="10"/>
      <c r="BG29" s="10"/>
      <c r="BJ29" s="12"/>
      <c r="BM29" s="9"/>
      <c r="BN29" s="10"/>
      <c r="BO29" s="10"/>
      <c r="BR29" s="12"/>
      <c r="BU29" s="9"/>
      <c r="BV29" s="10"/>
      <c r="BW29" s="10"/>
      <c r="BZ29" s="12"/>
      <c r="CC29" s="9"/>
      <c r="CD29" s="10"/>
      <c r="CE29" s="10"/>
      <c r="CH29" s="12"/>
      <c r="CK29" s="9"/>
      <c r="CL29" s="10"/>
      <c r="CM29" s="10"/>
      <c r="CP29" s="12"/>
      <c r="CS29" s="9"/>
      <c r="CT29" s="10"/>
      <c r="CU29" s="10"/>
      <c r="CX29" s="12"/>
      <c r="DA29" s="9"/>
      <c r="DB29" s="10"/>
      <c r="DC29" s="10"/>
      <c r="DF29" s="12"/>
      <c r="DI29" s="9"/>
      <c r="DJ29" s="10"/>
      <c r="DK29" s="10"/>
      <c r="DN29" s="12"/>
      <c r="DQ29" s="9"/>
      <c r="DR29" s="10"/>
      <c r="DS29" s="10"/>
      <c r="DV29" s="12"/>
      <c r="DY29" s="9"/>
      <c r="DZ29" s="10"/>
      <c r="EA29" s="10"/>
      <c r="ED29" s="12"/>
      <c r="EG29" s="9"/>
      <c r="EH29" s="10"/>
      <c r="EI29" s="10"/>
      <c r="EL29" s="12"/>
      <c r="EO29" s="9"/>
      <c r="EP29" s="10"/>
      <c r="EQ29" s="10"/>
      <c r="ET29" s="12"/>
      <c r="EW29" s="9"/>
      <c r="EX29" s="10"/>
      <c r="EY29" s="10"/>
      <c r="FB29" s="12"/>
      <c r="FE29" s="9"/>
      <c r="FF29" s="10"/>
      <c r="FG29" s="10"/>
      <c r="FJ29" s="12"/>
      <c r="FM29" s="9"/>
      <c r="FN29" s="10"/>
      <c r="FO29" s="10"/>
      <c r="FR29" s="12"/>
      <c r="FU29" s="9"/>
      <c r="FV29" s="10"/>
      <c r="FW29" s="10"/>
      <c r="FZ29" s="12"/>
      <c r="GC29" s="9"/>
      <c r="GD29" s="10"/>
      <c r="GE29" s="10"/>
      <c r="GH29" s="12"/>
      <c r="GK29" s="9"/>
      <c r="GL29" s="10"/>
      <c r="GM29" s="10"/>
      <c r="GP29" s="12"/>
      <c r="GS29" s="9"/>
      <c r="GT29" s="10"/>
      <c r="GU29" s="10"/>
      <c r="GX29" s="12"/>
      <c r="HA29" s="9"/>
      <c r="HB29" s="10"/>
      <c r="HC29" s="10"/>
      <c r="HF29" s="12"/>
      <c r="HI29" s="9"/>
      <c r="HJ29" s="10"/>
      <c r="HK29" s="10"/>
      <c r="HN29" s="12"/>
      <c r="HQ29" s="9"/>
      <c r="HR29" s="10"/>
      <c r="HS29" s="10"/>
      <c r="HV29" s="12"/>
      <c r="HY29" s="9"/>
      <c r="HZ29" s="10"/>
      <c r="IA29" s="10"/>
      <c r="ID29" s="12"/>
      <c r="IG29" s="9"/>
      <c r="IH29" s="10"/>
      <c r="II29" s="10"/>
      <c r="IL29" s="12"/>
      <c r="IO29" s="9"/>
      <c r="IP29" s="10"/>
      <c r="IQ29" s="10"/>
      <c r="IT29" s="12"/>
    </row>
    <row r="30" spans="1:254" s="11" customFormat="1" ht="108">
      <c r="A30" s="2">
        <v>24</v>
      </c>
      <c r="B30" s="35" t="s">
        <v>64</v>
      </c>
      <c r="C30" s="36" t="s">
        <v>103</v>
      </c>
      <c r="D30" s="35" t="str">
        <f t="shared" si="1"/>
        <v>Supply and laying of  25mm X 3mm copper strip</v>
      </c>
      <c r="E30" s="37" t="s">
        <v>0</v>
      </c>
      <c r="F30" s="2">
        <v>690.8</v>
      </c>
      <c r="G30" s="37" t="s">
        <v>13</v>
      </c>
      <c r="H30" s="38">
        <f>ROUND((A30*F30),0)</f>
        <v>16579</v>
      </c>
      <c r="I30" s="9"/>
      <c r="J30" s="10"/>
      <c r="K30" s="10"/>
      <c r="N30" s="12"/>
      <c r="Q30" s="9"/>
      <c r="R30" s="10"/>
      <c r="S30" s="10"/>
      <c r="V30" s="12"/>
      <c r="Y30" s="9"/>
      <c r="Z30" s="10"/>
      <c r="AA30" s="10"/>
      <c r="AD30" s="12"/>
      <c r="AG30" s="9"/>
      <c r="AH30" s="10"/>
      <c r="AI30" s="10"/>
      <c r="AL30" s="12"/>
      <c r="AO30" s="9"/>
      <c r="AP30" s="10"/>
      <c r="AQ30" s="10"/>
      <c r="AT30" s="12"/>
      <c r="AW30" s="9"/>
      <c r="AX30" s="10"/>
      <c r="AY30" s="10"/>
      <c r="BB30" s="12"/>
      <c r="BE30" s="9"/>
      <c r="BF30" s="10"/>
      <c r="BG30" s="10"/>
      <c r="BJ30" s="12"/>
      <c r="BM30" s="9"/>
      <c r="BN30" s="10"/>
      <c r="BO30" s="10"/>
      <c r="BR30" s="12"/>
      <c r="BU30" s="9"/>
      <c r="BV30" s="10"/>
      <c r="BW30" s="10"/>
      <c r="BZ30" s="12"/>
      <c r="CC30" s="9"/>
      <c r="CD30" s="10"/>
      <c r="CE30" s="10"/>
      <c r="CH30" s="12"/>
      <c r="CK30" s="9"/>
      <c r="CL30" s="10"/>
      <c r="CM30" s="10"/>
      <c r="CP30" s="12"/>
      <c r="CS30" s="9"/>
      <c r="CT30" s="10"/>
      <c r="CU30" s="10"/>
      <c r="CX30" s="12"/>
      <c r="DA30" s="9"/>
      <c r="DB30" s="10"/>
      <c r="DC30" s="10"/>
      <c r="DF30" s="12"/>
      <c r="DI30" s="9"/>
      <c r="DJ30" s="10"/>
      <c r="DK30" s="10"/>
      <c r="DN30" s="12"/>
      <c r="DQ30" s="9"/>
      <c r="DR30" s="10"/>
      <c r="DS30" s="10"/>
      <c r="DV30" s="12"/>
      <c r="DY30" s="9"/>
      <c r="DZ30" s="10"/>
      <c r="EA30" s="10"/>
      <c r="ED30" s="12"/>
      <c r="EG30" s="9"/>
      <c r="EH30" s="10"/>
      <c r="EI30" s="10"/>
      <c r="EL30" s="12"/>
      <c r="EO30" s="9"/>
      <c r="EP30" s="10"/>
      <c r="EQ30" s="10"/>
      <c r="ET30" s="12"/>
      <c r="EW30" s="9"/>
      <c r="EX30" s="10"/>
      <c r="EY30" s="10"/>
      <c r="FB30" s="12"/>
      <c r="FE30" s="9"/>
      <c r="FF30" s="10"/>
      <c r="FG30" s="10"/>
      <c r="FJ30" s="12"/>
      <c r="FM30" s="9"/>
      <c r="FN30" s="10"/>
      <c r="FO30" s="10"/>
      <c r="FR30" s="12"/>
      <c r="FU30" s="9"/>
      <c r="FV30" s="10"/>
      <c r="FW30" s="10"/>
      <c r="FZ30" s="12"/>
      <c r="GC30" s="9"/>
      <c r="GD30" s="10"/>
      <c r="GE30" s="10"/>
      <c r="GH30" s="12"/>
      <c r="GK30" s="9"/>
      <c r="GL30" s="10"/>
      <c r="GM30" s="10"/>
      <c r="GP30" s="12"/>
      <c r="GS30" s="9"/>
      <c r="GT30" s="10"/>
      <c r="GU30" s="10"/>
      <c r="GX30" s="12"/>
      <c r="HA30" s="9"/>
      <c r="HB30" s="10"/>
      <c r="HC30" s="10"/>
      <c r="HF30" s="12"/>
      <c r="HI30" s="9"/>
      <c r="HJ30" s="10"/>
      <c r="HK30" s="10"/>
      <c r="HN30" s="12"/>
      <c r="HQ30" s="9"/>
      <c r="HR30" s="10"/>
      <c r="HS30" s="10"/>
      <c r="HV30" s="12"/>
      <c r="HY30" s="9"/>
      <c r="HZ30" s="10"/>
      <c r="IA30" s="10"/>
      <c r="ID30" s="12"/>
      <c r="IG30" s="9"/>
      <c r="IH30" s="10"/>
      <c r="II30" s="10"/>
      <c r="IL30" s="12"/>
      <c r="IO30" s="9"/>
      <c r="IP30" s="10"/>
      <c r="IQ30" s="10"/>
      <c r="IT30" s="12"/>
    </row>
    <row r="31" spans="1:254" s="11" customFormat="1" ht="108">
      <c r="A31" s="2">
        <v>4</v>
      </c>
      <c r="B31" s="35" t="s">
        <v>65</v>
      </c>
      <c r="C31" s="36" t="s">
        <v>103</v>
      </c>
      <c r="D31" s="35" t="str">
        <f t="shared" si="1"/>
        <v>Providing independent earthing for sophisticated Electronic equipment with 600mm X 600mm X 3.15 mm thick copper plate</v>
      </c>
      <c r="E31" s="37" t="s">
        <v>0</v>
      </c>
      <c r="F31" s="2">
        <v>18398.599999999999</v>
      </c>
      <c r="G31" s="37" t="s">
        <v>15</v>
      </c>
      <c r="H31" s="38">
        <f t="shared" ref="H31:H36" si="5">ROUND((A31*F31),0)</f>
        <v>73594</v>
      </c>
      <c r="I31" s="9"/>
      <c r="J31" s="10"/>
      <c r="K31" s="10"/>
      <c r="N31" s="12"/>
      <c r="Q31" s="9"/>
      <c r="R31" s="10"/>
      <c r="S31" s="10"/>
      <c r="V31" s="12"/>
      <c r="Y31" s="9"/>
      <c r="Z31" s="10"/>
      <c r="AA31" s="10"/>
      <c r="AD31" s="12"/>
      <c r="AG31" s="9"/>
      <c r="AH31" s="10"/>
      <c r="AI31" s="10"/>
      <c r="AL31" s="12"/>
      <c r="AO31" s="9"/>
      <c r="AP31" s="10"/>
      <c r="AQ31" s="10"/>
      <c r="AT31" s="12"/>
      <c r="AW31" s="9"/>
      <c r="AX31" s="10"/>
      <c r="AY31" s="10"/>
      <c r="BB31" s="12"/>
      <c r="BE31" s="9"/>
      <c r="BF31" s="10"/>
      <c r="BG31" s="10"/>
      <c r="BJ31" s="12"/>
      <c r="BM31" s="9"/>
      <c r="BN31" s="10"/>
      <c r="BO31" s="10"/>
      <c r="BR31" s="12"/>
      <c r="BU31" s="9"/>
      <c r="BV31" s="10"/>
      <c r="BW31" s="10"/>
      <c r="BZ31" s="12"/>
      <c r="CC31" s="9"/>
      <c r="CD31" s="10"/>
      <c r="CE31" s="10"/>
      <c r="CH31" s="12"/>
      <c r="CK31" s="9"/>
      <c r="CL31" s="10"/>
      <c r="CM31" s="10"/>
      <c r="CP31" s="12"/>
      <c r="CS31" s="9"/>
      <c r="CT31" s="10"/>
      <c r="CU31" s="10"/>
      <c r="CX31" s="12"/>
      <c r="DA31" s="9"/>
      <c r="DB31" s="10"/>
      <c r="DC31" s="10"/>
      <c r="DF31" s="12"/>
      <c r="DI31" s="9"/>
      <c r="DJ31" s="10"/>
      <c r="DK31" s="10"/>
      <c r="DN31" s="12"/>
      <c r="DQ31" s="9"/>
      <c r="DR31" s="10"/>
      <c r="DS31" s="10"/>
      <c r="DV31" s="12"/>
      <c r="DY31" s="9"/>
      <c r="DZ31" s="10"/>
      <c r="EA31" s="10"/>
      <c r="ED31" s="12"/>
      <c r="EG31" s="9"/>
      <c r="EH31" s="10"/>
      <c r="EI31" s="10"/>
      <c r="EL31" s="12"/>
      <c r="EO31" s="9"/>
      <c r="EP31" s="10"/>
      <c r="EQ31" s="10"/>
      <c r="ET31" s="12"/>
      <c r="EW31" s="9"/>
      <c r="EX31" s="10"/>
      <c r="EY31" s="10"/>
      <c r="FB31" s="12"/>
      <c r="FE31" s="9"/>
      <c r="FF31" s="10"/>
      <c r="FG31" s="10"/>
      <c r="FJ31" s="12"/>
      <c r="FM31" s="9"/>
      <c r="FN31" s="10"/>
      <c r="FO31" s="10"/>
      <c r="FR31" s="12"/>
      <c r="FU31" s="9"/>
      <c r="FV31" s="10"/>
      <c r="FW31" s="10"/>
      <c r="FZ31" s="12"/>
      <c r="GC31" s="9"/>
      <c r="GD31" s="10"/>
      <c r="GE31" s="10"/>
      <c r="GH31" s="12"/>
      <c r="GK31" s="9"/>
      <c r="GL31" s="10"/>
      <c r="GM31" s="10"/>
      <c r="GP31" s="12"/>
      <c r="GS31" s="9"/>
      <c r="GT31" s="10"/>
      <c r="GU31" s="10"/>
      <c r="GX31" s="12"/>
      <c r="HA31" s="9"/>
      <c r="HB31" s="10"/>
      <c r="HC31" s="10"/>
      <c r="HF31" s="12"/>
      <c r="HI31" s="9"/>
      <c r="HJ31" s="10"/>
      <c r="HK31" s="10"/>
      <c r="HN31" s="12"/>
      <c r="HQ31" s="9"/>
      <c r="HR31" s="10"/>
      <c r="HS31" s="10"/>
      <c r="HV31" s="12"/>
      <c r="HY31" s="9"/>
      <c r="HZ31" s="10"/>
      <c r="IA31" s="10"/>
      <c r="ID31" s="12"/>
      <c r="IG31" s="9"/>
      <c r="IH31" s="10"/>
      <c r="II31" s="10"/>
      <c r="IL31" s="12"/>
      <c r="IO31" s="9"/>
      <c r="IP31" s="10"/>
      <c r="IQ31" s="10"/>
      <c r="IT31" s="12"/>
    </row>
    <row r="32" spans="1:254" s="11" customFormat="1" ht="108">
      <c r="A32" s="2">
        <v>10</v>
      </c>
      <c r="B32" s="35" t="s">
        <v>66</v>
      </c>
      <c r="C32" s="36" t="s">
        <v>103</v>
      </c>
      <c r="D32" s="35" t="str">
        <f t="shared" si="1"/>
        <v>Providing independent earthing for Important equipment with 100mm dia Heavy gauge C.I ( Cast iron ) pipe</v>
      </c>
      <c r="E32" s="37" t="s">
        <v>0</v>
      </c>
      <c r="F32" s="2">
        <v>10310.6</v>
      </c>
      <c r="G32" s="37" t="s">
        <v>15</v>
      </c>
      <c r="H32" s="39">
        <f t="shared" si="5"/>
        <v>103106</v>
      </c>
    </row>
    <row r="33" spans="1:254" s="11" customFormat="1" ht="108">
      <c r="A33" s="2">
        <v>3</v>
      </c>
      <c r="B33" s="35" t="s">
        <v>17</v>
      </c>
      <c r="C33" s="36" t="s">
        <v>103</v>
      </c>
      <c r="D33" s="35" t="str">
        <f t="shared" si="1"/>
        <v>Providing floor mounting stand for keeping 4 No of fire Bucket</v>
      </c>
      <c r="E33" s="37" t="s">
        <v>0</v>
      </c>
      <c r="F33" s="2">
        <v>1512.2</v>
      </c>
      <c r="G33" s="37" t="s">
        <v>15</v>
      </c>
      <c r="H33" s="39">
        <f t="shared" si="5"/>
        <v>4537</v>
      </c>
    </row>
    <row r="34" spans="1:254" s="11" customFormat="1" ht="108">
      <c r="A34" s="2">
        <v>12</v>
      </c>
      <c r="B34" s="35" t="s">
        <v>18</v>
      </c>
      <c r="C34" s="36" t="s">
        <v>103</v>
      </c>
      <c r="D34" s="35" t="str">
        <f t="shared" si="1"/>
        <v xml:space="preserve">Supply of round bottom GI sheet bucket of 9Ltrs capacity </v>
      </c>
      <c r="E34" s="37" t="s">
        <v>0</v>
      </c>
      <c r="F34" s="2">
        <v>371.5</v>
      </c>
      <c r="G34" s="37" t="s">
        <v>15</v>
      </c>
      <c r="H34" s="38">
        <f t="shared" si="5"/>
        <v>4458</v>
      </c>
    </row>
    <row r="35" spans="1:254" s="11" customFormat="1" ht="108">
      <c r="A35" s="2">
        <v>5</v>
      </c>
      <c r="B35" s="35" t="s">
        <v>67</v>
      </c>
      <c r="C35" s="36" t="s">
        <v>103</v>
      </c>
      <c r="D35" s="35" t="str">
        <f t="shared" si="1"/>
        <v xml:space="preserve">Supply and fixing of Co2 type fire Exitinguishers 4.5 Kg Capacity </v>
      </c>
      <c r="E35" s="37" t="s">
        <v>0</v>
      </c>
      <c r="F35" s="2">
        <v>13838.3</v>
      </c>
      <c r="G35" s="37" t="s">
        <v>13</v>
      </c>
      <c r="H35" s="38">
        <f t="shared" si="5"/>
        <v>69192</v>
      </c>
    </row>
    <row r="36" spans="1:254" s="11" customFormat="1" ht="129" customHeight="1">
      <c r="A36" s="2">
        <v>6</v>
      </c>
      <c r="B36" s="35" t="s">
        <v>95</v>
      </c>
      <c r="C36" s="36" t="s">
        <v>103</v>
      </c>
      <c r="D36" s="35" t="str">
        <f t="shared" si="1"/>
        <v>Supply and fixing of Shock instruction chart in English/Hindi/ Telugu duly framed with front glass</v>
      </c>
      <c r="E36" s="37" t="s">
        <v>0</v>
      </c>
      <c r="F36" s="2">
        <v>662.4</v>
      </c>
      <c r="G36" s="37" t="s">
        <v>15</v>
      </c>
      <c r="H36" s="38">
        <f t="shared" si="5"/>
        <v>3974</v>
      </c>
    </row>
    <row r="37" spans="1:254" s="11" customFormat="1" ht="108">
      <c r="A37" s="2">
        <v>8</v>
      </c>
      <c r="B37" s="35" t="s">
        <v>19</v>
      </c>
      <c r="C37" s="36" t="s">
        <v>103</v>
      </c>
      <c r="D37" s="35" t="str">
        <f t="shared" si="1"/>
        <v xml:space="preserve">Supply and fixing of cable root indicators of size 152 mm round/ 102mm X 102mm / 152mm x 152mm </v>
      </c>
      <c r="E37" s="37" t="s">
        <v>0</v>
      </c>
      <c r="F37" s="2">
        <v>125</v>
      </c>
      <c r="G37" s="37" t="s">
        <v>15</v>
      </c>
      <c r="H37" s="38">
        <f>ROUND((A37*F37),0)</f>
        <v>1000</v>
      </c>
    </row>
    <row r="38" spans="1:254" s="11" customFormat="1" ht="108">
      <c r="A38" s="2">
        <v>6</v>
      </c>
      <c r="B38" s="35" t="s">
        <v>20</v>
      </c>
      <c r="C38" s="36" t="s">
        <v>103</v>
      </c>
      <c r="D38" s="35" t="str">
        <f t="shared" si="1"/>
        <v>Supply and fixing of Danger Notice plate size of 250 X 200mm</v>
      </c>
      <c r="E38" s="37" t="s">
        <v>0</v>
      </c>
      <c r="F38" s="2">
        <v>331.8</v>
      </c>
      <c r="G38" s="37" t="s">
        <v>15</v>
      </c>
      <c r="H38" s="38">
        <f>ROUND((A38*F38),0)</f>
        <v>1991</v>
      </c>
    </row>
    <row r="39" spans="1:254" s="11" customFormat="1" ht="111" customHeight="1">
      <c r="A39" s="2">
        <v>2</v>
      </c>
      <c r="B39" s="35" t="s">
        <v>68</v>
      </c>
      <c r="C39" s="36" t="s">
        <v>103</v>
      </c>
      <c r="D39" s="35" t="str">
        <f t="shared" si="1"/>
        <v>Supply of 11 KV/22KV hand gloves</v>
      </c>
      <c r="E39" s="37" t="s">
        <v>0</v>
      </c>
      <c r="F39" s="2">
        <v>294.3</v>
      </c>
      <c r="G39" s="37" t="s">
        <v>15</v>
      </c>
      <c r="H39" s="38">
        <f>ROUND((A39*F39),0)</f>
        <v>589</v>
      </c>
    </row>
    <row r="40" spans="1:254" s="11" customFormat="1" ht="108">
      <c r="A40" s="2">
        <v>5</v>
      </c>
      <c r="B40" s="35" t="s">
        <v>21</v>
      </c>
      <c r="C40" s="36" t="s">
        <v>103</v>
      </c>
      <c r="D40" s="35" t="str">
        <f t="shared" si="1"/>
        <v xml:space="preserve">Supply and run of 25 mm dia 'B' Class GI pipe   </v>
      </c>
      <c r="E40" s="37" t="s">
        <v>0</v>
      </c>
      <c r="F40" s="40">
        <v>413.6</v>
      </c>
      <c r="G40" s="37" t="s">
        <v>13</v>
      </c>
      <c r="H40" s="38">
        <f>ROUND((A40*F40),0)</f>
        <v>2068</v>
      </c>
    </row>
    <row r="41" spans="1:254" s="11" customFormat="1" ht="108">
      <c r="A41" s="2">
        <v>5</v>
      </c>
      <c r="B41" s="35" t="s">
        <v>22</v>
      </c>
      <c r="C41" s="36" t="s">
        <v>103</v>
      </c>
      <c r="D41" s="35" t="str">
        <f t="shared" si="1"/>
        <v xml:space="preserve">Supply and run of 40 mm dia 'B' Class GI pipe   </v>
      </c>
      <c r="E41" s="37" t="s">
        <v>0</v>
      </c>
      <c r="F41" s="2">
        <v>568</v>
      </c>
      <c r="G41" s="37" t="s">
        <v>13</v>
      </c>
      <c r="H41" s="38">
        <f>ROUND((A41*F41),0)</f>
        <v>2840</v>
      </c>
    </row>
    <row r="42" spans="1:254" s="11" customFormat="1" ht="108">
      <c r="A42" s="2">
        <v>24</v>
      </c>
      <c r="B42" s="35" t="s">
        <v>23</v>
      </c>
      <c r="C42" s="36" t="s">
        <v>103</v>
      </c>
      <c r="D42" s="35" t="str">
        <f t="shared" si="1"/>
        <v xml:space="preserve">Supply and run of 65 mm dia 'B' Class GI pipe   </v>
      </c>
      <c r="E42" s="37" t="s">
        <v>0</v>
      </c>
      <c r="F42" s="2">
        <v>850</v>
      </c>
      <c r="G42" s="37" t="s">
        <v>13</v>
      </c>
      <c r="H42" s="38">
        <f t="shared" ref="H42" si="6">ROUND((A42*F42),0)</f>
        <v>20400</v>
      </c>
    </row>
    <row r="43" spans="1:254" s="11" customFormat="1" ht="108">
      <c r="A43" s="2">
        <v>15</v>
      </c>
      <c r="B43" s="35" t="s">
        <v>24</v>
      </c>
      <c r="C43" s="36" t="s">
        <v>103</v>
      </c>
      <c r="D43" s="35" t="str">
        <f t="shared" si="1"/>
        <v xml:space="preserve">Supply and run of 2 of 4.0 sq mm copper wire </v>
      </c>
      <c r="E43" s="37" t="s">
        <v>0</v>
      </c>
      <c r="F43" s="2">
        <v>162.1</v>
      </c>
      <c r="G43" s="37" t="s">
        <v>13</v>
      </c>
      <c r="H43" s="38">
        <f>ROUND((A43*F43),0)</f>
        <v>2432</v>
      </c>
      <c r="I43" s="9"/>
      <c r="J43" s="10"/>
      <c r="K43" s="10"/>
      <c r="N43" s="12"/>
      <c r="Q43" s="9"/>
      <c r="R43" s="10"/>
      <c r="S43" s="10"/>
      <c r="V43" s="12"/>
      <c r="Y43" s="9"/>
      <c r="Z43" s="10"/>
      <c r="AA43" s="10"/>
      <c r="AD43" s="12"/>
      <c r="AG43" s="9"/>
      <c r="AH43" s="10"/>
      <c r="AI43" s="10"/>
      <c r="AL43" s="12"/>
      <c r="AO43" s="9"/>
      <c r="AP43" s="10"/>
      <c r="AQ43" s="10"/>
      <c r="AT43" s="12"/>
      <c r="AW43" s="9"/>
      <c r="AX43" s="10"/>
      <c r="AY43" s="10"/>
      <c r="BB43" s="12"/>
      <c r="BE43" s="9"/>
      <c r="BF43" s="10"/>
      <c r="BG43" s="10"/>
      <c r="BJ43" s="12"/>
      <c r="BM43" s="9"/>
      <c r="BN43" s="10"/>
      <c r="BO43" s="10"/>
      <c r="BR43" s="12"/>
      <c r="BU43" s="9"/>
      <c r="BV43" s="10"/>
      <c r="BW43" s="10"/>
      <c r="BZ43" s="12"/>
      <c r="CC43" s="9"/>
      <c r="CD43" s="10"/>
      <c r="CE43" s="10"/>
      <c r="CH43" s="12"/>
      <c r="CK43" s="9"/>
      <c r="CL43" s="10"/>
      <c r="CM43" s="10"/>
      <c r="CP43" s="12"/>
      <c r="CS43" s="9"/>
      <c r="CT43" s="10"/>
      <c r="CU43" s="10"/>
      <c r="CX43" s="12"/>
      <c r="DA43" s="9"/>
      <c r="DB43" s="10"/>
      <c r="DC43" s="10"/>
      <c r="DF43" s="12"/>
      <c r="DI43" s="9"/>
      <c r="DJ43" s="10"/>
      <c r="DK43" s="10"/>
      <c r="DN43" s="12"/>
      <c r="DQ43" s="9"/>
      <c r="DR43" s="10"/>
      <c r="DS43" s="10"/>
      <c r="DV43" s="12"/>
      <c r="DY43" s="9"/>
      <c r="DZ43" s="10"/>
      <c r="EA43" s="10"/>
      <c r="ED43" s="12"/>
      <c r="EG43" s="9"/>
      <c r="EH43" s="10"/>
      <c r="EI43" s="10"/>
      <c r="EL43" s="12"/>
      <c r="EO43" s="9"/>
      <c r="EP43" s="10"/>
      <c r="EQ43" s="10"/>
      <c r="ET43" s="12"/>
      <c r="EW43" s="9"/>
      <c r="EX43" s="10"/>
      <c r="EY43" s="10"/>
      <c r="FB43" s="12"/>
      <c r="FE43" s="9"/>
      <c r="FF43" s="10"/>
      <c r="FG43" s="10"/>
      <c r="FJ43" s="12"/>
      <c r="FM43" s="9"/>
      <c r="FN43" s="10"/>
      <c r="FO43" s="10"/>
      <c r="FR43" s="12"/>
      <c r="FU43" s="9"/>
      <c r="FV43" s="10"/>
      <c r="FW43" s="10"/>
      <c r="FZ43" s="12"/>
      <c r="GC43" s="9"/>
      <c r="GD43" s="10"/>
      <c r="GE43" s="10"/>
      <c r="GH43" s="12"/>
      <c r="GK43" s="9"/>
      <c r="GL43" s="10"/>
      <c r="GM43" s="10"/>
      <c r="GP43" s="12"/>
      <c r="GS43" s="9"/>
      <c r="GT43" s="10"/>
      <c r="GU43" s="10"/>
      <c r="GX43" s="12"/>
      <c r="HA43" s="9"/>
      <c r="HB43" s="10"/>
      <c r="HC43" s="10"/>
      <c r="HF43" s="12"/>
      <c r="HI43" s="9"/>
      <c r="HJ43" s="10"/>
      <c r="HK43" s="10"/>
      <c r="HN43" s="12"/>
      <c r="HQ43" s="9"/>
      <c r="HR43" s="10"/>
      <c r="HS43" s="10"/>
      <c r="HV43" s="12"/>
      <c r="HY43" s="9"/>
      <c r="HZ43" s="10"/>
      <c r="IA43" s="10"/>
      <c r="ID43" s="12"/>
      <c r="IG43" s="9"/>
      <c r="IH43" s="10"/>
      <c r="II43" s="10"/>
      <c r="IL43" s="12"/>
      <c r="IO43" s="9"/>
      <c r="IP43" s="10"/>
      <c r="IQ43" s="10"/>
      <c r="IT43" s="12"/>
    </row>
    <row r="44" spans="1:254" s="11" customFormat="1" ht="108">
      <c r="A44" s="2">
        <v>5</v>
      </c>
      <c r="B44" s="35" t="s">
        <v>25</v>
      </c>
      <c r="C44" s="36" t="s">
        <v>103</v>
      </c>
      <c r="D44" s="35" t="str">
        <f t="shared" si="1"/>
        <v xml:space="preserve">Supply and run of 2 of 6.0 sqmm copper wire   </v>
      </c>
      <c r="E44" s="37" t="s">
        <v>0</v>
      </c>
      <c r="F44" s="2">
        <v>222.9</v>
      </c>
      <c r="G44" s="37" t="s">
        <v>13</v>
      </c>
      <c r="H44" s="38">
        <f t="shared" ref="H44:H54" si="7">ROUND((A44*F44),0)</f>
        <v>1115</v>
      </c>
      <c r="I44" s="9"/>
      <c r="J44" s="10"/>
      <c r="K44" s="10"/>
      <c r="N44" s="12"/>
      <c r="Q44" s="9"/>
      <c r="R44" s="10"/>
      <c r="S44" s="10"/>
      <c r="V44" s="12"/>
      <c r="Y44" s="9"/>
      <c r="Z44" s="10"/>
      <c r="AA44" s="10"/>
      <c r="AD44" s="12"/>
      <c r="AG44" s="9"/>
      <c r="AH44" s="10"/>
      <c r="AI44" s="10"/>
      <c r="AL44" s="12"/>
      <c r="AO44" s="9"/>
      <c r="AP44" s="10"/>
      <c r="AQ44" s="10"/>
      <c r="AT44" s="12"/>
      <c r="AW44" s="9"/>
      <c r="AX44" s="10"/>
      <c r="AY44" s="10"/>
      <c r="BB44" s="12"/>
      <c r="BE44" s="9"/>
      <c r="BF44" s="10"/>
      <c r="BG44" s="10"/>
      <c r="BJ44" s="12"/>
      <c r="BM44" s="9"/>
      <c r="BN44" s="10"/>
      <c r="BO44" s="10"/>
      <c r="BR44" s="12"/>
      <c r="BU44" s="9"/>
      <c r="BV44" s="10"/>
      <c r="BW44" s="10"/>
      <c r="BZ44" s="12"/>
      <c r="CC44" s="9"/>
      <c r="CD44" s="10"/>
      <c r="CE44" s="10"/>
      <c r="CH44" s="12"/>
      <c r="CK44" s="9"/>
      <c r="CL44" s="10"/>
      <c r="CM44" s="10"/>
      <c r="CP44" s="12"/>
      <c r="CS44" s="9"/>
      <c r="CT44" s="10"/>
      <c r="CU44" s="10"/>
      <c r="CX44" s="12"/>
      <c r="DA44" s="9"/>
      <c r="DB44" s="10"/>
      <c r="DC44" s="10"/>
      <c r="DF44" s="12"/>
      <c r="DI44" s="9"/>
      <c r="DJ44" s="10"/>
      <c r="DK44" s="10"/>
      <c r="DN44" s="12"/>
      <c r="DQ44" s="9"/>
      <c r="DR44" s="10"/>
      <c r="DS44" s="10"/>
      <c r="DV44" s="12"/>
      <c r="DY44" s="9"/>
      <c r="DZ44" s="10"/>
      <c r="EA44" s="10"/>
      <c r="ED44" s="12"/>
      <c r="EG44" s="9"/>
      <c r="EH44" s="10"/>
      <c r="EI44" s="10"/>
      <c r="EL44" s="12"/>
      <c r="EO44" s="9"/>
      <c r="EP44" s="10"/>
      <c r="EQ44" s="10"/>
      <c r="ET44" s="12"/>
      <c r="EW44" s="9"/>
      <c r="EX44" s="10"/>
      <c r="EY44" s="10"/>
      <c r="FB44" s="12"/>
      <c r="FE44" s="9"/>
      <c r="FF44" s="10"/>
      <c r="FG44" s="10"/>
      <c r="FJ44" s="12"/>
      <c r="FM44" s="9"/>
      <c r="FN44" s="10"/>
      <c r="FO44" s="10"/>
      <c r="FR44" s="12"/>
      <c r="FU44" s="9"/>
      <c r="FV44" s="10"/>
      <c r="FW44" s="10"/>
      <c r="FZ44" s="12"/>
      <c r="GC44" s="9"/>
      <c r="GD44" s="10"/>
      <c r="GE44" s="10"/>
      <c r="GH44" s="12"/>
      <c r="GK44" s="9"/>
      <c r="GL44" s="10"/>
      <c r="GM44" s="10"/>
      <c r="GP44" s="12"/>
      <c r="GS44" s="9"/>
      <c r="GT44" s="10"/>
      <c r="GU44" s="10"/>
      <c r="GX44" s="12"/>
      <c r="HA44" s="9"/>
      <c r="HB44" s="10"/>
      <c r="HC44" s="10"/>
      <c r="HF44" s="12"/>
      <c r="HI44" s="9"/>
      <c r="HJ44" s="10"/>
      <c r="HK44" s="10"/>
      <c r="HN44" s="12"/>
      <c r="HQ44" s="9"/>
      <c r="HR44" s="10"/>
      <c r="HS44" s="10"/>
      <c r="HV44" s="12"/>
      <c r="HY44" s="9"/>
      <c r="HZ44" s="10"/>
      <c r="IA44" s="10"/>
      <c r="ID44" s="12"/>
      <c r="IG44" s="9"/>
      <c r="IH44" s="10"/>
      <c r="II44" s="10"/>
      <c r="IL44" s="12"/>
      <c r="IO44" s="9"/>
      <c r="IP44" s="10"/>
      <c r="IQ44" s="10"/>
      <c r="IT44" s="12"/>
    </row>
    <row r="45" spans="1:254" s="11" customFormat="1" ht="108">
      <c r="A45" s="2">
        <v>75</v>
      </c>
      <c r="B45" s="35" t="s">
        <v>69</v>
      </c>
      <c r="C45" s="36" t="s">
        <v>103</v>
      </c>
      <c r="D45" s="35" t="str">
        <f t="shared" si="1"/>
        <v xml:space="preserve">Supply and run of 2 of 1.0 sqmm copper wire   </v>
      </c>
      <c r="E45" s="37" t="s">
        <v>0</v>
      </c>
      <c r="F45" s="2">
        <v>64</v>
      </c>
      <c r="G45" s="37" t="s">
        <v>13</v>
      </c>
      <c r="H45" s="38">
        <f t="shared" si="7"/>
        <v>4800</v>
      </c>
      <c r="I45" s="9"/>
      <c r="J45" s="10"/>
      <c r="K45" s="10"/>
      <c r="N45" s="12"/>
      <c r="Q45" s="9"/>
      <c r="R45" s="10"/>
      <c r="S45" s="10"/>
      <c r="V45" s="12"/>
      <c r="Y45" s="9"/>
      <c r="Z45" s="10"/>
      <c r="AA45" s="10"/>
      <c r="AD45" s="12"/>
      <c r="AG45" s="9"/>
      <c r="AH45" s="10"/>
      <c r="AI45" s="10"/>
      <c r="AL45" s="12"/>
      <c r="AO45" s="9"/>
      <c r="AP45" s="10"/>
      <c r="AQ45" s="10"/>
      <c r="AT45" s="12"/>
      <c r="AW45" s="9"/>
      <c r="AX45" s="10"/>
      <c r="AY45" s="10"/>
      <c r="BB45" s="12"/>
      <c r="BE45" s="9"/>
      <c r="BF45" s="10"/>
      <c r="BG45" s="10"/>
      <c r="BJ45" s="12"/>
      <c r="BM45" s="9"/>
      <c r="BN45" s="10"/>
      <c r="BO45" s="10"/>
      <c r="BR45" s="12"/>
      <c r="BU45" s="9"/>
      <c r="BV45" s="10"/>
      <c r="BW45" s="10"/>
      <c r="BZ45" s="12"/>
      <c r="CC45" s="9"/>
      <c r="CD45" s="10"/>
      <c r="CE45" s="10"/>
      <c r="CH45" s="12"/>
      <c r="CK45" s="9"/>
      <c r="CL45" s="10"/>
      <c r="CM45" s="10"/>
      <c r="CP45" s="12"/>
      <c r="CS45" s="9"/>
      <c r="CT45" s="10"/>
      <c r="CU45" s="10"/>
      <c r="CX45" s="12"/>
      <c r="DA45" s="9"/>
      <c r="DB45" s="10"/>
      <c r="DC45" s="10"/>
      <c r="DF45" s="12"/>
      <c r="DI45" s="9"/>
      <c r="DJ45" s="10"/>
      <c r="DK45" s="10"/>
      <c r="DN45" s="12"/>
      <c r="DQ45" s="9"/>
      <c r="DR45" s="10"/>
      <c r="DS45" s="10"/>
      <c r="DV45" s="12"/>
      <c r="DY45" s="9"/>
      <c r="DZ45" s="10"/>
      <c r="EA45" s="10"/>
      <c r="ED45" s="12"/>
      <c r="EG45" s="9"/>
      <c r="EH45" s="10"/>
      <c r="EI45" s="10"/>
      <c r="EL45" s="12"/>
      <c r="EO45" s="9"/>
      <c r="EP45" s="10"/>
      <c r="EQ45" s="10"/>
      <c r="ET45" s="12"/>
      <c r="EW45" s="9"/>
      <c r="EX45" s="10"/>
      <c r="EY45" s="10"/>
      <c r="FB45" s="12"/>
      <c r="FE45" s="9"/>
      <c r="FF45" s="10"/>
      <c r="FG45" s="10"/>
      <c r="FJ45" s="12"/>
      <c r="FM45" s="9"/>
      <c r="FN45" s="10"/>
      <c r="FO45" s="10"/>
      <c r="FR45" s="12"/>
      <c r="FU45" s="9"/>
      <c r="FV45" s="10"/>
      <c r="FW45" s="10"/>
      <c r="FZ45" s="12"/>
      <c r="GC45" s="9"/>
      <c r="GD45" s="10"/>
      <c r="GE45" s="10"/>
      <c r="GH45" s="12"/>
      <c r="GK45" s="9"/>
      <c r="GL45" s="10"/>
      <c r="GM45" s="10"/>
      <c r="GP45" s="12"/>
      <c r="GS45" s="9"/>
      <c r="GT45" s="10"/>
      <c r="GU45" s="10"/>
      <c r="GX45" s="12"/>
      <c r="HA45" s="9"/>
      <c r="HB45" s="10"/>
      <c r="HC45" s="10"/>
      <c r="HF45" s="12"/>
      <c r="HI45" s="9"/>
      <c r="HJ45" s="10"/>
      <c r="HK45" s="10"/>
      <c r="HN45" s="12"/>
      <c r="HQ45" s="9"/>
      <c r="HR45" s="10"/>
      <c r="HS45" s="10"/>
      <c r="HV45" s="12"/>
      <c r="HY45" s="9"/>
      <c r="HZ45" s="10"/>
      <c r="IA45" s="10"/>
      <c r="ID45" s="12"/>
      <c r="IG45" s="9"/>
      <c r="IH45" s="10"/>
      <c r="II45" s="10"/>
      <c r="IL45" s="12"/>
      <c r="IO45" s="9"/>
      <c r="IP45" s="10"/>
      <c r="IQ45" s="10"/>
      <c r="IT45" s="12"/>
    </row>
    <row r="46" spans="1:254" s="11" customFormat="1" ht="108">
      <c r="A46" s="2">
        <v>10</v>
      </c>
      <c r="B46" s="35" t="s">
        <v>70</v>
      </c>
      <c r="C46" s="36" t="s">
        <v>103</v>
      </c>
      <c r="D46" s="35" t="str">
        <f t="shared" si="1"/>
        <v xml:space="preserve">Supply and run of 2 of 2.5 sqmm copper wire   </v>
      </c>
      <c r="E46" s="37" t="s">
        <v>0</v>
      </c>
      <c r="F46" s="2">
        <v>106.8</v>
      </c>
      <c r="G46" s="37" t="s">
        <v>13</v>
      </c>
      <c r="H46" s="38">
        <f t="shared" si="7"/>
        <v>1068</v>
      </c>
      <c r="I46" s="9"/>
      <c r="J46" s="10"/>
      <c r="K46" s="10"/>
      <c r="N46" s="12"/>
      <c r="Q46" s="9"/>
      <c r="R46" s="10"/>
      <c r="S46" s="10"/>
      <c r="V46" s="12"/>
      <c r="Y46" s="9"/>
      <c r="Z46" s="10"/>
      <c r="AA46" s="10"/>
      <c r="AD46" s="12"/>
      <c r="AG46" s="9"/>
      <c r="AH46" s="10"/>
      <c r="AI46" s="10"/>
      <c r="AL46" s="12"/>
      <c r="AO46" s="9"/>
      <c r="AP46" s="10"/>
      <c r="AQ46" s="10"/>
      <c r="AT46" s="12"/>
      <c r="AW46" s="9"/>
      <c r="AX46" s="10"/>
      <c r="AY46" s="10"/>
      <c r="BB46" s="12"/>
      <c r="BE46" s="9"/>
      <c r="BF46" s="10"/>
      <c r="BG46" s="10"/>
      <c r="BJ46" s="12"/>
      <c r="BM46" s="9"/>
      <c r="BN46" s="10"/>
      <c r="BO46" s="10"/>
      <c r="BR46" s="12"/>
      <c r="BU46" s="9"/>
      <c r="BV46" s="10"/>
      <c r="BW46" s="10"/>
      <c r="BZ46" s="12"/>
      <c r="CC46" s="9"/>
      <c r="CD46" s="10"/>
      <c r="CE46" s="10"/>
      <c r="CH46" s="12"/>
      <c r="CK46" s="9"/>
      <c r="CL46" s="10"/>
      <c r="CM46" s="10"/>
      <c r="CP46" s="12"/>
      <c r="CS46" s="9"/>
      <c r="CT46" s="10"/>
      <c r="CU46" s="10"/>
      <c r="CX46" s="12"/>
      <c r="DA46" s="9"/>
      <c r="DB46" s="10"/>
      <c r="DC46" s="10"/>
      <c r="DF46" s="12"/>
      <c r="DI46" s="9"/>
      <c r="DJ46" s="10"/>
      <c r="DK46" s="10"/>
      <c r="DN46" s="12"/>
      <c r="DQ46" s="9"/>
      <c r="DR46" s="10"/>
      <c r="DS46" s="10"/>
      <c r="DV46" s="12"/>
      <c r="DY46" s="9"/>
      <c r="DZ46" s="10"/>
      <c r="EA46" s="10"/>
      <c r="ED46" s="12"/>
      <c r="EG46" s="9"/>
      <c r="EH46" s="10"/>
      <c r="EI46" s="10"/>
      <c r="EL46" s="12"/>
      <c r="EO46" s="9"/>
      <c r="EP46" s="10"/>
      <c r="EQ46" s="10"/>
      <c r="ET46" s="12"/>
      <c r="EW46" s="9"/>
      <c r="EX46" s="10"/>
      <c r="EY46" s="10"/>
      <c r="FB46" s="12"/>
      <c r="FE46" s="9"/>
      <c r="FF46" s="10"/>
      <c r="FG46" s="10"/>
      <c r="FJ46" s="12"/>
      <c r="FM46" s="9"/>
      <c r="FN46" s="10"/>
      <c r="FO46" s="10"/>
      <c r="FR46" s="12"/>
      <c r="FU46" s="9"/>
      <c r="FV46" s="10"/>
      <c r="FW46" s="10"/>
      <c r="FZ46" s="12"/>
      <c r="GC46" s="9"/>
      <c r="GD46" s="10"/>
      <c r="GE46" s="10"/>
      <c r="GH46" s="12"/>
      <c r="GK46" s="9"/>
      <c r="GL46" s="10"/>
      <c r="GM46" s="10"/>
      <c r="GP46" s="12"/>
      <c r="GS46" s="9"/>
      <c r="GT46" s="10"/>
      <c r="GU46" s="10"/>
      <c r="GX46" s="12"/>
      <c r="HA46" s="9"/>
      <c r="HB46" s="10"/>
      <c r="HC46" s="10"/>
      <c r="HF46" s="12"/>
      <c r="HI46" s="9"/>
      <c r="HJ46" s="10"/>
      <c r="HK46" s="10"/>
      <c r="HN46" s="12"/>
      <c r="HQ46" s="9"/>
      <c r="HR46" s="10"/>
      <c r="HS46" s="10"/>
      <c r="HV46" s="12"/>
      <c r="HY46" s="9"/>
      <c r="HZ46" s="10"/>
      <c r="IA46" s="10"/>
      <c r="ID46" s="12"/>
      <c r="IG46" s="9"/>
      <c r="IH46" s="10"/>
      <c r="II46" s="10"/>
      <c r="IL46" s="12"/>
      <c r="IO46" s="9"/>
      <c r="IP46" s="10"/>
      <c r="IQ46" s="10"/>
      <c r="IT46" s="12"/>
    </row>
    <row r="47" spans="1:254" s="11" customFormat="1" ht="108">
      <c r="A47" s="2">
        <v>10</v>
      </c>
      <c r="B47" s="35" t="s">
        <v>71</v>
      </c>
      <c r="C47" s="36" t="s">
        <v>103</v>
      </c>
      <c r="D47" s="35" t="str">
        <f t="shared" si="1"/>
        <v xml:space="preserve">Supply and run of 1 of 2.5 sqmm copper wire   </v>
      </c>
      <c r="E47" s="37" t="s">
        <v>0</v>
      </c>
      <c r="F47" s="2">
        <v>53.5</v>
      </c>
      <c r="G47" s="37" t="s">
        <v>13</v>
      </c>
      <c r="H47" s="38">
        <f t="shared" si="7"/>
        <v>535</v>
      </c>
      <c r="I47" s="9"/>
      <c r="J47" s="10"/>
      <c r="K47" s="10"/>
      <c r="N47" s="12"/>
      <c r="Q47" s="9"/>
      <c r="R47" s="10"/>
      <c r="S47" s="10"/>
      <c r="V47" s="12"/>
      <c r="Y47" s="9"/>
      <c r="Z47" s="10"/>
      <c r="AA47" s="10"/>
      <c r="AD47" s="12"/>
      <c r="AG47" s="9"/>
      <c r="AH47" s="10"/>
      <c r="AI47" s="10"/>
      <c r="AL47" s="12"/>
      <c r="AO47" s="9"/>
      <c r="AP47" s="10"/>
      <c r="AQ47" s="10"/>
      <c r="AT47" s="12"/>
      <c r="AW47" s="9"/>
      <c r="AX47" s="10"/>
      <c r="AY47" s="10"/>
      <c r="BB47" s="12"/>
      <c r="BE47" s="9"/>
      <c r="BF47" s="10"/>
      <c r="BG47" s="10"/>
      <c r="BJ47" s="12"/>
      <c r="BM47" s="9"/>
      <c r="BN47" s="10"/>
      <c r="BO47" s="10"/>
      <c r="BR47" s="12"/>
      <c r="BU47" s="9"/>
      <c r="BV47" s="10"/>
      <c r="BW47" s="10"/>
      <c r="BZ47" s="12"/>
      <c r="CC47" s="9"/>
      <c r="CD47" s="10"/>
      <c r="CE47" s="10"/>
      <c r="CH47" s="12"/>
      <c r="CK47" s="9"/>
      <c r="CL47" s="10"/>
      <c r="CM47" s="10"/>
      <c r="CP47" s="12"/>
      <c r="CS47" s="9"/>
      <c r="CT47" s="10"/>
      <c r="CU47" s="10"/>
      <c r="CX47" s="12"/>
      <c r="DA47" s="9"/>
      <c r="DB47" s="10"/>
      <c r="DC47" s="10"/>
      <c r="DF47" s="12"/>
      <c r="DI47" s="9"/>
      <c r="DJ47" s="10"/>
      <c r="DK47" s="10"/>
      <c r="DN47" s="12"/>
      <c r="DQ47" s="9"/>
      <c r="DR47" s="10"/>
      <c r="DS47" s="10"/>
      <c r="DV47" s="12"/>
      <c r="DY47" s="9"/>
      <c r="DZ47" s="10"/>
      <c r="EA47" s="10"/>
      <c r="ED47" s="12"/>
      <c r="EG47" s="9"/>
      <c r="EH47" s="10"/>
      <c r="EI47" s="10"/>
      <c r="EL47" s="12"/>
      <c r="EO47" s="9"/>
      <c r="EP47" s="10"/>
      <c r="EQ47" s="10"/>
      <c r="ET47" s="12"/>
      <c r="EW47" s="9"/>
      <c r="EX47" s="10"/>
      <c r="EY47" s="10"/>
      <c r="FB47" s="12"/>
      <c r="FE47" s="9"/>
      <c r="FF47" s="10"/>
      <c r="FG47" s="10"/>
      <c r="FJ47" s="12"/>
      <c r="FM47" s="9"/>
      <c r="FN47" s="10"/>
      <c r="FO47" s="10"/>
      <c r="FR47" s="12"/>
      <c r="FU47" s="9"/>
      <c r="FV47" s="10"/>
      <c r="FW47" s="10"/>
      <c r="FZ47" s="12"/>
      <c r="GC47" s="9"/>
      <c r="GD47" s="10"/>
      <c r="GE47" s="10"/>
      <c r="GH47" s="12"/>
      <c r="GK47" s="9"/>
      <c r="GL47" s="10"/>
      <c r="GM47" s="10"/>
      <c r="GP47" s="12"/>
      <c r="GS47" s="9"/>
      <c r="GT47" s="10"/>
      <c r="GU47" s="10"/>
      <c r="GX47" s="12"/>
      <c r="HA47" s="9"/>
      <c r="HB47" s="10"/>
      <c r="HC47" s="10"/>
      <c r="HF47" s="12"/>
      <c r="HI47" s="9"/>
      <c r="HJ47" s="10"/>
      <c r="HK47" s="10"/>
      <c r="HN47" s="12"/>
      <c r="HQ47" s="9"/>
      <c r="HR47" s="10"/>
      <c r="HS47" s="10"/>
      <c r="HV47" s="12"/>
      <c r="HY47" s="9"/>
      <c r="HZ47" s="10"/>
      <c r="IA47" s="10"/>
      <c r="ID47" s="12"/>
      <c r="IG47" s="9"/>
      <c r="IH47" s="10"/>
      <c r="II47" s="10"/>
      <c r="IL47" s="12"/>
      <c r="IO47" s="9"/>
      <c r="IP47" s="10"/>
      <c r="IQ47" s="10"/>
      <c r="IT47" s="12"/>
    </row>
    <row r="48" spans="1:254" s="11" customFormat="1" ht="108">
      <c r="A48" s="2">
        <v>25</v>
      </c>
      <c r="B48" s="35" t="s">
        <v>26</v>
      </c>
      <c r="C48" s="36" t="s">
        <v>103</v>
      </c>
      <c r="D48" s="35" t="str">
        <f t="shared" si="1"/>
        <v>Supply and Fixing of  63mm outer dia, 2.10 - 2.30 mm thickes Surface PVC conduit pipe</v>
      </c>
      <c r="E48" s="37" t="s">
        <v>0</v>
      </c>
      <c r="F48" s="2">
        <v>206.1</v>
      </c>
      <c r="G48" s="37" t="s">
        <v>13</v>
      </c>
      <c r="H48" s="39">
        <f t="shared" si="7"/>
        <v>5153</v>
      </c>
    </row>
    <row r="49" spans="1:254" s="11" customFormat="1" ht="108">
      <c r="A49" s="2">
        <v>75</v>
      </c>
      <c r="B49" s="35" t="s">
        <v>27</v>
      </c>
      <c r="C49" s="36" t="s">
        <v>103</v>
      </c>
      <c r="D49" s="35" t="str">
        <f t="shared" si="1"/>
        <v xml:space="preserve">Supply and Fixing of 20mm outer dia,1.40-1.55 mm thickness, Surface PVCconduit pipe </v>
      </c>
      <c r="E49" s="37" t="s">
        <v>0</v>
      </c>
      <c r="F49" s="2">
        <v>111</v>
      </c>
      <c r="G49" s="37" t="s">
        <v>13</v>
      </c>
      <c r="H49" s="38">
        <f t="shared" si="7"/>
        <v>8325</v>
      </c>
    </row>
    <row r="50" spans="1:254" s="11" customFormat="1" ht="108">
      <c r="A50" s="2">
        <v>100</v>
      </c>
      <c r="B50" s="35" t="s">
        <v>72</v>
      </c>
      <c r="C50" s="36" t="s">
        <v>103</v>
      </c>
      <c r="D50" s="35" t="str">
        <f t="shared" si="1"/>
        <v>supply and fixing of outer dia 50mm and inner dia 38mm HDPE pipe</v>
      </c>
      <c r="E50" s="37" t="s">
        <v>0</v>
      </c>
      <c r="F50" s="2">
        <v>187.5</v>
      </c>
      <c r="G50" s="37" t="s">
        <v>13</v>
      </c>
      <c r="H50" s="38">
        <f t="shared" si="7"/>
        <v>18750</v>
      </c>
    </row>
    <row r="51" spans="1:254" s="11" customFormat="1" ht="114.75" customHeight="1">
      <c r="A51" s="2">
        <v>30</v>
      </c>
      <c r="B51" s="35" t="s">
        <v>96</v>
      </c>
      <c r="C51" s="36" t="s">
        <v>103</v>
      </c>
      <c r="D51" s="35" t="str">
        <f t="shared" si="1"/>
        <v>supply and fixing of Outer dia 200mm and inner dia 170mm</v>
      </c>
      <c r="E51" s="37" t="s">
        <v>0</v>
      </c>
      <c r="F51" s="2">
        <v>876</v>
      </c>
      <c r="G51" s="37" t="s">
        <v>13</v>
      </c>
      <c r="H51" s="38">
        <f t="shared" si="7"/>
        <v>26280</v>
      </c>
    </row>
    <row r="52" spans="1:254" s="11" customFormat="1" ht="108">
      <c r="A52" s="2">
        <v>1</v>
      </c>
      <c r="B52" s="35" t="s">
        <v>28</v>
      </c>
      <c r="C52" s="36" t="s">
        <v>103</v>
      </c>
      <c r="D52" s="35" t="str">
        <f t="shared" si="1"/>
        <v xml:space="preserve">Supply and fixing of 4way TPNDB of IP-43(Vertical) </v>
      </c>
      <c r="E52" s="37" t="s">
        <v>0</v>
      </c>
      <c r="F52" s="2">
        <v>11355.8</v>
      </c>
      <c r="G52" s="37" t="s">
        <v>15</v>
      </c>
      <c r="H52" s="38">
        <f t="shared" si="7"/>
        <v>11356</v>
      </c>
    </row>
    <row r="53" spans="1:254" s="11" customFormat="1" ht="108">
      <c r="A53" s="2">
        <v>1</v>
      </c>
      <c r="B53" s="35" t="s">
        <v>29</v>
      </c>
      <c r="C53" s="36" t="s">
        <v>103</v>
      </c>
      <c r="D53" s="35" t="str">
        <f t="shared" si="1"/>
        <v xml:space="preserve">Supply and fixing of 40 Amps 4 Pole Isolater </v>
      </c>
      <c r="E53" s="37" t="s">
        <v>0</v>
      </c>
      <c r="F53" s="2">
        <v>1283.5</v>
      </c>
      <c r="G53" s="37" t="s">
        <v>15</v>
      </c>
      <c r="H53" s="38">
        <f t="shared" si="7"/>
        <v>1284</v>
      </c>
    </row>
    <row r="54" spans="1:254" s="11" customFormat="1" ht="108">
      <c r="A54" s="2">
        <v>6</v>
      </c>
      <c r="B54" s="35" t="s">
        <v>30</v>
      </c>
      <c r="C54" s="36" t="s">
        <v>103</v>
      </c>
      <c r="D54" s="35" t="str">
        <f t="shared" si="1"/>
        <v xml:space="preserve">Supply and fixing of 6 - 32 Amp SP MCB </v>
      </c>
      <c r="E54" s="37" t="s">
        <v>0</v>
      </c>
      <c r="F54" s="2">
        <v>354.9</v>
      </c>
      <c r="G54" s="37" t="s">
        <v>15</v>
      </c>
      <c r="H54" s="38">
        <f t="shared" si="7"/>
        <v>2129</v>
      </c>
    </row>
    <row r="55" spans="1:254" s="11" customFormat="1" ht="108">
      <c r="A55" s="2">
        <v>2</v>
      </c>
      <c r="B55" s="35" t="s">
        <v>31</v>
      </c>
      <c r="C55" s="36" t="s">
        <v>103</v>
      </c>
      <c r="D55" s="35" t="str">
        <f t="shared" si="1"/>
        <v xml:space="preserve">Supply and fixing of 6-32 Amp TP MCB C/D curve </v>
      </c>
      <c r="E55" s="37" t="s">
        <v>0</v>
      </c>
      <c r="F55" s="2">
        <v>1441.3</v>
      </c>
      <c r="G55" s="37" t="s">
        <v>15</v>
      </c>
      <c r="H55" s="38">
        <f>ROUND((A55*F55),0)</f>
        <v>2883</v>
      </c>
      <c r="I55" s="9"/>
      <c r="J55" s="10"/>
      <c r="K55" s="10"/>
      <c r="N55" s="12"/>
      <c r="Q55" s="9"/>
      <c r="R55" s="10"/>
      <c r="S55" s="10"/>
      <c r="V55" s="12"/>
      <c r="Y55" s="9"/>
      <c r="Z55" s="10"/>
      <c r="AA55" s="10"/>
      <c r="AD55" s="12"/>
      <c r="AG55" s="9"/>
      <c r="AH55" s="10"/>
      <c r="AI55" s="10"/>
      <c r="AL55" s="12"/>
      <c r="AO55" s="9"/>
      <c r="AP55" s="10"/>
      <c r="AQ55" s="10"/>
      <c r="AT55" s="12"/>
      <c r="AW55" s="9"/>
      <c r="AX55" s="10"/>
      <c r="AY55" s="10"/>
      <c r="BB55" s="12"/>
      <c r="BE55" s="9"/>
      <c r="BF55" s="10"/>
      <c r="BG55" s="10"/>
      <c r="BJ55" s="12"/>
      <c r="BM55" s="9"/>
      <c r="BN55" s="10"/>
      <c r="BO55" s="10"/>
      <c r="BR55" s="12"/>
      <c r="BU55" s="9"/>
      <c r="BV55" s="10"/>
      <c r="BW55" s="10"/>
      <c r="BZ55" s="12"/>
      <c r="CC55" s="9"/>
      <c r="CD55" s="10"/>
      <c r="CE55" s="10"/>
      <c r="CH55" s="12"/>
      <c r="CK55" s="9"/>
      <c r="CL55" s="10"/>
      <c r="CM55" s="10"/>
      <c r="CP55" s="12"/>
      <c r="CS55" s="9"/>
      <c r="CT55" s="10"/>
      <c r="CU55" s="10"/>
      <c r="CX55" s="12"/>
      <c r="DA55" s="9"/>
      <c r="DB55" s="10"/>
      <c r="DC55" s="10"/>
      <c r="DF55" s="12"/>
      <c r="DI55" s="9"/>
      <c r="DJ55" s="10"/>
      <c r="DK55" s="10"/>
      <c r="DN55" s="12"/>
      <c r="DQ55" s="9"/>
      <c r="DR55" s="10"/>
      <c r="DS55" s="10"/>
      <c r="DV55" s="12"/>
      <c r="DY55" s="9"/>
      <c r="DZ55" s="10"/>
      <c r="EA55" s="10"/>
      <c r="ED55" s="12"/>
      <c r="EG55" s="9"/>
      <c r="EH55" s="10"/>
      <c r="EI55" s="10"/>
      <c r="EL55" s="12"/>
      <c r="EO55" s="9"/>
      <c r="EP55" s="10"/>
      <c r="EQ55" s="10"/>
      <c r="ET55" s="12"/>
      <c r="EW55" s="9"/>
      <c r="EX55" s="10"/>
      <c r="EY55" s="10"/>
      <c r="FB55" s="12"/>
      <c r="FE55" s="9"/>
      <c r="FF55" s="10"/>
      <c r="FG55" s="10"/>
      <c r="FJ55" s="12"/>
      <c r="FM55" s="9"/>
      <c r="FN55" s="10"/>
      <c r="FO55" s="10"/>
      <c r="FR55" s="12"/>
      <c r="FU55" s="9"/>
      <c r="FV55" s="10"/>
      <c r="FW55" s="10"/>
      <c r="FZ55" s="12"/>
      <c r="GC55" s="9"/>
      <c r="GD55" s="10"/>
      <c r="GE55" s="10"/>
      <c r="GH55" s="12"/>
      <c r="GK55" s="9"/>
      <c r="GL55" s="10"/>
      <c r="GM55" s="10"/>
      <c r="GP55" s="12"/>
      <c r="GS55" s="9"/>
      <c r="GT55" s="10"/>
      <c r="GU55" s="10"/>
      <c r="GX55" s="12"/>
      <c r="HA55" s="9"/>
      <c r="HB55" s="10"/>
      <c r="HC55" s="10"/>
      <c r="HF55" s="12"/>
      <c r="HI55" s="9"/>
      <c r="HJ55" s="10"/>
      <c r="HK55" s="10"/>
      <c r="HN55" s="12"/>
      <c r="HQ55" s="9"/>
      <c r="HR55" s="10"/>
      <c r="HS55" s="10"/>
      <c r="HV55" s="12"/>
      <c r="HY55" s="9"/>
      <c r="HZ55" s="10"/>
      <c r="IA55" s="10"/>
      <c r="ID55" s="12"/>
      <c r="IG55" s="9"/>
      <c r="IH55" s="10"/>
      <c r="II55" s="10"/>
      <c r="IL55" s="12"/>
      <c r="IO55" s="9"/>
      <c r="IP55" s="10"/>
      <c r="IQ55" s="10"/>
      <c r="IT55" s="12"/>
    </row>
    <row r="56" spans="1:254" s="11" customFormat="1" ht="108">
      <c r="A56" s="2">
        <v>7</v>
      </c>
      <c r="B56" s="35" t="s">
        <v>32</v>
      </c>
      <c r="C56" s="36" t="s">
        <v>103</v>
      </c>
      <c r="D56" s="35" t="str">
        <f t="shared" si="1"/>
        <v xml:space="preserve">Supply, transportation and fixing of 90/100 LED Flood light </v>
      </c>
      <c r="E56" s="37" t="s">
        <v>0</v>
      </c>
      <c r="F56" s="2">
        <v>8654.1</v>
      </c>
      <c r="G56" s="37" t="s">
        <v>15</v>
      </c>
      <c r="H56" s="38">
        <f>ROUND((A56*F56),0)</f>
        <v>60579</v>
      </c>
    </row>
    <row r="57" spans="1:254" s="11" customFormat="1" ht="108">
      <c r="A57" s="2">
        <v>3</v>
      </c>
      <c r="B57" s="35" t="s">
        <v>73</v>
      </c>
      <c r="C57" s="36" t="s">
        <v>103</v>
      </c>
      <c r="D57" s="35" t="str">
        <f t="shared" si="1"/>
        <v>Supply, transportation and fixing of 90W LED Street Light Luminaire</v>
      </c>
      <c r="E57" s="37" t="s">
        <v>0</v>
      </c>
      <c r="F57" s="2">
        <v>8176.9</v>
      </c>
      <c r="G57" s="37" t="s">
        <v>15</v>
      </c>
      <c r="H57" s="38">
        <f>ROUND((A57*F57),0)</f>
        <v>24531</v>
      </c>
    </row>
    <row r="58" spans="1:254" s="11" customFormat="1" ht="108">
      <c r="A58" s="2">
        <v>2</v>
      </c>
      <c r="B58" s="35" t="s">
        <v>33</v>
      </c>
      <c r="C58" s="36" t="s">
        <v>103</v>
      </c>
      <c r="D58" s="35" t="str">
        <f t="shared" si="1"/>
        <v>Supply and fixing of 6''X8'' T.W board with 3mm thick hylam sheet</v>
      </c>
      <c r="E58" s="37" t="s">
        <v>0</v>
      </c>
      <c r="F58" s="2">
        <v>160.5</v>
      </c>
      <c r="G58" s="37" t="s">
        <v>15</v>
      </c>
      <c r="H58" s="38">
        <f>ROUND((A58*F58),0)</f>
        <v>321</v>
      </c>
    </row>
    <row r="59" spans="1:254" s="11" customFormat="1" ht="108">
      <c r="A59" s="2">
        <v>2</v>
      </c>
      <c r="B59" s="35" t="s">
        <v>34</v>
      </c>
      <c r="C59" s="36" t="s">
        <v>103</v>
      </c>
      <c r="D59" s="35" t="str">
        <f t="shared" si="1"/>
        <v xml:space="preserve">Supply and fixing of 6A, 3/2 pin flush type socket with shutter </v>
      </c>
      <c r="E59" s="37" t="s">
        <v>0</v>
      </c>
      <c r="F59" s="2">
        <v>186.4</v>
      </c>
      <c r="G59" s="37" t="s">
        <v>15</v>
      </c>
      <c r="H59" s="38">
        <f t="shared" ref="H59" si="8">ROUND((A59*F59),0)</f>
        <v>373</v>
      </c>
    </row>
    <row r="60" spans="1:254" s="11" customFormat="1" ht="108">
      <c r="A60" s="2">
        <v>2</v>
      </c>
      <c r="B60" s="35" t="s">
        <v>35</v>
      </c>
      <c r="C60" s="36" t="s">
        <v>103</v>
      </c>
      <c r="D60" s="35" t="str">
        <f t="shared" si="1"/>
        <v>Supply and fixing ISI marked of 32A, 240V DP Flush type switch</v>
      </c>
      <c r="E60" s="37" t="s">
        <v>0</v>
      </c>
      <c r="F60" s="2">
        <v>213.9</v>
      </c>
      <c r="G60" s="37" t="s">
        <v>15</v>
      </c>
      <c r="H60" s="38">
        <f>ROUND((A60*F60),0)</f>
        <v>428</v>
      </c>
      <c r="I60" s="9"/>
      <c r="J60" s="10"/>
      <c r="K60" s="10"/>
      <c r="N60" s="12"/>
      <c r="Q60" s="9"/>
      <c r="R60" s="10"/>
      <c r="S60" s="10"/>
      <c r="V60" s="12"/>
      <c r="Y60" s="9"/>
      <c r="Z60" s="10"/>
      <c r="AA60" s="10"/>
      <c r="AD60" s="12"/>
      <c r="AG60" s="9"/>
      <c r="AH60" s="10"/>
      <c r="AI60" s="10"/>
      <c r="AL60" s="12"/>
      <c r="AO60" s="9"/>
      <c r="AP60" s="10"/>
      <c r="AQ60" s="10"/>
      <c r="AT60" s="12"/>
      <c r="AW60" s="9"/>
      <c r="AX60" s="10"/>
      <c r="AY60" s="10"/>
      <c r="BB60" s="12"/>
      <c r="BE60" s="9"/>
      <c r="BF60" s="10"/>
      <c r="BG60" s="10"/>
      <c r="BJ60" s="12"/>
      <c r="BM60" s="9"/>
      <c r="BN60" s="10"/>
      <c r="BO60" s="10"/>
      <c r="BR60" s="12"/>
      <c r="BU60" s="9"/>
      <c r="BV60" s="10"/>
      <c r="BW60" s="10"/>
      <c r="BZ60" s="12"/>
      <c r="CC60" s="9"/>
      <c r="CD60" s="10"/>
      <c r="CE60" s="10"/>
      <c r="CH60" s="12"/>
      <c r="CK60" s="9"/>
      <c r="CL60" s="10"/>
      <c r="CM60" s="10"/>
      <c r="CP60" s="12"/>
      <c r="CS60" s="9"/>
      <c r="CT60" s="10"/>
      <c r="CU60" s="10"/>
      <c r="CX60" s="12"/>
      <c r="DA60" s="9"/>
      <c r="DB60" s="10"/>
      <c r="DC60" s="10"/>
      <c r="DF60" s="12"/>
      <c r="DI60" s="9"/>
      <c r="DJ60" s="10"/>
      <c r="DK60" s="10"/>
      <c r="DN60" s="12"/>
      <c r="DQ60" s="9"/>
      <c r="DR60" s="10"/>
      <c r="DS60" s="10"/>
      <c r="DV60" s="12"/>
      <c r="DY60" s="9"/>
      <c r="DZ60" s="10"/>
      <c r="EA60" s="10"/>
      <c r="ED60" s="12"/>
      <c r="EG60" s="9"/>
      <c r="EH60" s="10"/>
      <c r="EI60" s="10"/>
      <c r="EL60" s="12"/>
      <c r="EO60" s="9"/>
      <c r="EP60" s="10"/>
      <c r="EQ60" s="10"/>
      <c r="ET60" s="12"/>
      <c r="EW60" s="9"/>
      <c r="EX60" s="10"/>
      <c r="EY60" s="10"/>
      <c r="FB60" s="12"/>
      <c r="FE60" s="9"/>
      <c r="FF60" s="10"/>
      <c r="FG60" s="10"/>
      <c r="FJ60" s="12"/>
      <c r="FM60" s="9"/>
      <c r="FN60" s="10"/>
      <c r="FO60" s="10"/>
      <c r="FR60" s="12"/>
      <c r="FU60" s="9"/>
      <c r="FV60" s="10"/>
      <c r="FW60" s="10"/>
      <c r="FZ60" s="12"/>
      <c r="GC60" s="9"/>
      <c r="GD60" s="10"/>
      <c r="GE60" s="10"/>
      <c r="GH60" s="12"/>
      <c r="GK60" s="9"/>
      <c r="GL60" s="10"/>
      <c r="GM60" s="10"/>
      <c r="GP60" s="12"/>
      <c r="GS60" s="9"/>
      <c r="GT60" s="10"/>
      <c r="GU60" s="10"/>
      <c r="GX60" s="12"/>
      <c r="HA60" s="9"/>
      <c r="HB60" s="10"/>
      <c r="HC60" s="10"/>
      <c r="HF60" s="12"/>
      <c r="HI60" s="9"/>
      <c r="HJ60" s="10"/>
      <c r="HK60" s="10"/>
      <c r="HN60" s="12"/>
      <c r="HQ60" s="9"/>
      <c r="HR60" s="10"/>
      <c r="HS60" s="10"/>
      <c r="HV60" s="12"/>
      <c r="HY60" s="9"/>
      <c r="HZ60" s="10"/>
      <c r="IA60" s="10"/>
      <c r="ID60" s="12"/>
      <c r="IG60" s="9"/>
      <c r="IH60" s="10"/>
      <c r="II60" s="10"/>
      <c r="IL60" s="12"/>
      <c r="IO60" s="9"/>
      <c r="IP60" s="10"/>
      <c r="IQ60" s="10"/>
      <c r="IT60" s="12"/>
    </row>
    <row r="61" spans="1:254" s="11" customFormat="1" ht="108">
      <c r="A61" s="2">
        <v>20</v>
      </c>
      <c r="B61" s="35" t="s">
        <v>36</v>
      </c>
      <c r="C61" s="36" t="s">
        <v>103</v>
      </c>
      <c r="D61" s="35" t="str">
        <f t="shared" si="1"/>
        <v>Supply installation testing and commissioning of free standing floor mounted dust and vermin proof</v>
      </c>
      <c r="E61" s="37" t="s">
        <v>0</v>
      </c>
      <c r="F61" s="2">
        <v>6346.5</v>
      </c>
      <c r="G61" s="37" t="s">
        <v>12</v>
      </c>
      <c r="H61" s="38">
        <f t="shared" ref="H61:H84" si="9">ROUND((A61*F61),0)</f>
        <v>126930</v>
      </c>
      <c r="I61" s="9"/>
      <c r="J61" s="10"/>
      <c r="K61" s="10"/>
      <c r="N61" s="12"/>
      <c r="Q61" s="9"/>
      <c r="R61" s="10"/>
      <c r="S61" s="10"/>
      <c r="V61" s="12"/>
      <c r="Y61" s="9"/>
      <c r="Z61" s="10"/>
      <c r="AA61" s="10"/>
      <c r="AD61" s="12"/>
      <c r="AG61" s="9"/>
      <c r="AH61" s="10"/>
      <c r="AI61" s="10"/>
      <c r="AL61" s="12"/>
      <c r="AO61" s="9"/>
      <c r="AP61" s="10"/>
      <c r="AQ61" s="10"/>
      <c r="AT61" s="12"/>
      <c r="AW61" s="9"/>
      <c r="AX61" s="10"/>
      <c r="AY61" s="10"/>
      <c r="BB61" s="12"/>
      <c r="BE61" s="9"/>
      <c r="BF61" s="10"/>
      <c r="BG61" s="10"/>
      <c r="BJ61" s="12"/>
      <c r="BM61" s="9"/>
      <c r="BN61" s="10"/>
      <c r="BO61" s="10"/>
      <c r="BR61" s="12"/>
      <c r="BU61" s="9"/>
      <c r="BV61" s="10"/>
      <c r="BW61" s="10"/>
      <c r="BZ61" s="12"/>
      <c r="CC61" s="9"/>
      <c r="CD61" s="10"/>
      <c r="CE61" s="10"/>
      <c r="CH61" s="12"/>
      <c r="CK61" s="9"/>
      <c r="CL61" s="10"/>
      <c r="CM61" s="10"/>
      <c r="CP61" s="12"/>
      <c r="CS61" s="9"/>
      <c r="CT61" s="10"/>
      <c r="CU61" s="10"/>
      <c r="CX61" s="12"/>
      <c r="DA61" s="9"/>
      <c r="DB61" s="10"/>
      <c r="DC61" s="10"/>
      <c r="DF61" s="12"/>
      <c r="DI61" s="9"/>
      <c r="DJ61" s="10"/>
      <c r="DK61" s="10"/>
      <c r="DN61" s="12"/>
      <c r="DQ61" s="9"/>
      <c r="DR61" s="10"/>
      <c r="DS61" s="10"/>
      <c r="DV61" s="12"/>
      <c r="DY61" s="9"/>
      <c r="DZ61" s="10"/>
      <c r="EA61" s="10"/>
      <c r="ED61" s="12"/>
      <c r="EG61" s="9"/>
      <c r="EH61" s="10"/>
      <c r="EI61" s="10"/>
      <c r="EL61" s="12"/>
      <c r="EO61" s="9"/>
      <c r="EP61" s="10"/>
      <c r="EQ61" s="10"/>
      <c r="ET61" s="12"/>
      <c r="EW61" s="9"/>
      <c r="EX61" s="10"/>
      <c r="EY61" s="10"/>
      <c r="FB61" s="12"/>
      <c r="FE61" s="9"/>
      <c r="FF61" s="10"/>
      <c r="FG61" s="10"/>
      <c r="FJ61" s="12"/>
      <c r="FM61" s="9"/>
      <c r="FN61" s="10"/>
      <c r="FO61" s="10"/>
      <c r="FR61" s="12"/>
      <c r="FU61" s="9"/>
      <c r="FV61" s="10"/>
      <c r="FW61" s="10"/>
      <c r="FZ61" s="12"/>
      <c r="GC61" s="9"/>
      <c r="GD61" s="10"/>
      <c r="GE61" s="10"/>
      <c r="GH61" s="12"/>
      <c r="GK61" s="9"/>
      <c r="GL61" s="10"/>
      <c r="GM61" s="10"/>
      <c r="GP61" s="12"/>
      <c r="GS61" s="9"/>
      <c r="GT61" s="10"/>
      <c r="GU61" s="10"/>
      <c r="GX61" s="12"/>
      <c r="HA61" s="9"/>
      <c r="HB61" s="10"/>
      <c r="HC61" s="10"/>
      <c r="HF61" s="12"/>
      <c r="HI61" s="9"/>
      <c r="HJ61" s="10"/>
      <c r="HK61" s="10"/>
      <c r="HN61" s="12"/>
      <c r="HQ61" s="9"/>
      <c r="HR61" s="10"/>
      <c r="HS61" s="10"/>
      <c r="HV61" s="12"/>
      <c r="HY61" s="9"/>
      <c r="HZ61" s="10"/>
      <c r="IA61" s="10"/>
      <c r="ID61" s="12"/>
      <c r="IG61" s="9"/>
      <c r="IH61" s="10"/>
      <c r="II61" s="10"/>
      <c r="IL61" s="12"/>
      <c r="IO61" s="9"/>
      <c r="IP61" s="10"/>
      <c r="IQ61" s="10"/>
      <c r="IT61" s="12"/>
    </row>
    <row r="62" spans="1:254" s="11" customFormat="1" ht="108">
      <c r="A62" s="2">
        <v>1</v>
      </c>
      <c r="B62" s="35" t="s">
        <v>97</v>
      </c>
      <c r="C62" s="36" t="s">
        <v>103</v>
      </c>
      <c r="D62" s="35" t="str">
        <f t="shared" si="1"/>
        <v xml:space="preserve">Supply of Air Circuit Breaker  1600A, 4 Pole, 50kA electrically operated, manually draw out type </v>
      </c>
      <c r="E62" s="37" t="s">
        <v>0</v>
      </c>
      <c r="F62" s="2">
        <v>227845.8</v>
      </c>
      <c r="G62" s="37" t="s">
        <v>15</v>
      </c>
      <c r="H62" s="38">
        <f t="shared" si="9"/>
        <v>227846</v>
      </c>
      <c r="I62" s="9"/>
      <c r="J62" s="10"/>
      <c r="K62" s="10"/>
      <c r="N62" s="12"/>
      <c r="Q62" s="9"/>
      <c r="R62" s="10"/>
      <c r="S62" s="10"/>
      <c r="V62" s="12"/>
      <c r="Y62" s="9"/>
      <c r="Z62" s="10"/>
      <c r="AA62" s="10"/>
      <c r="AD62" s="12"/>
      <c r="AG62" s="9"/>
      <c r="AH62" s="10"/>
      <c r="AI62" s="10"/>
      <c r="AL62" s="12"/>
      <c r="AO62" s="9"/>
      <c r="AP62" s="10"/>
      <c r="AQ62" s="10"/>
      <c r="AT62" s="12"/>
      <c r="AW62" s="9"/>
      <c r="AX62" s="10"/>
      <c r="AY62" s="10"/>
      <c r="BB62" s="12"/>
      <c r="BE62" s="9"/>
      <c r="BF62" s="10"/>
      <c r="BG62" s="10"/>
      <c r="BJ62" s="12"/>
      <c r="BM62" s="9"/>
      <c r="BN62" s="10"/>
      <c r="BO62" s="10"/>
      <c r="BR62" s="12"/>
      <c r="BU62" s="9"/>
      <c r="BV62" s="10"/>
      <c r="BW62" s="10"/>
      <c r="BZ62" s="12"/>
      <c r="CC62" s="9"/>
      <c r="CD62" s="10"/>
      <c r="CE62" s="10"/>
      <c r="CH62" s="12"/>
      <c r="CK62" s="9"/>
      <c r="CL62" s="10"/>
      <c r="CM62" s="10"/>
      <c r="CP62" s="12"/>
      <c r="CS62" s="9"/>
      <c r="CT62" s="10"/>
      <c r="CU62" s="10"/>
      <c r="CX62" s="12"/>
      <c r="DA62" s="9"/>
      <c r="DB62" s="10"/>
      <c r="DC62" s="10"/>
      <c r="DF62" s="12"/>
      <c r="DI62" s="9"/>
      <c r="DJ62" s="10"/>
      <c r="DK62" s="10"/>
      <c r="DN62" s="12"/>
      <c r="DQ62" s="9"/>
      <c r="DR62" s="10"/>
      <c r="DS62" s="10"/>
      <c r="DV62" s="12"/>
      <c r="DY62" s="9"/>
      <c r="DZ62" s="10"/>
      <c r="EA62" s="10"/>
      <c r="ED62" s="12"/>
      <c r="EG62" s="9"/>
      <c r="EH62" s="10"/>
      <c r="EI62" s="10"/>
      <c r="EL62" s="12"/>
      <c r="EO62" s="9"/>
      <c r="EP62" s="10"/>
      <c r="EQ62" s="10"/>
      <c r="ET62" s="12"/>
      <c r="EW62" s="9"/>
      <c r="EX62" s="10"/>
      <c r="EY62" s="10"/>
      <c r="FB62" s="12"/>
      <c r="FE62" s="9"/>
      <c r="FF62" s="10"/>
      <c r="FG62" s="10"/>
      <c r="FJ62" s="12"/>
      <c r="FM62" s="9"/>
      <c r="FN62" s="10"/>
      <c r="FO62" s="10"/>
      <c r="FR62" s="12"/>
      <c r="FU62" s="9"/>
      <c r="FV62" s="10"/>
      <c r="FW62" s="10"/>
      <c r="FZ62" s="12"/>
      <c r="GC62" s="9"/>
      <c r="GD62" s="10"/>
      <c r="GE62" s="10"/>
      <c r="GH62" s="12"/>
      <c r="GK62" s="9"/>
      <c r="GL62" s="10"/>
      <c r="GM62" s="10"/>
      <c r="GP62" s="12"/>
      <c r="GS62" s="9"/>
      <c r="GT62" s="10"/>
      <c r="GU62" s="10"/>
      <c r="GX62" s="12"/>
      <c r="HA62" s="9"/>
      <c r="HB62" s="10"/>
      <c r="HC62" s="10"/>
      <c r="HF62" s="12"/>
      <c r="HI62" s="9"/>
      <c r="HJ62" s="10"/>
      <c r="HK62" s="10"/>
      <c r="HN62" s="12"/>
      <c r="HQ62" s="9"/>
      <c r="HR62" s="10"/>
      <c r="HS62" s="10"/>
      <c r="HV62" s="12"/>
      <c r="HY62" s="9"/>
      <c r="HZ62" s="10"/>
      <c r="IA62" s="10"/>
      <c r="ID62" s="12"/>
      <c r="IG62" s="9"/>
      <c r="IH62" s="10"/>
      <c r="II62" s="10"/>
      <c r="IL62" s="12"/>
      <c r="IO62" s="9"/>
      <c r="IP62" s="10"/>
      <c r="IQ62" s="10"/>
      <c r="IT62" s="12"/>
    </row>
    <row r="63" spans="1:254" s="11" customFormat="1" ht="108">
      <c r="A63" s="2">
        <v>2</v>
      </c>
      <c r="B63" s="35" t="s">
        <v>37</v>
      </c>
      <c r="C63" s="36" t="s">
        <v>103</v>
      </c>
      <c r="D63" s="35" t="str">
        <f t="shared" si="1"/>
        <v>Supply and erection of Panel mounted 630 A, 4P MCCB</v>
      </c>
      <c r="E63" s="37" t="s">
        <v>0</v>
      </c>
      <c r="F63" s="2">
        <v>52500.3</v>
      </c>
      <c r="G63" s="37" t="s">
        <v>15</v>
      </c>
      <c r="H63" s="38">
        <f t="shared" si="9"/>
        <v>105001</v>
      </c>
      <c r="I63" s="9"/>
      <c r="J63" s="10"/>
      <c r="K63" s="10"/>
      <c r="N63" s="12"/>
      <c r="Q63" s="9"/>
      <c r="R63" s="10"/>
      <c r="S63" s="10"/>
      <c r="V63" s="12"/>
      <c r="Y63" s="9"/>
      <c r="Z63" s="10"/>
      <c r="AA63" s="10"/>
      <c r="AD63" s="12"/>
      <c r="AG63" s="9"/>
      <c r="AH63" s="10"/>
      <c r="AI63" s="10"/>
      <c r="AL63" s="12"/>
      <c r="AO63" s="9"/>
      <c r="AP63" s="10"/>
      <c r="AQ63" s="10"/>
      <c r="AT63" s="12"/>
      <c r="AW63" s="9"/>
      <c r="AX63" s="10"/>
      <c r="AY63" s="10"/>
      <c r="BB63" s="12"/>
      <c r="BE63" s="9"/>
      <c r="BF63" s="10"/>
      <c r="BG63" s="10"/>
      <c r="BJ63" s="12"/>
      <c r="BM63" s="9"/>
      <c r="BN63" s="10"/>
      <c r="BO63" s="10"/>
      <c r="BR63" s="12"/>
      <c r="BU63" s="9"/>
      <c r="BV63" s="10"/>
      <c r="BW63" s="10"/>
      <c r="BZ63" s="12"/>
      <c r="CC63" s="9"/>
      <c r="CD63" s="10"/>
      <c r="CE63" s="10"/>
      <c r="CH63" s="12"/>
      <c r="CK63" s="9"/>
      <c r="CL63" s="10"/>
      <c r="CM63" s="10"/>
      <c r="CP63" s="12"/>
      <c r="CS63" s="9"/>
      <c r="CT63" s="10"/>
      <c r="CU63" s="10"/>
      <c r="CX63" s="12"/>
      <c r="DA63" s="9"/>
      <c r="DB63" s="10"/>
      <c r="DC63" s="10"/>
      <c r="DF63" s="12"/>
      <c r="DI63" s="9"/>
      <c r="DJ63" s="10"/>
      <c r="DK63" s="10"/>
      <c r="DN63" s="12"/>
      <c r="DQ63" s="9"/>
      <c r="DR63" s="10"/>
      <c r="DS63" s="10"/>
      <c r="DV63" s="12"/>
      <c r="DY63" s="9"/>
      <c r="DZ63" s="10"/>
      <c r="EA63" s="10"/>
      <c r="ED63" s="12"/>
      <c r="EG63" s="9"/>
      <c r="EH63" s="10"/>
      <c r="EI63" s="10"/>
      <c r="EL63" s="12"/>
      <c r="EO63" s="9"/>
      <c r="EP63" s="10"/>
      <c r="EQ63" s="10"/>
      <c r="ET63" s="12"/>
      <c r="EW63" s="9"/>
      <c r="EX63" s="10"/>
      <c r="EY63" s="10"/>
      <c r="FB63" s="12"/>
      <c r="FE63" s="9"/>
      <c r="FF63" s="10"/>
      <c r="FG63" s="10"/>
      <c r="FJ63" s="12"/>
      <c r="FM63" s="9"/>
      <c r="FN63" s="10"/>
      <c r="FO63" s="10"/>
      <c r="FR63" s="12"/>
      <c r="FU63" s="9"/>
      <c r="FV63" s="10"/>
      <c r="FW63" s="10"/>
      <c r="FZ63" s="12"/>
      <c r="GC63" s="9"/>
      <c r="GD63" s="10"/>
      <c r="GE63" s="10"/>
      <c r="GH63" s="12"/>
      <c r="GK63" s="9"/>
      <c r="GL63" s="10"/>
      <c r="GM63" s="10"/>
      <c r="GP63" s="12"/>
      <c r="GS63" s="9"/>
      <c r="GT63" s="10"/>
      <c r="GU63" s="10"/>
      <c r="GX63" s="12"/>
      <c r="HA63" s="9"/>
      <c r="HB63" s="10"/>
      <c r="HC63" s="10"/>
      <c r="HF63" s="12"/>
      <c r="HI63" s="9"/>
      <c r="HJ63" s="10"/>
      <c r="HK63" s="10"/>
      <c r="HN63" s="12"/>
      <c r="HQ63" s="9"/>
      <c r="HR63" s="10"/>
      <c r="HS63" s="10"/>
      <c r="HV63" s="12"/>
      <c r="HY63" s="9"/>
      <c r="HZ63" s="10"/>
      <c r="IA63" s="10"/>
      <c r="ID63" s="12"/>
      <c r="IG63" s="9"/>
      <c r="IH63" s="10"/>
      <c r="II63" s="10"/>
      <c r="IL63" s="12"/>
      <c r="IO63" s="9"/>
      <c r="IP63" s="10"/>
      <c r="IQ63" s="10"/>
      <c r="IT63" s="12"/>
    </row>
    <row r="64" spans="1:254" s="11" customFormat="1" ht="108">
      <c r="A64" s="2">
        <v>1</v>
      </c>
      <c r="B64" s="35" t="s">
        <v>99</v>
      </c>
      <c r="C64" s="36" t="s">
        <v>103</v>
      </c>
      <c r="D64" s="35" t="str">
        <f t="shared" si="1"/>
        <v>Supply and erection of Panel mounted 250 A, 4P MCCB</v>
      </c>
      <c r="E64" s="37" t="s">
        <v>0</v>
      </c>
      <c r="F64" s="2">
        <v>29061.599999999999</v>
      </c>
      <c r="G64" s="37" t="s">
        <v>15</v>
      </c>
      <c r="H64" s="39">
        <f t="shared" si="9"/>
        <v>29062</v>
      </c>
    </row>
    <row r="65" spans="1:8" s="11" customFormat="1" ht="108">
      <c r="A65" s="2">
        <v>1</v>
      </c>
      <c r="B65" s="35" t="s">
        <v>74</v>
      </c>
      <c r="C65" s="36" t="s">
        <v>103</v>
      </c>
      <c r="D65" s="35" t="str">
        <f t="shared" si="1"/>
        <v>Supply and erection of Panel mounted 125 A, 4P MCCB</v>
      </c>
      <c r="E65" s="37" t="s">
        <v>0</v>
      </c>
      <c r="F65" s="2">
        <v>12599.2</v>
      </c>
      <c r="G65" s="37" t="s">
        <v>15</v>
      </c>
      <c r="H65" s="39">
        <f t="shared" si="9"/>
        <v>12599</v>
      </c>
    </row>
    <row r="66" spans="1:8" s="11" customFormat="1" ht="108">
      <c r="A66" s="2">
        <v>1</v>
      </c>
      <c r="B66" s="35" t="s">
        <v>75</v>
      </c>
      <c r="C66" s="36" t="s">
        <v>103</v>
      </c>
      <c r="D66" s="35" t="str">
        <f t="shared" si="1"/>
        <v>Supply and fixing of CT operated direct reading type Above 500A Digital Ammeter</v>
      </c>
      <c r="E66" s="37" t="s">
        <v>0</v>
      </c>
      <c r="F66" s="2">
        <v>2374.6</v>
      </c>
      <c r="G66" s="37" t="s">
        <v>15</v>
      </c>
      <c r="H66" s="39">
        <f t="shared" si="9"/>
        <v>2375</v>
      </c>
    </row>
    <row r="67" spans="1:8" s="11" customFormat="1" ht="108">
      <c r="A67" s="2">
        <v>1</v>
      </c>
      <c r="B67" s="35" t="s">
        <v>38</v>
      </c>
      <c r="C67" s="36" t="s">
        <v>103</v>
      </c>
      <c r="D67" s="35" t="str">
        <f t="shared" ref="D67:D84" si="10">B67</f>
        <v xml:space="preserve">Supply and Fixing of (0-500) V range Digital type Volt meter </v>
      </c>
      <c r="E67" s="37" t="s">
        <v>0</v>
      </c>
      <c r="F67" s="2">
        <v>2374.6</v>
      </c>
      <c r="G67" s="37" t="s">
        <v>15</v>
      </c>
      <c r="H67" s="38">
        <f t="shared" si="9"/>
        <v>2375</v>
      </c>
    </row>
    <row r="68" spans="1:8" s="11" customFormat="1" ht="108">
      <c r="A68" s="2">
        <v>3</v>
      </c>
      <c r="B68" s="35" t="s">
        <v>76</v>
      </c>
      <c r="C68" s="36" t="s">
        <v>103</v>
      </c>
      <c r="D68" s="35" t="str">
        <f t="shared" si="10"/>
        <v>Supply and Fixing of Current Transformer, from 500/5 to 1600/5 ratio</v>
      </c>
      <c r="E68" s="37" t="s">
        <v>0</v>
      </c>
      <c r="F68" s="2">
        <v>1187.3</v>
      </c>
      <c r="G68" s="37" t="s">
        <v>15</v>
      </c>
      <c r="H68" s="38">
        <f t="shared" si="9"/>
        <v>3562</v>
      </c>
    </row>
    <row r="69" spans="1:8" s="11" customFormat="1" ht="108">
      <c r="A69" s="2">
        <v>1</v>
      </c>
      <c r="B69" s="35" t="s">
        <v>100</v>
      </c>
      <c r="C69" s="36" t="s">
        <v>103</v>
      </c>
      <c r="D69" s="35" t="str">
        <f t="shared" si="10"/>
        <v>Supply , Transportation and fixing of energy analyzer</v>
      </c>
      <c r="E69" s="37" t="s">
        <v>0</v>
      </c>
      <c r="F69" s="2">
        <v>13122.5</v>
      </c>
      <c r="G69" s="37" t="s">
        <v>15</v>
      </c>
      <c r="H69" s="38">
        <f t="shared" si="9"/>
        <v>13123</v>
      </c>
    </row>
    <row r="70" spans="1:8" s="11" customFormat="1" ht="108">
      <c r="A70" s="2">
        <v>1</v>
      </c>
      <c r="B70" s="35" t="s">
        <v>101</v>
      </c>
      <c r="C70" s="36" t="s">
        <v>103</v>
      </c>
      <c r="D70" s="35" t="str">
        <f t="shared" si="10"/>
        <v xml:space="preserve">Supply transportation Testing and instalation of 100 KVAR APFC Panel </v>
      </c>
      <c r="E70" s="37" t="s">
        <v>0</v>
      </c>
      <c r="F70" s="2">
        <v>176460</v>
      </c>
      <c r="G70" s="37" t="s">
        <v>1</v>
      </c>
      <c r="H70" s="38">
        <f>ROUND((A70*F70),0)</f>
        <v>176460</v>
      </c>
    </row>
    <row r="71" spans="1:8" s="11" customFormat="1" ht="108">
      <c r="A71" s="2">
        <v>50</v>
      </c>
      <c r="B71" s="35" t="s">
        <v>77</v>
      </c>
      <c r="C71" s="36" t="s">
        <v>103</v>
      </c>
      <c r="D71" s="35" t="str">
        <f t="shared" si="10"/>
        <v>Supply and fixing of bus bar by means of SMC / DMC type insulator Electrolytic grade Al- bus bar</v>
      </c>
      <c r="E71" s="37" t="s">
        <v>0</v>
      </c>
      <c r="F71" s="2">
        <v>532.9</v>
      </c>
      <c r="G71" s="37" t="s">
        <v>39</v>
      </c>
      <c r="H71" s="38">
        <f>ROUND((A71*F71),0)</f>
        <v>26645</v>
      </c>
    </row>
    <row r="72" spans="1:8" s="11" customFormat="1" ht="108">
      <c r="A72" s="2">
        <v>5</v>
      </c>
      <c r="B72" s="35" t="s">
        <v>78</v>
      </c>
      <c r="C72" s="36" t="s">
        <v>103</v>
      </c>
      <c r="D72" s="35" t="str">
        <f t="shared" si="10"/>
        <v>Supply and fixing of bus bar by means of SMC / DMC type insulator Electrolytic grade Copper- bus bar</v>
      </c>
      <c r="E72" s="37" t="s">
        <v>0</v>
      </c>
      <c r="F72" s="2">
        <v>1124.8</v>
      </c>
      <c r="G72" s="37" t="s">
        <v>39</v>
      </c>
      <c r="H72" s="38">
        <f>ROUND((A72*F72),0)</f>
        <v>5624</v>
      </c>
    </row>
    <row r="73" spans="1:8" s="11" customFormat="1" ht="108">
      <c r="A73" s="2">
        <v>16</v>
      </c>
      <c r="B73" s="35" t="s">
        <v>79</v>
      </c>
      <c r="C73" s="36" t="s">
        <v>103</v>
      </c>
      <c r="D73" s="35" t="str">
        <f t="shared" si="10"/>
        <v>supply and making end termination with 400 sqmm heavy aluminium lugs (pin/ring type )</v>
      </c>
      <c r="E73" s="37" t="s">
        <v>0</v>
      </c>
      <c r="F73" s="2">
        <v>234</v>
      </c>
      <c r="G73" s="37" t="s">
        <v>15</v>
      </c>
      <c r="H73" s="38">
        <f t="shared" si="9"/>
        <v>3744</v>
      </c>
    </row>
    <row r="74" spans="1:8" s="11" customFormat="1" ht="108">
      <c r="A74" s="2">
        <v>6</v>
      </c>
      <c r="B74" s="35" t="s">
        <v>42</v>
      </c>
      <c r="C74" s="36" t="s">
        <v>103</v>
      </c>
      <c r="D74" s="35" t="str">
        <f t="shared" si="10"/>
        <v>Supply and fixing of PVC synthetic elastomer electrically insulated</v>
      </c>
      <c r="E74" s="37" t="s">
        <v>0</v>
      </c>
      <c r="F74" s="2">
        <v>5224</v>
      </c>
      <c r="G74" s="37" t="s">
        <v>13</v>
      </c>
      <c r="H74" s="38">
        <f t="shared" si="9"/>
        <v>31344</v>
      </c>
    </row>
    <row r="75" spans="1:8" s="11" customFormat="1" ht="108">
      <c r="A75" s="2">
        <v>4</v>
      </c>
      <c r="B75" s="35" t="s">
        <v>80</v>
      </c>
      <c r="C75" s="36" t="s">
        <v>103</v>
      </c>
      <c r="D75" s="35" t="str">
        <f t="shared" si="10"/>
        <v xml:space="preserve">Wiring with 2 runs of 1.0 Sq.mm, P.V.C insulated flexible copper cables 1100V </v>
      </c>
      <c r="E75" s="37" t="s">
        <v>0</v>
      </c>
      <c r="F75" s="2">
        <v>712.9</v>
      </c>
      <c r="G75" s="37" t="s">
        <v>15</v>
      </c>
      <c r="H75" s="38">
        <f t="shared" si="9"/>
        <v>2852</v>
      </c>
    </row>
    <row r="76" spans="1:8" s="11" customFormat="1" ht="108">
      <c r="A76" s="2">
        <v>2</v>
      </c>
      <c r="B76" s="35" t="s">
        <v>81</v>
      </c>
      <c r="C76" s="36" t="s">
        <v>103</v>
      </c>
      <c r="D76" s="35" t="str">
        <f t="shared" si="10"/>
        <v xml:space="preserve">Supply &amp; fixing of 1x 20 watts Retrofit Tube light with alluminium anadised body on wall / Ceiling with TW round blocks with all accessories </v>
      </c>
      <c r="E76" s="37" t="s">
        <v>0</v>
      </c>
      <c r="F76" s="2">
        <v>1076.2</v>
      </c>
      <c r="G76" s="37" t="s">
        <v>15</v>
      </c>
      <c r="H76" s="38">
        <f t="shared" si="9"/>
        <v>2152</v>
      </c>
    </row>
    <row r="77" spans="1:8" s="11" customFormat="1" ht="108">
      <c r="A77" s="2">
        <v>1</v>
      </c>
      <c r="B77" s="35" t="s">
        <v>82</v>
      </c>
      <c r="C77" s="36" t="s">
        <v>103</v>
      </c>
      <c r="D77" s="35" t="str">
        <f t="shared" si="10"/>
        <v>Supply and fixing of 48"(1200mm) sweep 5 star rated BLDC Ceiling Fan</v>
      </c>
      <c r="E77" s="37" t="s">
        <v>0</v>
      </c>
      <c r="F77" s="2">
        <v>4222.3999999999996</v>
      </c>
      <c r="G77" s="37" t="s">
        <v>15</v>
      </c>
      <c r="H77" s="38">
        <f t="shared" si="9"/>
        <v>4222</v>
      </c>
    </row>
    <row r="78" spans="1:8" s="11" customFormat="1" ht="108">
      <c r="A78" s="2">
        <v>1</v>
      </c>
      <c r="B78" s="35" t="s">
        <v>83</v>
      </c>
      <c r="C78" s="36" t="s">
        <v>103</v>
      </c>
      <c r="D78" s="35" t="str">
        <f t="shared" si="10"/>
        <v>Supply and erecting of fan D-hook in RCC roof slab by drilling the slab with machine</v>
      </c>
      <c r="E78" s="37" t="s">
        <v>0</v>
      </c>
      <c r="F78" s="2">
        <v>247.4</v>
      </c>
      <c r="G78" s="37" t="s">
        <v>15</v>
      </c>
      <c r="H78" s="38">
        <f t="shared" si="9"/>
        <v>247</v>
      </c>
    </row>
    <row r="79" spans="1:8" s="11" customFormat="1" ht="108">
      <c r="A79" s="2">
        <v>1</v>
      </c>
      <c r="B79" s="35" t="s">
        <v>84</v>
      </c>
      <c r="C79" s="36" t="s">
        <v>103</v>
      </c>
      <c r="D79" s="35" t="str">
        <f t="shared" si="10"/>
        <v xml:space="preserve">Supply of 19/20 mm steel tube fan down rod including cost of transportation </v>
      </c>
      <c r="E79" s="37" t="s">
        <v>0</v>
      </c>
      <c r="F79" s="2">
        <v>135.19999999999999</v>
      </c>
      <c r="G79" s="37" t="s">
        <v>13</v>
      </c>
      <c r="H79" s="38">
        <f t="shared" si="9"/>
        <v>135</v>
      </c>
    </row>
    <row r="80" spans="1:8" s="11" customFormat="1" ht="108">
      <c r="A80" s="2">
        <v>1</v>
      </c>
      <c r="B80" s="35" t="s">
        <v>85</v>
      </c>
      <c r="C80" s="36" t="s">
        <v>103</v>
      </c>
      <c r="D80" s="35" t="str">
        <f t="shared" si="10"/>
        <v xml:space="preserve">Labour charges for 19/20mm steel tube down rod with bolts &amp; nuts duly painted with matching colour of fan </v>
      </c>
      <c r="E80" s="37" t="s">
        <v>0</v>
      </c>
      <c r="F80" s="2">
        <v>91</v>
      </c>
      <c r="G80" s="37" t="s">
        <v>1</v>
      </c>
      <c r="H80" s="38">
        <f t="shared" si="9"/>
        <v>91</v>
      </c>
    </row>
    <row r="81" spans="1:8" s="11" customFormat="1" ht="108">
      <c r="A81" s="2">
        <v>1</v>
      </c>
      <c r="B81" s="35" t="s">
        <v>86</v>
      </c>
      <c r="C81" s="36" t="s">
        <v>103</v>
      </c>
      <c r="D81" s="35" t="str">
        <f t="shared" si="10"/>
        <v>Supply and fixing of 12"(300mm) Heavy duty Exhaust fans</v>
      </c>
      <c r="E81" s="37" t="s">
        <v>0</v>
      </c>
      <c r="F81" s="2">
        <v>4413.8</v>
      </c>
      <c r="G81" s="37" t="s">
        <v>15</v>
      </c>
      <c r="H81" s="38">
        <f t="shared" si="9"/>
        <v>4414</v>
      </c>
    </row>
    <row r="82" spans="1:8" s="11" customFormat="1" ht="108">
      <c r="A82" s="2">
        <v>2</v>
      </c>
      <c r="B82" s="35" t="s">
        <v>40</v>
      </c>
      <c r="C82" s="36" t="s">
        <v>103</v>
      </c>
      <c r="D82" s="35" t="str">
        <f t="shared" si="10"/>
        <v>Supply and fixing of 250A 4pole 415V MCCB</v>
      </c>
      <c r="E82" s="37" t="s">
        <v>0</v>
      </c>
      <c r="F82" s="2">
        <v>3240</v>
      </c>
      <c r="G82" s="37" t="s">
        <v>15</v>
      </c>
      <c r="H82" s="38">
        <f t="shared" si="9"/>
        <v>6480</v>
      </c>
    </row>
    <row r="83" spans="1:8" s="11" customFormat="1" ht="108">
      <c r="A83" s="2">
        <v>2</v>
      </c>
      <c r="B83" s="35" t="s">
        <v>41</v>
      </c>
      <c r="C83" s="36" t="s">
        <v>103</v>
      </c>
      <c r="D83" s="35" t="str">
        <f t="shared" si="10"/>
        <v>Supply and fixing of 630A 4pole 415V MCCB</v>
      </c>
      <c r="E83" s="37" t="s">
        <v>0</v>
      </c>
      <c r="F83" s="2">
        <v>3960</v>
      </c>
      <c r="G83" s="37" t="s">
        <v>15</v>
      </c>
      <c r="H83" s="38">
        <f t="shared" si="9"/>
        <v>7920</v>
      </c>
    </row>
    <row r="84" spans="1:8" s="11" customFormat="1" ht="108">
      <c r="A84" s="2">
        <v>1</v>
      </c>
      <c r="B84" s="35" t="s">
        <v>88</v>
      </c>
      <c r="C84" s="36" t="s">
        <v>103</v>
      </c>
      <c r="D84" s="35" t="str">
        <f t="shared" si="10"/>
        <v>Job chart for the CEIG approval  preparation schematic single line diagram</v>
      </c>
      <c r="E84" s="37" t="s">
        <v>0</v>
      </c>
      <c r="F84" s="2">
        <v>80000</v>
      </c>
      <c r="G84" s="37" t="s">
        <v>87</v>
      </c>
      <c r="H84" s="38">
        <f t="shared" si="9"/>
        <v>80000</v>
      </c>
    </row>
    <row r="85" spans="1:8" ht="18">
      <c r="A85" s="42"/>
      <c r="B85" s="42"/>
      <c r="C85" s="42"/>
      <c r="D85" s="42"/>
      <c r="E85" s="43"/>
      <c r="F85" s="44"/>
      <c r="G85" s="45" t="s">
        <v>102</v>
      </c>
      <c r="H85" s="46">
        <f>SUM(H2:H84)</f>
        <v>4702869</v>
      </c>
    </row>
    <row r="96" spans="1:8" ht="30" customHeight="1"/>
    <row r="97" spans="1:254" s="11" customFormat="1" ht="15">
      <c r="A97" s="4"/>
      <c r="B97" s="5"/>
      <c r="C97" s="6"/>
      <c r="D97" s="5"/>
      <c r="E97" s="7"/>
      <c r="F97" s="4"/>
      <c r="G97" s="7"/>
      <c r="H97" s="8"/>
    </row>
    <row r="98" spans="1:254" s="11" customFormat="1" ht="15">
      <c r="A98" s="4"/>
      <c r="B98" s="5"/>
      <c r="C98" s="6"/>
      <c r="D98" s="5"/>
      <c r="E98" s="7"/>
      <c r="F98" s="4"/>
      <c r="G98" s="7"/>
      <c r="H98" s="8"/>
    </row>
    <row r="99" spans="1:254" s="11" customFormat="1" ht="15">
      <c r="A99" s="4"/>
      <c r="B99" s="5"/>
      <c r="C99" s="6"/>
      <c r="D99" s="5"/>
      <c r="E99" s="7"/>
      <c r="F99" s="4"/>
      <c r="G99" s="7"/>
      <c r="H99" s="8"/>
      <c r="I99" s="9"/>
      <c r="J99" s="10"/>
      <c r="K99" s="10"/>
      <c r="N99" s="12"/>
      <c r="Q99" s="9"/>
      <c r="R99" s="10"/>
      <c r="S99" s="10"/>
      <c r="V99" s="12"/>
      <c r="Y99" s="9"/>
      <c r="Z99" s="10"/>
      <c r="AA99" s="10"/>
      <c r="AD99" s="12"/>
      <c r="AG99" s="9"/>
      <c r="AH99" s="10"/>
      <c r="AI99" s="10"/>
      <c r="AL99" s="12"/>
      <c r="AO99" s="9"/>
      <c r="AP99" s="10"/>
      <c r="AQ99" s="10"/>
      <c r="AT99" s="12"/>
      <c r="AW99" s="9"/>
      <c r="AX99" s="10"/>
      <c r="AY99" s="10"/>
      <c r="BB99" s="12"/>
      <c r="BE99" s="9"/>
      <c r="BF99" s="10"/>
      <c r="BG99" s="10"/>
      <c r="BJ99" s="12"/>
      <c r="BM99" s="9"/>
      <c r="BN99" s="10"/>
      <c r="BO99" s="10"/>
      <c r="BR99" s="12"/>
      <c r="BU99" s="9"/>
      <c r="BV99" s="10"/>
      <c r="BW99" s="10"/>
      <c r="BZ99" s="12"/>
      <c r="CC99" s="9"/>
      <c r="CD99" s="10"/>
      <c r="CE99" s="10"/>
      <c r="CH99" s="12"/>
      <c r="CK99" s="9"/>
      <c r="CL99" s="10"/>
      <c r="CM99" s="10"/>
      <c r="CP99" s="12"/>
      <c r="CS99" s="9"/>
      <c r="CT99" s="10"/>
      <c r="CU99" s="10"/>
      <c r="CX99" s="12"/>
      <c r="DA99" s="9"/>
      <c r="DB99" s="10"/>
      <c r="DC99" s="10"/>
      <c r="DF99" s="12"/>
      <c r="DI99" s="9"/>
      <c r="DJ99" s="10"/>
      <c r="DK99" s="10"/>
      <c r="DN99" s="12"/>
      <c r="DQ99" s="9"/>
      <c r="DR99" s="10"/>
      <c r="DS99" s="10"/>
      <c r="DV99" s="12"/>
      <c r="DY99" s="9"/>
      <c r="DZ99" s="10"/>
      <c r="EA99" s="10"/>
      <c r="ED99" s="12"/>
      <c r="EG99" s="9"/>
      <c r="EH99" s="10"/>
      <c r="EI99" s="10"/>
      <c r="EL99" s="12"/>
      <c r="EO99" s="9"/>
      <c r="EP99" s="10"/>
      <c r="EQ99" s="10"/>
      <c r="ET99" s="12"/>
      <c r="EW99" s="9"/>
      <c r="EX99" s="10"/>
      <c r="EY99" s="10"/>
      <c r="FB99" s="12"/>
      <c r="FE99" s="9"/>
      <c r="FF99" s="10"/>
      <c r="FG99" s="10"/>
      <c r="FJ99" s="12"/>
      <c r="FM99" s="9"/>
      <c r="FN99" s="10"/>
      <c r="FO99" s="10"/>
      <c r="FR99" s="12"/>
      <c r="FU99" s="9"/>
      <c r="FV99" s="10"/>
      <c r="FW99" s="10"/>
      <c r="FZ99" s="12"/>
      <c r="GC99" s="9"/>
      <c r="GD99" s="10"/>
      <c r="GE99" s="10"/>
      <c r="GH99" s="12"/>
      <c r="GK99" s="9"/>
      <c r="GL99" s="10"/>
      <c r="GM99" s="10"/>
      <c r="GP99" s="12"/>
      <c r="GS99" s="9"/>
      <c r="GT99" s="10"/>
      <c r="GU99" s="10"/>
      <c r="GX99" s="12"/>
      <c r="HA99" s="9"/>
      <c r="HB99" s="10"/>
      <c r="HC99" s="10"/>
      <c r="HF99" s="12"/>
      <c r="HI99" s="9"/>
      <c r="HJ99" s="10"/>
      <c r="HK99" s="10"/>
      <c r="HN99" s="12"/>
      <c r="HQ99" s="9"/>
      <c r="HR99" s="10"/>
      <c r="HS99" s="10"/>
      <c r="HV99" s="12"/>
      <c r="HY99" s="9"/>
      <c r="HZ99" s="10"/>
      <c r="IA99" s="10"/>
      <c r="ID99" s="12"/>
      <c r="IG99" s="9"/>
      <c r="IH99" s="10"/>
      <c r="II99" s="10"/>
      <c r="IL99" s="12"/>
      <c r="IO99" s="9"/>
      <c r="IP99" s="10"/>
      <c r="IQ99" s="10"/>
      <c r="IT99" s="12"/>
    </row>
    <row r="100" spans="1:254" s="11" customFormat="1" ht="15">
      <c r="A100" s="4"/>
      <c r="B100" s="5"/>
      <c r="C100" s="6"/>
      <c r="D100" s="5"/>
      <c r="E100" s="7"/>
      <c r="F100" s="4"/>
      <c r="G100" s="7"/>
      <c r="H100" s="8"/>
      <c r="I100" s="9"/>
      <c r="J100" s="10"/>
      <c r="K100" s="10"/>
      <c r="N100" s="12"/>
      <c r="Q100" s="9"/>
      <c r="R100" s="10"/>
      <c r="S100" s="10"/>
      <c r="V100" s="12"/>
      <c r="Y100" s="9"/>
      <c r="Z100" s="10"/>
      <c r="AA100" s="10"/>
      <c r="AD100" s="12"/>
      <c r="AG100" s="9"/>
      <c r="AH100" s="10"/>
      <c r="AI100" s="10"/>
      <c r="AL100" s="12"/>
      <c r="AO100" s="9"/>
      <c r="AP100" s="10"/>
      <c r="AQ100" s="10"/>
      <c r="AT100" s="12"/>
      <c r="AW100" s="9"/>
      <c r="AX100" s="10"/>
      <c r="AY100" s="10"/>
      <c r="BB100" s="12"/>
      <c r="BE100" s="9"/>
      <c r="BF100" s="10"/>
      <c r="BG100" s="10"/>
      <c r="BJ100" s="12"/>
      <c r="BM100" s="9"/>
      <c r="BN100" s="10"/>
      <c r="BO100" s="10"/>
      <c r="BR100" s="12"/>
      <c r="BU100" s="9"/>
      <c r="BV100" s="10"/>
      <c r="BW100" s="10"/>
      <c r="BZ100" s="12"/>
      <c r="CC100" s="9"/>
      <c r="CD100" s="10"/>
      <c r="CE100" s="10"/>
      <c r="CH100" s="12"/>
      <c r="CK100" s="9"/>
      <c r="CL100" s="10"/>
      <c r="CM100" s="10"/>
      <c r="CP100" s="12"/>
      <c r="CS100" s="9"/>
      <c r="CT100" s="10"/>
      <c r="CU100" s="10"/>
      <c r="CX100" s="12"/>
      <c r="DA100" s="9"/>
      <c r="DB100" s="10"/>
      <c r="DC100" s="10"/>
      <c r="DF100" s="12"/>
      <c r="DI100" s="9"/>
      <c r="DJ100" s="10"/>
      <c r="DK100" s="10"/>
      <c r="DN100" s="12"/>
      <c r="DQ100" s="9"/>
      <c r="DR100" s="10"/>
      <c r="DS100" s="10"/>
      <c r="DV100" s="12"/>
      <c r="DY100" s="9"/>
      <c r="DZ100" s="10"/>
      <c r="EA100" s="10"/>
      <c r="ED100" s="12"/>
      <c r="EG100" s="9"/>
      <c r="EH100" s="10"/>
      <c r="EI100" s="10"/>
      <c r="EL100" s="12"/>
      <c r="EO100" s="9"/>
      <c r="EP100" s="10"/>
      <c r="EQ100" s="10"/>
      <c r="ET100" s="12"/>
      <c r="EW100" s="9"/>
      <c r="EX100" s="10"/>
      <c r="EY100" s="10"/>
      <c r="FB100" s="12"/>
      <c r="FE100" s="9"/>
      <c r="FF100" s="10"/>
      <c r="FG100" s="10"/>
      <c r="FJ100" s="12"/>
      <c r="FM100" s="9"/>
      <c r="FN100" s="10"/>
      <c r="FO100" s="10"/>
      <c r="FR100" s="12"/>
      <c r="FU100" s="9"/>
      <c r="FV100" s="10"/>
      <c r="FW100" s="10"/>
      <c r="FZ100" s="12"/>
      <c r="GC100" s="9"/>
      <c r="GD100" s="10"/>
      <c r="GE100" s="10"/>
      <c r="GH100" s="12"/>
      <c r="GK100" s="9"/>
      <c r="GL100" s="10"/>
      <c r="GM100" s="10"/>
      <c r="GP100" s="12"/>
      <c r="GS100" s="9"/>
      <c r="GT100" s="10"/>
      <c r="GU100" s="10"/>
      <c r="GX100" s="12"/>
      <c r="HA100" s="9"/>
      <c r="HB100" s="10"/>
      <c r="HC100" s="10"/>
      <c r="HF100" s="12"/>
      <c r="HI100" s="9"/>
      <c r="HJ100" s="10"/>
      <c r="HK100" s="10"/>
      <c r="HN100" s="12"/>
      <c r="HQ100" s="9"/>
      <c r="HR100" s="10"/>
      <c r="HS100" s="10"/>
      <c r="HV100" s="12"/>
      <c r="HY100" s="9"/>
      <c r="HZ100" s="10"/>
      <c r="IA100" s="10"/>
      <c r="ID100" s="12"/>
      <c r="IG100" s="9"/>
      <c r="IH100" s="10"/>
      <c r="II100" s="10"/>
      <c r="IL100" s="12"/>
      <c r="IO100" s="9"/>
      <c r="IP100" s="10"/>
      <c r="IQ100" s="10"/>
      <c r="IT100" s="12"/>
    </row>
    <row r="101" spans="1:254" s="11" customFormat="1" ht="15">
      <c r="A101" s="4"/>
      <c r="B101" s="5"/>
      <c r="C101" s="6"/>
      <c r="D101" s="5"/>
      <c r="E101" s="7"/>
      <c r="F101" s="4"/>
      <c r="G101" s="7"/>
      <c r="H101" s="13"/>
    </row>
    <row r="102" spans="1:254" s="11" customFormat="1" ht="15">
      <c r="A102" s="4"/>
      <c r="B102" s="5"/>
      <c r="C102" s="6"/>
      <c r="D102" s="5"/>
      <c r="E102" s="7"/>
      <c r="F102" s="4"/>
      <c r="G102" s="7"/>
      <c r="H102" s="13"/>
    </row>
    <row r="103" spans="1:254" s="11" customFormat="1" ht="15">
      <c r="A103" s="4"/>
      <c r="B103" s="5"/>
      <c r="C103" s="6"/>
      <c r="D103" s="5"/>
      <c r="E103" s="7"/>
      <c r="F103" s="4"/>
      <c r="G103" s="7"/>
      <c r="H103" s="8"/>
    </row>
    <row r="104" spans="1:254" s="11" customFormat="1" ht="15">
      <c r="A104" s="4"/>
      <c r="B104" s="5"/>
      <c r="C104" s="6"/>
      <c r="D104" s="5"/>
      <c r="E104" s="7"/>
      <c r="F104" s="4"/>
      <c r="G104" s="7"/>
      <c r="H104" s="8"/>
    </row>
    <row r="105" spans="1:254" s="11" customFormat="1" ht="15">
      <c r="A105" s="4"/>
      <c r="B105" s="5"/>
      <c r="C105" s="6"/>
      <c r="D105" s="5"/>
      <c r="E105" s="7"/>
      <c r="F105" s="4"/>
      <c r="G105" s="7"/>
      <c r="H105" s="8"/>
    </row>
    <row r="106" spans="1:254" s="11" customFormat="1" ht="15">
      <c r="A106" s="4"/>
      <c r="B106" s="5"/>
      <c r="C106" s="6"/>
      <c r="D106" s="5"/>
      <c r="E106" s="7"/>
      <c r="F106" s="4"/>
      <c r="G106" s="7"/>
      <c r="H106" s="8"/>
    </row>
    <row r="107" spans="1:254" s="11" customFormat="1" ht="15">
      <c r="A107" s="4"/>
      <c r="B107" s="5"/>
      <c r="C107" s="6"/>
      <c r="D107" s="5"/>
      <c r="E107" s="7"/>
      <c r="F107" s="4"/>
      <c r="G107" s="7"/>
      <c r="H107" s="8"/>
    </row>
    <row r="108" spans="1:254" s="11" customFormat="1" ht="15">
      <c r="A108" s="4"/>
      <c r="B108" s="5"/>
      <c r="C108" s="6"/>
      <c r="D108" s="5"/>
      <c r="E108" s="7"/>
      <c r="F108" s="4"/>
      <c r="G108" s="7"/>
      <c r="H108" s="8"/>
    </row>
    <row r="109" spans="1:254" s="11" customFormat="1" ht="15">
      <c r="A109" s="4"/>
      <c r="B109" s="5"/>
      <c r="C109" s="6"/>
      <c r="D109" s="5"/>
      <c r="E109" s="7"/>
      <c r="F109" s="4"/>
      <c r="G109" s="7"/>
      <c r="H109" s="8"/>
    </row>
    <row r="110" spans="1:254" s="11" customFormat="1" ht="15">
      <c r="A110" s="4"/>
      <c r="B110" s="5"/>
      <c r="C110" s="6"/>
      <c r="D110" s="5"/>
      <c r="E110" s="7"/>
      <c r="F110" s="4"/>
      <c r="G110" s="7"/>
      <c r="H110" s="8"/>
    </row>
    <row r="111" spans="1:254" s="11" customFormat="1" ht="15">
      <c r="A111" s="4"/>
      <c r="B111" s="5"/>
      <c r="C111" s="6"/>
      <c r="D111" s="5"/>
      <c r="E111" s="7"/>
      <c r="F111" s="4"/>
      <c r="G111" s="7"/>
      <c r="H111" s="8"/>
    </row>
    <row r="112" spans="1:254" s="11" customFormat="1" ht="15">
      <c r="A112" s="4"/>
      <c r="B112" s="5"/>
      <c r="C112" s="6"/>
      <c r="D112" s="5"/>
      <c r="E112" s="7"/>
      <c r="F112" s="4"/>
      <c r="G112" s="7"/>
      <c r="H112" s="8"/>
    </row>
    <row r="113" spans="1:8" ht="15">
      <c r="A113" s="14"/>
      <c r="B113" s="15"/>
      <c r="C113" s="15"/>
      <c r="F113" s="18"/>
      <c r="G113" s="19"/>
      <c r="H113" s="20"/>
    </row>
    <row r="114" spans="1:8">
      <c r="A114" s="14"/>
      <c r="B114" s="15"/>
      <c r="C114" s="15"/>
      <c r="F114" s="18"/>
    </row>
    <row r="115" spans="1:8">
      <c r="A115" s="14"/>
      <c r="B115" s="15"/>
      <c r="C115" s="15"/>
      <c r="F115" s="18"/>
    </row>
    <row r="116" spans="1:8">
      <c r="A116" s="14"/>
      <c r="B116" s="15"/>
      <c r="C116" s="15"/>
      <c r="F116" s="18"/>
    </row>
    <row r="117" spans="1:8">
      <c r="A117" s="14"/>
      <c r="B117" s="15"/>
      <c r="C117" s="15"/>
      <c r="F117" s="18"/>
    </row>
    <row r="118" spans="1:8">
      <c r="A118" s="14"/>
      <c r="B118" s="15"/>
      <c r="C118" s="15"/>
      <c r="F118" s="18"/>
    </row>
    <row r="119" spans="1:8">
      <c r="A119" s="14"/>
      <c r="B119" s="15"/>
      <c r="C119" s="15"/>
      <c r="F119" s="18"/>
    </row>
    <row r="120" spans="1:8">
      <c r="A120" s="14"/>
      <c r="B120" s="15"/>
      <c r="C120" s="15"/>
      <c r="F120" s="18"/>
    </row>
    <row r="121" spans="1:8">
      <c r="A121" s="14"/>
      <c r="B121" s="15"/>
      <c r="C121" s="15"/>
      <c r="F121" s="18"/>
    </row>
    <row r="122" spans="1:8">
      <c r="A122" s="14"/>
      <c r="B122" s="15"/>
      <c r="C122" s="15"/>
      <c r="F122" s="18"/>
    </row>
    <row r="123" spans="1:8">
      <c r="A123" s="14"/>
      <c r="B123" s="15"/>
      <c r="C123" s="15"/>
      <c r="F123" s="18"/>
    </row>
    <row r="124" spans="1:8">
      <c r="A124" s="14"/>
      <c r="B124" s="15"/>
      <c r="C124" s="15"/>
      <c r="F124" s="18"/>
    </row>
    <row r="125" spans="1:8">
      <c r="A125" s="14"/>
      <c r="B125" s="15"/>
      <c r="C125" s="15"/>
      <c r="F125" s="18"/>
    </row>
    <row r="126" spans="1:8">
      <c r="A126" s="14"/>
      <c r="B126" s="15"/>
      <c r="C126" s="15"/>
      <c r="F126" s="18"/>
    </row>
    <row r="127" spans="1:8">
      <c r="A127" s="14"/>
      <c r="B127" s="15"/>
      <c r="C127" s="15"/>
      <c r="F127" s="18"/>
    </row>
    <row r="128" spans="1:8">
      <c r="A128" s="14"/>
      <c r="B128" s="15"/>
      <c r="C128" s="15"/>
      <c r="F128" s="18"/>
    </row>
    <row r="129" spans="1:6">
      <c r="A129" s="14"/>
      <c r="B129" s="15"/>
      <c r="C129" s="15"/>
      <c r="F129" s="18"/>
    </row>
    <row r="130" spans="1:6">
      <c r="A130" s="14"/>
      <c r="B130" s="15"/>
      <c r="C130" s="15"/>
      <c r="F130" s="18"/>
    </row>
    <row r="131" spans="1:6">
      <c r="A131" s="14"/>
      <c r="B131" s="15"/>
      <c r="C131" s="15"/>
      <c r="F131" s="18"/>
    </row>
    <row r="132" spans="1:6">
      <c r="A132" s="14"/>
      <c r="B132" s="22"/>
      <c r="C132" s="22"/>
      <c r="F132" s="23"/>
    </row>
    <row r="133" spans="1:6">
      <c r="A133" s="14"/>
      <c r="B133" s="22"/>
      <c r="C133" s="22"/>
      <c r="F133" s="23"/>
    </row>
    <row r="134" spans="1:6">
      <c r="A134" s="14"/>
      <c r="B134" s="22"/>
      <c r="C134" s="22"/>
      <c r="F134" s="23"/>
    </row>
    <row r="135" spans="1:6">
      <c r="A135" s="14"/>
      <c r="B135" s="22"/>
      <c r="C135" s="22"/>
      <c r="F135" s="23"/>
    </row>
    <row r="136" spans="1:6">
      <c r="A136" s="14"/>
      <c r="B136" s="22"/>
      <c r="C136" s="22"/>
      <c r="F136" s="24"/>
    </row>
    <row r="137" spans="1:6">
      <c r="A137" s="14"/>
      <c r="B137" s="15"/>
      <c r="C137" s="15"/>
      <c r="F137" s="24"/>
    </row>
    <row r="138" spans="1:6">
      <c r="A138" s="14"/>
      <c r="B138" s="15"/>
      <c r="C138" s="15"/>
      <c r="F138" s="18"/>
    </row>
    <row r="139" spans="1:6">
      <c r="A139" s="14"/>
      <c r="B139" s="25"/>
      <c r="C139" s="25"/>
      <c r="F139" s="18"/>
    </row>
    <row r="140" spans="1:6">
      <c r="A140" s="14"/>
      <c r="B140" s="25"/>
      <c r="C140" s="25"/>
      <c r="F140" s="18"/>
    </row>
    <row r="141" spans="1:6">
      <c r="A141" s="14"/>
      <c r="B141" s="25"/>
      <c r="C141" s="25"/>
      <c r="F141" s="18"/>
    </row>
    <row r="142" spans="1:6">
      <c r="A142" s="14"/>
      <c r="B142" s="25"/>
      <c r="C142" s="25"/>
      <c r="F142" s="18"/>
    </row>
    <row r="143" spans="1:6">
      <c r="A143" s="14"/>
      <c r="B143" s="15"/>
      <c r="C143" s="15"/>
      <c r="F143" s="18"/>
    </row>
    <row r="144" spans="1:6">
      <c r="A144" s="14"/>
      <c r="B144" s="15"/>
      <c r="C144" s="15"/>
      <c r="F144" s="18"/>
    </row>
    <row r="145" spans="1:6">
      <c r="A145" s="14"/>
      <c r="B145" s="15"/>
      <c r="C145" s="15"/>
      <c r="F145" s="18"/>
    </row>
    <row r="146" spans="1:6">
      <c r="A146" s="14"/>
      <c r="B146" s="25"/>
      <c r="C146" s="25"/>
      <c r="F146" s="18"/>
    </row>
    <row r="147" spans="1:6">
      <c r="A147" s="14"/>
      <c r="B147" s="15"/>
      <c r="C147" s="15"/>
      <c r="F147" s="18"/>
    </row>
    <row r="148" spans="1:6">
      <c r="A148" s="14"/>
      <c r="B148" s="25"/>
      <c r="C148" s="25"/>
      <c r="F148" s="18"/>
    </row>
    <row r="149" spans="1:6">
      <c r="A149" s="14"/>
      <c r="B149" s="15"/>
      <c r="C149" s="15"/>
      <c r="F149" s="18"/>
    </row>
    <row r="150" spans="1:6">
      <c r="A150" s="14"/>
      <c r="B150" s="15"/>
      <c r="C150" s="15"/>
      <c r="F150" s="18"/>
    </row>
    <row r="151" spans="1:6">
      <c r="A151" s="14"/>
      <c r="B151" s="15"/>
      <c r="C151" s="15"/>
      <c r="F151" s="18"/>
    </row>
    <row r="152" spans="1:6">
      <c r="A152" s="14"/>
      <c r="B152" s="15"/>
      <c r="C152" s="15"/>
      <c r="F152" s="18"/>
    </row>
    <row r="155" spans="1:6">
      <c r="B155" s="15"/>
      <c r="C155" s="15"/>
    </row>
    <row r="156" spans="1:6">
      <c r="B156" s="15"/>
      <c r="C156" s="15"/>
    </row>
    <row r="157" spans="1:6">
      <c r="A157" s="27"/>
      <c r="B157" s="15"/>
      <c r="C157" s="15"/>
      <c r="D157" s="27"/>
      <c r="F157" s="18"/>
    </row>
    <row r="158" spans="1:6">
      <c r="B158" s="15"/>
      <c r="C158" s="15"/>
      <c r="F158" s="18"/>
    </row>
    <row r="159" spans="1:6">
      <c r="B159" s="15"/>
      <c r="C159" s="15"/>
      <c r="F159" s="18"/>
    </row>
    <row r="160" spans="1:6">
      <c r="B160" s="15"/>
      <c r="C160" s="15"/>
      <c r="F160" s="18"/>
    </row>
    <row r="161" spans="1:6">
      <c r="B161" s="15"/>
      <c r="C161" s="15"/>
      <c r="F161" s="18"/>
    </row>
    <row r="162" spans="1:6">
      <c r="B162" s="15"/>
      <c r="C162" s="15"/>
      <c r="F162" s="18"/>
    </row>
    <row r="163" spans="1:6">
      <c r="B163" s="15"/>
      <c r="C163" s="15"/>
      <c r="F163" s="18"/>
    </row>
    <row r="164" spans="1:6">
      <c r="B164" s="15"/>
      <c r="C164" s="15"/>
      <c r="F164" s="18"/>
    </row>
    <row r="165" spans="1:6">
      <c r="B165" s="15"/>
      <c r="C165" s="15"/>
      <c r="F165" s="18"/>
    </row>
    <row r="166" spans="1:6">
      <c r="A166" s="14"/>
      <c r="B166" s="15"/>
      <c r="C166" s="15"/>
      <c r="F166" s="18"/>
    </row>
    <row r="167" spans="1:6">
      <c r="A167" s="14"/>
      <c r="B167" s="15"/>
      <c r="C167" s="15"/>
      <c r="F167" s="18"/>
    </row>
    <row r="168" spans="1:6">
      <c r="A168" s="14"/>
      <c r="B168" s="15"/>
      <c r="C168" s="15"/>
      <c r="F168" s="18"/>
    </row>
    <row r="169" spans="1:6">
      <c r="A169" s="14"/>
      <c r="B169" s="15"/>
      <c r="C169" s="15"/>
      <c r="F169" s="18"/>
    </row>
    <row r="170" spans="1:6">
      <c r="A170" s="14"/>
      <c r="B170" s="15"/>
      <c r="C170" s="15"/>
      <c r="F170" s="18"/>
    </row>
    <row r="171" spans="1:6">
      <c r="A171" s="14"/>
      <c r="B171" s="15"/>
      <c r="C171" s="15"/>
      <c r="F171" s="28"/>
    </row>
    <row r="172" spans="1:6">
      <c r="A172" s="14"/>
      <c r="B172" s="15"/>
      <c r="C172" s="15"/>
      <c r="F172" s="18"/>
    </row>
    <row r="173" spans="1:6">
      <c r="A173" s="14"/>
      <c r="B173" s="15"/>
      <c r="C173" s="15"/>
      <c r="F173" s="18"/>
    </row>
    <row r="174" spans="1:6">
      <c r="A174" s="14"/>
      <c r="B174" s="15"/>
      <c r="C174" s="15"/>
      <c r="F174" s="28"/>
    </row>
    <row r="175" spans="1:6">
      <c r="A175" s="14"/>
      <c r="B175" s="15"/>
      <c r="C175" s="15"/>
      <c r="F175" s="18"/>
    </row>
    <row r="176" spans="1:6">
      <c r="A176" s="14"/>
      <c r="B176" s="15"/>
      <c r="C176" s="15"/>
      <c r="F176" s="18"/>
    </row>
    <row r="177" spans="1:6">
      <c r="A177" s="14"/>
      <c r="B177" s="15"/>
      <c r="C177" s="15"/>
      <c r="F177" s="29"/>
    </row>
    <row r="178" spans="1:6">
      <c r="A178" s="14"/>
      <c r="B178" s="15"/>
      <c r="C178" s="15"/>
      <c r="F178" s="18"/>
    </row>
    <row r="179" spans="1:6">
      <c r="A179" s="14"/>
      <c r="B179" s="15"/>
      <c r="C179" s="15"/>
      <c r="F179" s="18"/>
    </row>
    <row r="180" spans="1:6">
      <c r="A180" s="14"/>
      <c r="B180" s="15"/>
      <c r="C180" s="15"/>
      <c r="F180" s="29"/>
    </row>
    <row r="181" spans="1:6">
      <c r="A181" s="14"/>
      <c r="B181" s="15"/>
      <c r="C181" s="15"/>
      <c r="F181" s="18"/>
    </row>
    <row r="182" spans="1:6">
      <c r="A182" s="14"/>
      <c r="B182" s="15"/>
      <c r="C182" s="15"/>
      <c r="F182" s="18"/>
    </row>
    <row r="183" spans="1:6">
      <c r="A183" s="14"/>
      <c r="B183" s="25"/>
      <c r="C183" s="25"/>
      <c r="F183" s="18"/>
    </row>
    <row r="184" spans="1:6">
      <c r="A184" s="14"/>
      <c r="B184" s="15"/>
      <c r="C184" s="15"/>
      <c r="F184" s="18"/>
    </row>
    <row r="185" spans="1:6">
      <c r="A185" s="14"/>
      <c r="B185" s="15"/>
      <c r="C185" s="15"/>
      <c r="F185" s="18"/>
    </row>
    <row r="186" spans="1:6">
      <c r="A186" s="14"/>
      <c r="B186" s="15"/>
      <c r="C186" s="15"/>
      <c r="F186" s="18"/>
    </row>
    <row r="187" spans="1:6">
      <c r="A187" s="14"/>
      <c r="B187" s="15"/>
      <c r="C187" s="15"/>
      <c r="F187" s="18"/>
    </row>
    <row r="188" spans="1:6">
      <c r="A188" s="14"/>
      <c r="B188" s="15"/>
      <c r="C188" s="15"/>
      <c r="F188" s="18"/>
    </row>
    <row r="189" spans="1:6">
      <c r="A189" s="14"/>
      <c r="B189" s="15"/>
      <c r="C189" s="15"/>
      <c r="F189" s="18"/>
    </row>
    <row r="190" spans="1:6">
      <c r="A190" s="14"/>
      <c r="B190" s="15"/>
      <c r="C190" s="15"/>
      <c r="F190" s="18"/>
    </row>
    <row r="191" spans="1:6">
      <c r="A191" s="14"/>
      <c r="B191" s="15"/>
      <c r="C191" s="15"/>
      <c r="F191" s="18"/>
    </row>
    <row r="192" spans="1:6">
      <c r="A192" s="14"/>
      <c r="B192" s="15"/>
      <c r="C192" s="15"/>
      <c r="F192" s="18"/>
    </row>
    <row r="193" spans="1:6">
      <c r="A193" s="14"/>
      <c r="B193" s="15"/>
      <c r="C193" s="15"/>
      <c r="F193" s="18"/>
    </row>
    <row r="194" spans="1:6">
      <c r="A194" s="14"/>
      <c r="B194" s="15"/>
      <c r="C194" s="15"/>
      <c r="F194" s="18"/>
    </row>
    <row r="195" spans="1:6">
      <c r="A195" s="14"/>
      <c r="B195" s="15"/>
      <c r="C195" s="15"/>
      <c r="F195" s="18"/>
    </row>
    <row r="196" spans="1:6">
      <c r="A196" s="14"/>
      <c r="B196" s="15"/>
      <c r="C196" s="15"/>
      <c r="F196" s="18"/>
    </row>
    <row r="197" spans="1:6">
      <c r="A197" s="14"/>
      <c r="B197" s="15"/>
      <c r="C197" s="15"/>
      <c r="F197" s="18"/>
    </row>
    <row r="198" spans="1:6">
      <c r="A198" s="14"/>
      <c r="B198" s="15"/>
      <c r="C198" s="15"/>
      <c r="F198" s="18"/>
    </row>
    <row r="199" spans="1:6">
      <c r="A199" s="14"/>
      <c r="B199" s="15"/>
      <c r="C199" s="15"/>
      <c r="F199" s="18"/>
    </row>
    <row r="200" spans="1:6">
      <c r="A200" s="14"/>
      <c r="B200" s="15"/>
      <c r="C200" s="15"/>
      <c r="F200" s="18"/>
    </row>
    <row r="201" spans="1:6">
      <c r="A201" s="14"/>
      <c r="B201" s="15"/>
      <c r="C201" s="15"/>
      <c r="F201" s="18"/>
    </row>
    <row r="202" spans="1:6">
      <c r="A202" s="14"/>
      <c r="B202" s="22"/>
      <c r="C202" s="22"/>
      <c r="F202" s="23"/>
    </row>
    <row r="203" spans="1:6">
      <c r="A203" s="14"/>
      <c r="B203" s="22"/>
      <c r="C203" s="22"/>
      <c r="F203" s="23"/>
    </row>
    <row r="204" spans="1:6">
      <c r="A204" s="14"/>
      <c r="B204" s="22"/>
      <c r="C204" s="22"/>
      <c r="F204" s="23"/>
    </row>
    <row r="205" spans="1:6">
      <c r="A205" s="14"/>
      <c r="B205" s="22"/>
      <c r="C205" s="22"/>
      <c r="F205" s="23"/>
    </row>
    <row r="206" spans="1:6">
      <c r="A206" s="14"/>
      <c r="B206" s="22"/>
      <c r="C206" s="22"/>
      <c r="F206" s="24"/>
    </row>
    <row r="207" spans="1:6">
      <c r="A207" s="14"/>
      <c r="B207" s="15"/>
      <c r="C207" s="15"/>
      <c r="F207" s="24"/>
    </row>
    <row r="208" spans="1:6">
      <c r="A208" s="14"/>
      <c r="B208" s="15"/>
      <c r="C208" s="15"/>
      <c r="F208" s="18"/>
    </row>
    <row r="209" spans="1:6">
      <c r="A209" s="14"/>
      <c r="B209" s="25"/>
      <c r="C209" s="25"/>
      <c r="F209" s="18"/>
    </row>
    <row r="210" spans="1:6">
      <c r="A210" s="14"/>
      <c r="B210" s="25"/>
      <c r="C210" s="25"/>
      <c r="F210" s="18"/>
    </row>
    <row r="211" spans="1:6">
      <c r="A211" s="14"/>
      <c r="B211" s="25"/>
      <c r="C211" s="25"/>
      <c r="F211" s="18"/>
    </row>
    <row r="212" spans="1:6">
      <c r="A212" s="14"/>
      <c r="B212" s="25"/>
      <c r="C212" s="25"/>
      <c r="F212" s="18"/>
    </row>
    <row r="213" spans="1:6">
      <c r="A213" s="14"/>
      <c r="B213" s="15"/>
      <c r="C213" s="15"/>
      <c r="F213" s="18"/>
    </row>
    <row r="214" spans="1:6">
      <c r="A214" s="14"/>
      <c r="B214" s="15"/>
      <c r="C214" s="15"/>
      <c r="F214" s="18"/>
    </row>
    <row r="215" spans="1:6">
      <c r="A215" s="14"/>
      <c r="B215" s="15"/>
      <c r="C215" s="15"/>
      <c r="F215" s="18"/>
    </row>
    <row r="216" spans="1:6">
      <c r="A216" s="14"/>
      <c r="B216" s="25"/>
      <c r="C216" s="25"/>
      <c r="F216" s="18"/>
    </row>
    <row r="217" spans="1:6">
      <c r="A217" s="14"/>
      <c r="B217" s="15"/>
      <c r="C217" s="15"/>
      <c r="F217" s="18"/>
    </row>
    <row r="218" spans="1:6">
      <c r="A218" s="14"/>
      <c r="B218" s="25"/>
      <c r="C218" s="25"/>
      <c r="F218" s="18"/>
    </row>
    <row r="219" spans="1:6">
      <c r="A219" s="14"/>
      <c r="B219" s="15"/>
      <c r="C219" s="15"/>
      <c r="F219" s="18"/>
    </row>
    <row r="220" spans="1:6">
      <c r="A220" s="14"/>
      <c r="B220" s="15"/>
      <c r="C220" s="15"/>
      <c r="F220" s="18"/>
    </row>
    <row r="221" spans="1:6">
      <c r="A221" s="14"/>
      <c r="B221" s="15"/>
      <c r="C221" s="15"/>
      <c r="F221" s="18"/>
    </row>
    <row r="222" spans="1:6">
      <c r="A222" s="14"/>
      <c r="B222" s="15"/>
      <c r="C222" s="15"/>
      <c r="F222" s="18"/>
    </row>
    <row r="225" spans="1:6">
      <c r="B225" s="15"/>
      <c r="C225" s="15"/>
    </row>
    <row r="226" spans="1:6">
      <c r="B226" s="15"/>
      <c r="C226" s="15"/>
    </row>
    <row r="227" spans="1:6">
      <c r="A227" s="27"/>
      <c r="B227" s="15"/>
      <c r="C227" s="15"/>
      <c r="D227" s="27"/>
      <c r="F227" s="18"/>
    </row>
    <row r="228" spans="1:6">
      <c r="B228" s="15"/>
      <c r="C228" s="15"/>
      <c r="F228" s="18"/>
    </row>
    <row r="229" spans="1:6">
      <c r="B229" s="15"/>
      <c r="C229" s="15"/>
      <c r="F229" s="18"/>
    </row>
    <row r="230" spans="1:6">
      <c r="B230" s="15"/>
      <c r="C230" s="15"/>
      <c r="F230" s="18"/>
    </row>
    <row r="231" spans="1:6">
      <c r="B231" s="15"/>
      <c r="C231" s="15"/>
      <c r="F231" s="18"/>
    </row>
    <row r="232" spans="1:6">
      <c r="B232" s="15"/>
      <c r="C232" s="15"/>
      <c r="F232" s="18"/>
    </row>
    <row r="233" spans="1:6">
      <c r="B233" s="15"/>
      <c r="C233" s="15"/>
      <c r="F233" s="18"/>
    </row>
    <row r="234" spans="1:6">
      <c r="B234" s="15"/>
      <c r="C234" s="15"/>
      <c r="F234" s="18"/>
    </row>
    <row r="235" spans="1:6">
      <c r="B235" s="15"/>
      <c r="C235" s="15"/>
      <c r="F235" s="18"/>
    </row>
    <row r="236" spans="1:6">
      <c r="A236" s="14"/>
      <c r="B236" s="15"/>
      <c r="C236" s="15"/>
      <c r="F236" s="18"/>
    </row>
    <row r="237" spans="1:6">
      <c r="A237" s="14"/>
      <c r="B237" s="15"/>
      <c r="C237" s="15"/>
      <c r="F237" s="18"/>
    </row>
    <row r="238" spans="1:6">
      <c r="A238" s="14"/>
      <c r="B238" s="15"/>
      <c r="C238" s="15"/>
      <c r="F238" s="18"/>
    </row>
    <row r="239" spans="1:6">
      <c r="A239" s="14"/>
      <c r="B239" s="15"/>
      <c r="C239" s="15"/>
      <c r="F239" s="18"/>
    </row>
    <row r="240" spans="1:6">
      <c r="A240" s="14"/>
      <c r="B240" s="15"/>
      <c r="C240" s="15"/>
      <c r="F240" s="18"/>
    </row>
    <row r="241" spans="1:6">
      <c r="A241" s="14"/>
      <c r="B241" s="15"/>
      <c r="C241" s="15"/>
      <c r="F241" s="28"/>
    </row>
    <row r="242" spans="1:6">
      <c r="A242" s="14"/>
      <c r="B242" s="15"/>
      <c r="C242" s="15"/>
      <c r="F242" s="18"/>
    </row>
    <row r="243" spans="1:6">
      <c r="A243" s="14"/>
      <c r="B243" s="15"/>
      <c r="C243" s="15"/>
      <c r="F243" s="18"/>
    </row>
    <row r="244" spans="1:6">
      <c r="A244" s="14"/>
      <c r="B244" s="15"/>
      <c r="C244" s="15"/>
      <c r="F244" s="28"/>
    </row>
    <row r="245" spans="1:6">
      <c r="A245" s="14"/>
      <c r="B245" s="15"/>
      <c r="C245" s="15"/>
      <c r="F245" s="18"/>
    </row>
    <row r="246" spans="1:6">
      <c r="A246" s="14"/>
      <c r="B246" s="15"/>
      <c r="C246" s="15"/>
      <c r="F246" s="18"/>
    </row>
    <row r="247" spans="1:6">
      <c r="A247" s="14"/>
      <c r="B247" s="15"/>
      <c r="C247" s="15"/>
      <c r="F247" s="29"/>
    </row>
    <row r="248" spans="1:6">
      <c r="A248" s="14"/>
      <c r="B248" s="15"/>
      <c r="C248" s="15"/>
      <c r="F248" s="18"/>
    </row>
    <row r="249" spans="1:6">
      <c r="A249" s="14"/>
      <c r="B249" s="15"/>
      <c r="C249" s="15"/>
      <c r="F249" s="18"/>
    </row>
    <row r="250" spans="1:6">
      <c r="A250" s="14"/>
      <c r="B250" s="15"/>
      <c r="C250" s="15"/>
      <c r="F250" s="29"/>
    </row>
    <row r="251" spans="1:6">
      <c r="A251" s="14"/>
      <c r="B251" s="15"/>
      <c r="C251" s="15"/>
      <c r="F251" s="18"/>
    </row>
    <row r="252" spans="1:6">
      <c r="A252" s="14"/>
      <c r="B252" s="15"/>
      <c r="C252" s="15"/>
      <c r="F252" s="18"/>
    </row>
    <row r="253" spans="1:6">
      <c r="A253" s="14"/>
      <c r="B253" s="25"/>
      <c r="C253" s="25"/>
      <c r="F253" s="18"/>
    </row>
    <row r="254" spans="1:6">
      <c r="A254" s="14"/>
      <c r="B254" s="15"/>
      <c r="C254" s="15"/>
      <c r="F254" s="18"/>
    </row>
    <row r="255" spans="1:6">
      <c r="A255" s="14"/>
      <c r="B255" s="15"/>
      <c r="C255" s="15"/>
      <c r="F255" s="18"/>
    </row>
    <row r="256" spans="1:6">
      <c r="A256" s="14"/>
      <c r="B256" s="15"/>
      <c r="C256" s="15"/>
      <c r="F256" s="18"/>
    </row>
    <row r="257" spans="1:6">
      <c r="A257" s="14"/>
      <c r="B257" s="15"/>
      <c r="C257" s="15"/>
      <c r="F257" s="18"/>
    </row>
    <row r="258" spans="1:6">
      <c r="A258" s="14"/>
      <c r="B258" s="15"/>
      <c r="C258" s="15"/>
      <c r="F258" s="18"/>
    </row>
    <row r="259" spans="1:6">
      <c r="A259" s="14"/>
      <c r="B259" s="15"/>
      <c r="C259" s="15"/>
      <c r="F259" s="18"/>
    </row>
    <row r="260" spans="1:6">
      <c r="A260" s="14"/>
      <c r="B260" s="15"/>
      <c r="C260" s="15"/>
      <c r="F260" s="18"/>
    </row>
    <row r="261" spans="1:6">
      <c r="A261" s="14"/>
      <c r="B261" s="15"/>
      <c r="C261" s="15"/>
      <c r="F261" s="18"/>
    </row>
    <row r="262" spans="1:6">
      <c r="A262" s="14"/>
      <c r="B262" s="15"/>
      <c r="C262" s="15"/>
      <c r="F262" s="18"/>
    </row>
    <row r="263" spans="1:6">
      <c r="A263" s="14"/>
      <c r="B263" s="15"/>
      <c r="C263" s="15"/>
      <c r="F263" s="18"/>
    </row>
    <row r="264" spans="1:6">
      <c r="A264" s="14"/>
      <c r="B264" s="15"/>
      <c r="C264" s="15"/>
      <c r="F264" s="18"/>
    </row>
    <row r="265" spans="1:6">
      <c r="A265" s="14"/>
      <c r="B265" s="15"/>
      <c r="C265" s="15"/>
      <c r="F265" s="18"/>
    </row>
    <row r="266" spans="1:6">
      <c r="A266" s="14"/>
      <c r="B266" s="15"/>
      <c r="C266" s="15"/>
      <c r="F266" s="18"/>
    </row>
    <row r="267" spans="1:6">
      <c r="A267" s="14"/>
      <c r="B267" s="15"/>
      <c r="C267" s="15"/>
      <c r="F267" s="18"/>
    </row>
    <row r="268" spans="1:6">
      <c r="A268" s="14"/>
      <c r="B268" s="15"/>
      <c r="C268" s="15"/>
      <c r="F268" s="18"/>
    </row>
    <row r="269" spans="1:6">
      <c r="A269" s="14"/>
      <c r="B269" s="15"/>
      <c r="C269" s="15"/>
      <c r="F269" s="18"/>
    </row>
    <row r="270" spans="1:6">
      <c r="A270" s="14"/>
      <c r="B270" s="15"/>
      <c r="C270" s="15"/>
      <c r="F270" s="18"/>
    </row>
    <row r="271" spans="1:6">
      <c r="A271" s="14"/>
      <c r="B271" s="15"/>
      <c r="C271" s="15"/>
      <c r="F271" s="18"/>
    </row>
    <row r="272" spans="1:6">
      <c r="A272" s="14"/>
      <c r="B272" s="22"/>
      <c r="C272" s="22"/>
      <c r="F272" s="23"/>
    </row>
    <row r="273" spans="1:6">
      <c r="A273" s="14"/>
      <c r="B273" s="22"/>
      <c r="C273" s="22"/>
      <c r="F273" s="23"/>
    </row>
    <row r="274" spans="1:6">
      <c r="A274" s="14"/>
      <c r="B274" s="22"/>
      <c r="C274" s="22"/>
      <c r="F274" s="23"/>
    </row>
    <row r="275" spans="1:6">
      <c r="A275" s="14"/>
      <c r="B275" s="22"/>
      <c r="C275" s="22"/>
      <c r="F275" s="23"/>
    </row>
    <row r="276" spans="1:6">
      <c r="A276" s="14"/>
      <c r="B276" s="22"/>
      <c r="C276" s="22"/>
      <c r="F276" s="24"/>
    </row>
    <row r="277" spans="1:6">
      <c r="A277" s="14"/>
      <c r="B277" s="15"/>
      <c r="C277" s="15"/>
      <c r="F277" s="24"/>
    </row>
    <row r="278" spans="1:6">
      <c r="A278" s="14"/>
      <c r="B278" s="15"/>
      <c r="C278" s="15"/>
      <c r="F278" s="18"/>
    </row>
    <row r="279" spans="1:6">
      <c r="A279" s="14"/>
      <c r="B279" s="25"/>
      <c r="C279" s="25"/>
      <c r="F279" s="18"/>
    </row>
    <row r="280" spans="1:6">
      <c r="A280" s="14"/>
      <c r="B280" s="25"/>
      <c r="C280" s="25"/>
      <c r="F280" s="18"/>
    </row>
    <row r="281" spans="1:6">
      <c r="A281" s="14"/>
      <c r="B281" s="25"/>
      <c r="C281" s="25"/>
      <c r="F281" s="18"/>
    </row>
    <row r="282" spans="1:6">
      <c r="A282" s="14"/>
      <c r="B282" s="25"/>
      <c r="C282" s="25"/>
      <c r="F282" s="18"/>
    </row>
    <row r="283" spans="1:6">
      <c r="A283" s="14"/>
      <c r="B283" s="15"/>
      <c r="C283" s="15"/>
      <c r="F283" s="18"/>
    </row>
    <row r="284" spans="1:6">
      <c r="A284" s="14"/>
      <c r="B284" s="15"/>
      <c r="C284" s="15"/>
      <c r="F284" s="18"/>
    </row>
    <row r="285" spans="1:6">
      <c r="A285" s="14"/>
      <c r="B285" s="15"/>
      <c r="C285" s="15"/>
      <c r="F285" s="18"/>
    </row>
    <row r="286" spans="1:6">
      <c r="A286" s="14"/>
      <c r="B286" s="25"/>
      <c r="C286" s="25"/>
      <c r="F286" s="18"/>
    </row>
    <row r="287" spans="1:6">
      <c r="A287" s="14"/>
      <c r="B287" s="15"/>
      <c r="C287" s="15"/>
      <c r="F287" s="18"/>
    </row>
    <row r="288" spans="1:6">
      <c r="A288" s="14"/>
      <c r="B288" s="25"/>
      <c r="C288" s="25"/>
      <c r="F288" s="18"/>
    </row>
    <row r="289" spans="1:6">
      <c r="A289" s="14"/>
      <c r="B289" s="15"/>
      <c r="C289" s="15"/>
      <c r="F289" s="18"/>
    </row>
    <row r="290" spans="1:6">
      <c r="A290" s="14"/>
      <c r="B290" s="15"/>
      <c r="C290" s="15"/>
      <c r="F290" s="18"/>
    </row>
    <row r="291" spans="1:6">
      <c r="A291" s="14"/>
      <c r="B291" s="15"/>
      <c r="C291" s="15"/>
      <c r="F291" s="18"/>
    </row>
    <row r="292" spans="1:6">
      <c r="A292" s="14"/>
      <c r="B292" s="15"/>
      <c r="C292" s="15"/>
      <c r="F292" s="18"/>
    </row>
    <row r="295" spans="1:6">
      <c r="B295" s="15"/>
      <c r="C295" s="15"/>
    </row>
    <row r="296" spans="1:6">
      <c r="B296" s="15"/>
      <c r="C296" s="15"/>
    </row>
    <row r="297" spans="1:6">
      <c r="A297" s="27"/>
      <c r="B297" s="15"/>
      <c r="C297" s="15"/>
      <c r="D297" s="27"/>
      <c r="F297" s="18"/>
    </row>
    <row r="298" spans="1:6">
      <c r="B298" s="15"/>
      <c r="C298" s="15"/>
      <c r="F298" s="18"/>
    </row>
    <row r="299" spans="1:6">
      <c r="B299" s="15"/>
      <c r="C299" s="15"/>
      <c r="F299" s="18"/>
    </row>
    <row r="300" spans="1:6">
      <c r="B300" s="15"/>
      <c r="C300" s="15"/>
      <c r="F300" s="18"/>
    </row>
    <row r="301" spans="1:6">
      <c r="B301" s="15"/>
      <c r="C301" s="15"/>
      <c r="F301" s="18"/>
    </row>
    <row r="302" spans="1:6">
      <c r="B302" s="15"/>
      <c r="C302" s="15"/>
      <c r="F302" s="18"/>
    </row>
    <row r="303" spans="1:6">
      <c r="B303" s="15"/>
      <c r="C303" s="15"/>
      <c r="F303" s="18"/>
    </row>
    <row r="304" spans="1:6">
      <c r="B304" s="15"/>
      <c r="C304" s="15"/>
      <c r="F304" s="18"/>
    </row>
    <row r="305" spans="1:6">
      <c r="B305" s="15"/>
      <c r="C305" s="15"/>
      <c r="F305" s="18"/>
    </row>
    <row r="306" spans="1:6">
      <c r="A306" s="14"/>
      <c r="B306" s="15"/>
      <c r="C306" s="15"/>
      <c r="F306" s="18"/>
    </row>
    <row r="307" spans="1:6">
      <c r="A307" s="14"/>
      <c r="B307" s="15"/>
      <c r="C307" s="15"/>
      <c r="F307" s="18"/>
    </row>
    <row r="308" spans="1:6">
      <c r="A308" s="14"/>
      <c r="B308" s="15"/>
      <c r="C308" s="15"/>
      <c r="F308" s="18"/>
    </row>
    <row r="309" spans="1:6">
      <c r="A309" s="14"/>
      <c r="B309" s="15"/>
      <c r="C309" s="15"/>
      <c r="F309" s="18"/>
    </row>
    <row r="310" spans="1:6">
      <c r="A310" s="14"/>
      <c r="B310" s="15"/>
      <c r="C310" s="15"/>
      <c r="F310" s="18"/>
    </row>
    <row r="311" spans="1:6">
      <c r="A311" s="14"/>
      <c r="B311" s="15"/>
      <c r="C311" s="15"/>
      <c r="F311" s="28"/>
    </row>
    <row r="312" spans="1:6">
      <c r="A312" s="14"/>
      <c r="B312" s="15"/>
      <c r="C312" s="15"/>
      <c r="F312" s="18"/>
    </row>
    <row r="313" spans="1:6">
      <c r="A313" s="14"/>
      <c r="B313" s="15"/>
      <c r="C313" s="15"/>
      <c r="F313" s="18"/>
    </row>
    <row r="314" spans="1:6">
      <c r="A314" s="14"/>
      <c r="B314" s="15"/>
      <c r="C314" s="15"/>
      <c r="F314" s="28"/>
    </row>
    <row r="315" spans="1:6">
      <c r="A315" s="14"/>
      <c r="B315" s="15"/>
      <c r="C315" s="15"/>
      <c r="F315" s="18"/>
    </row>
    <row r="316" spans="1:6">
      <c r="A316" s="14"/>
      <c r="B316" s="15"/>
      <c r="C316" s="15"/>
      <c r="F316" s="18"/>
    </row>
    <row r="317" spans="1:6">
      <c r="A317" s="14"/>
      <c r="B317" s="15"/>
      <c r="C317" s="15"/>
      <c r="F317" s="29"/>
    </row>
    <row r="318" spans="1:6">
      <c r="A318" s="14"/>
      <c r="B318" s="15"/>
      <c r="C318" s="15"/>
      <c r="F318" s="18"/>
    </row>
    <row r="319" spans="1:6">
      <c r="A319" s="14"/>
      <c r="B319" s="15"/>
      <c r="C319" s="15"/>
      <c r="F319" s="18"/>
    </row>
    <row r="320" spans="1:6">
      <c r="A320" s="14"/>
      <c r="B320" s="15"/>
      <c r="C320" s="15"/>
      <c r="F320" s="29"/>
    </row>
    <row r="321" spans="1:6">
      <c r="A321" s="14"/>
      <c r="B321" s="15"/>
      <c r="C321" s="15"/>
      <c r="F321" s="18"/>
    </row>
    <row r="322" spans="1:6">
      <c r="A322" s="14"/>
      <c r="B322" s="15"/>
      <c r="C322" s="15"/>
      <c r="F322" s="18"/>
    </row>
    <row r="323" spans="1:6">
      <c r="A323" s="14"/>
      <c r="B323" s="25"/>
      <c r="C323" s="25"/>
      <c r="F323" s="18"/>
    </row>
    <row r="324" spans="1:6">
      <c r="A324" s="14"/>
      <c r="B324" s="15"/>
      <c r="C324" s="15"/>
      <c r="F324" s="18"/>
    </row>
    <row r="325" spans="1:6">
      <c r="A325" s="14"/>
      <c r="B325" s="15"/>
      <c r="C325" s="15"/>
      <c r="F325" s="18"/>
    </row>
    <row r="326" spans="1:6">
      <c r="A326" s="14"/>
      <c r="B326" s="15"/>
      <c r="C326" s="15"/>
      <c r="F326" s="18"/>
    </row>
    <row r="327" spans="1:6">
      <c r="A327" s="14"/>
      <c r="B327" s="15"/>
      <c r="C327" s="15"/>
      <c r="F327" s="18"/>
    </row>
    <row r="328" spans="1:6">
      <c r="A328" s="14"/>
      <c r="B328" s="15"/>
      <c r="C328" s="15"/>
      <c r="F328" s="18"/>
    </row>
    <row r="329" spans="1:6">
      <c r="A329" s="14"/>
      <c r="B329" s="15"/>
      <c r="C329" s="15"/>
      <c r="F329" s="18"/>
    </row>
    <row r="330" spans="1:6">
      <c r="A330" s="14"/>
      <c r="B330" s="15"/>
      <c r="C330" s="15"/>
      <c r="F330" s="18"/>
    </row>
    <row r="331" spans="1:6">
      <c r="A331" s="14"/>
      <c r="B331" s="15"/>
      <c r="C331" s="15"/>
      <c r="F331" s="18"/>
    </row>
    <row r="332" spans="1:6">
      <c r="A332" s="14"/>
      <c r="B332" s="15"/>
      <c r="C332" s="15"/>
      <c r="F332" s="18"/>
    </row>
    <row r="333" spans="1:6">
      <c r="A333" s="14"/>
      <c r="B333" s="15"/>
      <c r="C333" s="15"/>
      <c r="F333" s="18"/>
    </row>
    <row r="334" spans="1:6">
      <c r="A334" s="14"/>
      <c r="B334" s="15"/>
      <c r="C334" s="15"/>
      <c r="F334" s="18"/>
    </row>
    <row r="335" spans="1:6">
      <c r="A335" s="14"/>
      <c r="B335" s="15"/>
      <c r="C335" s="15"/>
      <c r="F335" s="18"/>
    </row>
    <row r="336" spans="1:6">
      <c r="A336" s="14"/>
      <c r="B336" s="15"/>
      <c r="C336" s="15"/>
      <c r="F336" s="18"/>
    </row>
    <row r="337" spans="1:6">
      <c r="A337" s="14"/>
      <c r="B337" s="15"/>
      <c r="C337" s="15"/>
      <c r="F337" s="18"/>
    </row>
    <row r="338" spans="1:6">
      <c r="A338" s="14"/>
      <c r="B338" s="15"/>
      <c r="C338" s="15"/>
      <c r="F338" s="18"/>
    </row>
    <row r="339" spans="1:6">
      <c r="A339" s="14"/>
      <c r="B339" s="15"/>
      <c r="C339" s="15"/>
      <c r="F339" s="18"/>
    </row>
    <row r="340" spans="1:6">
      <c r="A340" s="14"/>
      <c r="B340" s="15"/>
      <c r="C340" s="15"/>
      <c r="F340" s="18"/>
    </row>
    <row r="341" spans="1:6">
      <c r="A341" s="14"/>
      <c r="B341" s="15"/>
      <c r="C341" s="15"/>
      <c r="F341" s="18"/>
    </row>
    <row r="342" spans="1:6">
      <c r="A342" s="14"/>
      <c r="B342" s="22"/>
      <c r="C342" s="22"/>
      <c r="F342" s="23"/>
    </row>
    <row r="343" spans="1:6">
      <c r="A343" s="14"/>
      <c r="B343" s="22"/>
      <c r="C343" s="22"/>
      <c r="F343" s="23"/>
    </row>
    <row r="344" spans="1:6">
      <c r="A344" s="14"/>
      <c r="B344" s="22"/>
      <c r="C344" s="22"/>
      <c r="F344" s="23"/>
    </row>
    <row r="345" spans="1:6">
      <c r="A345" s="14"/>
      <c r="B345" s="22"/>
      <c r="C345" s="22"/>
      <c r="F345" s="23"/>
    </row>
    <row r="346" spans="1:6">
      <c r="A346" s="14"/>
      <c r="B346" s="22"/>
      <c r="C346" s="22"/>
      <c r="F346" s="24"/>
    </row>
    <row r="347" spans="1:6">
      <c r="A347" s="14"/>
      <c r="B347" s="15"/>
      <c r="C347" s="15"/>
      <c r="F347" s="24"/>
    </row>
    <row r="348" spans="1:6">
      <c r="A348" s="14"/>
      <c r="B348" s="15"/>
      <c r="C348" s="15"/>
      <c r="F348" s="18"/>
    </row>
    <row r="349" spans="1:6">
      <c r="A349" s="14"/>
      <c r="B349" s="25"/>
      <c r="C349" s="25"/>
      <c r="F349" s="18"/>
    </row>
    <row r="350" spans="1:6">
      <c r="A350" s="14"/>
      <c r="B350" s="25"/>
      <c r="C350" s="25"/>
      <c r="F350" s="18"/>
    </row>
    <row r="351" spans="1:6">
      <c r="A351" s="14"/>
      <c r="B351" s="25"/>
      <c r="C351" s="25"/>
      <c r="F351" s="18"/>
    </row>
    <row r="352" spans="1:6">
      <c r="A352" s="14"/>
      <c r="B352" s="25"/>
      <c r="C352" s="25"/>
      <c r="F352" s="18"/>
    </row>
    <row r="353" spans="1:6">
      <c r="A353" s="14"/>
      <c r="B353" s="15"/>
      <c r="C353" s="15"/>
      <c r="F353" s="18"/>
    </row>
    <row r="354" spans="1:6">
      <c r="A354" s="14"/>
      <c r="B354" s="15"/>
      <c r="C354" s="15"/>
      <c r="F354" s="18"/>
    </row>
    <row r="355" spans="1:6">
      <c r="A355" s="14"/>
      <c r="B355" s="15"/>
      <c r="C355" s="15"/>
      <c r="F355" s="18"/>
    </row>
    <row r="356" spans="1:6">
      <c r="A356" s="14"/>
      <c r="B356" s="25"/>
      <c r="C356" s="25"/>
      <c r="F356" s="18"/>
    </row>
    <row r="357" spans="1:6">
      <c r="A357" s="14"/>
      <c r="B357" s="15"/>
      <c r="C357" s="15"/>
      <c r="F357" s="18"/>
    </row>
    <row r="358" spans="1:6">
      <c r="A358" s="14"/>
      <c r="B358" s="25"/>
      <c r="C358" s="25"/>
      <c r="F358" s="18"/>
    </row>
    <row r="359" spans="1:6">
      <c r="A359" s="14"/>
      <c r="B359" s="15"/>
      <c r="C359" s="15"/>
      <c r="F359" s="18"/>
    </row>
    <row r="360" spans="1:6">
      <c r="A360" s="14"/>
      <c r="B360" s="15"/>
      <c r="C360" s="15"/>
      <c r="F360" s="18"/>
    </row>
    <row r="361" spans="1:6">
      <c r="A361" s="14"/>
      <c r="B361" s="15"/>
      <c r="C361" s="15"/>
      <c r="F361" s="18"/>
    </row>
    <row r="362" spans="1:6">
      <c r="A362" s="14"/>
      <c r="B362" s="15"/>
      <c r="C362" s="15"/>
      <c r="F362" s="18"/>
    </row>
    <row r="365" spans="1:6">
      <c r="B365" s="15"/>
      <c r="C365" s="15"/>
    </row>
    <row r="366" spans="1:6">
      <c r="B366" s="15"/>
      <c r="C366" s="15"/>
    </row>
    <row r="367" spans="1:6">
      <c r="A367" s="27"/>
      <c r="B367" s="15"/>
      <c r="C367" s="15"/>
      <c r="D367" s="27"/>
      <c r="F367" s="18"/>
    </row>
    <row r="368" spans="1:6">
      <c r="B368" s="15"/>
      <c r="C368" s="15"/>
      <c r="F368" s="18"/>
    </row>
    <row r="369" spans="1:6">
      <c r="B369" s="15"/>
      <c r="C369" s="15"/>
      <c r="F369" s="18"/>
    </row>
    <row r="370" spans="1:6">
      <c r="B370" s="15"/>
      <c r="C370" s="15"/>
      <c r="F370" s="18"/>
    </row>
    <row r="371" spans="1:6">
      <c r="B371" s="15"/>
      <c r="C371" s="15"/>
      <c r="F371" s="18"/>
    </row>
    <row r="372" spans="1:6">
      <c r="B372" s="15"/>
      <c r="C372" s="15"/>
      <c r="F372" s="18"/>
    </row>
    <row r="373" spans="1:6">
      <c r="B373" s="15"/>
      <c r="C373" s="15"/>
      <c r="F373" s="18"/>
    </row>
    <row r="374" spans="1:6">
      <c r="B374" s="15"/>
      <c r="C374" s="15"/>
      <c r="F374" s="18"/>
    </row>
    <row r="375" spans="1:6">
      <c r="B375" s="15"/>
      <c r="C375" s="15"/>
      <c r="F375" s="18"/>
    </row>
    <row r="376" spans="1:6">
      <c r="A376" s="14"/>
      <c r="B376" s="15"/>
      <c r="C376" s="15"/>
      <c r="F376" s="18"/>
    </row>
    <row r="377" spans="1:6">
      <c r="A377" s="14"/>
      <c r="B377" s="15"/>
      <c r="C377" s="15"/>
      <c r="F377" s="18"/>
    </row>
    <row r="378" spans="1:6">
      <c r="A378" s="14"/>
      <c r="B378" s="15"/>
      <c r="C378" s="15"/>
      <c r="F378" s="18"/>
    </row>
    <row r="379" spans="1:6">
      <c r="A379" s="14"/>
      <c r="B379" s="15"/>
      <c r="C379" s="15"/>
      <c r="F379" s="18"/>
    </row>
    <row r="380" spans="1:6">
      <c r="A380" s="14"/>
      <c r="B380" s="15"/>
      <c r="C380" s="15"/>
      <c r="F380" s="18"/>
    </row>
    <row r="381" spans="1:6">
      <c r="A381" s="14"/>
      <c r="B381" s="15"/>
      <c r="C381" s="15"/>
      <c r="F381" s="28"/>
    </row>
    <row r="382" spans="1:6">
      <c r="A382" s="14"/>
      <c r="B382" s="15"/>
      <c r="C382" s="15"/>
      <c r="F382" s="18"/>
    </row>
    <row r="383" spans="1:6">
      <c r="A383" s="14"/>
      <c r="B383" s="15"/>
      <c r="C383" s="15"/>
      <c r="F383" s="18"/>
    </row>
    <row r="384" spans="1:6">
      <c r="A384" s="14"/>
      <c r="B384" s="15"/>
      <c r="C384" s="15"/>
      <c r="F384" s="28"/>
    </row>
    <row r="385" spans="1:6">
      <c r="A385" s="14"/>
      <c r="B385" s="15"/>
      <c r="C385" s="15"/>
      <c r="F385" s="18"/>
    </row>
    <row r="386" spans="1:6">
      <c r="A386" s="14"/>
      <c r="B386" s="15"/>
      <c r="C386" s="15"/>
      <c r="F386" s="18"/>
    </row>
    <row r="387" spans="1:6">
      <c r="A387" s="14"/>
      <c r="B387" s="15"/>
      <c r="C387" s="15"/>
      <c r="F387" s="29"/>
    </row>
    <row r="388" spans="1:6">
      <c r="A388" s="14"/>
      <c r="B388" s="15"/>
      <c r="C388" s="15"/>
      <c r="F388" s="18"/>
    </row>
    <row r="389" spans="1:6">
      <c r="A389" s="14"/>
      <c r="B389" s="15"/>
      <c r="C389" s="15"/>
      <c r="F389" s="18"/>
    </row>
    <row r="390" spans="1:6">
      <c r="A390" s="14"/>
      <c r="B390" s="15"/>
      <c r="C390" s="15"/>
      <c r="F390" s="29"/>
    </row>
    <row r="391" spans="1:6">
      <c r="A391" s="14"/>
      <c r="B391" s="15"/>
      <c r="C391" s="15"/>
      <c r="F391" s="18"/>
    </row>
    <row r="392" spans="1:6">
      <c r="A392" s="14"/>
      <c r="B392" s="15"/>
      <c r="C392" s="15"/>
      <c r="F392" s="18"/>
    </row>
    <row r="393" spans="1:6">
      <c r="A393" s="14"/>
      <c r="B393" s="25"/>
      <c r="C393" s="25"/>
      <c r="F393" s="18"/>
    </row>
    <row r="394" spans="1:6">
      <c r="A394" s="14"/>
      <c r="B394" s="15"/>
      <c r="C394" s="15"/>
      <c r="F394" s="18"/>
    </row>
    <row r="395" spans="1:6">
      <c r="A395" s="14"/>
      <c r="B395" s="15"/>
      <c r="C395" s="15"/>
      <c r="F395" s="18"/>
    </row>
    <row r="396" spans="1:6">
      <c r="A396" s="14"/>
      <c r="B396" s="15"/>
      <c r="C396" s="15"/>
      <c r="F396" s="18"/>
    </row>
    <row r="397" spans="1:6">
      <c r="A397" s="14"/>
      <c r="B397" s="15"/>
      <c r="C397" s="15"/>
      <c r="F397" s="18"/>
    </row>
    <row r="398" spans="1:6">
      <c r="A398" s="14"/>
      <c r="B398" s="15"/>
      <c r="C398" s="15"/>
      <c r="F398" s="18"/>
    </row>
    <row r="399" spans="1:6">
      <c r="A399" s="14"/>
      <c r="B399" s="15"/>
      <c r="C399" s="15"/>
      <c r="F399" s="18"/>
    </row>
    <row r="400" spans="1:6">
      <c r="A400" s="14"/>
      <c r="B400" s="15"/>
      <c r="C400" s="15"/>
      <c r="F400" s="18"/>
    </row>
    <row r="401" spans="1:6">
      <c r="A401" s="14"/>
      <c r="B401" s="15"/>
      <c r="C401" s="15"/>
      <c r="F401" s="18"/>
    </row>
    <row r="402" spans="1:6">
      <c r="A402" s="14"/>
      <c r="B402" s="15"/>
      <c r="C402" s="15"/>
      <c r="F402" s="18"/>
    </row>
    <row r="403" spans="1:6">
      <c r="A403" s="14"/>
      <c r="B403" s="15"/>
      <c r="C403" s="15"/>
      <c r="F403" s="18"/>
    </row>
    <row r="404" spans="1:6">
      <c r="A404" s="14"/>
      <c r="B404" s="15"/>
      <c r="C404" s="15"/>
      <c r="F404" s="18"/>
    </row>
    <row r="405" spans="1:6">
      <c r="A405" s="14"/>
      <c r="B405" s="15"/>
      <c r="C405" s="15"/>
      <c r="F405" s="18"/>
    </row>
    <row r="406" spans="1:6">
      <c r="A406" s="14"/>
      <c r="B406" s="15"/>
      <c r="C406" s="15"/>
      <c r="F406" s="18"/>
    </row>
    <row r="407" spans="1:6">
      <c r="A407" s="14"/>
      <c r="B407" s="15"/>
      <c r="C407" s="15"/>
      <c r="F407" s="18"/>
    </row>
    <row r="408" spans="1:6">
      <c r="A408" s="14"/>
      <c r="B408" s="15"/>
      <c r="C408" s="15"/>
      <c r="F408" s="18"/>
    </row>
    <row r="409" spans="1:6">
      <c r="A409" s="14"/>
      <c r="B409" s="15"/>
      <c r="C409" s="15"/>
      <c r="F409" s="18"/>
    </row>
    <row r="410" spans="1:6">
      <c r="A410" s="14"/>
      <c r="B410" s="15"/>
      <c r="C410" s="15"/>
      <c r="F410" s="18"/>
    </row>
    <row r="411" spans="1:6">
      <c r="A411" s="14"/>
      <c r="B411" s="15"/>
      <c r="C411" s="15"/>
      <c r="F411" s="18"/>
    </row>
    <row r="412" spans="1:6">
      <c r="A412" s="14"/>
      <c r="B412" s="22"/>
      <c r="C412" s="22"/>
      <c r="F412" s="23"/>
    </row>
    <row r="413" spans="1:6">
      <c r="A413" s="14"/>
      <c r="B413" s="22"/>
      <c r="C413" s="22"/>
      <c r="F413" s="23"/>
    </row>
    <row r="414" spans="1:6">
      <c r="A414" s="14"/>
      <c r="B414" s="22"/>
      <c r="C414" s="22"/>
      <c r="F414" s="23"/>
    </row>
    <row r="415" spans="1:6">
      <c r="A415" s="14"/>
      <c r="B415" s="22"/>
      <c r="C415" s="22"/>
      <c r="F415" s="23"/>
    </row>
    <row r="416" spans="1:6">
      <c r="A416" s="14"/>
      <c r="B416" s="22"/>
      <c r="C416" s="22"/>
      <c r="F416" s="24"/>
    </row>
    <row r="417" spans="1:6">
      <c r="A417" s="14"/>
      <c r="B417" s="15"/>
      <c r="C417" s="15"/>
      <c r="F417" s="24"/>
    </row>
    <row r="418" spans="1:6">
      <c r="A418" s="14"/>
      <c r="B418" s="15"/>
      <c r="C418" s="15"/>
      <c r="F418" s="18"/>
    </row>
    <row r="419" spans="1:6">
      <c r="A419" s="14"/>
      <c r="B419" s="25"/>
      <c r="C419" s="25"/>
      <c r="F419" s="18"/>
    </row>
    <row r="420" spans="1:6">
      <c r="A420" s="14"/>
      <c r="B420" s="25"/>
      <c r="C420" s="25"/>
      <c r="F420" s="18"/>
    </row>
    <row r="421" spans="1:6">
      <c r="A421" s="14"/>
      <c r="B421" s="25"/>
      <c r="C421" s="25"/>
      <c r="F421" s="18"/>
    </row>
    <row r="422" spans="1:6">
      <c r="A422" s="14"/>
      <c r="B422" s="25"/>
      <c r="C422" s="25"/>
      <c r="F422" s="18"/>
    </row>
    <row r="423" spans="1:6">
      <c r="A423" s="14"/>
      <c r="B423" s="15"/>
      <c r="C423" s="15"/>
      <c r="F423" s="18"/>
    </row>
    <row r="424" spans="1:6">
      <c r="A424" s="14"/>
      <c r="B424" s="15"/>
      <c r="C424" s="15"/>
      <c r="F424" s="18"/>
    </row>
    <row r="425" spans="1:6">
      <c r="A425" s="14"/>
      <c r="B425" s="15"/>
      <c r="C425" s="15"/>
      <c r="F425" s="18"/>
    </row>
    <row r="426" spans="1:6">
      <c r="A426" s="14"/>
      <c r="B426" s="25"/>
      <c r="C426" s="25"/>
      <c r="F426" s="18"/>
    </row>
    <row r="427" spans="1:6">
      <c r="A427" s="14"/>
      <c r="B427" s="15"/>
      <c r="C427" s="15"/>
      <c r="F427" s="18"/>
    </row>
    <row r="428" spans="1:6">
      <c r="A428" s="14"/>
      <c r="B428" s="25"/>
      <c r="C428" s="25"/>
      <c r="F428" s="18"/>
    </row>
    <row r="429" spans="1:6">
      <c r="A429" s="14"/>
      <c r="B429" s="15"/>
      <c r="C429" s="15"/>
      <c r="F429" s="18"/>
    </row>
    <row r="430" spans="1:6">
      <c r="A430" s="14"/>
      <c r="B430" s="15"/>
      <c r="C430" s="15"/>
      <c r="F430" s="18"/>
    </row>
    <row r="431" spans="1:6">
      <c r="A431" s="14"/>
      <c r="B431" s="15"/>
      <c r="C431" s="15"/>
      <c r="F431" s="18"/>
    </row>
    <row r="432" spans="1:6">
      <c r="A432" s="14"/>
      <c r="B432" s="15"/>
      <c r="C432" s="15"/>
      <c r="F432" s="18"/>
    </row>
    <row r="435" spans="1:6">
      <c r="B435" s="15"/>
      <c r="C435" s="15"/>
    </row>
    <row r="436" spans="1:6">
      <c r="B436" s="15"/>
      <c r="C436" s="15"/>
    </row>
    <row r="437" spans="1:6">
      <c r="A437" s="27"/>
      <c r="B437" s="15"/>
      <c r="C437" s="15"/>
      <c r="D437" s="27"/>
      <c r="F437" s="18"/>
    </row>
    <row r="438" spans="1:6">
      <c r="B438" s="15"/>
      <c r="C438" s="15"/>
      <c r="F438" s="18"/>
    </row>
    <row r="439" spans="1:6">
      <c r="B439" s="15"/>
      <c r="C439" s="15"/>
      <c r="F439" s="18"/>
    </row>
    <row r="440" spans="1:6">
      <c r="B440" s="15"/>
      <c r="C440" s="15"/>
      <c r="F440" s="18"/>
    </row>
    <row r="441" spans="1:6">
      <c r="B441" s="15"/>
      <c r="C441" s="15"/>
      <c r="F441" s="18"/>
    </row>
    <row r="442" spans="1:6">
      <c r="B442" s="15"/>
      <c r="C442" s="15"/>
      <c r="F442" s="18"/>
    </row>
    <row r="443" spans="1:6">
      <c r="B443" s="15"/>
      <c r="C443" s="15"/>
      <c r="F443" s="18"/>
    </row>
    <row r="444" spans="1:6">
      <c r="B444" s="15"/>
      <c r="C444" s="15"/>
      <c r="F444" s="18"/>
    </row>
    <row r="445" spans="1:6">
      <c r="B445" s="15"/>
      <c r="C445" s="15"/>
      <c r="F445" s="18"/>
    </row>
    <row r="446" spans="1:6">
      <c r="A446" s="14"/>
      <c r="B446" s="15"/>
      <c r="C446" s="15"/>
      <c r="F446" s="18"/>
    </row>
    <row r="447" spans="1:6">
      <c r="A447" s="14"/>
      <c r="B447" s="15"/>
      <c r="C447" s="15"/>
      <c r="F447" s="18"/>
    </row>
    <row r="448" spans="1:6">
      <c r="A448" s="14"/>
      <c r="B448" s="15"/>
      <c r="C448" s="15"/>
      <c r="F448" s="18"/>
    </row>
    <row r="449" spans="1:6">
      <c r="A449" s="14"/>
      <c r="B449" s="15"/>
      <c r="C449" s="15"/>
      <c r="F449" s="18"/>
    </row>
    <row r="450" spans="1:6">
      <c r="A450" s="14"/>
      <c r="B450" s="15"/>
      <c r="C450" s="15"/>
      <c r="F450" s="18"/>
    </row>
    <row r="451" spans="1:6">
      <c r="A451" s="14"/>
      <c r="B451" s="15"/>
      <c r="C451" s="15"/>
      <c r="F451" s="28"/>
    </row>
    <row r="452" spans="1:6">
      <c r="A452" s="14"/>
      <c r="B452" s="15"/>
      <c r="C452" s="15"/>
      <c r="F452" s="18"/>
    </row>
    <row r="453" spans="1:6">
      <c r="A453" s="14"/>
      <c r="B453" s="15"/>
      <c r="C453" s="15"/>
      <c r="F453" s="18"/>
    </row>
    <row r="454" spans="1:6">
      <c r="A454" s="14"/>
      <c r="B454" s="15"/>
      <c r="C454" s="15"/>
      <c r="F454" s="28"/>
    </row>
    <row r="455" spans="1:6">
      <c r="A455" s="14"/>
      <c r="B455" s="15"/>
      <c r="C455" s="15"/>
      <c r="F455" s="18"/>
    </row>
    <row r="456" spans="1:6">
      <c r="A456" s="14"/>
      <c r="B456" s="15"/>
      <c r="C456" s="15"/>
      <c r="F456" s="18"/>
    </row>
    <row r="457" spans="1:6">
      <c r="A457" s="14"/>
      <c r="B457" s="15"/>
      <c r="C457" s="15"/>
      <c r="F457" s="29"/>
    </row>
    <row r="458" spans="1:6">
      <c r="A458" s="14"/>
      <c r="B458" s="15"/>
      <c r="C458" s="15"/>
      <c r="F458" s="18"/>
    </row>
    <row r="459" spans="1:6">
      <c r="A459" s="14"/>
      <c r="B459" s="15"/>
      <c r="C459" s="15"/>
      <c r="F459" s="18"/>
    </row>
    <row r="460" spans="1:6">
      <c r="A460" s="14"/>
      <c r="B460" s="15"/>
      <c r="C460" s="15"/>
      <c r="F460" s="29"/>
    </row>
    <row r="461" spans="1:6">
      <c r="A461" s="14"/>
      <c r="B461" s="15"/>
      <c r="C461" s="15"/>
      <c r="F461" s="18"/>
    </row>
    <row r="462" spans="1:6">
      <c r="A462" s="14"/>
      <c r="B462" s="15"/>
      <c r="C462" s="15"/>
      <c r="F462" s="18"/>
    </row>
    <row r="463" spans="1:6">
      <c r="A463" s="14"/>
      <c r="B463" s="25"/>
      <c r="C463" s="25"/>
      <c r="F463" s="18"/>
    </row>
    <row r="464" spans="1:6">
      <c r="A464" s="14"/>
      <c r="B464" s="15"/>
      <c r="C464" s="15"/>
      <c r="F464" s="18"/>
    </row>
    <row r="465" spans="1:6">
      <c r="A465" s="14"/>
      <c r="B465" s="15"/>
      <c r="C465" s="15"/>
      <c r="F465" s="18"/>
    </row>
    <row r="466" spans="1:6">
      <c r="A466" s="14"/>
      <c r="B466" s="15"/>
      <c r="C466" s="15"/>
      <c r="F466" s="18"/>
    </row>
    <row r="467" spans="1:6">
      <c r="A467" s="14"/>
      <c r="B467" s="15"/>
      <c r="C467" s="15"/>
      <c r="F467" s="18"/>
    </row>
    <row r="468" spans="1:6">
      <c r="A468" s="14"/>
      <c r="B468" s="15"/>
      <c r="C468" s="15"/>
      <c r="F468" s="18"/>
    </row>
    <row r="469" spans="1:6">
      <c r="A469" s="14"/>
      <c r="B469" s="15"/>
      <c r="C469" s="15"/>
      <c r="F469" s="18"/>
    </row>
    <row r="470" spans="1:6">
      <c r="A470" s="14"/>
      <c r="B470" s="15"/>
      <c r="C470" s="15"/>
      <c r="F470" s="18"/>
    </row>
    <row r="471" spans="1:6">
      <c r="A471" s="14"/>
      <c r="B471" s="15"/>
      <c r="C471" s="15"/>
      <c r="F471" s="18"/>
    </row>
    <row r="472" spans="1:6">
      <c r="A472" s="14"/>
      <c r="B472" s="15"/>
      <c r="C472" s="15"/>
      <c r="F472" s="18"/>
    </row>
    <row r="473" spans="1:6">
      <c r="A473" s="14"/>
      <c r="B473" s="15"/>
      <c r="C473" s="15"/>
      <c r="F473" s="18"/>
    </row>
    <row r="474" spans="1:6">
      <c r="A474" s="14"/>
      <c r="B474" s="15"/>
      <c r="C474" s="15"/>
      <c r="F474" s="18"/>
    </row>
    <row r="475" spans="1:6">
      <c r="A475" s="14"/>
      <c r="B475" s="15"/>
      <c r="C475" s="15"/>
      <c r="F475" s="18"/>
    </row>
    <row r="476" spans="1:6">
      <c r="A476" s="14"/>
      <c r="B476" s="15"/>
      <c r="C476" s="15"/>
      <c r="F476" s="18"/>
    </row>
    <row r="477" spans="1:6">
      <c r="A477" s="14"/>
      <c r="B477" s="15"/>
      <c r="C477" s="15"/>
      <c r="F477" s="18"/>
    </row>
    <row r="478" spans="1:6">
      <c r="A478" s="14"/>
      <c r="B478" s="15"/>
      <c r="C478" s="15"/>
      <c r="F478" s="18"/>
    </row>
    <row r="479" spans="1:6">
      <c r="A479" s="14"/>
      <c r="B479" s="15"/>
      <c r="C479" s="15"/>
      <c r="F479" s="18"/>
    </row>
    <row r="480" spans="1:6">
      <c r="A480" s="14"/>
      <c r="B480" s="15"/>
      <c r="C480" s="15"/>
      <c r="F480" s="18"/>
    </row>
    <row r="481" spans="1:6">
      <c r="A481" s="14"/>
      <c r="B481" s="15"/>
      <c r="C481" s="15"/>
      <c r="F481" s="18"/>
    </row>
    <row r="482" spans="1:6">
      <c r="A482" s="14"/>
      <c r="B482" s="22"/>
      <c r="C482" s="22"/>
      <c r="F482" s="23"/>
    </row>
    <row r="483" spans="1:6">
      <c r="A483" s="14"/>
      <c r="B483" s="22"/>
      <c r="C483" s="22"/>
      <c r="F483" s="23"/>
    </row>
    <row r="484" spans="1:6">
      <c r="A484" s="14"/>
      <c r="B484" s="22"/>
      <c r="C484" s="22"/>
      <c r="F484" s="23"/>
    </row>
    <row r="485" spans="1:6">
      <c r="A485" s="14"/>
      <c r="B485" s="22"/>
      <c r="C485" s="22"/>
      <c r="F485" s="23"/>
    </row>
    <row r="486" spans="1:6">
      <c r="A486" s="14"/>
      <c r="B486" s="22"/>
      <c r="C486" s="22"/>
      <c r="F486" s="24"/>
    </row>
    <row r="487" spans="1:6">
      <c r="A487" s="14"/>
      <c r="B487" s="15"/>
      <c r="C487" s="15"/>
      <c r="F487" s="24"/>
    </row>
    <row r="488" spans="1:6">
      <c r="A488" s="14"/>
      <c r="B488" s="15"/>
      <c r="C488" s="15"/>
      <c r="F488" s="18"/>
    </row>
    <row r="489" spans="1:6">
      <c r="A489" s="14"/>
      <c r="B489" s="25"/>
      <c r="C489" s="25"/>
      <c r="F489" s="18"/>
    </row>
    <row r="490" spans="1:6">
      <c r="A490" s="14"/>
      <c r="B490" s="25"/>
      <c r="C490" s="25"/>
      <c r="F490" s="18"/>
    </row>
    <row r="491" spans="1:6">
      <c r="A491" s="14"/>
      <c r="B491" s="25"/>
      <c r="C491" s="25"/>
      <c r="F491" s="18"/>
    </row>
    <row r="492" spans="1:6">
      <c r="A492" s="14"/>
      <c r="B492" s="25"/>
      <c r="C492" s="25"/>
      <c r="F492" s="18"/>
    </row>
    <row r="493" spans="1:6">
      <c r="A493" s="14"/>
      <c r="B493" s="15"/>
      <c r="C493" s="15"/>
      <c r="F493" s="18"/>
    </row>
    <row r="494" spans="1:6">
      <c r="A494" s="14"/>
      <c r="B494" s="15"/>
      <c r="C494" s="15"/>
      <c r="F494" s="18"/>
    </row>
    <row r="495" spans="1:6">
      <c r="A495" s="14"/>
      <c r="B495" s="15"/>
      <c r="C495" s="15"/>
      <c r="F495" s="18"/>
    </row>
    <row r="496" spans="1:6">
      <c r="A496" s="14"/>
      <c r="B496" s="25"/>
      <c r="C496" s="25"/>
      <c r="F496" s="18"/>
    </row>
    <row r="497" spans="1:6">
      <c r="A497" s="14"/>
      <c r="B497" s="15"/>
      <c r="C497" s="15"/>
      <c r="F497" s="18"/>
    </row>
    <row r="498" spans="1:6">
      <c r="A498" s="14"/>
      <c r="B498" s="25"/>
      <c r="C498" s="25"/>
      <c r="F498" s="18"/>
    </row>
    <row r="499" spans="1:6">
      <c r="A499" s="14"/>
      <c r="B499" s="15"/>
      <c r="C499" s="15"/>
      <c r="F499" s="18"/>
    </row>
    <row r="500" spans="1:6">
      <c r="A500" s="14"/>
      <c r="B500" s="15"/>
      <c r="C500" s="15"/>
      <c r="F500" s="18"/>
    </row>
    <row r="501" spans="1:6">
      <c r="A501" s="14"/>
      <c r="B501" s="15"/>
      <c r="C501" s="15"/>
      <c r="F501" s="18"/>
    </row>
    <row r="502" spans="1:6">
      <c r="A502" s="14"/>
      <c r="B502" s="15"/>
      <c r="C502" s="15"/>
      <c r="F502" s="18"/>
    </row>
    <row r="505" spans="1:6">
      <c r="B505" s="15"/>
      <c r="C505" s="15"/>
    </row>
    <row r="506" spans="1:6">
      <c r="B506" s="15"/>
      <c r="C506" s="15"/>
    </row>
    <row r="507" spans="1:6">
      <c r="A507" s="27"/>
      <c r="B507" s="15"/>
      <c r="C507" s="15"/>
      <c r="D507" s="27"/>
      <c r="F507" s="18"/>
    </row>
    <row r="508" spans="1:6">
      <c r="B508" s="15"/>
      <c r="C508" s="15"/>
      <c r="F508" s="18"/>
    </row>
    <row r="509" spans="1:6">
      <c r="B509" s="15"/>
      <c r="C509" s="15"/>
      <c r="F509" s="18"/>
    </row>
    <row r="510" spans="1:6">
      <c r="B510" s="15"/>
      <c r="C510" s="15"/>
      <c r="F510" s="18"/>
    </row>
    <row r="511" spans="1:6">
      <c r="B511" s="15"/>
      <c r="C511" s="15"/>
      <c r="F511" s="18"/>
    </row>
    <row r="512" spans="1:6">
      <c r="B512" s="15"/>
      <c r="C512" s="15"/>
      <c r="F512" s="18"/>
    </row>
    <row r="513" spans="1:6">
      <c r="B513" s="15"/>
      <c r="C513" s="15"/>
      <c r="F513" s="18"/>
    </row>
    <row r="514" spans="1:6">
      <c r="B514" s="15"/>
      <c r="C514" s="15"/>
      <c r="F514" s="18"/>
    </row>
    <row r="515" spans="1:6">
      <c r="B515" s="15"/>
      <c r="C515" s="15"/>
      <c r="F515" s="18"/>
    </row>
    <row r="516" spans="1:6">
      <c r="A516" s="14"/>
      <c r="B516" s="15"/>
      <c r="C516" s="15"/>
      <c r="F516" s="18"/>
    </row>
    <row r="517" spans="1:6">
      <c r="A517" s="14"/>
      <c r="B517" s="15"/>
      <c r="C517" s="15"/>
      <c r="F517" s="18"/>
    </row>
    <row r="518" spans="1:6">
      <c r="A518" s="14"/>
      <c r="B518" s="15"/>
      <c r="C518" s="15"/>
      <c r="F518" s="18"/>
    </row>
    <row r="519" spans="1:6">
      <c r="A519" s="14"/>
      <c r="B519" s="15"/>
      <c r="C519" s="15"/>
      <c r="F519" s="18"/>
    </row>
    <row r="520" spans="1:6">
      <c r="A520" s="14"/>
      <c r="B520" s="15"/>
      <c r="C520" s="15"/>
      <c r="F520" s="18"/>
    </row>
    <row r="521" spans="1:6">
      <c r="A521" s="14"/>
      <c r="B521" s="15"/>
      <c r="C521" s="15"/>
      <c r="F521" s="28"/>
    </row>
    <row r="522" spans="1:6">
      <c r="A522" s="14"/>
      <c r="B522" s="15"/>
      <c r="C522" s="15"/>
      <c r="F522" s="18"/>
    </row>
    <row r="523" spans="1:6">
      <c r="A523" s="14"/>
      <c r="B523" s="15"/>
      <c r="C523" s="15"/>
      <c r="F523" s="18"/>
    </row>
    <row r="524" spans="1:6">
      <c r="A524" s="14"/>
      <c r="B524" s="15"/>
      <c r="C524" s="15"/>
      <c r="F524" s="28"/>
    </row>
    <row r="525" spans="1:6">
      <c r="A525" s="14"/>
      <c r="B525" s="15"/>
      <c r="C525" s="15"/>
      <c r="F525" s="18"/>
    </row>
    <row r="526" spans="1:6">
      <c r="A526" s="14"/>
      <c r="B526" s="15"/>
      <c r="C526" s="15"/>
      <c r="F526" s="18"/>
    </row>
    <row r="527" spans="1:6">
      <c r="A527" s="14"/>
      <c r="B527" s="15"/>
      <c r="C527" s="15"/>
      <c r="F527" s="29"/>
    </row>
    <row r="528" spans="1:6">
      <c r="A528" s="14"/>
      <c r="B528" s="15"/>
      <c r="C528" s="15"/>
      <c r="F528" s="18"/>
    </row>
    <row r="529" spans="1:6">
      <c r="A529" s="14"/>
      <c r="B529" s="15"/>
      <c r="C529" s="15"/>
      <c r="F529" s="18"/>
    </row>
    <row r="530" spans="1:6">
      <c r="A530" s="14"/>
      <c r="B530" s="15"/>
      <c r="C530" s="15"/>
      <c r="F530" s="29"/>
    </row>
    <row r="531" spans="1:6">
      <c r="A531" s="14"/>
      <c r="B531" s="15"/>
      <c r="C531" s="15"/>
      <c r="F531" s="18"/>
    </row>
    <row r="532" spans="1:6">
      <c r="A532" s="14"/>
      <c r="B532" s="15"/>
      <c r="C532" s="15"/>
      <c r="F532" s="18"/>
    </row>
    <row r="533" spans="1:6">
      <c r="A533" s="14"/>
      <c r="B533" s="25"/>
      <c r="C533" s="25"/>
      <c r="F533" s="18"/>
    </row>
    <row r="534" spans="1:6">
      <c r="A534" s="14"/>
      <c r="B534" s="15"/>
      <c r="C534" s="15"/>
      <c r="F534" s="18"/>
    </row>
    <row r="535" spans="1:6">
      <c r="A535" s="14"/>
      <c r="B535" s="15"/>
      <c r="C535" s="15"/>
      <c r="F535" s="18"/>
    </row>
    <row r="536" spans="1:6">
      <c r="A536" s="14"/>
      <c r="B536" s="15"/>
      <c r="C536" s="15"/>
      <c r="F536" s="18"/>
    </row>
    <row r="537" spans="1:6">
      <c r="A537" s="14"/>
      <c r="B537" s="15"/>
      <c r="C537" s="15"/>
      <c r="F537" s="18"/>
    </row>
    <row r="538" spans="1:6">
      <c r="A538" s="14"/>
      <c r="B538" s="15"/>
      <c r="C538" s="15"/>
      <c r="F538" s="18"/>
    </row>
    <row r="539" spans="1:6">
      <c r="A539" s="14"/>
      <c r="B539" s="15"/>
      <c r="C539" s="15"/>
      <c r="F539" s="18"/>
    </row>
    <row r="540" spans="1:6">
      <c r="A540" s="14"/>
      <c r="B540" s="15"/>
      <c r="C540" s="15"/>
      <c r="F540" s="18"/>
    </row>
    <row r="541" spans="1:6">
      <c r="A541" s="14"/>
      <c r="B541" s="15"/>
      <c r="C541" s="15"/>
      <c r="F541" s="18"/>
    </row>
    <row r="542" spans="1:6">
      <c r="A542" s="14"/>
      <c r="B542" s="15"/>
      <c r="C542" s="15"/>
      <c r="F542" s="18"/>
    </row>
    <row r="543" spans="1:6">
      <c r="A543" s="14"/>
      <c r="B543" s="15"/>
      <c r="C543" s="15"/>
      <c r="F543" s="18"/>
    </row>
    <row r="544" spans="1:6">
      <c r="A544" s="14"/>
      <c r="B544" s="15"/>
      <c r="C544" s="15"/>
      <c r="F544" s="18"/>
    </row>
    <row r="545" spans="1:6">
      <c r="A545" s="14"/>
      <c r="B545" s="15"/>
      <c r="C545" s="15"/>
      <c r="F545" s="18"/>
    </row>
    <row r="546" spans="1:6">
      <c r="A546" s="14"/>
      <c r="B546" s="15"/>
      <c r="C546" s="15"/>
      <c r="F546" s="18"/>
    </row>
    <row r="547" spans="1:6">
      <c r="A547" s="14"/>
      <c r="B547" s="15"/>
      <c r="C547" s="15"/>
      <c r="F547" s="18"/>
    </row>
    <row r="548" spans="1:6">
      <c r="A548" s="14"/>
      <c r="B548" s="15"/>
      <c r="C548" s="15"/>
      <c r="F548" s="18"/>
    </row>
    <row r="549" spans="1:6">
      <c r="A549" s="14"/>
      <c r="B549" s="15"/>
      <c r="C549" s="15"/>
      <c r="F549" s="18"/>
    </row>
    <row r="550" spans="1:6">
      <c r="A550" s="14"/>
      <c r="B550" s="15"/>
      <c r="C550" s="15"/>
      <c r="F550" s="18"/>
    </row>
    <row r="551" spans="1:6">
      <c r="A551" s="14"/>
      <c r="B551" s="15"/>
      <c r="C551" s="15"/>
      <c r="F551" s="18"/>
    </row>
    <row r="552" spans="1:6">
      <c r="A552" s="14"/>
      <c r="B552" s="22"/>
      <c r="C552" s="22"/>
      <c r="F552" s="23"/>
    </row>
    <row r="553" spans="1:6">
      <c r="A553" s="14"/>
      <c r="B553" s="22"/>
      <c r="C553" s="22"/>
      <c r="F553" s="23"/>
    </row>
    <row r="554" spans="1:6">
      <c r="A554" s="14"/>
      <c r="B554" s="22"/>
      <c r="C554" s="22"/>
      <c r="F554" s="23"/>
    </row>
    <row r="555" spans="1:6">
      <c r="A555" s="14"/>
      <c r="B555" s="22"/>
      <c r="C555" s="22"/>
      <c r="F555" s="23"/>
    </row>
    <row r="556" spans="1:6">
      <c r="A556" s="14"/>
      <c r="B556" s="22"/>
      <c r="C556" s="22"/>
      <c r="F556" s="24"/>
    </row>
    <row r="557" spans="1:6">
      <c r="A557" s="14"/>
      <c r="B557" s="15"/>
      <c r="C557" s="15"/>
      <c r="F557" s="24"/>
    </row>
    <row r="558" spans="1:6">
      <c r="A558" s="14"/>
      <c r="B558" s="15"/>
      <c r="C558" s="15"/>
      <c r="F558" s="18"/>
    </row>
    <row r="559" spans="1:6">
      <c r="A559" s="14"/>
      <c r="B559" s="25"/>
      <c r="C559" s="25"/>
      <c r="F559" s="18"/>
    </row>
    <row r="560" spans="1:6">
      <c r="A560" s="14"/>
      <c r="B560" s="25"/>
      <c r="C560" s="25"/>
      <c r="F560" s="18"/>
    </row>
    <row r="561" spans="1:6">
      <c r="A561" s="14"/>
      <c r="B561" s="25"/>
      <c r="C561" s="25"/>
      <c r="F561" s="18"/>
    </row>
    <row r="562" spans="1:6">
      <c r="A562" s="14"/>
      <c r="B562" s="25"/>
      <c r="C562" s="25"/>
      <c r="F562" s="18"/>
    </row>
    <row r="563" spans="1:6">
      <c r="A563" s="14"/>
      <c r="B563" s="15"/>
      <c r="C563" s="15"/>
      <c r="F563" s="18"/>
    </row>
    <row r="564" spans="1:6">
      <c r="A564" s="14"/>
      <c r="B564" s="15"/>
      <c r="C564" s="15"/>
      <c r="F564" s="18"/>
    </row>
    <row r="565" spans="1:6">
      <c r="A565" s="14"/>
      <c r="B565" s="15"/>
      <c r="C565" s="15"/>
      <c r="F565" s="18"/>
    </row>
    <row r="566" spans="1:6">
      <c r="A566" s="14"/>
      <c r="B566" s="25"/>
      <c r="C566" s="25"/>
      <c r="F566" s="18"/>
    </row>
    <row r="567" spans="1:6">
      <c r="A567" s="14"/>
      <c r="B567" s="15"/>
      <c r="C567" s="15"/>
      <c r="F567" s="18"/>
    </row>
    <row r="568" spans="1:6">
      <c r="A568" s="14"/>
      <c r="B568" s="25"/>
      <c r="C568" s="25"/>
      <c r="F568" s="18"/>
    </row>
    <row r="569" spans="1:6">
      <c r="A569" s="14"/>
      <c r="B569" s="15"/>
      <c r="C569" s="15"/>
      <c r="F569" s="18"/>
    </row>
    <row r="570" spans="1:6">
      <c r="A570" s="14"/>
      <c r="B570" s="15"/>
      <c r="C570" s="15"/>
      <c r="F570" s="18"/>
    </row>
    <row r="571" spans="1:6">
      <c r="A571" s="14"/>
      <c r="B571" s="15"/>
      <c r="C571" s="15"/>
      <c r="F571" s="18"/>
    </row>
    <row r="572" spans="1:6">
      <c r="A572" s="14"/>
      <c r="B572" s="15"/>
      <c r="C572" s="15"/>
      <c r="F572" s="18"/>
    </row>
    <row r="575" spans="1:6">
      <c r="B575" s="15"/>
      <c r="C575" s="15"/>
    </row>
    <row r="576" spans="1:6">
      <c r="B576" s="15"/>
      <c r="C576" s="15"/>
    </row>
    <row r="577" spans="1:6">
      <c r="A577" s="27"/>
      <c r="B577" s="15"/>
      <c r="C577" s="15"/>
      <c r="D577" s="27"/>
      <c r="F577" s="18"/>
    </row>
    <row r="578" spans="1:6">
      <c r="B578" s="15"/>
      <c r="C578" s="15"/>
      <c r="F578" s="18"/>
    </row>
    <row r="579" spans="1:6">
      <c r="B579" s="15"/>
      <c r="C579" s="15"/>
      <c r="F579" s="18"/>
    </row>
    <row r="580" spans="1:6">
      <c r="B580" s="15"/>
      <c r="C580" s="15"/>
      <c r="F580" s="18"/>
    </row>
    <row r="581" spans="1:6">
      <c r="B581" s="15"/>
      <c r="C581" s="15"/>
      <c r="F581" s="18"/>
    </row>
    <row r="582" spans="1:6">
      <c r="B582" s="15"/>
      <c r="C582" s="15"/>
      <c r="F582" s="18"/>
    </row>
    <row r="583" spans="1:6">
      <c r="B583" s="15"/>
      <c r="C583" s="15"/>
      <c r="F583" s="18"/>
    </row>
    <row r="584" spans="1:6">
      <c r="B584" s="15"/>
      <c r="C584" s="15"/>
      <c r="F584" s="18"/>
    </row>
    <row r="585" spans="1:6">
      <c r="B585" s="15"/>
      <c r="C585" s="15"/>
      <c r="F585" s="18"/>
    </row>
    <row r="586" spans="1:6">
      <c r="A586" s="14"/>
      <c r="B586" s="15"/>
      <c r="C586" s="15"/>
      <c r="F586" s="18"/>
    </row>
    <row r="587" spans="1:6">
      <c r="A587" s="14"/>
      <c r="B587" s="15"/>
      <c r="C587" s="15"/>
      <c r="F587" s="18"/>
    </row>
    <row r="588" spans="1:6">
      <c r="A588" s="14"/>
      <c r="B588" s="15"/>
      <c r="C588" s="15"/>
      <c r="F588" s="18"/>
    </row>
    <row r="589" spans="1:6">
      <c r="A589" s="14"/>
      <c r="B589" s="15"/>
      <c r="C589" s="15"/>
      <c r="F589" s="18"/>
    </row>
    <row r="590" spans="1:6">
      <c r="A590" s="14"/>
      <c r="B590" s="15"/>
      <c r="C590" s="15"/>
      <c r="F590" s="18"/>
    </row>
    <row r="591" spans="1:6">
      <c r="A591" s="14"/>
      <c r="B591" s="15"/>
      <c r="C591" s="15"/>
      <c r="F591" s="28"/>
    </row>
    <row r="592" spans="1:6">
      <c r="A592" s="14"/>
      <c r="B592" s="15"/>
      <c r="C592" s="15"/>
      <c r="F592" s="18"/>
    </row>
    <row r="593" spans="1:6">
      <c r="A593" s="14"/>
      <c r="B593" s="15"/>
      <c r="C593" s="15"/>
      <c r="F593" s="18"/>
    </row>
    <row r="594" spans="1:6">
      <c r="A594" s="14"/>
      <c r="B594" s="15"/>
      <c r="C594" s="15"/>
      <c r="F594" s="28"/>
    </row>
    <row r="595" spans="1:6">
      <c r="A595" s="14"/>
      <c r="B595" s="15"/>
      <c r="C595" s="15"/>
      <c r="F595" s="18"/>
    </row>
    <row r="596" spans="1:6">
      <c r="A596" s="14"/>
      <c r="B596" s="15"/>
      <c r="C596" s="15"/>
      <c r="F596" s="18"/>
    </row>
    <row r="597" spans="1:6">
      <c r="A597" s="14"/>
      <c r="B597" s="15"/>
      <c r="C597" s="15"/>
      <c r="F597" s="29"/>
    </row>
    <row r="598" spans="1:6">
      <c r="A598" s="14"/>
      <c r="B598" s="15"/>
      <c r="C598" s="15"/>
      <c r="F598" s="18"/>
    </row>
    <row r="599" spans="1:6">
      <c r="A599" s="14"/>
      <c r="B599" s="15"/>
      <c r="C599" s="15"/>
      <c r="F599" s="18"/>
    </row>
    <row r="600" spans="1:6">
      <c r="A600" s="14"/>
      <c r="B600" s="15"/>
      <c r="C600" s="15"/>
      <c r="F600" s="29"/>
    </row>
    <row r="601" spans="1:6">
      <c r="A601" s="14"/>
      <c r="B601" s="15"/>
      <c r="C601" s="15"/>
      <c r="F601" s="18"/>
    </row>
    <row r="602" spans="1:6">
      <c r="A602" s="14"/>
      <c r="B602" s="15"/>
      <c r="C602" s="15"/>
      <c r="F602" s="18"/>
    </row>
    <row r="603" spans="1:6">
      <c r="A603" s="14"/>
      <c r="B603" s="25"/>
      <c r="C603" s="25"/>
      <c r="F603" s="18"/>
    </row>
    <row r="604" spans="1:6">
      <c r="A604" s="14"/>
      <c r="B604" s="15"/>
      <c r="C604" s="15"/>
      <c r="F604" s="18"/>
    </row>
    <row r="605" spans="1:6">
      <c r="A605" s="14"/>
      <c r="B605" s="15"/>
      <c r="C605" s="15"/>
      <c r="F605" s="18"/>
    </row>
    <row r="606" spans="1:6">
      <c r="A606" s="14"/>
      <c r="B606" s="15"/>
      <c r="C606" s="15"/>
      <c r="F606" s="18"/>
    </row>
    <row r="607" spans="1:6">
      <c r="A607" s="14"/>
      <c r="B607" s="15"/>
      <c r="C607" s="15"/>
      <c r="F607" s="18"/>
    </row>
    <row r="608" spans="1:6">
      <c r="A608" s="14"/>
      <c r="B608" s="15"/>
      <c r="C608" s="15"/>
      <c r="F608" s="18"/>
    </row>
    <row r="609" spans="1:6">
      <c r="A609" s="14"/>
      <c r="B609" s="15"/>
      <c r="C609" s="15"/>
      <c r="F609" s="18"/>
    </row>
    <row r="610" spans="1:6">
      <c r="A610" s="14"/>
      <c r="B610" s="15"/>
      <c r="C610" s="15"/>
      <c r="F610" s="18"/>
    </row>
    <row r="611" spans="1:6">
      <c r="A611" s="14"/>
      <c r="B611" s="15"/>
      <c r="C611" s="15"/>
      <c r="F611" s="18"/>
    </row>
    <row r="612" spans="1:6">
      <c r="A612" s="14"/>
      <c r="B612" s="15"/>
      <c r="C612" s="15"/>
      <c r="F612" s="18"/>
    </row>
    <row r="613" spans="1:6">
      <c r="A613" s="14"/>
      <c r="B613" s="15"/>
      <c r="C613" s="15"/>
      <c r="F613" s="18"/>
    </row>
    <row r="614" spans="1:6">
      <c r="A614" s="14"/>
      <c r="B614" s="15"/>
      <c r="C614" s="15"/>
      <c r="F614" s="18"/>
    </row>
    <row r="615" spans="1:6">
      <c r="A615" s="14"/>
      <c r="B615" s="15"/>
      <c r="C615" s="15"/>
      <c r="F615" s="18"/>
    </row>
    <row r="616" spans="1:6">
      <c r="A616" s="14"/>
      <c r="B616" s="15"/>
      <c r="C616" s="15"/>
      <c r="F616" s="18"/>
    </row>
    <row r="617" spans="1:6">
      <c r="A617" s="14"/>
      <c r="B617" s="15"/>
      <c r="C617" s="15"/>
      <c r="F617" s="18"/>
    </row>
    <row r="618" spans="1:6">
      <c r="A618" s="14"/>
      <c r="B618" s="15"/>
      <c r="C618" s="15"/>
      <c r="F618" s="18"/>
    </row>
    <row r="619" spans="1:6">
      <c r="A619" s="14"/>
      <c r="B619" s="15"/>
      <c r="C619" s="15"/>
      <c r="F619" s="18"/>
    </row>
    <row r="620" spans="1:6">
      <c r="A620" s="14"/>
      <c r="B620" s="15"/>
      <c r="C620" s="15"/>
      <c r="F620" s="18"/>
    </row>
    <row r="621" spans="1:6">
      <c r="A621" s="14"/>
      <c r="B621" s="15"/>
      <c r="C621" s="15"/>
      <c r="F621" s="18"/>
    </row>
    <row r="622" spans="1:6">
      <c r="A622" s="14"/>
      <c r="B622" s="22"/>
      <c r="C622" s="22"/>
      <c r="F622" s="23"/>
    </row>
    <row r="623" spans="1:6">
      <c r="A623" s="14"/>
      <c r="B623" s="22"/>
      <c r="C623" s="22"/>
      <c r="F623" s="23"/>
    </row>
    <row r="624" spans="1:6">
      <c r="A624" s="14"/>
      <c r="B624" s="22"/>
      <c r="C624" s="22"/>
      <c r="F624" s="23"/>
    </row>
    <row r="625" spans="1:6">
      <c r="A625" s="14"/>
      <c r="B625" s="22"/>
      <c r="C625" s="22"/>
      <c r="F625" s="23"/>
    </row>
    <row r="626" spans="1:6">
      <c r="A626" s="14"/>
      <c r="B626" s="22"/>
      <c r="C626" s="22"/>
      <c r="F626" s="24"/>
    </row>
    <row r="627" spans="1:6">
      <c r="A627" s="14"/>
      <c r="B627" s="15"/>
      <c r="C627" s="15"/>
      <c r="F627" s="24"/>
    </row>
    <row r="628" spans="1:6">
      <c r="A628" s="14"/>
      <c r="B628" s="15"/>
      <c r="C628" s="15"/>
      <c r="F628" s="18"/>
    </row>
    <row r="629" spans="1:6">
      <c r="A629" s="14"/>
      <c r="B629" s="25"/>
      <c r="C629" s="25"/>
      <c r="F629" s="18"/>
    </row>
    <row r="630" spans="1:6">
      <c r="A630" s="14"/>
      <c r="B630" s="25"/>
      <c r="C630" s="25"/>
      <c r="F630" s="18"/>
    </row>
    <row r="631" spans="1:6">
      <c r="A631" s="14"/>
      <c r="B631" s="25"/>
      <c r="C631" s="25"/>
      <c r="F631" s="18"/>
    </row>
    <row r="632" spans="1:6">
      <c r="A632" s="14"/>
      <c r="B632" s="25"/>
      <c r="C632" s="25"/>
      <c r="F632" s="18"/>
    </row>
    <row r="633" spans="1:6">
      <c r="A633" s="14"/>
      <c r="B633" s="15"/>
      <c r="C633" s="15"/>
      <c r="F633" s="18"/>
    </row>
    <row r="634" spans="1:6">
      <c r="A634" s="14"/>
      <c r="B634" s="15"/>
      <c r="C634" s="15"/>
      <c r="F634" s="18"/>
    </row>
    <row r="635" spans="1:6">
      <c r="A635" s="14"/>
      <c r="B635" s="15"/>
      <c r="C635" s="15"/>
      <c r="F635" s="18"/>
    </row>
    <row r="636" spans="1:6">
      <c r="A636" s="14"/>
      <c r="B636" s="25"/>
      <c r="C636" s="25"/>
      <c r="F636" s="18"/>
    </row>
    <row r="637" spans="1:6">
      <c r="A637" s="14"/>
      <c r="B637" s="15"/>
      <c r="C637" s="15"/>
      <c r="F637" s="18"/>
    </row>
    <row r="638" spans="1:6">
      <c r="A638" s="14"/>
      <c r="B638" s="25"/>
      <c r="C638" s="25"/>
      <c r="F638" s="18"/>
    </row>
    <row r="639" spans="1:6">
      <c r="A639" s="14"/>
      <c r="B639" s="15"/>
      <c r="C639" s="15"/>
      <c r="F639" s="18"/>
    </row>
    <row r="640" spans="1:6">
      <c r="A640" s="14"/>
      <c r="B640" s="15"/>
      <c r="C640" s="15"/>
      <c r="F640" s="18"/>
    </row>
    <row r="641" spans="1:6">
      <c r="A641" s="14"/>
      <c r="B641" s="15"/>
      <c r="C641" s="15"/>
      <c r="F641" s="18"/>
    </row>
    <row r="642" spans="1:6">
      <c r="A642" s="14"/>
      <c r="B642" s="15"/>
      <c r="C642" s="15"/>
      <c r="F642" s="18"/>
    </row>
    <row r="645" spans="1:6">
      <c r="B645" s="15"/>
      <c r="C645" s="15"/>
    </row>
    <row r="646" spans="1:6">
      <c r="B646" s="15"/>
      <c r="C646" s="15"/>
    </row>
    <row r="647" spans="1:6">
      <c r="A647" s="27"/>
      <c r="B647" s="15"/>
      <c r="C647" s="15"/>
      <c r="D647" s="27"/>
      <c r="F647" s="18"/>
    </row>
    <row r="648" spans="1:6">
      <c r="B648" s="15"/>
      <c r="C648" s="15"/>
      <c r="F648" s="18"/>
    </row>
    <row r="649" spans="1:6">
      <c r="B649" s="15"/>
      <c r="C649" s="15"/>
      <c r="F649" s="18"/>
    </row>
    <row r="650" spans="1:6">
      <c r="B650" s="15"/>
      <c r="C650" s="15"/>
      <c r="F650" s="18"/>
    </row>
    <row r="651" spans="1:6">
      <c r="B651" s="15"/>
      <c r="C651" s="15"/>
      <c r="F651" s="18"/>
    </row>
    <row r="652" spans="1:6">
      <c r="B652" s="15"/>
      <c r="C652" s="15"/>
      <c r="F652" s="18"/>
    </row>
    <row r="653" spans="1:6">
      <c r="B653" s="15"/>
      <c r="C653" s="15"/>
      <c r="F653" s="18"/>
    </row>
    <row r="654" spans="1:6">
      <c r="B654" s="15"/>
      <c r="C654" s="15"/>
      <c r="F654" s="18"/>
    </row>
    <row r="655" spans="1:6">
      <c r="B655" s="15"/>
      <c r="C655" s="15"/>
      <c r="F655" s="18"/>
    </row>
    <row r="656" spans="1:6">
      <c r="A656" s="14"/>
      <c r="B656" s="15"/>
      <c r="C656" s="15"/>
      <c r="F656" s="18"/>
    </row>
    <row r="657" spans="1:6">
      <c r="A657" s="14"/>
      <c r="B657" s="15"/>
      <c r="C657" s="15"/>
      <c r="F657" s="18"/>
    </row>
    <row r="658" spans="1:6">
      <c r="A658" s="14"/>
      <c r="B658" s="15"/>
      <c r="C658" s="15"/>
      <c r="F658" s="18"/>
    </row>
    <row r="659" spans="1:6">
      <c r="A659" s="14"/>
      <c r="B659" s="15"/>
      <c r="C659" s="15"/>
      <c r="F659" s="18"/>
    </row>
    <row r="660" spans="1:6">
      <c r="A660" s="14"/>
      <c r="B660" s="15"/>
      <c r="C660" s="15"/>
      <c r="F660" s="18"/>
    </row>
    <row r="661" spans="1:6">
      <c r="A661" s="14"/>
      <c r="B661" s="15"/>
      <c r="C661" s="15"/>
      <c r="F661" s="28"/>
    </row>
    <row r="662" spans="1:6">
      <c r="A662" s="14"/>
      <c r="B662" s="15"/>
      <c r="C662" s="15"/>
      <c r="F662" s="18"/>
    </row>
    <row r="663" spans="1:6">
      <c r="A663" s="14"/>
      <c r="B663" s="15"/>
      <c r="C663" s="15"/>
      <c r="F663" s="18"/>
    </row>
    <row r="664" spans="1:6">
      <c r="A664" s="14"/>
      <c r="B664" s="15"/>
      <c r="C664" s="15"/>
      <c r="F664" s="28"/>
    </row>
    <row r="665" spans="1:6">
      <c r="A665" s="14"/>
      <c r="B665" s="15"/>
      <c r="C665" s="15"/>
      <c r="F665" s="18"/>
    </row>
    <row r="666" spans="1:6">
      <c r="A666" s="14"/>
      <c r="B666" s="15"/>
      <c r="C666" s="15"/>
      <c r="F666" s="18"/>
    </row>
    <row r="667" spans="1:6">
      <c r="A667" s="14"/>
      <c r="B667" s="15"/>
      <c r="C667" s="15"/>
      <c r="F667" s="29"/>
    </row>
    <row r="668" spans="1:6">
      <c r="A668" s="14"/>
      <c r="B668" s="15"/>
      <c r="C668" s="15"/>
      <c r="F668" s="18"/>
    </row>
    <row r="669" spans="1:6">
      <c r="A669" s="14"/>
      <c r="B669" s="15"/>
      <c r="C669" s="15"/>
      <c r="F669" s="18"/>
    </row>
    <row r="670" spans="1:6">
      <c r="A670" s="14"/>
      <c r="B670" s="15"/>
      <c r="C670" s="15"/>
      <c r="F670" s="29"/>
    </row>
    <row r="671" spans="1:6">
      <c r="A671" s="14"/>
      <c r="B671" s="15"/>
      <c r="C671" s="15"/>
      <c r="F671" s="18"/>
    </row>
    <row r="672" spans="1:6">
      <c r="A672" s="14"/>
      <c r="B672" s="15"/>
      <c r="C672" s="15"/>
      <c r="F672" s="18"/>
    </row>
    <row r="673" spans="1:6">
      <c r="A673" s="14"/>
      <c r="B673" s="25"/>
      <c r="C673" s="25"/>
      <c r="F673" s="18"/>
    </row>
    <row r="674" spans="1:6">
      <c r="A674" s="14"/>
      <c r="B674" s="15"/>
      <c r="C674" s="15"/>
      <c r="F674" s="18"/>
    </row>
    <row r="675" spans="1:6">
      <c r="A675" s="14"/>
      <c r="B675" s="15"/>
      <c r="C675" s="15"/>
      <c r="F675" s="18"/>
    </row>
    <row r="676" spans="1:6">
      <c r="A676" s="14"/>
      <c r="B676" s="15"/>
      <c r="C676" s="15"/>
      <c r="F676" s="18"/>
    </row>
    <row r="677" spans="1:6">
      <c r="A677" s="14"/>
      <c r="B677" s="15"/>
      <c r="C677" s="15"/>
      <c r="F677" s="18"/>
    </row>
    <row r="678" spans="1:6">
      <c r="A678" s="14"/>
      <c r="B678" s="15"/>
      <c r="C678" s="15"/>
      <c r="F678" s="18"/>
    </row>
    <row r="679" spans="1:6">
      <c r="A679" s="14"/>
      <c r="B679" s="15"/>
      <c r="C679" s="15"/>
      <c r="F679" s="18"/>
    </row>
    <row r="680" spans="1:6">
      <c r="A680" s="14"/>
      <c r="B680" s="15"/>
      <c r="C680" s="15"/>
      <c r="F680" s="18"/>
    </row>
    <row r="681" spans="1:6">
      <c r="A681" s="14"/>
      <c r="B681" s="15"/>
      <c r="C681" s="15"/>
      <c r="F681" s="18"/>
    </row>
    <row r="682" spans="1:6">
      <c r="A682" s="14"/>
      <c r="B682" s="15"/>
      <c r="C682" s="15"/>
      <c r="F682" s="18"/>
    </row>
    <row r="683" spans="1:6">
      <c r="A683" s="14"/>
      <c r="B683" s="15"/>
      <c r="C683" s="15"/>
      <c r="F683" s="18"/>
    </row>
    <row r="684" spans="1:6">
      <c r="A684" s="14"/>
      <c r="B684" s="15"/>
      <c r="C684" s="15"/>
      <c r="F684" s="18"/>
    </row>
    <row r="685" spans="1:6">
      <c r="A685" s="14"/>
      <c r="B685" s="15"/>
      <c r="C685" s="15"/>
      <c r="F685" s="18"/>
    </row>
    <row r="686" spans="1:6">
      <c r="A686" s="14"/>
      <c r="B686" s="15"/>
      <c r="C686" s="15"/>
      <c r="F686" s="18"/>
    </row>
    <row r="687" spans="1:6">
      <c r="A687" s="14"/>
      <c r="B687" s="15"/>
      <c r="C687" s="15"/>
      <c r="F687" s="18"/>
    </row>
    <row r="688" spans="1:6">
      <c r="A688" s="14"/>
      <c r="B688" s="15"/>
      <c r="C688" s="15"/>
      <c r="F688" s="18"/>
    </row>
    <row r="689" spans="1:6">
      <c r="A689" s="14"/>
      <c r="B689" s="15"/>
      <c r="C689" s="15"/>
      <c r="F689" s="18"/>
    </row>
    <row r="690" spans="1:6">
      <c r="A690" s="14"/>
      <c r="B690" s="15"/>
      <c r="C690" s="15"/>
      <c r="F690" s="18"/>
    </row>
    <row r="691" spans="1:6">
      <c r="A691" s="14"/>
      <c r="B691" s="15"/>
      <c r="C691" s="15"/>
      <c r="F691" s="18"/>
    </row>
    <row r="692" spans="1:6">
      <c r="A692" s="14"/>
      <c r="B692" s="22"/>
      <c r="C692" s="22"/>
      <c r="F692" s="23"/>
    </row>
    <row r="693" spans="1:6">
      <c r="A693" s="14"/>
      <c r="B693" s="22"/>
      <c r="C693" s="22"/>
      <c r="F693" s="23"/>
    </row>
    <row r="694" spans="1:6">
      <c r="A694" s="14"/>
      <c r="B694" s="22"/>
      <c r="C694" s="22"/>
      <c r="F694" s="23"/>
    </row>
    <row r="695" spans="1:6">
      <c r="A695" s="14"/>
      <c r="B695" s="22"/>
      <c r="C695" s="22"/>
      <c r="F695" s="23"/>
    </row>
    <row r="696" spans="1:6">
      <c r="A696" s="14"/>
      <c r="B696" s="22"/>
      <c r="C696" s="22"/>
      <c r="F696" s="24"/>
    </row>
    <row r="697" spans="1:6">
      <c r="A697" s="14"/>
      <c r="B697" s="15"/>
      <c r="C697" s="15"/>
      <c r="F697" s="24"/>
    </row>
    <row r="698" spans="1:6">
      <c r="A698" s="14"/>
      <c r="B698" s="15"/>
      <c r="C698" s="15"/>
      <c r="F698" s="18"/>
    </row>
    <row r="699" spans="1:6">
      <c r="A699" s="14"/>
      <c r="B699" s="25"/>
      <c r="C699" s="25"/>
      <c r="F699" s="18"/>
    </row>
    <row r="700" spans="1:6">
      <c r="A700" s="14"/>
      <c r="B700" s="25"/>
      <c r="C700" s="25"/>
      <c r="F700" s="18"/>
    </row>
    <row r="701" spans="1:6">
      <c r="A701" s="14"/>
      <c r="B701" s="25"/>
      <c r="C701" s="25"/>
      <c r="F701" s="18"/>
    </row>
    <row r="702" spans="1:6">
      <c r="A702" s="14"/>
      <c r="B702" s="25"/>
      <c r="C702" s="25"/>
      <c r="F702" s="18"/>
    </row>
    <row r="703" spans="1:6">
      <c r="A703" s="14"/>
      <c r="B703" s="15"/>
      <c r="C703" s="15"/>
      <c r="F703" s="18"/>
    </row>
    <row r="704" spans="1:6">
      <c r="A704" s="14"/>
      <c r="B704" s="15"/>
      <c r="C704" s="15"/>
      <c r="F704" s="18"/>
    </row>
    <row r="705" spans="1:6">
      <c r="A705" s="14"/>
      <c r="B705" s="15"/>
      <c r="C705" s="15"/>
      <c r="F705" s="18"/>
    </row>
    <row r="706" spans="1:6">
      <c r="A706" s="14"/>
      <c r="B706" s="25"/>
      <c r="C706" s="25"/>
      <c r="F706" s="18"/>
    </row>
    <row r="707" spans="1:6">
      <c r="A707" s="14"/>
      <c r="B707" s="15"/>
      <c r="C707" s="15"/>
      <c r="F707" s="18"/>
    </row>
    <row r="708" spans="1:6">
      <c r="A708" s="14"/>
      <c r="B708" s="25"/>
      <c r="C708" s="25"/>
      <c r="F708" s="18"/>
    </row>
    <row r="709" spans="1:6">
      <c r="A709" s="14"/>
      <c r="B709" s="15"/>
      <c r="C709" s="15"/>
      <c r="F709" s="18"/>
    </row>
    <row r="710" spans="1:6">
      <c r="A710" s="14"/>
      <c r="B710" s="15"/>
      <c r="C710" s="15"/>
      <c r="F710" s="18"/>
    </row>
    <row r="711" spans="1:6">
      <c r="A711" s="14"/>
      <c r="B711" s="15"/>
      <c r="C711" s="15"/>
      <c r="F711" s="18"/>
    </row>
    <row r="1048567" spans="8:8">
      <c r="H1048567" s="30">
        <f>SUM(H2:H1048566)</f>
        <v>9405738</v>
      </c>
    </row>
  </sheetData>
  <dataValidations count="8">
    <dataValidation type="textLength" operator="lessThan" allowBlank="1" showInputMessage="1" showErrorMessage="1" error="Text Length Exceed the Required Value of 200 Characters" promptTitle="WORK TYPE" prompt="Ex. Earth Work, Electrical Work" sqref="C113:C64983 C1">
      <formula1>200</formula1>
    </dataValidation>
    <dataValidation type="textLength" operator="lessThan" allowBlank="1" showInputMessage="1" showErrorMessage="1" sqref="G97:G1048576 G1:G95">
      <formula1>51</formula1>
    </dataValidation>
    <dataValidation type="textLength" operator="lessThan" allowBlank="1" showInputMessage="1" showErrorMessage="1" error="Text Length Exceed the Required Value of 200 Characters" promptTitle="APSS / Morth Cl. Number" prompt="Enter APSS / Morth Cl. Number" sqref="E97:E64983 E1:E95">
      <formula1>201</formula1>
    </dataValidation>
    <dataValidation type="decimal" operator="lessThan" allowBlank="1" showInputMessage="1" showErrorMessage="1" sqref="F97:F1048576 F1:F95">
      <formula1>9999999999999990</formula1>
    </dataValidation>
    <dataValidation type="textLength" operator="lessThan" allowBlank="1" showInputMessage="1" showErrorMessage="1" error="Text Length Exceed the Required Value of 100 Characters" promptTitle="Item Short Description" prompt="Enter Short Description&#10;( upto 100 Characters)" sqref="D97:D64983 B97:B112 B2:B95 D1:D95">
      <formula1>101</formula1>
    </dataValidation>
    <dataValidation type="textLength" operator="lessThan" allowBlank="1" showInputMessage="1" showErrorMessage="1" error="Text Length Exceed the Required Value of 200 Characters" promptTitle="WORK TYPE" prompt="Ex. Earth Work, Electrical Work" sqref="C97:C112 C2:C95">
      <formula1>201</formula1>
    </dataValidation>
    <dataValidation type="decimal" operator="lessThan" allowBlank="1" showInputMessage="1" showErrorMessage="1" sqref="H97:H1048576 H1:H95">
      <formula1>999999999999999</formula1>
    </dataValidation>
    <dataValidation type="decimal" operator="greaterThan" allowBlank="1" showInputMessage="1" showErrorMessage="1" sqref="A97:A64983 A1:A95">
      <formula1>0</formula1>
    </dataValidation>
  </dataValidations>
  <printOptions horizontalCentered="1"/>
  <pageMargins left="0.31496062992125984" right="0.31496062992125984" top="0.35433070866141736" bottom="0.35433070866141736" header="0.31496062992125984" footer="0.31496062992125984"/>
  <pageSetup scale="6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e-item</vt:lpstr>
      <vt:lpstr>'e-item'!Print_Area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2026-10-09T11:58:10Z</dcterms:modified>
</cp:coreProperties>
</file>