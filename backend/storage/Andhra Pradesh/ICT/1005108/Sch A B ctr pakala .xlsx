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480" yWindow="525" windowWidth="15975" windowHeight="7365" tabRatio="824"/>
  </bookViews>
  <sheets>
    <sheet name="abs" sheetId="13" r:id="rId1"/>
    <sheet name="Sch-A" sheetId="2" r:id="rId2"/>
    <sheet name="Sch-B" sheetId="14" r:id="rId3"/>
    <sheet name="Sheet1" sheetId="5" state="hidden" r:id="rId4"/>
    <sheet name="Sheet2" sheetId="6" state="hidden" r:id="rId5"/>
    <sheet name="comparatative" sheetId="12" state="hidden" r:id="rId6"/>
  </sheets>
  <externalReferences>
    <externalReference r:id="rId7"/>
  </externalReferences>
  <definedNames>
    <definedName name="_MatInverse_In" localSheetId="0">#REF!</definedName>
    <definedName name="_MatInverse_In" localSheetId="2">#REF!</definedName>
    <definedName name="_MatInverse_In">#REF!</definedName>
    <definedName name="_MatInverse_Out" localSheetId="0">#REF!</definedName>
    <definedName name="_MatInverse_Out">#REF!</definedName>
    <definedName name="a" localSheetId="0">#REF!</definedName>
    <definedName name="a" localSheetId="1">#REF!</definedName>
    <definedName name="a" localSheetId="2">#REF!</definedName>
    <definedName name="a">#REF!</definedName>
    <definedName name="aaaaaa" localSheetId="0">#REF!</definedName>
    <definedName name="aaaaaa" localSheetId="1">#REF!</definedName>
    <definedName name="aaaaaa" localSheetId="2">#REF!</definedName>
    <definedName name="aaaaaa">#REF!</definedName>
    <definedName name="abc" localSheetId="0">#REF!</definedName>
    <definedName name="abc" localSheetId="1">#REF!</definedName>
    <definedName name="abc" localSheetId="2">#REF!</definedName>
    <definedName name="abc">#REF!</definedName>
    <definedName name="AboveGL" localSheetId="0">#REF!</definedName>
    <definedName name="AboveGL" localSheetId="1">#REF!</definedName>
    <definedName name="AboveGL" localSheetId="2">#REF!</definedName>
    <definedName name="AboveGL">#REF!</definedName>
    <definedName name="as" localSheetId="0">#REF!</definedName>
    <definedName name="as" localSheetId="1">#REF!</definedName>
    <definedName name="as" localSheetId="2">#REF!</definedName>
    <definedName name="as">#REF!</definedName>
    <definedName name="b" localSheetId="0">#REF!</definedName>
    <definedName name="b" localSheetId="1">#REF!</definedName>
    <definedName name="b" localSheetId="2">#REF!</definedName>
    <definedName name="b">#REF!</definedName>
    <definedName name="bb" localSheetId="0">#REF!</definedName>
    <definedName name="bb" localSheetId="1">#REF!</definedName>
    <definedName name="bb" localSheetId="2">#REF!</definedName>
    <definedName name="bb">#REF!</definedName>
    <definedName name="BD1_Meas1" localSheetId="0">#REF!</definedName>
    <definedName name="BD1_Meas1" localSheetId="1">#REF!</definedName>
    <definedName name="BD1_Meas1" localSheetId="2">#REF!</definedName>
    <definedName name="BD1_Meas1">#REF!</definedName>
    <definedName name="BD1_Meas2" localSheetId="0">#REF!</definedName>
    <definedName name="BD1_Meas2" localSheetId="1">#REF!</definedName>
    <definedName name="BD1_Meas2" localSheetId="2">#REF!</definedName>
    <definedName name="BD1_Meas2">#REF!</definedName>
    <definedName name="BD1_Meas3" localSheetId="0">#REF!</definedName>
    <definedName name="BD1_Meas3" localSheetId="1">#REF!</definedName>
    <definedName name="BD1_Meas3" localSheetId="2">#REF!</definedName>
    <definedName name="BD1_Meas3">#REF!</definedName>
    <definedName name="BD1CE" localSheetId="0">#REF!</definedName>
    <definedName name="BD1CE" localSheetId="1">#REF!</definedName>
    <definedName name="BD1CE" localSheetId="2">#REF!</definedName>
    <definedName name="BD1CE">#REF!</definedName>
    <definedName name="BD1CL" localSheetId="0">#REF!</definedName>
    <definedName name="BD1CL" localSheetId="1">#REF!</definedName>
    <definedName name="BD1CL" localSheetId="2">#REF!</definedName>
    <definedName name="BD1CL">#REF!</definedName>
    <definedName name="BD1DeltaT" localSheetId="0">#REF!</definedName>
    <definedName name="BD1DeltaT" localSheetId="1">#REF!</definedName>
    <definedName name="BD1DeltaT" localSheetId="2">#REF!</definedName>
    <definedName name="BD1DeltaT">#REF!</definedName>
    <definedName name="BD1EconMeasure" localSheetId="0">#REF!</definedName>
    <definedName name="BD1EconMeasure" localSheetId="1">#REF!</definedName>
    <definedName name="BD1EconMeasure" localSheetId="2">#REF!</definedName>
    <definedName name="BD1EconMeasure">#REF!</definedName>
    <definedName name="BD1Event" localSheetId="0">#REF!</definedName>
    <definedName name="BD1Event" localSheetId="1">#REF!</definedName>
    <definedName name="BD1Event" localSheetId="2">#REF!</definedName>
    <definedName name="BD1Event">#REF!</definedName>
    <definedName name="BD1EventFeas" localSheetId="0">#REF!</definedName>
    <definedName name="BD1EventFeas" localSheetId="1">#REF!</definedName>
    <definedName name="BD1EventFeas" localSheetId="2">#REF!</definedName>
    <definedName name="BD1EventFeas">#REF!</definedName>
    <definedName name="BD1EventInd" localSheetId="0">#REF!</definedName>
    <definedName name="BD1EventInd" localSheetId="1">#REF!</definedName>
    <definedName name="BD1EventInd" localSheetId="2">#REF!</definedName>
    <definedName name="BD1EventInd">#REF!</definedName>
    <definedName name="BD1EventIndMax" localSheetId="0">#REF!</definedName>
    <definedName name="BD1EventIndMax" localSheetId="1">#REF!</definedName>
    <definedName name="BD1EventIndMax" localSheetId="2">#REF!</definedName>
    <definedName name="BD1EventIndMax">#REF!</definedName>
    <definedName name="BD1EventLogic" localSheetId="0">#REF!</definedName>
    <definedName name="BD1EventLogic" localSheetId="1">#REF!</definedName>
    <definedName name="BD1EventLogic" localSheetId="2">#REF!</definedName>
    <definedName name="BD1EventLogic">#REF!</definedName>
    <definedName name="BD1EventMax" localSheetId="0">#REF!</definedName>
    <definedName name="BD1EventMax" localSheetId="1">#REF!</definedName>
    <definedName name="BD1EventMax" localSheetId="2">#REF!</definedName>
    <definedName name="BD1EventMax">#REF!</definedName>
    <definedName name="BD1EventMin" localSheetId="0">#REF!</definedName>
    <definedName name="BD1EventMin" localSheetId="1">#REF!</definedName>
    <definedName name="BD1EventMin" localSheetId="2">#REF!</definedName>
    <definedName name="BD1EventMin">#REF!</definedName>
    <definedName name="BD1EventNames" localSheetId="0">#REF!</definedName>
    <definedName name="BD1EventNames" localSheetId="1">#REF!</definedName>
    <definedName name="BD1EventNames" localSheetId="2">#REF!</definedName>
    <definedName name="BD1EventNames">#REF!</definedName>
    <definedName name="BD1EventStep" localSheetId="0">#REF!</definedName>
    <definedName name="BD1EventStep" localSheetId="1">#REF!</definedName>
    <definedName name="BD1EventStep" localSheetId="2">#REF!</definedName>
    <definedName name="BD1EventStep">#REF!</definedName>
    <definedName name="BD1HC" localSheetId="0">#REF!</definedName>
    <definedName name="BD1HC" localSheetId="1">#REF!</definedName>
    <definedName name="BD1HC" localSheetId="2">#REF!</definedName>
    <definedName name="BD1HC">#REF!</definedName>
    <definedName name="BD1Lambda" localSheetId="0">#REF!</definedName>
    <definedName name="BD1Lambda" localSheetId="1">#REF!</definedName>
    <definedName name="BD1Lambda" localSheetId="2">#REF!</definedName>
    <definedName name="BD1Lambda">#REF!</definedName>
    <definedName name="BD1Max_System" localSheetId="0">#REF!</definedName>
    <definedName name="BD1Max_System" localSheetId="1">#REF!</definedName>
    <definedName name="BD1Max_System" localSheetId="2">#REF!</definedName>
    <definedName name="BD1Max_System">#REF!</definedName>
    <definedName name="BD1Model_Params" localSheetId="0">#REF!</definedName>
    <definedName name="BD1Model_Params" localSheetId="1">#REF!</definedName>
    <definedName name="BD1Model_Params" localSheetId="2">#REF!</definedName>
    <definedName name="BD1Model_Params">#REF!</definedName>
    <definedName name="BD1Mu" localSheetId="0">#REF!</definedName>
    <definedName name="BD1Mu" localSheetId="1">#REF!</definedName>
    <definedName name="BD1Mu" localSheetId="2">#REF!</definedName>
    <definedName name="BD1Mu">#REF!</definedName>
    <definedName name="BD1Next1" localSheetId="0">#REF!</definedName>
    <definedName name="BD1Next1" localSheetId="1">#REF!</definedName>
    <definedName name="BD1Next1" localSheetId="2">#REF!</definedName>
    <definedName name="BD1Next1">#REF!</definedName>
    <definedName name="BD1Next2" localSheetId="0">#REF!</definedName>
    <definedName name="BD1Next2" localSheetId="1">#REF!</definedName>
    <definedName name="BD1Next2" localSheetId="2">#REF!</definedName>
    <definedName name="BD1Next2">#REF!</definedName>
    <definedName name="BD1P_enter" localSheetId="0">#REF!</definedName>
    <definedName name="BD1P_enter" localSheetId="1">#REF!</definedName>
    <definedName name="BD1P_enter" localSheetId="2">#REF!</definedName>
    <definedName name="BD1P_enter">#REF!</definedName>
    <definedName name="BD1P_leave" localSheetId="0">#REF!</definedName>
    <definedName name="BD1P_leave" localSheetId="1">#REF!</definedName>
    <definedName name="BD1P_leave" localSheetId="2">#REF!</definedName>
    <definedName name="BD1P_leave">#REF!</definedName>
    <definedName name="BD1ParamStore" localSheetId="0">#REF!</definedName>
    <definedName name="BD1ParamStore" localSheetId="1">#REF!</definedName>
    <definedName name="BD1ParamStore" localSheetId="2">#REF!</definedName>
    <definedName name="BD1ParamStore">#REF!</definedName>
    <definedName name="BD1State" localSheetId="0">#REF!</definedName>
    <definedName name="BD1State" localSheetId="1">#REF!</definedName>
    <definedName name="BD1State" localSheetId="2">#REF!</definedName>
    <definedName name="BD1State">#REF!</definedName>
    <definedName name="BD1StateCost" localSheetId="0">#REF!</definedName>
    <definedName name="BD1StateCost" localSheetId="1">#REF!</definedName>
    <definedName name="BD1StateCost" localSheetId="2">#REF!</definedName>
    <definedName name="BD1StateCost">#REF!</definedName>
    <definedName name="BD1StateFeas" localSheetId="0">#REF!</definedName>
    <definedName name="BD1StateFeas" localSheetId="1">#REF!</definedName>
    <definedName name="BD1StateFeas" localSheetId="2">#REF!</definedName>
    <definedName name="BD1StateFeas">#REF!</definedName>
    <definedName name="BD1StateInd" localSheetId="0">#REF!</definedName>
    <definedName name="BD1StateInd" localSheetId="1">#REF!</definedName>
    <definedName name="BD1StateInd" localSheetId="2">#REF!</definedName>
    <definedName name="BD1StateInd">#REF!</definedName>
    <definedName name="BD1StateIndMax" localSheetId="0">#REF!</definedName>
    <definedName name="BD1StateIndMax" localSheetId="1">#REF!</definedName>
    <definedName name="BD1StateIndMax" localSheetId="2">#REF!</definedName>
    <definedName name="BD1StateIndMax">#REF!</definedName>
    <definedName name="BD1StateList" localSheetId="0">#REF!</definedName>
    <definedName name="BD1StateList" localSheetId="1">#REF!</definedName>
    <definedName name="BD1StateList" localSheetId="2">#REF!</definedName>
    <definedName name="BD1StateList">#REF!</definedName>
    <definedName name="BD1StateLogic" localSheetId="0">#REF!</definedName>
    <definedName name="BD1StateLogic" localSheetId="1">#REF!</definedName>
    <definedName name="BD1StateLogic" localSheetId="2">#REF!</definedName>
    <definedName name="BD1StateLogic">#REF!</definedName>
    <definedName name="BD1StateMax" localSheetId="0">#REF!</definedName>
    <definedName name="BD1StateMax" localSheetId="1">#REF!</definedName>
    <definedName name="BD1StateMax" localSheetId="2">#REF!</definedName>
    <definedName name="BD1StateMax">#REF!</definedName>
    <definedName name="BD1StateMin" localSheetId="0">#REF!</definedName>
    <definedName name="BD1StateMin" localSheetId="1">#REF!</definedName>
    <definedName name="BD1StateMin" localSheetId="2">#REF!</definedName>
    <definedName name="BD1StateMin">#REF!</definedName>
    <definedName name="BD1StateNames" localSheetId="0">#REF!</definedName>
    <definedName name="BD1StateNames" localSheetId="1">#REF!</definedName>
    <definedName name="BD1StateNames" localSheetId="2">#REF!</definedName>
    <definedName name="BD1StateNames">#REF!</definedName>
    <definedName name="BD1StateStep" localSheetId="0">#REF!</definedName>
    <definedName name="BD1StateStep" localSheetId="1">#REF!</definedName>
    <definedName name="BD1StateStep" localSheetId="2">#REF!</definedName>
    <definedName name="BD1StateStep">#REF!</definedName>
    <definedName name="BD1TimeMeasure" localSheetId="0">#REF!</definedName>
    <definedName name="BD1TimeMeasure" localSheetId="1">#REF!</definedName>
    <definedName name="BD1TimeMeasure" localSheetId="2">#REF!</definedName>
    <definedName name="BD1TimeMeasure">#REF!</definedName>
    <definedName name="BD1TransCost1" localSheetId="0">#REF!</definedName>
    <definedName name="BD1TransCost1" localSheetId="1">#REF!</definedName>
    <definedName name="BD1TransCost1" localSheetId="2">#REF!</definedName>
    <definedName name="BD1TransCost1">#REF!</definedName>
    <definedName name="BD1TransCost2" localSheetId="0">#REF!</definedName>
    <definedName name="BD1TransCost2" localSheetId="1">#REF!</definedName>
    <definedName name="BD1TransCost2" localSheetId="2">#REF!</definedName>
    <definedName name="BD1TransCost2">#REF!</definedName>
    <definedName name="BD1TransEvent1" localSheetId="0">#REF!</definedName>
    <definedName name="BD1TransEvent1" localSheetId="1">#REF!</definedName>
    <definedName name="BD1TransEvent1" localSheetId="2">#REF!</definedName>
    <definedName name="BD1TransEvent1">#REF!</definedName>
    <definedName name="BD1TransEvent2" localSheetId="0">#REF!</definedName>
    <definedName name="BD1TransEvent2" localSheetId="1">#REF!</definedName>
    <definedName name="BD1TransEvent2" localSheetId="2">#REF!</definedName>
    <definedName name="BD1TransEvent2">#REF!</definedName>
    <definedName name="BD1TransEventLogic1" localSheetId="0">#REF!</definedName>
    <definedName name="BD1TransEventLogic1" localSheetId="1">#REF!</definedName>
    <definedName name="BD1TransEventLogic1" localSheetId="2">#REF!</definedName>
    <definedName name="BD1TransEventLogic1">#REF!</definedName>
    <definedName name="BD1TransEventLogic2" localSheetId="0">#REF!</definedName>
    <definedName name="BD1TransEventLogic2" localSheetId="1">#REF!</definedName>
    <definedName name="BD1TransEventLogic2" localSheetId="2">#REF!</definedName>
    <definedName name="BD1TransEventLogic2">#REF!</definedName>
    <definedName name="BD1TransInd1" localSheetId="0">#REF!</definedName>
    <definedName name="BD1TransInd1" localSheetId="1">#REF!</definedName>
    <definedName name="BD1TransInd1" localSheetId="2">#REF!</definedName>
    <definedName name="BD1TransInd1">#REF!</definedName>
    <definedName name="BD1TransInd2" localSheetId="0">#REF!</definedName>
    <definedName name="BD1TransInd2" localSheetId="1">#REF!</definedName>
    <definedName name="BD1TransInd2" localSheetId="2">#REF!</definedName>
    <definedName name="BD1TransInd2">#REF!</definedName>
    <definedName name="BD1TransLogic1" localSheetId="0">#REF!</definedName>
    <definedName name="BD1TransLogic1" localSheetId="1">#REF!</definedName>
    <definedName name="BD1TransLogic1" localSheetId="2">#REF!</definedName>
    <definedName name="BD1TransLogic1">#REF!</definedName>
    <definedName name="BD1TransLogic2" localSheetId="0">#REF!</definedName>
    <definedName name="BD1TransLogic2" localSheetId="1">#REF!</definedName>
    <definedName name="BD1TransLogic2" localSheetId="2">#REF!</definedName>
    <definedName name="BD1TransLogic2">#REF!</definedName>
    <definedName name="BD1TransName1" localSheetId="0">#REF!</definedName>
    <definedName name="BD1TransName1" localSheetId="1">#REF!</definedName>
    <definedName name="BD1TransName1" localSheetId="2">#REF!</definedName>
    <definedName name="BD1TransName1">#REF!</definedName>
    <definedName name="BD1TransName2" localSheetId="0">#REF!</definedName>
    <definedName name="BD1TransName2" localSheetId="1">#REF!</definedName>
    <definedName name="BD1TransName2" localSheetId="2">#REF!</definedName>
    <definedName name="BD1TransName2">#REF!</definedName>
    <definedName name="BD1TransNextState1" localSheetId="0">#REF!</definedName>
    <definedName name="BD1TransNextState1" localSheetId="1">#REF!</definedName>
    <definedName name="BD1TransNextState1" localSheetId="2">#REF!</definedName>
    <definedName name="BD1TransNextState1">#REF!</definedName>
    <definedName name="BD1TransNextState2" localSheetId="0">#REF!</definedName>
    <definedName name="BD1TransNextState2" localSheetId="1">#REF!</definedName>
    <definedName name="BD1TransNextState2" localSheetId="2">#REF!</definedName>
    <definedName name="BD1TransNextState2">#REF!</definedName>
    <definedName name="BD1TransProb1" localSheetId="0">#REF!</definedName>
    <definedName name="BD1TransProb1" localSheetId="1">#REF!</definedName>
    <definedName name="BD1TransProb1" localSheetId="2">#REF!</definedName>
    <definedName name="BD1TransProb1">#REF!</definedName>
    <definedName name="BD1TransProb2" localSheetId="0">#REF!</definedName>
    <definedName name="BD1TransProb2" localSheetId="1">#REF!</definedName>
    <definedName name="BD1TransProb2" localSheetId="2">#REF!</definedName>
    <definedName name="BD1TransProb2">#REF!</definedName>
    <definedName name="BD1TransState1" localSheetId="0">#REF!</definedName>
    <definedName name="BD1TransState1" localSheetId="1">#REF!</definedName>
    <definedName name="BD1TransState1" localSheetId="2">#REF!</definedName>
    <definedName name="BD1TransState1">#REF!</definedName>
    <definedName name="BD1TransState2" localSheetId="0">#REF!</definedName>
    <definedName name="BD1TransState2" localSheetId="1">#REF!</definedName>
    <definedName name="BD1TransState2" localSheetId="2">#REF!</definedName>
    <definedName name="BD1TransState2">#REF!</definedName>
    <definedName name="BD1TransStateLogic1" localSheetId="0">#REF!</definedName>
    <definedName name="BD1TransStateLogic1" localSheetId="1">#REF!</definedName>
    <definedName name="BD1TransStateLogic1" localSheetId="2">#REF!</definedName>
    <definedName name="BD1TransStateLogic1">#REF!</definedName>
    <definedName name="BD1TransStateLogic2" localSheetId="0">#REF!</definedName>
    <definedName name="BD1TransStateLogic2" localSheetId="1">#REF!</definedName>
    <definedName name="BD1TransStateLogic2" localSheetId="2">#REF!</definedName>
    <definedName name="BD1TransStateLogic2">#REF!</definedName>
    <definedName name="C_C" localSheetId="0">#REF!</definedName>
    <definedName name="C_C" localSheetId="1">#REF!</definedName>
    <definedName name="C_C" localSheetId="2">#REF!</definedName>
    <definedName name="C_C">#REF!</definedName>
    <definedName name="civil" localSheetId="0">#REF!</definedName>
    <definedName name="civil" localSheetId="1">#REF!</definedName>
    <definedName name="civil" localSheetId="2">#REF!</definedName>
    <definedName name="civil">#REF!</definedName>
    <definedName name="con" localSheetId="0">#REF!</definedName>
    <definedName name="con" localSheetId="1">#REF!</definedName>
    <definedName name="con" localSheetId="2">#REF!</definedName>
    <definedName name="con">#REF!</definedName>
    <definedName name="Conductor" localSheetId="0">#REF!</definedName>
    <definedName name="Conductor" localSheetId="1">#REF!</definedName>
    <definedName name="Conductor" localSheetId="2">#REF!</definedName>
    <definedName name="Conductor">#REF!</definedName>
    <definedName name="CPL" localSheetId="0">#REF!</definedName>
    <definedName name="CPL" localSheetId="1">#REF!</definedName>
    <definedName name="CPL" localSheetId="2">#REF!</definedName>
    <definedName name="CPL">#REF!</definedName>
    <definedName name="CSD" localSheetId="0">#REF!</definedName>
    <definedName name="CSD" localSheetId="1">#REF!</definedName>
    <definedName name="CSD" localSheetId="2">#REF!</definedName>
    <definedName name="CSD">#REF!</definedName>
    <definedName name="de" localSheetId="0">#REF!</definedName>
    <definedName name="de" localSheetId="1">#REF!</definedName>
    <definedName name="de" localSheetId="2">#REF!</definedName>
    <definedName name="de">#REF!</definedName>
    <definedName name="ds" localSheetId="0">#REF!</definedName>
    <definedName name="ds" localSheetId="1">#REF!</definedName>
    <definedName name="ds" localSheetId="2">#REF!</definedName>
    <definedName name="ds">#REF!</definedName>
    <definedName name="g65d9" localSheetId="0">#REF!</definedName>
    <definedName name="g65d9" localSheetId="1">#REF!</definedName>
    <definedName name="g65d9" localSheetId="2">#REF!</definedName>
    <definedName name="g65d9">#REF!</definedName>
    <definedName name="GravelFill" localSheetId="0">#REF!</definedName>
    <definedName name="GravelFill" localSheetId="1">#REF!</definedName>
    <definedName name="GravelFill" localSheetId="2">#REF!</definedName>
    <definedName name="GravelFill">#REF!</definedName>
    <definedName name="hy" localSheetId="0">#REF!</definedName>
    <definedName name="hy" localSheetId="1">#REF!</definedName>
    <definedName name="hy" localSheetId="2">#REF!</definedName>
    <definedName name="hy">#REF!</definedName>
    <definedName name="J" localSheetId="0">#REF!</definedName>
    <definedName name="J" localSheetId="1">#REF!</definedName>
    <definedName name="J" localSheetId="2">#REF!</definedName>
    <definedName name="J">#REF!</definedName>
    <definedName name="k" localSheetId="0">#REF!</definedName>
    <definedName name="k" localSheetId="1">#REF!</definedName>
    <definedName name="k" localSheetId="2">#REF!</definedName>
    <definedName name="k">#REF!</definedName>
    <definedName name="kl" localSheetId="0">#REF!</definedName>
    <definedName name="kl" localSheetId="1">#REF!</definedName>
    <definedName name="kl" localSheetId="2">#REF!</definedName>
    <definedName name="kl">#REF!</definedName>
    <definedName name="machili" localSheetId="0">#REF!</definedName>
    <definedName name="machili" localSheetId="1">#REF!</definedName>
    <definedName name="machili">#REF!</definedName>
    <definedName name="_xlnm.Print_Area" localSheetId="0">abs!$A$1:$C$19</definedName>
    <definedName name="_xlnm.Print_Area" localSheetId="1">'Sch-A'!$A$1:$F$29</definedName>
    <definedName name="_xlnm.Print_Area" localSheetId="2">'Sch-B'!$A$1:$F$36</definedName>
    <definedName name="PRINT_AREA_MI" localSheetId="0">#REF!</definedName>
    <definedName name="PRINT_AREA_MI" localSheetId="2">#REF!</definedName>
    <definedName name="PRINT_AREA_MI">#REF!</definedName>
    <definedName name="_xlnm.Print_Titles" localSheetId="2">'Sch-B'!$4:$4</definedName>
    <definedName name="R_" localSheetId="0">#REF!</definedName>
    <definedName name="R_" localSheetId="1">#REF!</definedName>
    <definedName name="R_" localSheetId="2">#REF!</definedName>
    <definedName name="R_">#REF!</definedName>
    <definedName name="S" localSheetId="0">#REF!</definedName>
    <definedName name="S" localSheetId="1">#REF!</definedName>
    <definedName name="S" localSheetId="2">#REF!</definedName>
    <definedName name="S">#REF!</definedName>
    <definedName name="Sim1_FirstRow" localSheetId="0">#REF!</definedName>
    <definedName name="Sim1_FirstRow" localSheetId="1">#REF!</definedName>
    <definedName name="Sim1_FirstRow" localSheetId="2">#REF!</definedName>
    <definedName name="Sim1_FirstRow">#REF!</definedName>
    <definedName name="Sim1_LastRow" localSheetId="0">#REF!</definedName>
    <definedName name="Sim1_LastRow" localSheetId="1">#REF!</definedName>
    <definedName name="Sim1_LastRow" localSheetId="2">#REF!</definedName>
    <definedName name="Sim1_LastRow">#REF!</definedName>
    <definedName name="Sim1_Param" localSheetId="0">#REF!</definedName>
    <definedName name="Sim1_Param" localSheetId="1">#REF!</definedName>
    <definedName name="Sim1_Param" localSheetId="2">#REF!</definedName>
    <definedName name="Sim1_Param">#REF!</definedName>
    <definedName name="Sim1_Param2" localSheetId="0">#REF!</definedName>
    <definedName name="Sim1_Param2" localSheetId="1">#REF!</definedName>
    <definedName name="Sim1_Param2" localSheetId="2">#REF!</definedName>
    <definedName name="Sim1_Param2">#REF!</definedName>
    <definedName name="Sim1_RepCount" localSheetId="0">#REF!</definedName>
    <definedName name="Sim1_RepCount" localSheetId="1">#REF!</definedName>
    <definedName name="Sim1_RepCount" localSheetId="2">#REF!</definedName>
    <definedName name="Sim1_RepCount">#REF!</definedName>
    <definedName name="Sim1_Seeds" localSheetId="0">#REF!</definedName>
    <definedName name="Sim1_Seeds" localSheetId="1">#REF!</definedName>
    <definedName name="Sim1_Seeds" localSheetId="2">#REF!</definedName>
    <definedName name="Sim1_Seeds">#REF!</definedName>
    <definedName name="Sim1_SimData" localSheetId="0">#REF!</definedName>
    <definedName name="Sim1_SimData" localSheetId="1">#REF!</definedName>
    <definedName name="Sim1_SimData" localSheetId="2">#REF!</definedName>
    <definedName name="Sim1_SimData">#REF!</definedName>
    <definedName name="Sim1_TopRow" localSheetId="0">#REF!</definedName>
    <definedName name="Sim1_TopRow" localSheetId="1">#REF!</definedName>
    <definedName name="Sim1_TopRow" localSheetId="2">#REF!</definedName>
    <definedName name="Sim1_TopRow">#REF!</definedName>
    <definedName name="sun" localSheetId="0">#REF!</definedName>
    <definedName name="sun">#REF!</definedName>
    <definedName name="V" localSheetId="0">#REF!</definedName>
    <definedName name="V" localSheetId="1">#REF!</definedName>
    <definedName name="V" localSheetId="2">#REF!</definedName>
    <definedName name="V">#REF!</definedName>
  </definedNames>
  <calcPr calcId="124519"/>
</workbook>
</file>

<file path=xl/calcChain.xml><?xml version="1.0" encoding="utf-8"?>
<calcChain xmlns="http://schemas.openxmlformats.org/spreadsheetml/2006/main">
  <c r="F27" i="14"/>
  <c r="F26"/>
  <c r="F24"/>
  <c r="F22"/>
  <c r="F21"/>
  <c r="F18"/>
  <c r="F17"/>
  <c r="F16"/>
  <c r="F15"/>
  <c r="I14"/>
  <c r="F14"/>
  <c r="F13"/>
  <c r="F9"/>
  <c r="A2"/>
  <c r="A2" i="2"/>
  <c r="F21"/>
  <c r="F17"/>
  <c r="F16"/>
  <c r="F15"/>
  <c r="F14"/>
  <c r="F10"/>
  <c r="F9"/>
  <c r="A2" i="12"/>
  <c r="N15" i="5"/>
  <c r="M16" s="1"/>
  <c r="O14"/>
  <c r="N14"/>
  <c r="M14"/>
  <c r="N13"/>
  <c r="H13"/>
  <c r="I13" s="1"/>
  <c r="N5"/>
  <c r="M6" s="1"/>
  <c r="H5"/>
  <c r="F11" i="14" l="1"/>
  <c r="F23"/>
  <c r="H27"/>
  <c r="F7"/>
  <c r="F25"/>
  <c r="F8"/>
  <c r="F20"/>
  <c r="F19"/>
  <c r="F12"/>
  <c r="F10"/>
  <c r="F19" i="2"/>
  <c r="F4"/>
  <c r="K5" i="5"/>
  <c r="M5" s="1"/>
  <c r="I5"/>
  <c r="K13"/>
  <c r="M13" s="1"/>
  <c r="F28" i="14" l="1"/>
  <c r="F20" i="2"/>
  <c r="F18"/>
  <c r="F11"/>
  <c r="F13"/>
  <c r="F8"/>
  <c r="F5"/>
  <c r="F6"/>
  <c r="M15" i="5"/>
  <c r="O13"/>
  <c r="O15" s="1"/>
  <c r="O5"/>
  <c r="M7"/>
  <c r="M9" s="1"/>
  <c r="M10" s="1"/>
  <c r="M8"/>
  <c r="F12" i="2"/>
  <c r="F29" i="14" l="1"/>
  <c r="C9" i="13"/>
  <c r="M19" i="5"/>
  <c r="M20" s="1"/>
  <c r="E22" s="1"/>
  <c r="M17"/>
  <c r="M18"/>
  <c r="F7" i="2" l="1"/>
  <c r="F22" l="1"/>
  <c r="C6" i="13" s="1"/>
  <c r="C7" l="1"/>
  <c r="C10" l="1"/>
  <c r="C11" s="1"/>
</calcChain>
</file>

<file path=xl/sharedStrings.xml><?xml version="1.0" encoding="utf-8"?>
<sst xmlns="http://schemas.openxmlformats.org/spreadsheetml/2006/main" count="232" uniqueCount="162">
  <si>
    <t>ABSTRACT</t>
  </si>
  <si>
    <t>SL No</t>
  </si>
  <si>
    <t xml:space="preserve">DESCRIPTION </t>
  </si>
  <si>
    <t>Basic Cost</t>
  </si>
  <si>
    <t>Line</t>
  </si>
  <si>
    <t>A</t>
  </si>
  <si>
    <t>Material portion</t>
  </si>
  <si>
    <t xml:space="preserve">Schedule-A 
(Electrical-Line) </t>
  </si>
  <si>
    <t>Total Schedule-A</t>
  </si>
  <si>
    <t>B</t>
  </si>
  <si>
    <t>Labour Portion</t>
  </si>
  <si>
    <t xml:space="preserve">Schedule-B 
(Electrical-Line) </t>
  </si>
  <si>
    <t>Total Schedule-B</t>
  </si>
  <si>
    <t>SCHEDULE-A</t>
  </si>
  <si>
    <t>Sl. No</t>
  </si>
  <si>
    <t>Particulars</t>
  </si>
  <si>
    <t>Qty</t>
  </si>
  <si>
    <t>UOM</t>
  </si>
  <si>
    <t>Total Unit rate of Material                  (in Rs.)</t>
  </si>
  <si>
    <t>Total Amount    
(in Rs.)</t>
  </si>
  <si>
    <t>KM</t>
  </si>
  <si>
    <t>aRMOUR GRIP SUSPENSION</t>
  </si>
  <si>
    <t>Single Suspension H/W (AGS-FAH) AAAC Panther</t>
  </si>
  <si>
    <t>Nos.</t>
  </si>
  <si>
    <t xml:space="preserve">AGS-FAH </t>
  </si>
  <si>
    <t>FIXED ARCHING HORN</t>
  </si>
  <si>
    <t>Double suspension H/W (AGS type) for AAAC Panther</t>
  </si>
  <si>
    <t>Single Tension Hardware for AAAC Panther</t>
  </si>
  <si>
    <t>different in hard copy quantities</t>
  </si>
  <si>
    <t>Double Tension Hardware for AAAC Panther</t>
  </si>
  <si>
    <t>Midspan Joints for AAAC Panther</t>
  </si>
  <si>
    <t>Repair Sleeves for AAAC Panther</t>
  </si>
  <si>
    <t>Vibration dampers for AAAC Panther</t>
  </si>
  <si>
    <t>132KV,70 KN SRC Insulators</t>
  </si>
  <si>
    <t>132KV,120KN SRC Insulators</t>
  </si>
  <si>
    <t xml:space="preserve">Supply and fixing GI flexible earth bonds </t>
  </si>
  <si>
    <t>Danger Boards with bolts,nuts &amp; washers</t>
  </si>
  <si>
    <t>Phase plates</t>
  </si>
  <si>
    <t>Supply of GI Tower parts including cost of Steel, Galvanisation, Fabrication and Transportation to Site</t>
  </si>
  <si>
    <t>MT</t>
  </si>
  <si>
    <t>Supply of GI bolts &amp; Nuts</t>
  </si>
  <si>
    <t>Sub-Total in Rs.</t>
  </si>
  <si>
    <t>SCHEDULE:B</t>
  </si>
  <si>
    <t>(All financial figures are in Rs.)</t>
  </si>
  <si>
    <t>S. No.</t>
  </si>
  <si>
    <t>Description</t>
  </si>
  <si>
    <t>Qty.</t>
  </si>
  <si>
    <t>Unit rate of Material</t>
  </si>
  <si>
    <t>Dimantling of power conductor: Dismantling of tension insulators and suspension insulators, paving out the conductor, rough sagging, jointing, tensioning, clipping and fixing of preformed armour rods and vibration dampers, measuring ground clearances wherever necessary. Which excludes the works involved in the crossing of LT, 11 KV &amp; 33 KV power lines viz dismantling and restringing of conductor</t>
  </si>
  <si>
    <t>Km</t>
  </si>
  <si>
    <r>
      <rPr>
        <sz val="12"/>
        <rFont val="Bookman Old Style"/>
      </rPr>
      <t xml:space="preserve">3 Nos Lynx Conductors 
</t>
    </r>
    <r>
      <rPr>
        <b/>
        <sz val="12"/>
        <rFont val="Bookman Old Style"/>
      </rPr>
      <t>( Dismantling Under 1 st Ckt Live condition  Pakala-K.P.Mitta feeder &amp; Chittoor-Irala feeder)</t>
    </r>
  </si>
  <si>
    <t>3a</t>
  </si>
  <si>
    <r>
      <rPr>
        <sz val="12"/>
        <rFont val="Bookman Old Style"/>
      </rPr>
      <t xml:space="preserve">3 No.s AAAC Panther
</t>
    </r>
    <r>
      <rPr>
        <b/>
        <sz val="12"/>
        <color rgb="FF000000"/>
        <rFont val="Bookman Old Style"/>
      </rPr>
      <t>(Under Shutdown Condition)</t>
    </r>
  </si>
  <si>
    <t>3b</t>
  </si>
  <si>
    <r>
      <rPr>
        <sz val="12"/>
        <rFont val="Bookman Old Style"/>
      </rPr>
      <t xml:space="preserve">3 No.s AAAC Panther
</t>
    </r>
    <r>
      <rPr>
        <b/>
        <sz val="12"/>
        <color rgb="FF000000"/>
        <rFont val="Bookman Old Style"/>
      </rPr>
      <t>(Under 1 st Ckt Live condition)</t>
    </r>
  </si>
  <si>
    <t xml:space="preserve">Earthing  of  towers  including  cost  of  Excavation, Back-filling, including cost  of 25  mm dia  2.5  mm thick,  class  'C' G.I.  pipe of 3.00 Mtrs length,BH Coke , Salt etc., and measuring tower footing resistance. 
(Without GI Flat ) for counter poise earthing. </t>
  </si>
  <si>
    <t>Nos</t>
  </si>
  <si>
    <t>Counterpoise  earthing  including  clamping  devices  and  terminal lugs, Excluding cost of steel wire</t>
  </si>
  <si>
    <t>RM</t>
  </si>
  <si>
    <r>
      <rPr>
        <sz val="12"/>
        <rFont val="Bookman Old Style"/>
      </rPr>
      <t>Excavation of earth pit, putting cast iron pipe with flange on one end (as per ISS7181/86) of nominal dia 125mm and 2.75 meters long inside the pit including supply and fixing RCC collars 0.75 meter dia (OD), 50mm thick and 0.60meters long inside the pit, backfill the pit in the 25mm  size  granules  of  BHcoke for full depth of  the  pit with  alternate  layers  of  BH  
coke  and  salt  of 300mm thick around the earth pipe of 150mm on all  the sides of the pipe including cost and conveyance of BH coke, salt, clamps, C.I.Pipes and RCC collars, labour charges for all operational and incidental items of work etc., complete. including cost of 75x8 GI flat for 60m. (For</t>
    </r>
    <r>
      <rPr>
        <b/>
        <sz val="12"/>
        <rFont val="Bookman Old Style"/>
      </rPr>
      <t xml:space="preserve"> Railway Crossing Towers</t>
    </r>
    <r>
      <rPr>
        <sz val="12"/>
        <rFont val="Bookman Old Style"/>
      </rPr>
      <t>)</t>
    </r>
  </si>
  <si>
    <t>Dismantling and re-stringing of 33 KV conductor for crossing of 33 KV lines during stringing of EHTlines</t>
  </si>
  <si>
    <t>Conductor</t>
  </si>
  <si>
    <t>Dismantling and re-stringing of 11 KV conductor for crossing of 11 KV lines during stringing of EHTlines</t>
  </si>
  <si>
    <t>Dismantling and re-stringing of LT line conductor/cables for crossing of LT lines during stringing of EHTlines</t>
  </si>
  <si>
    <t>Providing of vehicle to field officials for both Civil &amp; Electrical</t>
  </si>
  <si>
    <t>Clearing heavy jungle</t>
  </si>
  <si>
    <t>Sq. Mtr</t>
  </si>
  <si>
    <t>5 km Forest</t>
  </si>
  <si>
    <t>Clearing light Jungle</t>
  </si>
  <si>
    <t>Cutting and Removing Palmyrah trees including stacking of girth of 30 to 100 cm</t>
  </si>
  <si>
    <t>Cutting and Removing Palmyrah trees including stacking of girth of 100 to 200 cm</t>
  </si>
  <si>
    <t>Cutting and Removing other kind of  trees including stacking of girth of 30 to 100 cm</t>
  </si>
  <si>
    <t>Cutting and Removing other kind of trees including stacking of girth of 100 to 200 cm</t>
  </si>
  <si>
    <t>Cutting and Removing other kind of  trees including stacking of girth of above 200 cm</t>
  </si>
  <si>
    <t>Transporting of dismantling materials from Line  work site  to Kadapa Stores ( Includinga allowances)</t>
  </si>
  <si>
    <t>Loads</t>
  </si>
  <si>
    <t>AAAC Panther Conductor</t>
  </si>
  <si>
    <t>Total</t>
  </si>
  <si>
    <t>(As per Technical Sanction)</t>
  </si>
  <si>
    <t>Annexure V - 132kV Substation Rangannagudem / Remalle (Krishna District) Estimate (Electrical ) - Labour Portion</t>
  </si>
  <si>
    <t>Sl. No.</t>
  </si>
  <si>
    <t>Master Sl.No. of SSR 2012-13</t>
  </si>
  <si>
    <t xml:space="preserve">Basic Rate of Labour as per SSR 2012-13 </t>
  </si>
  <si>
    <t>Extra conditions - Dismantling /Shutdown (on 6)</t>
  </si>
  <si>
    <t>Adj. Basic Rate</t>
  </si>
  <si>
    <t>COP 14% on (8)</t>
  </si>
  <si>
    <t>Insurance on material @ 0.5%</t>
  </si>
  <si>
    <t>Unit Rate of Labour (8+9)</t>
  </si>
  <si>
    <t>Total of Labour 
(4 x 11)</t>
  </si>
  <si>
    <t>Total of Material 
( 4 x 12)</t>
  </si>
  <si>
    <t>(1)</t>
  </si>
  <si>
    <t>(2)</t>
  </si>
  <si>
    <t>(3)</t>
  </si>
  <si>
    <t>(4)</t>
  </si>
  <si>
    <t>(5)</t>
  </si>
  <si>
    <t>(6)</t>
  </si>
  <si>
    <t>(7)</t>
  </si>
  <si>
    <t>(8)</t>
  </si>
  <si>
    <t>(9)</t>
  </si>
  <si>
    <t>('10)</t>
  </si>
  <si>
    <t>(11)</t>
  </si>
  <si>
    <t>(12)</t>
  </si>
  <si>
    <t>(13)</t>
  </si>
  <si>
    <t>(14)</t>
  </si>
  <si>
    <t>(15)</t>
  </si>
  <si>
    <t>Pg 17 item CS27</t>
  </si>
  <si>
    <t>Supply and installation of lighting fixures of 250 W HPSV of Crompton Greaves / Philips make on switch yard structures including cost of lighting fixtures,cabling and connections.</t>
  </si>
  <si>
    <t>WCT: 5% on total of material</t>
  </si>
  <si>
    <t>Service tax:12.36% on total of labour</t>
  </si>
  <si>
    <t>Labour cess: 1% on total of labour+ Material</t>
  </si>
  <si>
    <t>Total with taxes</t>
  </si>
  <si>
    <t>Total of Labour &amp; Material</t>
  </si>
  <si>
    <t>Proposed As per JMD Instruction</t>
  </si>
  <si>
    <t>40(a)</t>
  </si>
  <si>
    <t>Supply and installation of lighting fixures of 250 W HPSV of Crompton Greaves / Philips make on switch yard structures including cost of lighting fixtures,cabling and connections and also including 40mm dia GI Bent pipe  of 0.75Mts length with suitable clamps for fixing to sltructures in complete shape.</t>
  </si>
  <si>
    <t>40(b)</t>
  </si>
  <si>
    <t>As per field estimate</t>
  </si>
  <si>
    <t>Supply, installing , testing and Commissioning of 80 W LED lamps along with fixtures for switchyard lighting in Substations.</t>
  </si>
  <si>
    <t>This includes both labour and material cost</t>
  </si>
  <si>
    <t>Difference in cost</t>
  </si>
  <si>
    <t>=Rs.</t>
  </si>
  <si>
    <t>CHIEF ENGINEER</t>
  </si>
  <si>
    <t>CONSTRUCTION-II</t>
  </si>
  <si>
    <t xml:space="preserve">               //FORWARDED BY ORDER //</t>
  </si>
  <si>
    <t xml:space="preserve">        ASST. DIVISIONAL ENGINEER (ELECL.)</t>
  </si>
  <si>
    <t>// FORWARDED BY ORDER //</t>
  </si>
  <si>
    <t>ASST.DIVISIONAL ENGINEER/Elecl.</t>
  </si>
  <si>
    <t>Description of work</t>
  </si>
  <si>
    <t>COMPARATIVE STATEMENT</t>
  </si>
  <si>
    <t>Quotation Given by</t>
  </si>
  <si>
    <t>Per</t>
  </si>
  <si>
    <t>M/s Shasi Cables limited, Lucknow</t>
  </si>
  <si>
    <t>M/s JSK Industries Pvt Ltd.,,Mumbai</t>
  </si>
  <si>
    <t>M/s Oswal cables Pvt Ltd., Jaipur,Rajasthan</t>
  </si>
  <si>
    <t>M/s Aumni Transmission Industry Pvt Ltd.,Vadodara</t>
  </si>
  <si>
    <t>High Temperature low sag (HTLS) ACSS Conductor Equivalent to Lynx Conductor</t>
  </si>
  <si>
    <t>1 KM</t>
  </si>
  <si>
    <t>...</t>
  </si>
  <si>
    <t xml:space="preserve">Single Suspension Hard ware (SSHW) for HTLS Euivalent to Lynx Conductor </t>
  </si>
  <si>
    <t>1 No</t>
  </si>
  <si>
    <t xml:space="preserve">Double Suspension Hard ware (DSHW) for HTLS Euivalent to Lynx Conductor </t>
  </si>
  <si>
    <t xml:space="preserve">Single Tension Hard ware (STHW)  For HTLS Equivalent to Lynx Conductor </t>
  </si>
  <si>
    <t>Double tension Hard Ware (DTHW) For HTLS Equivalent to Lynx Conductor</t>
  </si>
  <si>
    <t>Mid Span Compression Joints for HTLS Equivalent to Lynx Conductor</t>
  </si>
  <si>
    <t xml:space="preserve">Repair Sleeves for HTLS Equivalent to Lynx Conductor </t>
  </si>
  <si>
    <t xml:space="preserve">Vibration Dampers for HTLS Equivalent to Lynx Conductor </t>
  </si>
  <si>
    <t xml:space="preserve">Armour Rods for HTLS Equivalent to Lynx Conductor </t>
  </si>
  <si>
    <t>CHIEF ENGINEER/ZONE
KADAPA :: APTRANSCO</t>
  </si>
  <si>
    <t>CHIEF ENGINEER/ZONE</t>
  </si>
  <si>
    <t>KADAPA :: APTRANSCO</t>
  </si>
  <si>
    <t>Supply of 75x8 GI flat</t>
  </si>
  <si>
    <t>7/3.15mm Earth wire</t>
  </si>
  <si>
    <t>Anti climbing devices</t>
  </si>
  <si>
    <r>
      <t xml:space="preserve">3 Nos Lynx  Conductors 
</t>
    </r>
    <r>
      <rPr>
        <b/>
        <sz val="12"/>
        <rFont val="Bookman Old Style"/>
      </rPr>
      <t>( Dismantling Under Shutdown )</t>
    </r>
  </si>
  <si>
    <t>STRINGING  OF  POWER  CONDUCTOR:  
Hoisting of tension insulators and Suspension  
insulators, paving out the conductor, rough    sagging, Jointing,  tensioning, clipping and fixing of preformed Armour rods and vibration dampers. measuring ground clearances wherever necessary. Which excludes the works involved in the crossing of LT, 11kV &amp; 33kV power lines  viz dismantling and 
restringing of conductor (Including transportation of materials from constractor site stores to work site)</t>
  </si>
  <si>
    <t>Loc</t>
  </si>
  <si>
    <t>Loading and unloading charges of dismantled materials from site to stores</t>
  </si>
  <si>
    <t>LS</t>
  </si>
  <si>
    <t>Grand Total</t>
  </si>
  <si>
    <t xml:space="preserve">Unit Rate of Labour </t>
  </si>
  <si>
    <t xml:space="preserve">Total of Labour 
</t>
  </si>
  <si>
    <r>
      <rPr>
        <b/>
        <u/>
        <sz val="12"/>
        <rFont val="Bookman Old Style"/>
      </rPr>
      <t xml:space="preserve"> Name of the Work :</t>
    </r>
    <r>
      <rPr>
        <b/>
        <sz val="12"/>
        <rFont val="Bookman Old Style"/>
      </rPr>
      <t xml:space="preserve"> Replacement of existing ACSR Lynx conductor (16.37KM) with AAAC Panther conductor for 132KV Chittoor – Pakala SC line in Chittoor District under RMI 2024-25 on turn key basis</t>
    </r>
  </si>
</sst>
</file>

<file path=xl/styles.xml><?xml version="1.0" encoding="utf-8"?>
<styleSheet xmlns="http://schemas.openxmlformats.org/spreadsheetml/2006/main">
  <numFmts count="9">
    <numFmt numFmtId="43" formatCode="_ * #,##0.00_ ;_ * \-#,##0.00_ ;_ * &quot;-&quot;??_ ;_ @_ "/>
    <numFmt numFmtId="164" formatCode="[$Rs.-4009]\ #,##0.00;[Red][$Rs.-4009]\ #,##0.00"/>
    <numFmt numFmtId="165" formatCode="[$Rs.-849]\ #,##0.00;[Red][$Rs.-849]\ #,##0.00"/>
    <numFmt numFmtId="166" formatCode="0.00;[Red]0.00"/>
    <numFmt numFmtId="167" formatCode="0.0"/>
    <numFmt numFmtId="168" formatCode="0;[Red]0"/>
    <numFmt numFmtId="169" formatCode="0.0;[Red]0.0"/>
    <numFmt numFmtId="170" formatCode="0.0000"/>
    <numFmt numFmtId="171" formatCode="[$Rs.-849]#,##0.00;[Red][$Rs.-849]#,##0.00"/>
  </numFmts>
  <fonts count="35">
    <font>
      <sz val="10"/>
      <color rgb="FF000000"/>
      <name val="Arial"/>
      <scheme val="minor"/>
    </font>
    <font>
      <b/>
      <u/>
      <sz val="14"/>
      <color rgb="FF000000"/>
      <name val="Bookman Old Style"/>
    </font>
    <font>
      <sz val="10"/>
      <name val="Arial"/>
    </font>
    <font>
      <b/>
      <sz val="12"/>
      <name val="Bookman Old Style"/>
    </font>
    <font>
      <sz val="12"/>
      <name val="Bookman Old Style"/>
    </font>
    <font>
      <sz val="12"/>
      <color rgb="FF000000"/>
      <name val="Bookman Old Style"/>
    </font>
    <font>
      <b/>
      <sz val="12"/>
      <color rgb="FF000000"/>
      <name val="Bookman Old Style"/>
    </font>
    <font>
      <b/>
      <sz val="11"/>
      <name val="Bookman Old Style"/>
    </font>
    <font>
      <b/>
      <sz val="16"/>
      <name val="Bookman Old Style"/>
    </font>
    <font>
      <b/>
      <sz val="16"/>
      <color rgb="FF000000"/>
      <name val="Bookman Old Style"/>
    </font>
    <font>
      <sz val="14"/>
      <name val="Bookman Old Style"/>
    </font>
    <font>
      <b/>
      <sz val="12"/>
      <name val="Times New Roman"/>
    </font>
    <font>
      <sz val="12"/>
      <name val="Times New Roman"/>
    </font>
    <font>
      <sz val="12"/>
      <color rgb="FF000000"/>
      <name val="Times New Roman"/>
    </font>
    <font>
      <sz val="12"/>
      <color rgb="FFFF0000"/>
      <name val="Times New Roman"/>
    </font>
    <font>
      <b/>
      <sz val="12"/>
      <color rgb="FF000000"/>
      <name val="Times New Roman"/>
    </font>
    <font>
      <i/>
      <sz val="12"/>
      <name val="Times New Roman"/>
    </font>
    <font>
      <b/>
      <u/>
      <sz val="12"/>
      <name val="Bookman Old Style"/>
    </font>
    <font>
      <b/>
      <u/>
      <sz val="16"/>
      <name val="Bookman Old Style"/>
    </font>
    <font>
      <sz val="11"/>
      <name val="Calibri"/>
    </font>
    <font>
      <sz val="10"/>
      <color rgb="FF000000"/>
      <name val="Arial"/>
    </font>
    <font>
      <b/>
      <sz val="11"/>
      <name val="Calibri"/>
    </font>
    <font>
      <sz val="12"/>
      <color rgb="FF000000"/>
      <name val="Arial"/>
      <family val="2"/>
      <scheme val="minor"/>
    </font>
    <font>
      <sz val="12"/>
      <name val="Bookman Old Style"/>
      <family val="1"/>
    </font>
    <font>
      <b/>
      <sz val="12"/>
      <name val="Bookman Old Style"/>
      <family val="1"/>
    </font>
    <font>
      <b/>
      <u/>
      <sz val="12"/>
      <color rgb="FF000000"/>
      <name val="Bookman Old Style"/>
      <family val="1"/>
    </font>
    <font>
      <sz val="12"/>
      <name val="Arial"/>
      <family val="2"/>
    </font>
    <font>
      <sz val="12"/>
      <color rgb="FF000000"/>
      <name val="Bookman Old Style"/>
      <family val="1"/>
    </font>
    <font>
      <b/>
      <sz val="12"/>
      <color rgb="FF000000"/>
      <name val="Bookman Old Style"/>
      <family val="1"/>
    </font>
    <font>
      <sz val="10"/>
      <color rgb="FF000000"/>
      <name val="Arial"/>
      <scheme val="minor"/>
    </font>
    <font>
      <b/>
      <sz val="12"/>
      <name val="Arial"/>
      <scheme val="minor"/>
    </font>
    <font>
      <sz val="14"/>
      <color rgb="FF000000"/>
      <name val="Arial"/>
      <family val="2"/>
      <scheme val="minor"/>
    </font>
    <font>
      <sz val="16"/>
      <color rgb="FF000000"/>
      <name val="Arial"/>
      <family val="2"/>
      <scheme val="minor"/>
    </font>
    <font>
      <sz val="18"/>
      <color rgb="FF000000"/>
      <name val="Arial"/>
      <family val="2"/>
      <scheme val="minor"/>
    </font>
    <font>
      <sz val="20"/>
      <color rgb="FF000000"/>
      <name val="Arial"/>
      <family val="2"/>
      <scheme val="minor"/>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29" fillId="0" borderId="10"/>
  </cellStyleXfs>
  <cellXfs count="186">
    <xf numFmtId="0" fontId="0" fillId="0" borderId="0" xfId="0" applyFont="1" applyAlignment="1"/>
    <xf numFmtId="0" fontId="3" fillId="0" borderId="4" xfId="0" applyFont="1" applyBorder="1" applyAlignment="1">
      <alignment horizontal="center" vertical="center" wrapText="1"/>
    </xf>
    <xf numFmtId="2" fontId="3" fillId="0" borderId="4" xfId="0" applyNumberFormat="1"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164" fontId="4" fillId="0" borderId="4" xfId="0" applyNumberFormat="1" applyFont="1" applyBorder="1" applyAlignment="1">
      <alignment vertical="center"/>
    </xf>
    <xf numFmtId="0" fontId="4" fillId="0" borderId="4" xfId="0" applyFont="1" applyBorder="1" applyAlignment="1">
      <alignment horizontal="left" vertical="center"/>
    </xf>
    <xf numFmtId="0" fontId="3" fillId="0" borderId="4" xfId="0" applyFont="1" applyBorder="1" applyAlignment="1">
      <alignment horizontal="right" vertical="center" wrapText="1"/>
    </xf>
    <xf numFmtId="164" fontId="3" fillId="0" borderId="4" xfId="0" applyNumberFormat="1" applyFont="1" applyBorder="1" applyAlignment="1">
      <alignment vertical="center"/>
    </xf>
    <xf numFmtId="0" fontId="3" fillId="0" borderId="4"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4" fillId="2" borderId="4" xfId="0" applyFont="1" applyFill="1" applyBorder="1" applyAlignment="1">
      <alignment horizontal="center" vertical="center"/>
    </xf>
    <xf numFmtId="2" fontId="4" fillId="2" borderId="4" xfId="0" applyNumberFormat="1" applyFont="1" applyFill="1" applyBorder="1" applyAlignment="1">
      <alignment horizontal="right" vertical="center" wrapText="1"/>
    </xf>
    <xf numFmtId="0" fontId="11" fillId="0" borderId="0" xfId="0" applyFont="1" applyAlignment="1">
      <alignment vertical="top"/>
    </xf>
    <xf numFmtId="0" fontId="12" fillId="0" borderId="0" xfId="0" applyFont="1" applyAlignment="1">
      <alignment vertical="top"/>
    </xf>
    <xf numFmtId="166" fontId="12" fillId="0" borderId="4" xfId="0" applyNumberFormat="1" applyFont="1" applyBorder="1" applyAlignment="1">
      <alignment horizontal="center" vertical="center" wrapText="1"/>
    </xf>
    <xf numFmtId="0" fontId="12" fillId="0" borderId="4" xfId="0" applyFont="1" applyBorder="1" applyAlignment="1">
      <alignment horizontal="center" vertical="center"/>
    </xf>
    <xf numFmtId="0" fontId="12" fillId="0" borderId="0" xfId="0" applyFont="1" applyAlignment="1">
      <alignment vertical="center"/>
    </xf>
    <xf numFmtId="169" fontId="12" fillId="0" borderId="6" xfId="0" applyNumberFormat="1" applyFont="1" applyBorder="1" applyAlignment="1">
      <alignment horizontal="center" vertical="top" wrapText="1"/>
    </xf>
    <xf numFmtId="166" fontId="12" fillId="0" borderId="4" xfId="0" applyNumberFormat="1" applyFont="1" applyBorder="1" applyAlignment="1">
      <alignment horizontal="left" vertical="top" wrapText="1"/>
    </xf>
    <xf numFmtId="166" fontId="12" fillId="0" borderId="4" xfId="0" applyNumberFormat="1" applyFont="1" applyBorder="1" applyAlignment="1">
      <alignment horizontal="center" vertical="top" wrapText="1"/>
    </xf>
    <xf numFmtId="0" fontId="12" fillId="0" borderId="4" xfId="0" applyFont="1" applyBorder="1" applyAlignment="1">
      <alignment horizontal="center" vertical="top"/>
    </xf>
    <xf numFmtId="168" fontId="12" fillId="0" borderId="4" xfId="0" applyNumberFormat="1" applyFont="1" applyBorder="1" applyAlignment="1">
      <alignment horizontal="center" vertical="top" wrapText="1"/>
    </xf>
    <xf numFmtId="0" fontId="12" fillId="0" borderId="4" xfId="0" applyFont="1" applyBorder="1" applyAlignment="1">
      <alignment horizontal="left" vertical="top" wrapText="1"/>
    </xf>
    <xf numFmtId="0" fontId="12" fillId="0" borderId="4" xfId="0" applyFont="1" applyBorder="1" applyAlignment="1">
      <alignment horizontal="center" vertical="top" wrapText="1"/>
    </xf>
    <xf numFmtId="2" fontId="12" fillId="0" borderId="4" xfId="0" applyNumberFormat="1" applyFont="1" applyBorder="1" applyAlignment="1">
      <alignment horizontal="right" vertical="top" wrapText="1"/>
    </xf>
    <xf numFmtId="2" fontId="12" fillId="0" borderId="4" xfId="0" applyNumberFormat="1" applyFont="1" applyBorder="1" applyAlignment="1">
      <alignment horizontal="center" vertical="top" wrapText="1"/>
    </xf>
    <xf numFmtId="2" fontId="12" fillId="0" borderId="4" xfId="0" applyNumberFormat="1" applyFont="1" applyBorder="1" applyAlignment="1">
      <alignment vertical="top" wrapText="1"/>
    </xf>
    <xf numFmtId="2" fontId="13" fillId="0" borderId="4" xfId="0" applyNumberFormat="1" applyFont="1" applyBorder="1" applyAlignment="1">
      <alignment horizontal="center" vertical="top"/>
    </xf>
    <xf numFmtId="0" fontId="14" fillId="0" borderId="0" xfId="0" applyFont="1" applyAlignment="1">
      <alignment vertical="top"/>
    </xf>
    <xf numFmtId="0" fontId="14" fillId="0" borderId="0" xfId="0" applyFont="1" applyAlignment="1">
      <alignment horizontal="center" vertical="top"/>
    </xf>
    <xf numFmtId="0" fontId="14" fillId="0" borderId="0" xfId="0" applyFont="1" applyAlignment="1">
      <alignment horizontal="left" vertical="top"/>
    </xf>
    <xf numFmtId="0" fontId="11" fillId="0" borderId="4" xfId="0" applyFont="1" applyBorder="1" applyAlignment="1">
      <alignment horizontal="right" vertical="top"/>
    </xf>
    <xf numFmtId="0" fontId="11" fillId="0" borderId="4" xfId="0" applyFont="1" applyBorder="1" applyAlignment="1">
      <alignment horizontal="right"/>
    </xf>
    <xf numFmtId="2" fontId="12" fillId="0" borderId="4" xfId="0" applyNumberFormat="1" applyFont="1" applyBorder="1" applyAlignment="1">
      <alignment horizontal="right" vertical="top"/>
    </xf>
    <xf numFmtId="0" fontId="12" fillId="0" borderId="4" xfId="0" applyFont="1" applyBorder="1" applyAlignment="1">
      <alignment vertical="top"/>
    </xf>
    <xf numFmtId="166" fontId="12" fillId="0" borderId="4" xfId="0" applyNumberFormat="1" applyFont="1" applyBorder="1" applyAlignment="1">
      <alignment horizontal="right" vertical="top"/>
    </xf>
    <xf numFmtId="166" fontId="11" fillId="0" borderId="4" xfId="0" applyNumberFormat="1" applyFont="1" applyBorder="1" applyAlignment="1">
      <alignment vertical="top"/>
    </xf>
    <xf numFmtId="0" fontId="11" fillId="0" borderId="0" xfId="0" applyFont="1" applyAlignment="1">
      <alignment horizontal="right" vertical="top"/>
    </xf>
    <xf numFmtId="0" fontId="11" fillId="0" borderId="0" xfId="0" applyFont="1" applyAlignment="1">
      <alignment horizontal="right"/>
    </xf>
    <xf numFmtId="0" fontId="12" fillId="0" borderId="0" xfId="0" applyFont="1" applyAlignment="1">
      <alignment horizontal="center" vertical="top"/>
    </xf>
    <xf numFmtId="166" fontId="11" fillId="0" borderId="0" xfId="0" applyNumberFormat="1" applyFont="1" applyAlignment="1">
      <alignment vertical="top"/>
    </xf>
    <xf numFmtId="0" fontId="12" fillId="0" borderId="0" xfId="0" applyFont="1" applyAlignment="1">
      <alignment horizontal="left" vertical="top"/>
    </xf>
    <xf numFmtId="2" fontId="12" fillId="0" borderId="0" xfId="0" applyNumberFormat="1" applyFont="1" applyAlignment="1">
      <alignment vertical="top"/>
    </xf>
    <xf numFmtId="0" fontId="15" fillId="0" borderId="0" xfId="0" applyFont="1" applyAlignment="1">
      <alignment horizontal="left" vertical="top"/>
    </xf>
    <xf numFmtId="0" fontId="15" fillId="0" borderId="0" xfId="0" applyFont="1" applyAlignment="1">
      <alignment vertical="top"/>
    </xf>
    <xf numFmtId="0" fontId="12" fillId="0" borderId="0" xfId="0" applyFont="1" applyAlignment="1"/>
    <xf numFmtId="0" fontId="12" fillId="0" borderId="0" xfId="0" applyFont="1" applyAlignment="1">
      <alignment horizontal="center"/>
    </xf>
    <xf numFmtId="0" fontId="16" fillId="0" borderId="0" xfId="0" applyFont="1" applyAlignment="1">
      <alignment horizontal="center"/>
    </xf>
    <xf numFmtId="0" fontId="16" fillId="0" borderId="0" xfId="0" applyFont="1" applyAlignment="1"/>
    <xf numFmtId="0" fontId="16" fillId="0" borderId="0" xfId="0" applyFont="1" applyAlignment="1">
      <alignment vertical="top"/>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19" fillId="0" borderId="4" xfId="0" applyFont="1" applyBorder="1" applyAlignment="1">
      <alignment horizontal="center" vertical="center"/>
    </xf>
    <xf numFmtId="0" fontId="13" fillId="0" borderId="4" xfId="0" applyFont="1" applyBorder="1" applyAlignment="1">
      <alignment horizontal="left" vertical="center" wrapText="1"/>
    </xf>
    <xf numFmtId="0" fontId="12" fillId="0" borderId="4" xfId="0" applyFont="1" applyBorder="1" applyAlignment="1">
      <alignment horizontal="left" vertical="center" wrapText="1"/>
    </xf>
    <xf numFmtId="0" fontId="20" fillId="0" borderId="4" xfId="0" applyFont="1" applyBorder="1" applyAlignment="1">
      <alignment horizontal="center"/>
    </xf>
    <xf numFmtId="0" fontId="19" fillId="0" borderId="4" xfId="0" applyFont="1" applyBorder="1" applyAlignment="1">
      <alignment horizontal="center"/>
    </xf>
    <xf numFmtId="0" fontId="21" fillId="0" borderId="4" xfId="0" applyFont="1" applyBorder="1" applyAlignment="1">
      <alignment horizontal="center"/>
    </xf>
    <xf numFmtId="0" fontId="20" fillId="0" borderId="0" xfId="0" applyFont="1" applyAlignment="1">
      <alignment horizontal="center"/>
    </xf>
    <xf numFmtId="0" fontId="0" fillId="0" borderId="0" xfId="0" applyFont="1" applyAlignment="1"/>
    <xf numFmtId="0" fontId="5" fillId="0" borderId="0" xfId="0" applyFont="1" applyAlignment="1">
      <alignment horizontal="center" vertical="center"/>
    </xf>
    <xf numFmtId="167" fontId="4" fillId="2" borderId="11" xfId="0" applyNumberFormat="1" applyFont="1" applyFill="1" applyBorder="1" applyAlignment="1">
      <alignment horizontal="center" vertical="center" wrapText="1"/>
    </xf>
    <xf numFmtId="2" fontId="4" fillId="2" borderId="11" xfId="0" applyNumberFormat="1" applyFont="1" applyFill="1" applyBorder="1" applyAlignment="1">
      <alignment horizontal="right" vertical="center" wrapText="1"/>
    </xf>
    <xf numFmtId="165" fontId="3" fillId="0" borderId="13" xfId="0" applyNumberFormat="1" applyFont="1" applyBorder="1" applyAlignment="1">
      <alignment vertical="center"/>
    </xf>
    <xf numFmtId="165" fontId="0" fillId="0" borderId="0" xfId="0" applyNumberFormat="1" applyFont="1" applyAlignment="1"/>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4" fillId="2" borderId="8" xfId="0" applyFont="1" applyFill="1" applyBorder="1" applyAlignment="1">
      <alignment horizontal="center" vertical="center"/>
    </xf>
    <xf numFmtId="167" fontId="4" fillId="2" borderId="12" xfId="0" applyNumberFormat="1" applyFont="1" applyFill="1" applyBorder="1" applyAlignment="1">
      <alignment horizontal="center" vertical="center" wrapText="1"/>
    </xf>
    <xf numFmtId="2" fontId="4" fillId="2" borderId="7" xfId="0" applyNumberFormat="1" applyFont="1" applyFill="1" applyBorder="1" applyAlignment="1">
      <alignment horizontal="right" vertical="center" wrapText="1"/>
    </xf>
    <xf numFmtId="170" fontId="4" fillId="2" borderId="7" xfId="0" applyNumberFormat="1" applyFont="1" applyFill="1" applyBorder="1" applyAlignment="1">
      <alignment horizontal="right" vertical="center" wrapText="1"/>
    </xf>
    <xf numFmtId="2" fontId="4" fillId="2" borderId="8" xfId="0" applyNumberFormat="1" applyFont="1" applyFill="1" applyBorder="1" applyAlignment="1">
      <alignment horizontal="right" vertical="center" wrapText="1"/>
    </xf>
    <xf numFmtId="2" fontId="4" fillId="2" borderId="12" xfId="0" applyNumberFormat="1" applyFont="1" applyFill="1" applyBorder="1" applyAlignment="1">
      <alignment horizontal="right" vertical="center" wrapText="1"/>
    </xf>
    <xf numFmtId="0" fontId="27" fillId="2" borderId="0" xfId="0" applyFont="1" applyFill="1" applyAlignment="1">
      <alignment vertical="center"/>
    </xf>
    <xf numFmtId="0" fontId="22" fillId="0" borderId="0" xfId="0" applyFont="1" applyAlignment="1"/>
    <xf numFmtId="167" fontId="23" fillId="2" borderId="11" xfId="0" applyNumberFormat="1" applyFont="1" applyFill="1" applyBorder="1" applyAlignment="1">
      <alignment horizontal="center" vertical="center"/>
    </xf>
    <xf numFmtId="0" fontId="23" fillId="2" borderId="11" xfId="0" applyFont="1" applyFill="1" applyBorder="1" applyAlignment="1">
      <alignment horizontal="center" vertical="center"/>
    </xf>
    <xf numFmtId="166" fontId="23" fillId="2" borderId="11" xfId="0" applyNumberFormat="1" applyFont="1" applyFill="1" applyBorder="1" applyAlignment="1">
      <alignment horizontal="right" vertical="center" wrapText="1"/>
    </xf>
    <xf numFmtId="4" fontId="23" fillId="2" borderId="11" xfId="0" applyNumberFormat="1" applyFont="1" applyFill="1" applyBorder="1" applyAlignment="1">
      <alignment horizontal="right" vertical="center"/>
    </xf>
    <xf numFmtId="0" fontId="27" fillId="2" borderId="0" xfId="0" applyFont="1" applyFill="1" applyAlignment="1">
      <alignment horizontal="center" vertical="center"/>
    </xf>
    <xf numFmtId="0" fontId="22" fillId="0" borderId="0" xfId="0" applyFont="1" applyAlignment="1">
      <alignment wrapText="1"/>
    </xf>
    <xf numFmtId="0" fontId="27" fillId="2" borderId="11" xfId="0" applyFont="1" applyFill="1" applyBorder="1" applyAlignment="1">
      <alignment vertical="center"/>
    </xf>
    <xf numFmtId="0" fontId="24" fillId="2" borderId="11" xfId="0" applyFont="1" applyFill="1" applyBorder="1" applyAlignment="1">
      <alignment horizontal="center" vertical="center" wrapText="1"/>
    </xf>
    <xf numFmtId="0" fontId="28" fillId="2" borderId="11" xfId="0" applyFont="1" applyFill="1" applyBorder="1" applyAlignment="1">
      <alignment horizontal="center" vertical="center"/>
    </xf>
    <xf numFmtId="0" fontId="23" fillId="2" borderId="11" xfId="0" applyFont="1" applyFill="1" applyBorder="1" applyAlignment="1">
      <alignment horizontal="center" vertical="center" wrapText="1"/>
    </xf>
    <xf numFmtId="0" fontId="27" fillId="2" borderId="11" xfId="0" applyFont="1" applyFill="1" applyBorder="1" applyAlignment="1">
      <alignment horizontal="left" vertical="center" wrapText="1"/>
    </xf>
    <xf numFmtId="1" fontId="23" fillId="2" borderId="11" xfId="0" applyNumberFormat="1" applyFont="1" applyFill="1" applyBorder="1" applyAlignment="1">
      <alignment horizontal="center" vertical="center" wrapText="1"/>
    </xf>
    <xf numFmtId="0" fontId="27" fillId="2" borderId="11" xfId="0" applyFont="1" applyFill="1" applyBorder="1" applyAlignment="1">
      <alignment vertical="center" wrapText="1"/>
    </xf>
    <xf numFmtId="0" fontId="23" fillId="2" borderId="11" xfId="0" applyFont="1" applyFill="1" applyBorder="1" applyAlignment="1">
      <alignment horizontal="left" vertical="center" wrapText="1"/>
    </xf>
    <xf numFmtId="1" fontId="23" fillId="2" borderId="11" xfId="0" applyNumberFormat="1" applyFont="1" applyFill="1" applyBorder="1" applyAlignment="1">
      <alignment horizontal="center" vertical="center"/>
    </xf>
    <xf numFmtId="1" fontId="27" fillId="2" borderId="11" xfId="0" applyNumberFormat="1" applyFont="1" applyFill="1" applyBorder="1" applyAlignment="1">
      <alignment horizontal="center" vertical="center"/>
    </xf>
    <xf numFmtId="0" fontId="23" fillId="2" borderId="11" xfId="0" applyFont="1" applyFill="1" applyBorder="1" applyAlignment="1">
      <alignment vertical="center" wrapText="1"/>
    </xf>
    <xf numFmtId="0" fontId="27" fillId="2" borderId="11" xfId="0" applyFont="1" applyFill="1" applyBorder="1" applyAlignment="1">
      <alignment horizontal="center" vertical="center"/>
    </xf>
    <xf numFmtId="0" fontId="23" fillId="2" borderId="11" xfId="0" applyFont="1" applyFill="1" applyBorder="1" applyAlignment="1">
      <alignment vertical="center"/>
    </xf>
    <xf numFmtId="0" fontId="23" fillId="0" borderId="11" xfId="0" applyFont="1" applyFill="1" applyBorder="1" applyAlignment="1">
      <alignment vertical="center"/>
    </xf>
    <xf numFmtId="0" fontId="23" fillId="0" borderId="11" xfId="0" applyFont="1" applyBorder="1" applyAlignment="1">
      <alignment horizontal="center" vertical="center" wrapText="1"/>
    </xf>
    <xf numFmtId="0" fontId="23" fillId="0" borderId="11" xfId="0" applyFont="1" applyFill="1" applyBorder="1" applyAlignment="1">
      <alignment horizontal="center" vertical="center" wrapText="1"/>
    </xf>
    <xf numFmtId="4" fontId="24" fillId="2" borderId="11" xfId="0" applyNumberFormat="1" applyFont="1" applyFill="1" applyBorder="1" applyAlignment="1">
      <alignment horizontal="right" vertical="center"/>
    </xf>
    <xf numFmtId="2" fontId="4" fillId="2" borderId="4" xfId="0" applyNumberFormat="1" applyFont="1" applyFill="1" applyBorder="1" applyAlignment="1">
      <alignment horizontal="right" vertical="center"/>
    </xf>
    <xf numFmtId="2" fontId="4" fillId="2" borderId="11" xfId="0" applyNumberFormat="1" applyFont="1" applyFill="1" applyBorder="1" applyAlignment="1">
      <alignment horizontal="right" vertical="center"/>
    </xf>
    <xf numFmtId="0" fontId="4" fillId="2" borderId="10" xfId="1" applyFont="1" applyFill="1" applyBorder="1" applyAlignment="1">
      <alignment vertical="top"/>
    </xf>
    <xf numFmtId="0" fontId="0" fillId="0" borderId="10" xfId="1" applyFont="1" applyAlignment="1"/>
    <xf numFmtId="168" fontId="3" fillId="2" borderId="4" xfId="1" applyNumberFormat="1" applyFont="1" applyFill="1" applyBorder="1" applyAlignment="1">
      <alignment horizontal="center" vertical="center" wrapText="1"/>
    </xf>
    <xf numFmtId="166" fontId="3" fillId="2" borderId="4" xfId="1" applyNumberFormat="1" applyFont="1" applyFill="1" applyBorder="1" applyAlignment="1">
      <alignment horizontal="center" vertical="center" wrapText="1"/>
    </xf>
    <xf numFmtId="0" fontId="3" fillId="2" borderId="4" xfId="1" applyFont="1" applyFill="1" applyBorder="1" applyAlignment="1">
      <alignment horizontal="center" vertical="center"/>
    </xf>
    <xf numFmtId="0" fontId="3" fillId="2" borderId="10" xfId="1" applyFont="1" applyFill="1" applyBorder="1" applyAlignment="1">
      <alignment vertical="center"/>
    </xf>
    <xf numFmtId="0" fontId="4" fillId="2" borderId="4" xfId="1" applyFont="1" applyFill="1" applyBorder="1" applyAlignment="1">
      <alignment horizontal="center" vertical="center" wrapText="1"/>
    </xf>
    <xf numFmtId="0" fontId="4" fillId="2" borderId="10" xfId="1" applyFont="1" applyFill="1" applyBorder="1" applyAlignment="1">
      <alignment horizontal="center" vertical="center"/>
    </xf>
    <xf numFmtId="0" fontId="4" fillId="2" borderId="4" xfId="1" applyFont="1" applyFill="1" applyBorder="1" applyAlignment="1">
      <alignment vertical="center" wrapText="1"/>
    </xf>
    <xf numFmtId="168" fontId="4" fillId="2" borderId="4" xfId="1" applyNumberFormat="1" applyFont="1" applyFill="1" applyBorder="1" applyAlignment="1">
      <alignment horizontal="center" vertical="center" wrapText="1"/>
    </xf>
    <xf numFmtId="0" fontId="4" fillId="2" borderId="4" xfId="1" applyFont="1" applyFill="1" applyBorder="1" applyAlignment="1">
      <alignment horizontal="left" vertical="center" wrapText="1"/>
    </xf>
    <xf numFmtId="2" fontId="4" fillId="2" borderId="4" xfId="1" applyNumberFormat="1" applyFont="1" applyFill="1" applyBorder="1" applyAlignment="1">
      <alignment horizontal="right" vertical="center" wrapText="1"/>
    </xf>
    <xf numFmtId="0" fontId="4" fillId="2" borderId="4" xfId="1" applyFont="1" applyFill="1" applyBorder="1" applyAlignment="1">
      <alignment vertical="top" wrapText="1"/>
    </xf>
    <xf numFmtId="168" fontId="4" fillId="2" borderId="4" xfId="1" applyNumberFormat="1" applyFont="1" applyFill="1" applyBorder="1" applyAlignment="1">
      <alignment vertical="center" wrapText="1"/>
    </xf>
    <xf numFmtId="0" fontId="23" fillId="2" borderId="4" xfId="1" applyFont="1" applyFill="1" applyBorder="1" applyAlignment="1">
      <alignment vertical="center" wrapText="1"/>
    </xf>
    <xf numFmtId="0" fontId="4" fillId="2" borderId="10" xfId="1" applyFont="1" applyFill="1" applyAlignment="1"/>
    <xf numFmtId="0" fontId="4" fillId="2" borderId="6" xfId="1" applyFont="1" applyFill="1" applyBorder="1" applyAlignment="1">
      <alignment horizontal="left" vertical="center" wrapText="1"/>
    </xf>
    <xf numFmtId="2" fontId="4" fillId="2" borderId="6" xfId="1" applyNumberFormat="1" applyFont="1" applyFill="1" applyBorder="1" applyAlignment="1">
      <alignment horizontal="right" vertical="center" wrapText="1"/>
    </xf>
    <xf numFmtId="168" fontId="4" fillId="2" borderId="1" xfId="1" applyNumberFormat="1" applyFont="1" applyFill="1" applyBorder="1" applyAlignment="1">
      <alignment horizontal="center" vertical="center" wrapText="1"/>
    </xf>
    <xf numFmtId="0" fontId="4" fillId="2" borderId="11" xfId="1" applyFont="1" applyFill="1" applyBorder="1" applyAlignment="1">
      <alignment vertical="center" wrapText="1"/>
    </xf>
    <xf numFmtId="2" fontId="4" fillId="2" borderId="11" xfId="1" applyNumberFormat="1" applyFont="1" applyFill="1" applyBorder="1" applyAlignment="1">
      <alignment horizontal="right" vertical="center" wrapText="1"/>
    </xf>
    <xf numFmtId="2" fontId="0" fillId="0" borderId="10" xfId="1" applyNumberFormat="1" applyFont="1" applyAlignment="1"/>
    <xf numFmtId="168" fontId="4" fillId="2" borderId="4" xfId="1" applyNumberFormat="1" applyFont="1" applyFill="1" applyBorder="1" applyAlignment="1">
      <alignment horizontal="center" vertical="top"/>
    </xf>
    <xf numFmtId="43" fontId="3" fillId="2" borderId="7" xfId="1" applyNumberFormat="1" applyFont="1" applyFill="1" applyBorder="1" applyAlignment="1">
      <alignment horizontal="right" vertical="center"/>
    </xf>
    <xf numFmtId="43" fontId="3" fillId="2" borderId="1" xfId="1" applyNumberFormat="1" applyFont="1" applyFill="1" applyBorder="1" applyAlignment="1">
      <alignment vertical="center"/>
    </xf>
    <xf numFmtId="168" fontId="4" fillId="2" borderId="10" xfId="1" applyNumberFormat="1" applyFont="1" applyFill="1" applyBorder="1" applyAlignment="1">
      <alignment horizontal="center" vertical="top"/>
    </xf>
    <xf numFmtId="0" fontId="4" fillId="2" borderId="10" xfId="1" applyFont="1" applyFill="1" applyBorder="1" applyAlignment="1">
      <alignment horizontal="center" vertical="top"/>
    </xf>
    <xf numFmtId="0" fontId="4" fillId="2" borderId="10" xfId="1" applyFont="1" applyFill="1" applyBorder="1" applyAlignment="1">
      <alignment horizontal="left" vertical="top"/>
    </xf>
    <xf numFmtId="0" fontId="2" fillId="0" borderId="10" xfId="1" applyFont="1" applyBorder="1" applyAlignment="1">
      <alignment wrapText="1"/>
    </xf>
    <xf numFmtId="0" fontId="0" fillId="0" borderId="10" xfId="1" applyFont="1" applyAlignment="1">
      <alignment wrapText="1"/>
    </xf>
    <xf numFmtId="0" fontId="4" fillId="2" borderId="3"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5"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23"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3" fillId="0" borderId="14" xfId="0" applyFont="1" applyBorder="1" applyAlignment="1">
      <alignment horizontal="right" vertical="center"/>
    </xf>
    <xf numFmtId="165" fontId="33" fillId="0" borderId="0" xfId="0" applyNumberFormat="1" applyFont="1" applyAlignment="1"/>
    <xf numFmtId="171" fontId="31" fillId="0" borderId="0" xfId="0" applyNumberFormat="1" applyFont="1" applyAlignment="1"/>
    <xf numFmtId="171" fontId="32" fillId="0" borderId="0" xfId="0" applyNumberFormat="1" applyFont="1" applyAlignment="1"/>
    <xf numFmtId="171" fontId="34" fillId="0" borderId="0" xfId="0" applyNumberFormat="1" applyFont="1" applyAlignment="1"/>
    <xf numFmtId="165" fontId="33" fillId="0" borderId="10" xfId="0" applyNumberFormat="1" applyFont="1" applyBorder="1" applyAlignment="1"/>
    <xf numFmtId="0" fontId="1" fillId="0" borderId="1" xfId="0" applyFont="1" applyBorder="1" applyAlignment="1">
      <alignment horizontal="center" vertical="center"/>
    </xf>
    <xf numFmtId="0" fontId="2" fillId="0" borderId="2" xfId="0" applyFont="1" applyBorder="1"/>
    <xf numFmtId="0" fontId="24" fillId="0" borderId="1" xfId="0" applyFont="1" applyBorder="1" applyAlignment="1">
      <alignment horizontal="center" vertical="center" wrapText="1"/>
    </xf>
    <xf numFmtId="0" fontId="2" fillId="0" borderId="9" xfId="0" applyFont="1" applyBorder="1" applyAlignment="1">
      <alignment horizontal="center"/>
    </xf>
    <xf numFmtId="0" fontId="24" fillId="0" borderId="11" xfId="0" applyFont="1" applyBorder="1" applyAlignment="1">
      <alignment horizontal="center" vertical="center"/>
    </xf>
    <xf numFmtId="0" fontId="30" fillId="0" borderId="0" xfId="0" applyFont="1" applyAlignment="1">
      <alignment horizontal="center" vertical="center" wrapText="1"/>
    </xf>
    <xf numFmtId="0" fontId="27" fillId="2" borderId="11" xfId="0" applyFont="1" applyFill="1" applyBorder="1" applyAlignment="1">
      <alignment vertical="center" wrapText="1"/>
    </xf>
    <xf numFmtId="0" fontId="22" fillId="0" borderId="11" xfId="0" applyFont="1" applyBorder="1" applyAlignment="1"/>
    <xf numFmtId="0" fontId="24" fillId="2" borderId="11" xfId="0" applyFont="1" applyFill="1" applyBorder="1" applyAlignment="1">
      <alignment horizontal="right" vertical="center" wrapText="1"/>
    </xf>
    <xf numFmtId="0" fontId="26" fillId="0" borderId="11" xfId="0" applyFont="1" applyBorder="1"/>
    <xf numFmtId="0" fontId="25" fillId="2" borderId="11" xfId="0" applyFont="1" applyFill="1" applyBorder="1" applyAlignment="1">
      <alignment horizontal="center" vertical="center"/>
    </xf>
    <xf numFmtId="0" fontId="28" fillId="2" borderId="11" xfId="0" applyFont="1" applyFill="1" applyBorder="1" applyAlignment="1">
      <alignment horizontal="center" vertical="center" wrapText="1"/>
    </xf>
    <xf numFmtId="0" fontId="26" fillId="0" borderId="11" xfId="0" applyFont="1" applyBorder="1" applyAlignment="1">
      <alignment horizontal="center"/>
    </xf>
    <xf numFmtId="0" fontId="27" fillId="2" borderId="11" xfId="0" applyFont="1" applyFill="1" applyBorder="1" applyAlignment="1">
      <alignment vertical="center"/>
    </xf>
    <xf numFmtId="0" fontId="22" fillId="0" borderId="0" xfId="0" applyFont="1" applyAlignment="1">
      <alignment horizontal="center" vertical="center" wrapText="1"/>
    </xf>
    <xf numFmtId="0" fontId="3" fillId="2" borderId="5" xfId="1" applyFont="1" applyFill="1" applyBorder="1" applyAlignment="1">
      <alignment horizontal="right" vertical="top"/>
    </xf>
    <xf numFmtId="0" fontId="3" fillId="2" borderId="9" xfId="1" applyFont="1" applyFill="1" applyBorder="1" applyAlignment="1">
      <alignment horizontal="right" vertical="top"/>
    </xf>
    <xf numFmtId="0" fontId="4" fillId="2" borderId="10" xfId="1" applyFont="1" applyFill="1" applyBorder="1" applyAlignment="1">
      <alignment vertical="top"/>
    </xf>
    <xf numFmtId="0" fontId="8" fillId="2" borderId="1" xfId="1" applyFont="1" applyFill="1" applyBorder="1" applyAlignment="1">
      <alignment horizontal="center" vertical="center" wrapText="1"/>
    </xf>
    <xf numFmtId="0" fontId="2" fillId="0" borderId="9" xfId="1" applyFont="1" applyBorder="1"/>
    <xf numFmtId="0" fontId="9" fillId="2" borderId="1" xfId="1" applyFont="1" applyFill="1" applyBorder="1" applyAlignment="1">
      <alignment horizontal="center" vertical="center" wrapText="1"/>
    </xf>
    <xf numFmtId="0" fontId="2" fillId="0" borderId="9" xfId="1" applyFont="1" applyBorder="1" applyAlignment="1">
      <alignment horizontal="center"/>
    </xf>
    <xf numFmtId="0" fontId="10" fillId="2" borderId="1" xfId="1" applyFont="1" applyFill="1" applyBorder="1" applyAlignment="1">
      <alignment horizontal="right" vertical="center" wrapText="1"/>
    </xf>
    <xf numFmtId="168" fontId="4" fillId="2" borderId="6" xfId="1" applyNumberFormat="1" applyFont="1" applyFill="1" applyBorder="1" applyAlignment="1">
      <alignment horizontal="center" vertical="center" wrapText="1"/>
    </xf>
    <xf numFmtId="0" fontId="2" fillId="0" borderId="7" xfId="1" applyFont="1" applyBorder="1"/>
    <xf numFmtId="0" fontId="11" fillId="0" borderId="0" xfId="0" applyFont="1" applyAlignment="1">
      <alignment horizontal="center" vertical="top"/>
    </xf>
    <xf numFmtId="0" fontId="0" fillId="0" borderId="0" xfId="0" applyFont="1" applyAlignment="1"/>
    <xf numFmtId="0" fontId="11" fillId="0" borderId="0" xfId="0" applyFont="1" applyAlignment="1">
      <alignment horizontal="center" vertical="top" wrapText="1"/>
    </xf>
    <xf numFmtId="2" fontId="12" fillId="0" borderId="1" xfId="0" applyNumberFormat="1" applyFont="1" applyBorder="1" applyAlignment="1">
      <alignment horizontal="center" vertical="top" wrapText="1"/>
    </xf>
    <xf numFmtId="0" fontId="2" fillId="0" borderId="3" xfId="0" applyFont="1" applyBorder="1"/>
    <xf numFmtId="166" fontId="15" fillId="0" borderId="0" xfId="0" applyNumberFormat="1" applyFont="1" applyAlignment="1">
      <alignment horizontal="center" vertical="top"/>
    </xf>
    <xf numFmtId="0" fontId="12" fillId="0" borderId="0" xfId="0" applyFont="1" applyAlignment="1">
      <alignment horizontal="center" vertical="top"/>
    </xf>
    <xf numFmtId="0" fontId="16" fillId="0" borderId="0" xfId="0" applyFont="1" applyAlignment="1">
      <alignment horizontal="center" vertical="top"/>
    </xf>
    <xf numFmtId="0" fontId="18" fillId="0" borderId="0" xfId="0" applyFont="1" applyAlignment="1">
      <alignment horizontal="center"/>
    </xf>
    <xf numFmtId="0" fontId="3" fillId="0" borderId="0" xfId="0" applyFont="1" applyAlignment="1">
      <alignment horizontal="left" vertical="center" wrapText="1"/>
    </xf>
    <xf numFmtId="0" fontId="3" fillId="0" borderId="1" xfId="0" applyFont="1" applyBorder="1" applyAlignment="1">
      <alignment horizontal="center" vertical="center"/>
    </xf>
    <xf numFmtId="171" fontId="33" fillId="0" borderId="0" xfId="0" applyNumberFormat="1" applyFont="1" applyAlignment="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EET1%202026-27/Chittor-pakala%20replacemment%20of%20conductor/SSR%202026-27%20WE-Electrical%20-%20Cop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WE-Abstract (2)"/>
      <sheetName val="Sch-A"/>
      <sheetName val="Sch-B"/>
      <sheetName val="TS-Abstract"/>
      <sheetName val="Copy of Calculation"/>
      <sheetName val="Sheet1"/>
      <sheetName val="Sheet2"/>
      <sheetName val="Transport"/>
      <sheetName val="Trip Sheet"/>
      <sheetName val="line Steel Qty"/>
      <sheetName val="Less credits"/>
      <sheetName val="Tree cutting"/>
      <sheetName val="comparatative"/>
      <sheetName val="Sheet3"/>
    </sheetNames>
    <sheetDataSet>
      <sheetData sheetId="0" refreshError="1"/>
      <sheetData sheetId="1" refreshError="1"/>
      <sheetData sheetId="2" refreshError="1"/>
      <sheetData sheetId="3">
        <row r="2">
          <cell r="A2" t="str">
            <v xml:space="preserve"> Name of the Work : Replacement of existing ACSR Lynx conductor (16.37KM) with AAAC Panther conductor for 132KV Chittoor – Pakala SC line in Chittoor District under RMI 2024-25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666699"/>
  </sheetPr>
  <dimension ref="A1:E216"/>
  <sheetViews>
    <sheetView tabSelected="1" view="pageBreakPreview" zoomScale="60" workbookViewId="0">
      <selection activeCell="D16" sqref="D16:D17"/>
    </sheetView>
  </sheetViews>
  <sheetFormatPr defaultColWidth="14.42578125" defaultRowHeight="15" customHeight="1"/>
  <cols>
    <col min="1" max="1" width="7.5703125" style="63" customWidth="1"/>
    <col min="2" max="2" width="76" style="63" customWidth="1"/>
    <col min="3" max="3" width="27.7109375" style="63" bestFit="1" customWidth="1"/>
    <col min="4" max="4" width="45.42578125" style="63" customWidth="1"/>
    <col min="5" max="5" width="27.140625" style="63" customWidth="1"/>
    <col min="6" max="9" width="12.5703125" style="63" customWidth="1"/>
    <col min="10" max="16384" width="14.42578125" style="63"/>
  </cols>
  <sheetData>
    <row r="1" spans="1:5" ht="24" customHeight="1">
      <c r="A1" s="149" t="s">
        <v>0</v>
      </c>
      <c r="B1" s="150"/>
      <c r="C1" s="150"/>
    </row>
    <row r="2" spans="1:5" ht="51.75" customHeight="1">
      <c r="A2" s="151" t="s">
        <v>161</v>
      </c>
      <c r="B2" s="152"/>
      <c r="C2" s="152"/>
    </row>
    <row r="3" spans="1:5" ht="54" customHeight="1">
      <c r="A3" s="1" t="s">
        <v>1</v>
      </c>
      <c r="B3" s="1" t="s">
        <v>2</v>
      </c>
      <c r="C3" s="2" t="s">
        <v>3</v>
      </c>
    </row>
    <row r="4" spans="1:5" ht="28.5" customHeight="1">
      <c r="A4" s="1"/>
      <c r="B4" s="1" t="s">
        <v>4</v>
      </c>
      <c r="C4" s="2"/>
    </row>
    <row r="5" spans="1:5" ht="32.25" customHeight="1">
      <c r="A5" s="3" t="s">
        <v>5</v>
      </c>
      <c r="B5" s="4" t="s">
        <v>6</v>
      </c>
      <c r="C5" s="5"/>
    </row>
    <row r="6" spans="1:5" ht="33" customHeight="1">
      <c r="A6" s="3"/>
      <c r="B6" s="6" t="s">
        <v>7</v>
      </c>
      <c r="C6" s="5">
        <f>'Sch-A'!F22</f>
        <v>16805433.16</v>
      </c>
    </row>
    <row r="7" spans="1:5" ht="15.75">
      <c r="A7" s="3"/>
      <c r="B7" s="7" t="s">
        <v>8</v>
      </c>
      <c r="C7" s="8">
        <f>SUM(C6)</f>
        <v>16805433.16</v>
      </c>
    </row>
    <row r="8" spans="1:5" ht="24.75" customHeight="1">
      <c r="A8" s="3" t="s">
        <v>9</v>
      </c>
      <c r="B8" s="4" t="s">
        <v>10</v>
      </c>
      <c r="C8" s="5"/>
    </row>
    <row r="9" spans="1:5" ht="28.5" customHeight="1">
      <c r="A9" s="3"/>
      <c r="B9" s="6" t="s">
        <v>11</v>
      </c>
      <c r="C9" s="5">
        <f>'Sch-B'!F28</f>
        <v>5207680.96</v>
      </c>
    </row>
    <row r="10" spans="1:5" ht="28.5" customHeight="1">
      <c r="A10" s="3"/>
      <c r="B10" s="7" t="s">
        <v>12</v>
      </c>
      <c r="C10" s="8">
        <f>SUM(C9)</f>
        <v>5207680.96</v>
      </c>
      <c r="D10" s="147"/>
    </row>
    <row r="11" spans="1:5" ht="23.25" customHeight="1">
      <c r="A11" s="9"/>
      <c r="B11" s="143" t="s">
        <v>158</v>
      </c>
      <c r="C11" s="67">
        <f>ROUND(C10+C7,0)</f>
        <v>22013114</v>
      </c>
      <c r="D11" s="147"/>
      <c r="E11" s="145"/>
    </row>
    <row r="12" spans="1:5" ht="27" customHeight="1">
      <c r="A12" s="10"/>
      <c r="B12" s="153"/>
      <c r="C12" s="153"/>
      <c r="D12" s="144"/>
    </row>
    <row r="13" spans="1:5" ht="28.5" customHeight="1">
      <c r="A13" s="10"/>
      <c r="B13" s="11"/>
      <c r="C13" s="12"/>
      <c r="D13" s="146"/>
    </row>
    <row r="14" spans="1:5" ht="15.75" customHeight="1">
      <c r="A14" s="10"/>
      <c r="B14" s="11"/>
      <c r="C14" s="12"/>
      <c r="D14" s="68"/>
    </row>
    <row r="15" spans="1:5" ht="15.75" customHeight="1">
      <c r="A15" s="10"/>
      <c r="B15" s="11"/>
      <c r="C15" s="12"/>
    </row>
    <row r="16" spans="1:5" ht="28.5" customHeight="1">
      <c r="A16" s="10"/>
      <c r="B16" s="11"/>
      <c r="C16" s="12"/>
      <c r="D16" s="185"/>
    </row>
    <row r="17" spans="1:4" ht="25.5" customHeight="1">
      <c r="A17" s="10"/>
      <c r="B17" s="154" t="s">
        <v>147</v>
      </c>
      <c r="C17" s="154"/>
      <c r="D17" s="146"/>
    </row>
    <row r="18" spans="1:4" ht="15.75" customHeight="1">
      <c r="A18" s="10"/>
      <c r="B18" s="154"/>
      <c r="C18" s="154"/>
    </row>
    <row r="19" spans="1:4" ht="15.75" customHeight="1">
      <c r="A19" s="10"/>
      <c r="B19" s="154"/>
      <c r="C19" s="154"/>
    </row>
    <row r="20" spans="1:4" ht="15.75" customHeight="1">
      <c r="A20" s="10"/>
      <c r="B20" s="154"/>
      <c r="C20" s="154"/>
    </row>
    <row r="21" spans="1:4" ht="15.75" customHeight="1">
      <c r="A21" s="10"/>
      <c r="B21" s="11"/>
      <c r="C21" s="12"/>
    </row>
    <row r="22" spans="1:4" ht="15.75" customHeight="1">
      <c r="A22" s="10"/>
      <c r="B22" s="11"/>
      <c r="C22" s="12"/>
    </row>
    <row r="23" spans="1:4" ht="15.75" customHeight="1">
      <c r="A23" s="10"/>
      <c r="B23" s="11"/>
      <c r="C23" s="12"/>
    </row>
    <row r="24" spans="1:4" ht="15.75" customHeight="1">
      <c r="A24" s="10"/>
      <c r="B24" s="11"/>
      <c r="C24" s="12"/>
    </row>
    <row r="25" spans="1:4" ht="15.75" customHeight="1">
      <c r="A25" s="10"/>
      <c r="B25" s="11"/>
      <c r="C25" s="12"/>
    </row>
    <row r="26" spans="1:4" ht="15.75" customHeight="1">
      <c r="A26" s="10"/>
      <c r="B26" s="11"/>
      <c r="C26" s="12"/>
    </row>
    <row r="27" spans="1:4" ht="15.75" customHeight="1">
      <c r="A27" s="10"/>
      <c r="B27" s="11"/>
      <c r="C27" s="12"/>
    </row>
    <row r="28" spans="1:4" ht="15.75" customHeight="1">
      <c r="A28" s="10"/>
      <c r="B28" s="11"/>
      <c r="C28" s="12"/>
    </row>
    <row r="29" spans="1:4" ht="15.75" customHeight="1">
      <c r="A29" s="10"/>
      <c r="B29" s="11"/>
      <c r="C29" s="12"/>
    </row>
    <row r="30" spans="1:4" ht="15.75" customHeight="1">
      <c r="A30" s="10"/>
      <c r="B30" s="11"/>
      <c r="C30" s="12"/>
    </row>
    <row r="31" spans="1:4" ht="15.75" customHeight="1">
      <c r="A31" s="10"/>
      <c r="B31" s="11"/>
      <c r="C31" s="12"/>
    </row>
    <row r="32" spans="1:4" ht="15.75" customHeight="1">
      <c r="A32" s="10"/>
      <c r="B32" s="11"/>
      <c r="C32" s="12"/>
    </row>
    <row r="33" spans="1:3" ht="15.75" customHeight="1">
      <c r="A33" s="10"/>
      <c r="B33" s="11"/>
      <c r="C33" s="12"/>
    </row>
    <row r="34" spans="1:3" ht="15.75" customHeight="1">
      <c r="A34" s="10"/>
      <c r="B34" s="11"/>
      <c r="C34" s="12"/>
    </row>
    <row r="35" spans="1:3" ht="15.75" customHeight="1">
      <c r="A35" s="10"/>
      <c r="B35" s="11"/>
      <c r="C35" s="12"/>
    </row>
    <row r="36" spans="1:3" ht="15.75" customHeight="1">
      <c r="A36" s="10"/>
      <c r="B36" s="11"/>
      <c r="C36" s="12"/>
    </row>
    <row r="37" spans="1:3" ht="15.75" customHeight="1">
      <c r="A37" s="10"/>
      <c r="B37" s="11"/>
      <c r="C37" s="12"/>
    </row>
    <row r="38" spans="1:3" ht="15.75" customHeight="1">
      <c r="A38" s="10"/>
      <c r="B38" s="11"/>
      <c r="C38" s="12"/>
    </row>
    <row r="39" spans="1:3" ht="15.75" customHeight="1">
      <c r="A39" s="10"/>
      <c r="B39" s="11"/>
      <c r="C39" s="12"/>
    </row>
    <row r="40" spans="1:3" ht="15.75" customHeight="1">
      <c r="A40" s="10"/>
      <c r="B40" s="11"/>
      <c r="C40" s="12"/>
    </row>
    <row r="41" spans="1:3" ht="15.75" customHeight="1">
      <c r="A41" s="10"/>
      <c r="B41" s="11"/>
      <c r="C41" s="12"/>
    </row>
    <row r="42" spans="1:3" ht="15.75" customHeight="1">
      <c r="A42" s="10"/>
      <c r="B42" s="11"/>
      <c r="C42" s="12"/>
    </row>
    <row r="43" spans="1:3" ht="15.75" customHeight="1">
      <c r="A43" s="10"/>
      <c r="B43" s="11"/>
      <c r="C43" s="12"/>
    </row>
    <row r="44" spans="1:3" ht="15.75" customHeight="1">
      <c r="A44" s="10"/>
      <c r="B44" s="11"/>
      <c r="C44" s="12"/>
    </row>
    <row r="45" spans="1:3" ht="15.75" customHeight="1">
      <c r="A45" s="10"/>
      <c r="B45" s="11"/>
      <c r="C45" s="12"/>
    </row>
    <row r="46" spans="1:3" ht="15.75" customHeight="1">
      <c r="A46" s="10"/>
      <c r="B46" s="11"/>
      <c r="C46" s="12"/>
    </row>
    <row r="47" spans="1:3" ht="15.75" customHeight="1">
      <c r="A47" s="10"/>
      <c r="B47" s="11"/>
      <c r="C47" s="12"/>
    </row>
    <row r="48" spans="1:3" ht="15.75" customHeight="1">
      <c r="A48" s="10"/>
      <c r="B48" s="11"/>
      <c r="C48" s="12"/>
    </row>
    <row r="49" spans="1:3" ht="15.75" customHeight="1">
      <c r="A49" s="10"/>
      <c r="B49" s="11"/>
      <c r="C49" s="12"/>
    </row>
    <row r="50" spans="1:3" ht="15.75" customHeight="1">
      <c r="A50" s="10"/>
      <c r="B50" s="11"/>
      <c r="C50" s="12"/>
    </row>
    <row r="51" spans="1:3" ht="15.75" customHeight="1">
      <c r="A51" s="10"/>
      <c r="B51" s="11"/>
      <c r="C51" s="12"/>
    </row>
    <row r="52" spans="1:3" ht="15.75" customHeight="1">
      <c r="A52" s="10"/>
      <c r="B52" s="11"/>
      <c r="C52" s="12"/>
    </row>
    <row r="53" spans="1:3" ht="15.75" customHeight="1">
      <c r="A53" s="10"/>
      <c r="B53" s="11"/>
      <c r="C53" s="12"/>
    </row>
    <row r="54" spans="1:3" ht="15.75" customHeight="1">
      <c r="A54" s="10"/>
      <c r="B54" s="11"/>
      <c r="C54" s="12"/>
    </row>
    <row r="55" spans="1:3" ht="15.75" customHeight="1">
      <c r="A55" s="10"/>
      <c r="B55" s="11"/>
      <c r="C55" s="12"/>
    </row>
    <row r="56" spans="1:3" ht="15.75" customHeight="1">
      <c r="A56" s="10"/>
      <c r="B56" s="11"/>
      <c r="C56" s="12"/>
    </row>
    <row r="57" spans="1:3" ht="15.75" customHeight="1">
      <c r="A57" s="10"/>
      <c r="B57" s="11"/>
      <c r="C57" s="12"/>
    </row>
    <row r="58" spans="1:3" ht="15.75" customHeight="1">
      <c r="A58" s="10"/>
      <c r="B58" s="11"/>
      <c r="C58" s="12"/>
    </row>
    <row r="59" spans="1:3" ht="15.75" customHeight="1">
      <c r="A59" s="10"/>
      <c r="B59" s="11"/>
      <c r="C59" s="12"/>
    </row>
    <row r="60" spans="1:3" ht="15.75" customHeight="1">
      <c r="A60" s="10"/>
      <c r="B60" s="11"/>
      <c r="C60" s="12"/>
    </row>
    <row r="61" spans="1:3" ht="15.75" customHeight="1">
      <c r="A61" s="10"/>
      <c r="B61" s="11"/>
      <c r="C61" s="12"/>
    </row>
    <row r="62" spans="1:3" ht="15.75" customHeight="1">
      <c r="A62" s="10"/>
      <c r="B62" s="11"/>
      <c r="C62" s="12"/>
    </row>
    <row r="63" spans="1:3" ht="15.75" customHeight="1">
      <c r="A63" s="10"/>
      <c r="B63" s="11"/>
      <c r="C63" s="12"/>
    </row>
    <row r="64" spans="1:3" ht="15.75" customHeight="1">
      <c r="A64" s="10"/>
      <c r="B64" s="11"/>
      <c r="C64" s="12"/>
    </row>
    <row r="65" spans="1:3" ht="15.75" customHeight="1">
      <c r="A65" s="10"/>
      <c r="B65" s="11"/>
      <c r="C65" s="12"/>
    </row>
    <row r="66" spans="1:3" ht="15.75" customHeight="1">
      <c r="A66" s="10"/>
      <c r="B66" s="11"/>
      <c r="C66" s="12"/>
    </row>
    <row r="67" spans="1:3" ht="15.75" customHeight="1">
      <c r="A67" s="10"/>
      <c r="B67" s="11"/>
      <c r="C67" s="12"/>
    </row>
    <row r="68" spans="1:3" ht="15.75" customHeight="1">
      <c r="A68" s="10"/>
      <c r="B68" s="11"/>
      <c r="C68" s="12"/>
    </row>
    <row r="69" spans="1:3" ht="15.75" customHeight="1">
      <c r="A69" s="10"/>
      <c r="B69" s="11"/>
      <c r="C69" s="12"/>
    </row>
    <row r="70" spans="1:3" ht="15.75" customHeight="1">
      <c r="A70" s="10"/>
      <c r="B70" s="11"/>
      <c r="C70" s="12"/>
    </row>
    <row r="71" spans="1:3" ht="15.75" customHeight="1">
      <c r="A71" s="10"/>
      <c r="B71" s="11"/>
      <c r="C71" s="12"/>
    </row>
    <row r="72" spans="1:3" ht="15.75" customHeight="1">
      <c r="A72" s="10"/>
      <c r="B72" s="11"/>
      <c r="C72" s="12"/>
    </row>
    <row r="73" spans="1:3" ht="15.75" customHeight="1">
      <c r="A73" s="10"/>
      <c r="B73" s="11"/>
      <c r="C73" s="12"/>
    </row>
    <row r="74" spans="1:3" ht="15.75" customHeight="1">
      <c r="A74" s="10"/>
      <c r="B74" s="11"/>
      <c r="C74" s="12"/>
    </row>
    <row r="75" spans="1:3" ht="15.75" customHeight="1">
      <c r="A75" s="10"/>
      <c r="B75" s="11"/>
      <c r="C75" s="12"/>
    </row>
    <row r="76" spans="1:3" ht="15.75" customHeight="1">
      <c r="A76" s="10"/>
      <c r="B76" s="11"/>
      <c r="C76" s="12"/>
    </row>
    <row r="77" spans="1:3" ht="15.75" customHeight="1">
      <c r="A77" s="10"/>
      <c r="B77" s="11"/>
      <c r="C77" s="12"/>
    </row>
    <row r="78" spans="1:3" ht="15.75" customHeight="1">
      <c r="A78" s="10"/>
      <c r="B78" s="11"/>
      <c r="C78" s="12"/>
    </row>
    <row r="79" spans="1:3" ht="15.75" customHeight="1">
      <c r="A79" s="10"/>
      <c r="B79" s="11"/>
      <c r="C79" s="12"/>
    </row>
    <row r="80" spans="1:3" ht="15.75" customHeight="1">
      <c r="A80" s="10"/>
      <c r="B80" s="11"/>
      <c r="C80" s="12"/>
    </row>
    <row r="81" spans="1:3" ht="15.75" customHeight="1">
      <c r="A81" s="10"/>
      <c r="B81" s="11"/>
      <c r="C81" s="12"/>
    </row>
    <row r="82" spans="1:3" ht="15.75" customHeight="1">
      <c r="A82" s="10"/>
      <c r="B82" s="11"/>
      <c r="C82" s="12"/>
    </row>
    <row r="83" spans="1:3" ht="15.75" customHeight="1">
      <c r="A83" s="10"/>
      <c r="B83" s="11"/>
      <c r="C83" s="12"/>
    </row>
    <row r="84" spans="1:3" ht="15.75" customHeight="1">
      <c r="A84" s="10"/>
      <c r="B84" s="11"/>
      <c r="C84" s="12"/>
    </row>
    <row r="85" spans="1:3" ht="15.75" customHeight="1">
      <c r="A85" s="10"/>
      <c r="B85" s="11"/>
      <c r="C85" s="12"/>
    </row>
    <row r="86" spans="1:3" ht="15.75" customHeight="1">
      <c r="A86" s="10"/>
      <c r="B86" s="11"/>
      <c r="C86" s="12"/>
    </row>
    <row r="87" spans="1:3" ht="15.75" customHeight="1">
      <c r="A87" s="10"/>
      <c r="B87" s="11"/>
      <c r="C87" s="12"/>
    </row>
    <row r="88" spans="1:3" ht="15.75" customHeight="1">
      <c r="A88" s="10"/>
      <c r="B88" s="11"/>
      <c r="C88" s="12"/>
    </row>
    <row r="89" spans="1:3" ht="15.75" customHeight="1">
      <c r="A89" s="10"/>
      <c r="B89" s="11"/>
      <c r="C89" s="12"/>
    </row>
    <row r="90" spans="1:3" ht="15.75" customHeight="1">
      <c r="A90" s="10"/>
      <c r="B90" s="11"/>
      <c r="C90" s="12"/>
    </row>
    <row r="91" spans="1:3" ht="15.75" customHeight="1">
      <c r="A91" s="10"/>
      <c r="B91" s="11"/>
      <c r="C91" s="12"/>
    </row>
    <row r="92" spans="1:3" ht="15.75" customHeight="1">
      <c r="A92" s="10"/>
      <c r="B92" s="11"/>
      <c r="C92" s="12"/>
    </row>
    <row r="93" spans="1:3" ht="15.75" customHeight="1">
      <c r="A93" s="10"/>
      <c r="B93" s="11"/>
      <c r="C93" s="12"/>
    </row>
    <row r="94" spans="1:3" ht="15.75" customHeight="1">
      <c r="A94" s="10"/>
      <c r="B94" s="11"/>
      <c r="C94" s="12"/>
    </row>
    <row r="95" spans="1:3" ht="15.75" customHeight="1">
      <c r="A95" s="10"/>
      <c r="B95" s="11"/>
      <c r="C95" s="12"/>
    </row>
    <row r="96" spans="1:3" ht="15.75" customHeight="1">
      <c r="A96" s="10"/>
      <c r="B96" s="11"/>
      <c r="C96" s="12"/>
    </row>
    <row r="97" spans="1:3" ht="15.75" customHeight="1">
      <c r="A97" s="10"/>
      <c r="B97" s="11"/>
      <c r="C97" s="12"/>
    </row>
    <row r="98" spans="1:3" ht="15.75" customHeight="1">
      <c r="A98" s="10"/>
      <c r="B98" s="11"/>
      <c r="C98" s="12"/>
    </row>
    <row r="99" spans="1:3" ht="15.75" customHeight="1">
      <c r="A99" s="10"/>
      <c r="B99" s="11"/>
      <c r="C99" s="12"/>
    </row>
    <row r="100" spans="1:3" ht="15.75" customHeight="1">
      <c r="A100" s="10"/>
      <c r="B100" s="11"/>
      <c r="C100" s="12"/>
    </row>
    <row r="101" spans="1:3" ht="15.75" customHeight="1">
      <c r="A101" s="10"/>
      <c r="B101" s="11"/>
      <c r="C101" s="12"/>
    </row>
    <row r="102" spans="1:3" ht="15.75" customHeight="1">
      <c r="A102" s="10"/>
      <c r="B102" s="11"/>
      <c r="C102" s="12"/>
    </row>
    <row r="103" spans="1:3" ht="15.75" customHeight="1">
      <c r="A103" s="10"/>
      <c r="B103" s="11"/>
      <c r="C103" s="12"/>
    </row>
    <row r="104" spans="1:3" ht="15.75" customHeight="1">
      <c r="A104" s="10"/>
      <c r="B104" s="11"/>
      <c r="C104" s="12"/>
    </row>
    <row r="105" spans="1:3" ht="15.75" customHeight="1">
      <c r="A105" s="10"/>
      <c r="B105" s="11"/>
      <c r="C105" s="12"/>
    </row>
    <row r="106" spans="1:3" ht="15.75" customHeight="1">
      <c r="A106" s="10"/>
      <c r="B106" s="11"/>
      <c r="C106" s="12"/>
    </row>
    <row r="107" spans="1:3" ht="15.75" customHeight="1">
      <c r="A107" s="10"/>
      <c r="B107" s="11"/>
      <c r="C107" s="12"/>
    </row>
    <row r="108" spans="1:3" ht="15.75" customHeight="1">
      <c r="A108" s="10"/>
      <c r="B108" s="11"/>
      <c r="C108" s="12"/>
    </row>
    <row r="109" spans="1:3" ht="15.75" customHeight="1">
      <c r="A109" s="10"/>
      <c r="B109" s="11"/>
      <c r="C109" s="12"/>
    </row>
    <row r="110" spans="1:3" ht="15.75" customHeight="1">
      <c r="A110" s="10"/>
      <c r="B110" s="11"/>
      <c r="C110" s="12"/>
    </row>
    <row r="111" spans="1:3" ht="15.75" customHeight="1">
      <c r="A111" s="10"/>
      <c r="B111" s="11"/>
      <c r="C111" s="12"/>
    </row>
    <row r="112" spans="1:3" ht="15.75" customHeight="1">
      <c r="A112" s="10"/>
      <c r="B112" s="11"/>
      <c r="C112" s="12"/>
    </row>
    <row r="113" spans="1:3" ht="15.75" customHeight="1">
      <c r="A113" s="10"/>
      <c r="B113" s="11"/>
      <c r="C113" s="12"/>
    </row>
    <row r="114" spans="1:3" ht="15.75" customHeight="1">
      <c r="A114" s="10"/>
      <c r="B114" s="11"/>
      <c r="C114" s="12"/>
    </row>
    <row r="115" spans="1:3" ht="15.75" customHeight="1">
      <c r="A115" s="10"/>
      <c r="B115" s="11"/>
      <c r="C115" s="12"/>
    </row>
    <row r="116" spans="1:3" ht="15.75" customHeight="1">
      <c r="A116" s="10"/>
      <c r="B116" s="11"/>
      <c r="C116" s="12"/>
    </row>
    <row r="117" spans="1:3" ht="15.75" customHeight="1">
      <c r="A117" s="10"/>
      <c r="B117" s="11"/>
      <c r="C117" s="12"/>
    </row>
    <row r="118" spans="1:3" ht="15.75" customHeight="1">
      <c r="A118" s="10"/>
      <c r="B118" s="11"/>
      <c r="C118" s="12"/>
    </row>
    <row r="119" spans="1:3" ht="15.75" customHeight="1">
      <c r="A119" s="10"/>
      <c r="B119" s="11"/>
      <c r="C119" s="12"/>
    </row>
    <row r="120" spans="1:3" ht="15.75" customHeight="1">
      <c r="A120" s="10"/>
      <c r="B120" s="11"/>
      <c r="C120" s="12"/>
    </row>
    <row r="121" spans="1:3" ht="15.75" customHeight="1">
      <c r="A121" s="10"/>
      <c r="B121" s="11"/>
      <c r="C121" s="12"/>
    </row>
    <row r="122" spans="1:3" ht="15.75" customHeight="1">
      <c r="A122" s="10"/>
      <c r="B122" s="11"/>
      <c r="C122" s="12"/>
    </row>
    <row r="123" spans="1:3" ht="15.75" customHeight="1">
      <c r="A123" s="10"/>
      <c r="B123" s="11"/>
      <c r="C123" s="12"/>
    </row>
    <row r="124" spans="1:3" ht="15.75" customHeight="1">
      <c r="A124" s="10"/>
      <c r="B124" s="11"/>
      <c r="C124" s="12"/>
    </row>
    <row r="125" spans="1:3" ht="15.75" customHeight="1">
      <c r="A125" s="10"/>
      <c r="B125" s="11"/>
      <c r="C125" s="12"/>
    </row>
    <row r="126" spans="1:3" ht="15.75" customHeight="1">
      <c r="A126" s="10"/>
      <c r="B126" s="11"/>
      <c r="C126" s="12"/>
    </row>
    <row r="127" spans="1:3" ht="15.75" customHeight="1">
      <c r="A127" s="10"/>
      <c r="B127" s="11"/>
      <c r="C127" s="12"/>
    </row>
    <row r="128" spans="1:3" ht="15.75" customHeight="1">
      <c r="A128" s="10"/>
      <c r="B128" s="11"/>
      <c r="C128" s="12"/>
    </row>
    <row r="129" spans="1:3" ht="15.75" customHeight="1">
      <c r="A129" s="10"/>
      <c r="B129" s="11"/>
      <c r="C129" s="12"/>
    </row>
    <row r="130" spans="1:3" ht="15.75" customHeight="1">
      <c r="A130" s="10"/>
      <c r="B130" s="11"/>
      <c r="C130" s="12"/>
    </row>
    <row r="131" spans="1:3" ht="15.75" customHeight="1">
      <c r="A131" s="10"/>
      <c r="B131" s="11"/>
      <c r="C131" s="12"/>
    </row>
    <row r="132" spans="1:3" ht="15.75" customHeight="1">
      <c r="A132" s="10"/>
      <c r="B132" s="11"/>
      <c r="C132" s="12"/>
    </row>
    <row r="133" spans="1:3" ht="15.75" customHeight="1">
      <c r="A133" s="10"/>
      <c r="B133" s="11"/>
      <c r="C133" s="12"/>
    </row>
    <row r="134" spans="1:3" ht="15.75" customHeight="1">
      <c r="A134" s="10"/>
      <c r="B134" s="11"/>
      <c r="C134" s="12"/>
    </row>
    <row r="135" spans="1:3" ht="15.75" customHeight="1">
      <c r="A135" s="10"/>
      <c r="B135" s="11"/>
      <c r="C135" s="12"/>
    </row>
    <row r="136" spans="1:3" ht="15.75" customHeight="1">
      <c r="A136" s="10"/>
      <c r="B136" s="11"/>
      <c r="C136" s="12"/>
    </row>
    <row r="137" spans="1:3" ht="15.75" customHeight="1">
      <c r="A137" s="10"/>
      <c r="B137" s="11"/>
      <c r="C137" s="12"/>
    </row>
    <row r="138" spans="1:3" ht="15.75" customHeight="1">
      <c r="A138" s="10"/>
      <c r="B138" s="11"/>
      <c r="C138" s="12"/>
    </row>
    <row r="139" spans="1:3" ht="15.75" customHeight="1">
      <c r="A139" s="10"/>
      <c r="B139" s="11"/>
      <c r="C139" s="12"/>
    </row>
    <row r="140" spans="1:3" ht="15.75" customHeight="1">
      <c r="A140" s="10"/>
      <c r="B140" s="11"/>
      <c r="C140" s="12"/>
    </row>
    <row r="141" spans="1:3" ht="15.75" customHeight="1">
      <c r="A141" s="10"/>
      <c r="B141" s="11"/>
      <c r="C141" s="12"/>
    </row>
    <row r="142" spans="1:3" ht="15.75" customHeight="1">
      <c r="A142" s="10"/>
      <c r="B142" s="11"/>
      <c r="C142" s="12"/>
    </row>
    <row r="143" spans="1:3" ht="15.75" customHeight="1">
      <c r="A143" s="10"/>
      <c r="B143" s="11"/>
      <c r="C143" s="12"/>
    </row>
    <row r="144" spans="1:3" ht="15.75" customHeight="1">
      <c r="A144" s="10"/>
      <c r="B144" s="11"/>
      <c r="C144" s="12"/>
    </row>
    <row r="145" spans="1:3" ht="15.75" customHeight="1">
      <c r="A145" s="10"/>
      <c r="B145" s="11"/>
      <c r="C145" s="12"/>
    </row>
    <row r="146" spans="1:3" ht="15.75" customHeight="1">
      <c r="A146" s="10"/>
      <c r="B146" s="11"/>
      <c r="C146" s="12"/>
    </row>
    <row r="147" spans="1:3" ht="15.75" customHeight="1">
      <c r="A147" s="10"/>
      <c r="B147" s="11"/>
      <c r="C147" s="12"/>
    </row>
    <row r="148" spans="1:3" ht="15.75" customHeight="1">
      <c r="A148" s="10"/>
      <c r="B148" s="11"/>
      <c r="C148" s="12"/>
    </row>
    <row r="149" spans="1:3" ht="15.75" customHeight="1">
      <c r="A149" s="10"/>
      <c r="B149" s="11"/>
      <c r="C149" s="12"/>
    </row>
    <row r="150" spans="1:3" ht="15.75" customHeight="1">
      <c r="A150" s="10"/>
      <c r="B150" s="11"/>
      <c r="C150" s="12"/>
    </row>
    <row r="151" spans="1:3" ht="15.75" customHeight="1">
      <c r="A151" s="10"/>
      <c r="B151" s="11"/>
      <c r="C151" s="12"/>
    </row>
    <row r="152" spans="1:3" ht="15.75" customHeight="1">
      <c r="A152" s="10"/>
      <c r="B152" s="11"/>
      <c r="C152" s="12"/>
    </row>
    <row r="153" spans="1:3" ht="15.75" customHeight="1">
      <c r="A153" s="10"/>
      <c r="B153" s="11"/>
      <c r="C153" s="12"/>
    </row>
    <row r="154" spans="1:3" ht="15.75" customHeight="1">
      <c r="A154" s="10"/>
      <c r="B154" s="11"/>
      <c r="C154" s="12"/>
    </row>
    <row r="155" spans="1:3" ht="15.75" customHeight="1">
      <c r="A155" s="10"/>
      <c r="B155" s="11"/>
      <c r="C155" s="12"/>
    </row>
    <row r="156" spans="1:3" ht="15.75" customHeight="1">
      <c r="A156" s="10"/>
      <c r="B156" s="11"/>
      <c r="C156" s="12"/>
    </row>
    <row r="157" spans="1:3" ht="15.75" customHeight="1">
      <c r="A157" s="10"/>
      <c r="B157" s="11"/>
      <c r="C157" s="12"/>
    </row>
    <row r="158" spans="1:3" ht="15.75" customHeight="1">
      <c r="A158" s="10"/>
      <c r="B158" s="11"/>
      <c r="C158" s="12"/>
    </row>
    <row r="159" spans="1:3" ht="15.75" customHeight="1">
      <c r="A159" s="10"/>
      <c r="B159" s="11"/>
      <c r="C159" s="12"/>
    </row>
    <row r="160" spans="1:3" ht="15.75" customHeight="1">
      <c r="A160" s="10"/>
      <c r="B160" s="11"/>
      <c r="C160" s="12"/>
    </row>
    <row r="161" spans="1:3" ht="15.75" customHeight="1">
      <c r="A161" s="10"/>
      <c r="B161" s="11"/>
      <c r="C161" s="12"/>
    </row>
    <row r="162" spans="1:3" ht="15.75" customHeight="1">
      <c r="A162" s="10"/>
      <c r="B162" s="11"/>
      <c r="C162" s="12"/>
    </row>
    <row r="163" spans="1:3" ht="15.75" customHeight="1">
      <c r="A163" s="10"/>
      <c r="B163" s="11"/>
      <c r="C163" s="12"/>
    </row>
    <row r="164" spans="1:3" ht="15.75" customHeight="1">
      <c r="A164" s="10"/>
      <c r="B164" s="11"/>
      <c r="C164" s="12"/>
    </row>
    <row r="165" spans="1:3" ht="15.75" customHeight="1">
      <c r="A165" s="10"/>
      <c r="B165" s="11"/>
      <c r="C165" s="12"/>
    </row>
    <row r="166" spans="1:3" ht="15.75" customHeight="1">
      <c r="A166" s="10"/>
      <c r="B166" s="11"/>
      <c r="C166" s="12"/>
    </row>
    <row r="167" spans="1:3" ht="15.75" customHeight="1">
      <c r="A167" s="10"/>
      <c r="B167" s="11"/>
      <c r="C167" s="12"/>
    </row>
    <row r="168" spans="1:3" ht="15.75" customHeight="1">
      <c r="A168" s="10"/>
      <c r="B168" s="11"/>
      <c r="C168" s="12"/>
    </row>
    <row r="169" spans="1:3" ht="15.75" customHeight="1">
      <c r="A169" s="10"/>
      <c r="B169" s="11"/>
      <c r="C169" s="12"/>
    </row>
    <row r="170" spans="1:3" ht="15.75" customHeight="1">
      <c r="A170" s="10"/>
      <c r="B170" s="11"/>
      <c r="C170" s="12"/>
    </row>
    <row r="171" spans="1:3" ht="15.75" customHeight="1">
      <c r="A171" s="10"/>
      <c r="B171" s="11"/>
      <c r="C171" s="12"/>
    </row>
    <row r="172" spans="1:3" ht="15.75" customHeight="1">
      <c r="A172" s="13"/>
      <c r="B172" s="13"/>
      <c r="C172" s="64"/>
    </row>
    <row r="173" spans="1:3" ht="15.75" customHeight="1">
      <c r="A173" s="13"/>
      <c r="B173" s="13"/>
      <c r="C173" s="64"/>
    </row>
    <row r="174" spans="1:3" ht="15.75" customHeight="1">
      <c r="A174" s="13"/>
      <c r="B174" s="13"/>
      <c r="C174" s="64"/>
    </row>
    <row r="175" spans="1:3" ht="15.75" customHeight="1">
      <c r="A175" s="13"/>
      <c r="B175" s="13"/>
      <c r="C175" s="64"/>
    </row>
    <row r="176" spans="1:3" ht="15.75" customHeight="1">
      <c r="A176" s="13"/>
      <c r="B176" s="13"/>
      <c r="C176" s="64"/>
    </row>
    <row r="177" spans="1:3" ht="15.75" customHeight="1">
      <c r="A177" s="13"/>
      <c r="B177" s="13"/>
      <c r="C177" s="64"/>
    </row>
    <row r="178" spans="1:3" ht="15.75" customHeight="1">
      <c r="A178" s="13"/>
      <c r="B178" s="13"/>
      <c r="C178" s="64"/>
    </row>
    <row r="179" spans="1:3" ht="15.75" customHeight="1">
      <c r="A179" s="13"/>
      <c r="B179" s="13"/>
      <c r="C179" s="64"/>
    </row>
    <row r="180" spans="1:3" ht="15.75" customHeight="1">
      <c r="A180" s="13"/>
      <c r="B180" s="13"/>
      <c r="C180" s="64"/>
    </row>
    <row r="181" spans="1:3" ht="15.75" customHeight="1">
      <c r="A181" s="13"/>
      <c r="B181" s="13"/>
      <c r="C181" s="64"/>
    </row>
    <row r="182" spans="1:3" ht="15.75" customHeight="1">
      <c r="A182" s="13"/>
      <c r="B182" s="13"/>
      <c r="C182" s="64"/>
    </row>
    <row r="183" spans="1:3" ht="15.75" customHeight="1">
      <c r="A183" s="13"/>
      <c r="B183" s="13"/>
      <c r="C183" s="64"/>
    </row>
    <row r="184" spans="1:3" ht="15.75" customHeight="1">
      <c r="A184" s="13"/>
      <c r="B184" s="13"/>
      <c r="C184" s="13"/>
    </row>
    <row r="185" spans="1:3" ht="15.75" customHeight="1">
      <c r="A185" s="13"/>
      <c r="B185" s="13"/>
      <c r="C185" s="13"/>
    </row>
    <row r="186" spans="1:3" ht="15.75" customHeight="1">
      <c r="A186" s="13"/>
      <c r="B186" s="13"/>
      <c r="C186" s="13"/>
    </row>
    <row r="187" spans="1:3" ht="15.75" customHeight="1">
      <c r="A187" s="13"/>
      <c r="B187" s="13"/>
      <c r="C187" s="13"/>
    </row>
    <row r="188" spans="1:3" ht="15.75" customHeight="1">
      <c r="A188" s="13"/>
      <c r="B188" s="13"/>
      <c r="C188" s="13"/>
    </row>
    <row r="189" spans="1:3" ht="15.75" customHeight="1">
      <c r="A189" s="13"/>
      <c r="B189" s="13"/>
      <c r="C189" s="13"/>
    </row>
    <row r="190" spans="1:3" ht="15.75" customHeight="1">
      <c r="A190" s="13"/>
      <c r="B190" s="13"/>
      <c r="C190" s="13"/>
    </row>
    <row r="191" spans="1:3" ht="15.75" customHeight="1">
      <c r="A191" s="13"/>
      <c r="B191" s="13"/>
      <c r="C191" s="13"/>
    </row>
    <row r="192" spans="1:3" ht="15.75" customHeight="1">
      <c r="A192" s="13"/>
      <c r="B192" s="13"/>
      <c r="C192" s="13"/>
    </row>
    <row r="193" spans="1:3" ht="15.75" customHeight="1">
      <c r="A193" s="13"/>
      <c r="B193" s="13"/>
      <c r="C193" s="13"/>
    </row>
    <row r="194" spans="1:3" ht="15.75" customHeight="1">
      <c r="A194" s="13"/>
      <c r="B194" s="13"/>
      <c r="C194" s="13"/>
    </row>
    <row r="195" spans="1:3" ht="15.75" customHeight="1">
      <c r="A195" s="13"/>
      <c r="B195" s="13"/>
      <c r="C195" s="13"/>
    </row>
    <row r="196" spans="1:3" ht="15.75" customHeight="1">
      <c r="A196" s="13"/>
      <c r="B196" s="13"/>
      <c r="C196" s="13"/>
    </row>
    <row r="197" spans="1:3" ht="15.75" customHeight="1">
      <c r="A197" s="13"/>
      <c r="B197" s="13"/>
      <c r="C197" s="13"/>
    </row>
    <row r="198" spans="1:3" ht="15.75" customHeight="1">
      <c r="A198" s="13"/>
      <c r="B198" s="13"/>
      <c r="C198" s="13"/>
    </row>
    <row r="199" spans="1:3" ht="15.75" customHeight="1">
      <c r="A199" s="13"/>
      <c r="B199" s="13"/>
      <c r="C199" s="13"/>
    </row>
    <row r="200" spans="1:3" ht="15.75" customHeight="1">
      <c r="A200" s="13"/>
      <c r="B200" s="13"/>
      <c r="C200" s="13"/>
    </row>
    <row r="201" spans="1:3" ht="15.75" customHeight="1">
      <c r="A201" s="13"/>
      <c r="B201" s="13"/>
      <c r="C201" s="13"/>
    </row>
    <row r="202" spans="1:3" ht="15.75" customHeight="1">
      <c r="A202" s="13"/>
      <c r="B202" s="13"/>
      <c r="C202" s="13"/>
    </row>
    <row r="203" spans="1:3" ht="15.75" customHeight="1">
      <c r="A203" s="13"/>
      <c r="B203" s="13"/>
      <c r="C203" s="13"/>
    </row>
    <row r="204" spans="1:3" ht="15.75" customHeight="1">
      <c r="A204" s="13"/>
      <c r="B204" s="13"/>
      <c r="C204" s="13"/>
    </row>
    <row r="205" spans="1:3" ht="15.75" customHeight="1">
      <c r="A205" s="13"/>
      <c r="B205" s="13"/>
      <c r="C205" s="13"/>
    </row>
    <row r="206" spans="1:3" ht="15.75" customHeight="1">
      <c r="A206" s="13"/>
      <c r="B206" s="13"/>
      <c r="C206" s="13"/>
    </row>
    <row r="207" spans="1:3" ht="15.75" customHeight="1">
      <c r="A207" s="13"/>
      <c r="B207" s="13"/>
      <c r="C207" s="13"/>
    </row>
    <row r="208" spans="1:3" ht="15.75" customHeight="1">
      <c r="A208" s="13"/>
      <c r="B208" s="13"/>
      <c r="C208" s="13"/>
    </row>
    <row r="209" spans="1:3" ht="15.75" customHeight="1">
      <c r="A209" s="13"/>
      <c r="B209" s="13"/>
      <c r="C209" s="13"/>
    </row>
    <row r="210" spans="1:3" ht="15.75" customHeight="1">
      <c r="A210" s="13"/>
      <c r="B210" s="13"/>
      <c r="C210" s="13"/>
    </row>
    <row r="211" spans="1:3" ht="15.75" customHeight="1">
      <c r="A211" s="13"/>
      <c r="B211" s="13"/>
      <c r="C211" s="13"/>
    </row>
    <row r="212" spans="1:3" ht="15.75" customHeight="1">
      <c r="A212" s="13"/>
      <c r="B212" s="13"/>
      <c r="C212" s="13"/>
    </row>
    <row r="213" spans="1:3" ht="15.75" customHeight="1">
      <c r="A213" s="13"/>
      <c r="B213" s="13"/>
      <c r="C213" s="13"/>
    </row>
    <row r="214" spans="1:3" ht="15.75" customHeight="1">
      <c r="A214" s="13"/>
      <c r="B214" s="13"/>
      <c r="C214" s="64"/>
    </row>
    <row r="215" spans="1:3" ht="15.75" customHeight="1">
      <c r="A215" s="13"/>
      <c r="B215" s="13"/>
      <c r="C215" s="64"/>
    </row>
    <row r="216" spans="1:3" ht="15.75" customHeight="1">
      <c r="A216" s="13"/>
      <c r="B216" s="13"/>
      <c r="C216" s="64"/>
    </row>
  </sheetData>
  <mergeCells count="4">
    <mergeCell ref="A1:C1"/>
    <mergeCell ref="A2:C2"/>
    <mergeCell ref="B12:C12"/>
    <mergeCell ref="B17:C20"/>
  </mergeCells>
  <pageMargins left="0.19685039370078741" right="0.23622047244094491" top="0.6" bottom="0.31496062992125984" header="0" footer="0"/>
  <pageSetup paperSize="9" scale="70" fitToHeight="0" orientation="portrait" r:id="rId1"/>
</worksheet>
</file>

<file path=xl/worksheets/sheet2.xml><?xml version="1.0" encoding="utf-8"?>
<worksheet xmlns="http://schemas.openxmlformats.org/spreadsheetml/2006/main" xmlns:r="http://schemas.openxmlformats.org/officeDocument/2006/relationships">
  <sheetPr>
    <tabColor rgb="FF008080"/>
  </sheetPr>
  <dimension ref="A1:L102"/>
  <sheetViews>
    <sheetView view="pageBreakPreview" topLeftCell="A13" zoomScale="60" workbookViewId="0">
      <selection activeCell="F22" sqref="F22"/>
    </sheetView>
  </sheetViews>
  <sheetFormatPr defaultColWidth="14.42578125" defaultRowHeight="15" customHeight="1"/>
  <cols>
    <col min="1" max="1" width="7.7109375" style="79" customWidth="1"/>
    <col min="2" max="2" width="61.85546875" style="79" customWidth="1"/>
    <col min="3" max="3" width="9.140625" style="79" customWidth="1"/>
    <col min="4" max="4" width="8.28515625" style="79" customWidth="1"/>
    <col min="5" max="5" width="16.42578125" style="79" customWidth="1"/>
    <col min="6" max="6" width="22.5703125" style="79" bestFit="1" customWidth="1"/>
    <col min="7" max="7" width="15.5703125" style="79" hidden="1" customWidth="1"/>
    <col min="8" max="8" width="9.140625" style="79" hidden="1" customWidth="1"/>
    <col min="9" max="16384" width="14.42578125" style="79"/>
  </cols>
  <sheetData>
    <row r="1" spans="1:8" ht="29.25" customHeight="1">
      <c r="A1" s="159" t="s">
        <v>13</v>
      </c>
      <c r="B1" s="158"/>
      <c r="C1" s="158"/>
      <c r="D1" s="158"/>
      <c r="E1" s="158"/>
      <c r="F1" s="158"/>
      <c r="G1" s="86"/>
      <c r="H1" s="86"/>
    </row>
    <row r="2" spans="1:8" ht="60" customHeight="1">
      <c r="A2" s="160" t="str">
        <f>abs!A2:C2</f>
        <v xml:space="preserve"> Name of the Work : Replacement of existing ACSR Lynx conductor (16.37KM) with AAAC Panther conductor for 132KV Chittoor – Pakala SC line in Chittoor District under RMI 2024-25 on turn key basis</v>
      </c>
      <c r="B2" s="161"/>
      <c r="C2" s="161"/>
      <c r="D2" s="161"/>
      <c r="E2" s="161"/>
      <c r="F2" s="161"/>
      <c r="G2" s="86"/>
      <c r="H2" s="86"/>
    </row>
    <row r="3" spans="1:8" ht="100.5" customHeight="1">
      <c r="A3" s="87" t="s">
        <v>14</v>
      </c>
      <c r="B3" s="87" t="s">
        <v>15</v>
      </c>
      <c r="C3" s="87" t="s">
        <v>16</v>
      </c>
      <c r="D3" s="87" t="s">
        <v>17</v>
      </c>
      <c r="E3" s="87" t="s">
        <v>18</v>
      </c>
      <c r="F3" s="87" t="s">
        <v>19</v>
      </c>
      <c r="G3" s="88"/>
      <c r="H3" s="88"/>
    </row>
    <row r="4" spans="1:8" ht="42.75" customHeight="1">
      <c r="A4" s="89">
        <v>1</v>
      </c>
      <c r="B4" s="90" t="s">
        <v>76</v>
      </c>
      <c r="C4" s="91">
        <v>55</v>
      </c>
      <c r="D4" s="89" t="s">
        <v>20</v>
      </c>
      <c r="E4" s="82">
        <v>268744.51</v>
      </c>
      <c r="F4" s="83">
        <f t="shared" ref="F4:F17" si="0">ROUND(C4*E4,2)</f>
        <v>14780948.050000001</v>
      </c>
      <c r="G4" s="86"/>
      <c r="H4" s="92" t="s">
        <v>21</v>
      </c>
    </row>
    <row r="5" spans="1:8" ht="42.75" customHeight="1">
      <c r="A5" s="89">
        <v>2</v>
      </c>
      <c r="B5" s="93" t="s">
        <v>22</v>
      </c>
      <c r="C5" s="94">
        <v>140</v>
      </c>
      <c r="D5" s="81" t="s">
        <v>23</v>
      </c>
      <c r="E5" s="82">
        <v>2642.98</v>
      </c>
      <c r="F5" s="83">
        <f t="shared" si="0"/>
        <v>370017.2</v>
      </c>
      <c r="G5" s="162" t="s">
        <v>24</v>
      </c>
      <c r="H5" s="155" t="s">
        <v>25</v>
      </c>
    </row>
    <row r="6" spans="1:8" ht="37.5" customHeight="1">
      <c r="A6" s="89">
        <v>3</v>
      </c>
      <c r="B6" s="93" t="s">
        <v>26</v>
      </c>
      <c r="C6" s="94">
        <v>17</v>
      </c>
      <c r="D6" s="81" t="s">
        <v>23</v>
      </c>
      <c r="E6" s="82">
        <v>5512.56</v>
      </c>
      <c r="F6" s="83">
        <f t="shared" si="0"/>
        <v>93713.52</v>
      </c>
      <c r="G6" s="156"/>
      <c r="H6" s="156"/>
    </row>
    <row r="7" spans="1:8" ht="40.5" customHeight="1">
      <c r="A7" s="89">
        <v>4</v>
      </c>
      <c r="B7" s="93" t="s">
        <v>27</v>
      </c>
      <c r="C7" s="94">
        <v>61</v>
      </c>
      <c r="D7" s="81" t="s">
        <v>23</v>
      </c>
      <c r="E7" s="82">
        <v>2607.96</v>
      </c>
      <c r="F7" s="83">
        <f t="shared" si="0"/>
        <v>159085.56</v>
      </c>
      <c r="G7" s="155" t="s">
        <v>28</v>
      </c>
      <c r="H7" s="86"/>
    </row>
    <row r="8" spans="1:8" ht="56.25" customHeight="1">
      <c r="A8" s="89">
        <v>5</v>
      </c>
      <c r="B8" s="93" t="s">
        <v>29</v>
      </c>
      <c r="C8" s="94">
        <v>7</v>
      </c>
      <c r="D8" s="81" t="s">
        <v>23</v>
      </c>
      <c r="E8" s="82">
        <v>5578.48</v>
      </c>
      <c r="F8" s="83">
        <f t="shared" si="0"/>
        <v>39049.360000000001</v>
      </c>
      <c r="G8" s="156"/>
      <c r="H8" s="86"/>
    </row>
    <row r="9" spans="1:8" ht="39" customHeight="1">
      <c r="A9" s="89">
        <v>6</v>
      </c>
      <c r="B9" s="93" t="s">
        <v>30</v>
      </c>
      <c r="C9" s="81">
        <v>75</v>
      </c>
      <c r="D9" s="81" t="s">
        <v>23</v>
      </c>
      <c r="E9" s="82">
        <v>708.64</v>
      </c>
      <c r="F9" s="83">
        <f t="shared" si="0"/>
        <v>53148</v>
      </c>
      <c r="G9" s="86"/>
      <c r="H9" s="86"/>
    </row>
    <row r="10" spans="1:8" ht="39" customHeight="1">
      <c r="A10" s="89">
        <v>7</v>
      </c>
      <c r="B10" s="93" t="s">
        <v>31</v>
      </c>
      <c r="C10" s="81">
        <v>30</v>
      </c>
      <c r="D10" s="81" t="s">
        <v>23</v>
      </c>
      <c r="E10" s="82">
        <v>296.64</v>
      </c>
      <c r="F10" s="83">
        <f t="shared" si="0"/>
        <v>8899.2000000000007</v>
      </c>
      <c r="G10" s="86"/>
      <c r="H10" s="86"/>
    </row>
    <row r="11" spans="1:8" ht="39" customHeight="1">
      <c r="A11" s="89">
        <v>8</v>
      </c>
      <c r="B11" s="93" t="s">
        <v>32</v>
      </c>
      <c r="C11" s="94">
        <v>384</v>
      </c>
      <c r="D11" s="81" t="s">
        <v>23</v>
      </c>
      <c r="E11" s="82">
        <v>710.7</v>
      </c>
      <c r="F11" s="83">
        <f t="shared" si="0"/>
        <v>272908.79999999999</v>
      </c>
      <c r="G11" s="86"/>
      <c r="H11" s="86"/>
    </row>
    <row r="12" spans="1:8" ht="39" customHeight="1">
      <c r="A12" s="89">
        <v>9</v>
      </c>
      <c r="B12" s="93" t="s">
        <v>33</v>
      </c>
      <c r="C12" s="94">
        <v>174</v>
      </c>
      <c r="D12" s="81" t="s">
        <v>23</v>
      </c>
      <c r="E12" s="82">
        <v>3155.92</v>
      </c>
      <c r="F12" s="83">
        <f t="shared" si="0"/>
        <v>549130.07999999996</v>
      </c>
      <c r="G12" s="86"/>
      <c r="H12" s="86"/>
    </row>
    <row r="13" spans="1:8" ht="39" customHeight="1">
      <c r="A13" s="89">
        <v>10</v>
      </c>
      <c r="B13" s="93" t="s">
        <v>34</v>
      </c>
      <c r="C13" s="94">
        <v>74</v>
      </c>
      <c r="D13" s="81" t="s">
        <v>23</v>
      </c>
      <c r="E13" s="82">
        <v>3392.82</v>
      </c>
      <c r="F13" s="83">
        <f t="shared" si="0"/>
        <v>251068.68</v>
      </c>
      <c r="G13" s="86"/>
      <c r="H13" s="86"/>
    </row>
    <row r="14" spans="1:8" ht="33" customHeight="1">
      <c r="A14" s="89">
        <v>11</v>
      </c>
      <c r="B14" s="93" t="s">
        <v>35</v>
      </c>
      <c r="C14" s="95">
        <v>25</v>
      </c>
      <c r="D14" s="81" t="s">
        <v>23</v>
      </c>
      <c r="E14" s="82">
        <v>339.9</v>
      </c>
      <c r="F14" s="83">
        <f t="shared" si="0"/>
        <v>8497.5</v>
      </c>
      <c r="G14" s="86"/>
      <c r="H14" s="86"/>
    </row>
    <row r="15" spans="1:8" ht="34.5" customHeight="1">
      <c r="A15" s="89">
        <v>12</v>
      </c>
      <c r="B15" s="96" t="s">
        <v>36</v>
      </c>
      <c r="C15" s="97">
        <v>57</v>
      </c>
      <c r="D15" s="81" t="s">
        <v>23</v>
      </c>
      <c r="E15" s="82">
        <v>260.58999999999997</v>
      </c>
      <c r="F15" s="83">
        <f t="shared" si="0"/>
        <v>14853.63</v>
      </c>
      <c r="G15" s="86"/>
      <c r="H15" s="86"/>
    </row>
    <row r="16" spans="1:8" ht="30" customHeight="1">
      <c r="A16" s="89">
        <v>13</v>
      </c>
      <c r="B16" s="96" t="s">
        <v>37</v>
      </c>
      <c r="C16" s="97">
        <v>57</v>
      </c>
      <c r="D16" s="81" t="s">
        <v>23</v>
      </c>
      <c r="E16" s="82">
        <v>265.74</v>
      </c>
      <c r="F16" s="83">
        <f t="shared" si="0"/>
        <v>15147.18</v>
      </c>
      <c r="G16" s="86"/>
      <c r="H16" s="86"/>
    </row>
    <row r="17" spans="1:12" ht="46.5" customHeight="1">
      <c r="A17" s="89">
        <v>14</v>
      </c>
      <c r="B17" s="96" t="s">
        <v>152</v>
      </c>
      <c r="C17" s="97">
        <v>4</v>
      </c>
      <c r="D17" s="81" t="s">
        <v>23</v>
      </c>
      <c r="E17" s="82">
        <v>3998.46</v>
      </c>
      <c r="F17" s="83">
        <f t="shared" si="0"/>
        <v>15993.84</v>
      </c>
      <c r="G17" s="86"/>
      <c r="H17" s="86"/>
    </row>
    <row r="18" spans="1:12" ht="52.5" customHeight="1">
      <c r="A18" s="89">
        <v>15</v>
      </c>
      <c r="B18" s="96" t="s">
        <v>38</v>
      </c>
      <c r="C18" s="80">
        <v>1</v>
      </c>
      <c r="D18" s="81" t="s">
        <v>39</v>
      </c>
      <c r="E18" s="103">
        <v>126679.72</v>
      </c>
      <c r="F18" s="83">
        <f>C18*E18</f>
        <v>126679.72</v>
      </c>
      <c r="G18" s="86"/>
      <c r="H18" s="86"/>
    </row>
    <row r="19" spans="1:12" ht="45" customHeight="1">
      <c r="A19" s="89">
        <v>16</v>
      </c>
      <c r="B19" s="98" t="s">
        <v>40</v>
      </c>
      <c r="C19" s="80">
        <v>0.1</v>
      </c>
      <c r="D19" s="81" t="s">
        <v>39</v>
      </c>
      <c r="E19" s="82">
        <v>119458.37</v>
      </c>
      <c r="F19" s="83">
        <f>ROUND(C19*E19,2)</f>
        <v>11945.84</v>
      </c>
      <c r="G19" s="86"/>
      <c r="H19" s="86"/>
    </row>
    <row r="20" spans="1:12" ht="45" customHeight="1">
      <c r="A20" s="89">
        <v>17</v>
      </c>
      <c r="B20" s="98" t="s">
        <v>150</v>
      </c>
      <c r="C20" s="80">
        <v>60</v>
      </c>
      <c r="D20" s="81" t="s">
        <v>58</v>
      </c>
      <c r="E20" s="104">
        <v>462.61</v>
      </c>
      <c r="F20" s="83">
        <f>ROUND(C20*E20,2)</f>
        <v>27756.6</v>
      </c>
      <c r="G20" s="86"/>
      <c r="H20" s="86"/>
    </row>
    <row r="21" spans="1:12" ht="45" customHeight="1">
      <c r="A21" s="89">
        <v>18</v>
      </c>
      <c r="B21" s="99" t="s">
        <v>151</v>
      </c>
      <c r="C21" s="100">
        <v>160</v>
      </c>
      <c r="D21" s="101" t="s">
        <v>58</v>
      </c>
      <c r="E21" s="82">
        <v>41.19</v>
      </c>
      <c r="F21" s="83">
        <f>ROUND(C21*E21,2)</f>
        <v>6590.4</v>
      </c>
      <c r="G21" s="86"/>
      <c r="H21" s="86"/>
      <c r="L21" s="148"/>
    </row>
    <row r="22" spans="1:12" ht="20.25" customHeight="1">
      <c r="A22" s="157" t="s">
        <v>41</v>
      </c>
      <c r="B22" s="158"/>
      <c r="C22" s="158"/>
      <c r="D22" s="158"/>
      <c r="E22" s="158"/>
      <c r="F22" s="102">
        <f>SUM(F4:F21)</f>
        <v>16805433.16</v>
      </c>
      <c r="G22" s="86"/>
      <c r="H22" s="86"/>
    </row>
    <row r="23" spans="1:12" ht="15.75" customHeight="1">
      <c r="A23" s="78"/>
      <c r="B23" s="78"/>
      <c r="C23" s="84"/>
      <c r="D23" s="84"/>
      <c r="E23" s="84"/>
      <c r="F23" s="84"/>
      <c r="G23" s="78"/>
      <c r="H23" s="78"/>
    </row>
    <row r="24" spans="1:12" ht="15.75" customHeight="1">
      <c r="A24" s="78"/>
      <c r="B24" s="78"/>
      <c r="C24" s="84"/>
      <c r="D24" s="84"/>
      <c r="E24" s="84"/>
      <c r="F24" s="84"/>
      <c r="G24" s="78"/>
      <c r="H24" s="78"/>
    </row>
    <row r="25" spans="1:12" ht="15.75" customHeight="1">
      <c r="A25" s="78"/>
      <c r="B25" s="78"/>
      <c r="C25" s="84"/>
      <c r="D25" s="84"/>
      <c r="E25" s="85"/>
      <c r="F25" s="85"/>
      <c r="G25" s="85"/>
      <c r="H25" s="78"/>
    </row>
    <row r="26" spans="1:12" ht="15.75" customHeight="1">
      <c r="A26" s="78"/>
      <c r="B26" s="78"/>
      <c r="C26" s="84"/>
      <c r="D26" s="84"/>
      <c r="E26" s="85"/>
      <c r="F26" s="85"/>
      <c r="G26" s="85"/>
      <c r="H26" s="78"/>
    </row>
    <row r="27" spans="1:12" ht="15.75" customHeight="1">
      <c r="A27" s="78"/>
      <c r="B27" s="78"/>
      <c r="C27" s="84"/>
      <c r="D27" s="84"/>
      <c r="E27" s="163" t="s">
        <v>148</v>
      </c>
      <c r="F27" s="163"/>
      <c r="G27" s="85"/>
      <c r="H27" s="78"/>
    </row>
    <row r="28" spans="1:12" ht="15.75" customHeight="1">
      <c r="A28" s="78"/>
      <c r="B28" s="78"/>
      <c r="C28" s="84"/>
      <c r="D28" s="84"/>
      <c r="E28" s="163" t="s">
        <v>149</v>
      </c>
      <c r="F28" s="163"/>
      <c r="G28" s="85"/>
      <c r="H28" s="78"/>
    </row>
    <row r="29" spans="1:12" ht="15.75" customHeight="1">
      <c r="A29" s="78"/>
      <c r="B29" s="78"/>
      <c r="C29" s="84"/>
      <c r="D29" s="84"/>
      <c r="E29" s="85"/>
      <c r="F29" s="85"/>
      <c r="G29" s="85"/>
      <c r="H29" s="78"/>
    </row>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sheetData>
  <mergeCells count="8">
    <mergeCell ref="E27:F27"/>
    <mergeCell ref="E28:F28"/>
    <mergeCell ref="H5:H6"/>
    <mergeCell ref="G7:G8"/>
    <mergeCell ref="A22:E22"/>
    <mergeCell ref="A1:F1"/>
    <mergeCell ref="A2:F2"/>
    <mergeCell ref="G5:G6"/>
  </mergeCells>
  <pageMargins left="0.82" right="0.27559055118110237" top="0.35433070866141736" bottom="0.47244094488188981" header="0.16" footer="0"/>
  <pageSetup paperSize="9" scale="74" fitToHeight="0" orientation="portrait" r:id="rId1"/>
</worksheet>
</file>

<file path=xl/worksheets/sheet3.xml><?xml version="1.0" encoding="utf-8"?>
<worksheet xmlns="http://schemas.openxmlformats.org/spreadsheetml/2006/main" xmlns:r="http://schemas.openxmlformats.org/officeDocument/2006/relationships">
  <sheetPr>
    <tabColor rgb="FF008080"/>
  </sheetPr>
  <dimension ref="A1:I41"/>
  <sheetViews>
    <sheetView view="pageBreakPreview" zoomScale="60" workbookViewId="0">
      <pane ySplit="4" topLeftCell="A20" activePane="bottomLeft" state="frozen"/>
      <selection pane="bottomLeft" activeCell="B28" sqref="B28:E28"/>
    </sheetView>
  </sheetViews>
  <sheetFormatPr defaultColWidth="14.42578125" defaultRowHeight="15" customHeight="1"/>
  <cols>
    <col min="1" max="1" width="4.5703125" style="106" customWidth="1"/>
    <col min="2" max="2" width="88" style="106" customWidth="1"/>
    <col min="3" max="3" width="10.7109375" style="106" customWidth="1"/>
    <col min="4" max="4" width="7.42578125" style="106" customWidth="1"/>
    <col min="5" max="5" width="14.42578125" style="106" customWidth="1"/>
    <col min="6" max="6" width="22.5703125" style="106" bestFit="1" customWidth="1"/>
    <col min="7" max="7" width="8" style="106" hidden="1" customWidth="1"/>
    <col min="8" max="16384" width="14.42578125" style="106"/>
  </cols>
  <sheetData>
    <row r="1" spans="1:9" ht="26.25" customHeight="1">
      <c r="A1" s="167" t="s">
        <v>42</v>
      </c>
      <c r="B1" s="168"/>
      <c r="C1" s="168"/>
      <c r="D1" s="168"/>
      <c r="E1" s="168"/>
      <c r="F1" s="168"/>
      <c r="G1" s="105"/>
    </row>
    <row r="2" spans="1:9" ht="60" customHeight="1">
      <c r="A2" s="169" t="str">
        <f>'[1]TS-Abstract'!A2</f>
        <v xml:space="preserve"> Name of the Work : Replacement of existing ACSR Lynx conductor (16.37KM) with AAAC Panther conductor for 132KV Chittoor – Pakala SC line in Chittoor District under RMI 2024-25</v>
      </c>
      <c r="B2" s="170"/>
      <c r="C2" s="170"/>
      <c r="D2" s="170"/>
      <c r="E2" s="170"/>
      <c r="F2" s="170"/>
      <c r="G2" s="105"/>
    </row>
    <row r="3" spans="1:9" ht="27" customHeight="1">
      <c r="A3" s="171" t="s">
        <v>43</v>
      </c>
      <c r="B3" s="168"/>
      <c r="C3" s="168"/>
      <c r="D3" s="168"/>
      <c r="E3" s="168"/>
      <c r="F3" s="168"/>
      <c r="G3" s="105"/>
    </row>
    <row r="4" spans="1:9" ht="74.25" customHeight="1">
      <c r="A4" s="107" t="s">
        <v>44</v>
      </c>
      <c r="B4" s="109" t="s">
        <v>45</v>
      </c>
      <c r="C4" s="108" t="s">
        <v>46</v>
      </c>
      <c r="D4" s="108" t="s">
        <v>17</v>
      </c>
      <c r="E4" s="108" t="s">
        <v>159</v>
      </c>
      <c r="F4" s="108" t="s">
        <v>160</v>
      </c>
      <c r="G4" s="110"/>
    </row>
    <row r="5" spans="1:9" ht="15.75">
      <c r="A5" s="111">
        <v>1</v>
      </c>
      <c r="B5" s="111">
        <v>3</v>
      </c>
      <c r="C5" s="111">
        <v>4</v>
      </c>
      <c r="D5" s="111">
        <v>5</v>
      </c>
      <c r="E5" s="111">
        <v>10</v>
      </c>
      <c r="F5" s="111">
        <v>11</v>
      </c>
      <c r="G5" s="112"/>
    </row>
    <row r="6" spans="1:9" ht="112.5" customHeight="1">
      <c r="A6" s="172">
        <v>1</v>
      </c>
      <c r="B6" s="113" t="s">
        <v>48</v>
      </c>
      <c r="C6" s="114"/>
      <c r="D6" s="115"/>
      <c r="E6" s="116"/>
      <c r="F6" s="116"/>
      <c r="G6" s="105"/>
    </row>
    <row r="7" spans="1:9" ht="36.75" customHeight="1">
      <c r="A7" s="173"/>
      <c r="B7" s="117" t="s">
        <v>153</v>
      </c>
      <c r="C7" s="14">
        <v>16.37</v>
      </c>
      <c r="D7" s="135" t="s">
        <v>49</v>
      </c>
      <c r="E7" s="15">
        <v>66690.8</v>
      </c>
      <c r="F7" s="116">
        <f t="shared" ref="F7:F27" si="0">C7*E7</f>
        <v>1091728.3960000002</v>
      </c>
      <c r="G7" s="105"/>
    </row>
    <row r="8" spans="1:9" ht="51" customHeight="1">
      <c r="A8" s="114">
        <v>2</v>
      </c>
      <c r="B8" s="117" t="s">
        <v>50</v>
      </c>
      <c r="C8" s="69">
        <v>0.44500000000000001</v>
      </c>
      <c r="D8" s="136" t="s">
        <v>49</v>
      </c>
      <c r="E8" s="74">
        <v>75771.05</v>
      </c>
      <c r="F8" s="116">
        <f t="shared" si="0"/>
        <v>33718.117250000003</v>
      </c>
      <c r="G8" s="105"/>
    </row>
    <row r="9" spans="1:9" ht="144" customHeight="1">
      <c r="A9" s="118">
        <v>3</v>
      </c>
      <c r="B9" s="113" t="s">
        <v>154</v>
      </c>
      <c r="C9" s="70"/>
      <c r="D9" s="137"/>
      <c r="E9" s="74"/>
      <c r="F9" s="116">
        <f t="shared" si="0"/>
        <v>0</v>
      </c>
      <c r="G9" s="105"/>
    </row>
    <row r="10" spans="1:9" ht="39.75" customHeight="1">
      <c r="A10" s="118" t="s">
        <v>51</v>
      </c>
      <c r="B10" s="113" t="s">
        <v>52</v>
      </c>
      <c r="C10" s="70">
        <v>16.37</v>
      </c>
      <c r="D10" s="138" t="s">
        <v>20</v>
      </c>
      <c r="E10" s="74">
        <v>104610.97</v>
      </c>
      <c r="F10" s="116">
        <f t="shared" si="0"/>
        <v>1712481.5789000001</v>
      </c>
      <c r="G10" s="105"/>
    </row>
    <row r="11" spans="1:9" ht="38.25" customHeight="1">
      <c r="A11" s="114" t="s">
        <v>53</v>
      </c>
      <c r="B11" s="113" t="s">
        <v>54</v>
      </c>
      <c r="C11" s="70">
        <v>0.44500000000000001</v>
      </c>
      <c r="D11" s="138" t="s">
        <v>20</v>
      </c>
      <c r="E11" s="74">
        <v>118854.22</v>
      </c>
      <c r="F11" s="116">
        <f t="shared" si="0"/>
        <v>52890.127899999999</v>
      </c>
      <c r="G11" s="105"/>
    </row>
    <row r="12" spans="1:9" ht="75" customHeight="1">
      <c r="A12" s="114">
        <v>4</v>
      </c>
      <c r="B12" s="119" t="s">
        <v>55</v>
      </c>
      <c r="C12" s="71">
        <v>6</v>
      </c>
      <c r="D12" s="139" t="s">
        <v>56</v>
      </c>
      <c r="E12" s="74">
        <v>9254.17</v>
      </c>
      <c r="F12" s="116">
        <f t="shared" si="0"/>
        <v>55525.020000000004</v>
      </c>
      <c r="G12" s="105"/>
    </row>
    <row r="13" spans="1:9" ht="49.5" customHeight="1">
      <c r="A13" s="114">
        <v>5</v>
      </c>
      <c r="B13" s="119" t="s">
        <v>57</v>
      </c>
      <c r="C13" s="71">
        <v>4</v>
      </c>
      <c r="D13" s="139" t="s">
        <v>155</v>
      </c>
      <c r="E13" s="74">
        <v>11637.87</v>
      </c>
      <c r="F13" s="116">
        <f t="shared" si="0"/>
        <v>46551.48</v>
      </c>
      <c r="G13" s="105"/>
    </row>
    <row r="14" spans="1:9" ht="173.25">
      <c r="A14" s="114">
        <v>6</v>
      </c>
      <c r="B14" s="113" t="s">
        <v>59</v>
      </c>
      <c r="C14" s="70">
        <v>4</v>
      </c>
      <c r="D14" s="138"/>
      <c r="E14" s="74">
        <v>28286.3</v>
      </c>
      <c r="F14" s="116">
        <f t="shared" si="0"/>
        <v>113145.2</v>
      </c>
      <c r="G14" s="105"/>
      <c r="I14" s="106">
        <f>15*4</f>
        <v>60</v>
      </c>
    </row>
    <row r="15" spans="1:9" ht="36.75" customHeight="1">
      <c r="A15" s="114">
        <v>8</v>
      </c>
      <c r="B15" s="117" t="s">
        <v>60</v>
      </c>
      <c r="C15" s="70">
        <v>60</v>
      </c>
      <c r="D15" s="138" t="s">
        <v>61</v>
      </c>
      <c r="E15" s="74">
        <v>6151.63</v>
      </c>
      <c r="F15" s="116">
        <f t="shared" si="0"/>
        <v>369097.8</v>
      </c>
      <c r="G15" s="105"/>
    </row>
    <row r="16" spans="1:9" ht="40.5" customHeight="1">
      <c r="A16" s="114">
        <v>9</v>
      </c>
      <c r="B16" s="117" t="s">
        <v>62</v>
      </c>
      <c r="C16" s="69">
        <v>120</v>
      </c>
      <c r="D16" s="138" t="s">
        <v>61</v>
      </c>
      <c r="E16" s="74">
        <v>3365.76</v>
      </c>
      <c r="F16" s="116">
        <f t="shared" si="0"/>
        <v>403891.20000000001</v>
      </c>
      <c r="G16" s="105"/>
    </row>
    <row r="17" spans="1:8" ht="43.5" customHeight="1">
      <c r="A17" s="114">
        <v>10</v>
      </c>
      <c r="B17" s="117" t="s">
        <v>63</v>
      </c>
      <c r="C17" s="69">
        <v>240</v>
      </c>
      <c r="D17" s="138" t="s">
        <v>61</v>
      </c>
      <c r="E17" s="74">
        <v>2119.13</v>
      </c>
      <c r="F17" s="116">
        <f t="shared" si="0"/>
        <v>508591.2</v>
      </c>
      <c r="G17" s="105"/>
    </row>
    <row r="18" spans="1:8" ht="27" customHeight="1">
      <c r="A18" s="114">
        <v>11</v>
      </c>
      <c r="B18" s="117" t="s">
        <v>64</v>
      </c>
      <c r="C18" s="69">
        <v>10000</v>
      </c>
      <c r="D18" s="138" t="s">
        <v>20</v>
      </c>
      <c r="E18" s="74">
        <v>9.98</v>
      </c>
      <c r="F18" s="116">
        <f t="shared" si="0"/>
        <v>99800</v>
      </c>
      <c r="G18" s="105"/>
    </row>
    <row r="19" spans="1:8" ht="31.5" customHeight="1">
      <c r="A19" s="114">
        <v>12</v>
      </c>
      <c r="B19" s="113" t="s">
        <v>65</v>
      </c>
      <c r="C19" s="69">
        <v>50000</v>
      </c>
      <c r="D19" s="138" t="s">
        <v>66</v>
      </c>
      <c r="E19" s="75">
        <v>7.4756999999999998</v>
      </c>
      <c r="F19" s="116">
        <f t="shared" si="0"/>
        <v>373785</v>
      </c>
      <c r="G19" s="120" t="s">
        <v>67</v>
      </c>
    </row>
    <row r="20" spans="1:8" ht="41.25" customHeight="1">
      <c r="A20" s="114">
        <v>13</v>
      </c>
      <c r="B20" s="113" t="s">
        <v>68</v>
      </c>
      <c r="C20" s="69">
        <v>30000</v>
      </c>
      <c r="D20" s="138" t="s">
        <v>66</v>
      </c>
      <c r="E20" s="75">
        <v>6.5411999999999999</v>
      </c>
      <c r="F20" s="116">
        <f t="shared" si="0"/>
        <v>196236</v>
      </c>
      <c r="G20" s="120"/>
    </row>
    <row r="21" spans="1:8" ht="41.25" customHeight="1">
      <c r="A21" s="114">
        <v>14</v>
      </c>
      <c r="B21" s="115" t="s">
        <v>69</v>
      </c>
      <c r="C21" s="69">
        <v>6</v>
      </c>
      <c r="D21" s="138" t="s">
        <v>56</v>
      </c>
      <c r="E21" s="74">
        <v>49.06</v>
      </c>
      <c r="F21" s="116">
        <f t="shared" si="0"/>
        <v>294.36</v>
      </c>
      <c r="G21" s="120"/>
    </row>
    <row r="22" spans="1:8" ht="41.25" customHeight="1">
      <c r="A22" s="114">
        <v>15</v>
      </c>
      <c r="B22" s="115" t="s">
        <v>70</v>
      </c>
      <c r="C22" s="69">
        <v>8</v>
      </c>
      <c r="D22" s="138" t="s">
        <v>56</v>
      </c>
      <c r="E22" s="74">
        <v>112.14</v>
      </c>
      <c r="F22" s="116">
        <f t="shared" si="0"/>
        <v>897.12</v>
      </c>
      <c r="G22" s="120"/>
    </row>
    <row r="23" spans="1:8" ht="41.25" customHeight="1">
      <c r="A23" s="114">
        <v>16</v>
      </c>
      <c r="B23" s="115" t="s">
        <v>71</v>
      </c>
      <c r="C23" s="69">
        <v>10</v>
      </c>
      <c r="D23" s="138" t="s">
        <v>56</v>
      </c>
      <c r="E23" s="74">
        <v>77.09</v>
      </c>
      <c r="F23" s="116">
        <f t="shared" si="0"/>
        <v>770.90000000000009</v>
      </c>
      <c r="G23" s="120"/>
    </row>
    <row r="24" spans="1:8" ht="41.25" customHeight="1">
      <c r="A24" s="114">
        <v>17</v>
      </c>
      <c r="B24" s="115" t="s">
        <v>72</v>
      </c>
      <c r="C24" s="69">
        <v>18</v>
      </c>
      <c r="D24" s="138" t="s">
        <v>56</v>
      </c>
      <c r="E24" s="74">
        <v>119.14</v>
      </c>
      <c r="F24" s="116">
        <f t="shared" si="0"/>
        <v>2144.52</v>
      </c>
      <c r="G24" s="120"/>
    </row>
    <row r="25" spans="1:8" ht="41.25" customHeight="1">
      <c r="A25" s="114">
        <v>18</v>
      </c>
      <c r="B25" s="121" t="s">
        <v>73</v>
      </c>
      <c r="C25" s="72">
        <v>20</v>
      </c>
      <c r="D25" s="140" t="s">
        <v>56</v>
      </c>
      <c r="E25" s="76">
        <v>193.9</v>
      </c>
      <c r="F25" s="122">
        <f t="shared" si="0"/>
        <v>3878</v>
      </c>
      <c r="G25" s="120"/>
    </row>
    <row r="26" spans="1:8" ht="48.75" customHeight="1">
      <c r="A26" s="123">
        <v>19</v>
      </c>
      <c r="B26" s="124" t="s">
        <v>74</v>
      </c>
      <c r="C26" s="65">
        <v>6</v>
      </c>
      <c r="D26" s="141" t="s">
        <v>75</v>
      </c>
      <c r="E26" s="66">
        <v>15313.86</v>
      </c>
      <c r="F26" s="125">
        <f t="shared" si="0"/>
        <v>91883.16</v>
      </c>
      <c r="G26" s="105"/>
    </row>
    <row r="27" spans="1:8" ht="30" customHeight="1">
      <c r="A27" s="123">
        <v>20</v>
      </c>
      <c r="B27" s="124" t="s">
        <v>156</v>
      </c>
      <c r="C27" s="73">
        <v>1</v>
      </c>
      <c r="D27" s="142" t="s">
        <v>157</v>
      </c>
      <c r="E27" s="77">
        <v>50371.78</v>
      </c>
      <c r="F27" s="125">
        <f t="shared" si="0"/>
        <v>50371.78</v>
      </c>
      <c r="G27" s="105"/>
      <c r="H27" s="126">
        <f>F26+F27</f>
        <v>142254.94</v>
      </c>
    </row>
    <row r="28" spans="1:8" ht="15.75" customHeight="1">
      <c r="A28" s="127"/>
      <c r="B28" s="164"/>
      <c r="C28" s="164"/>
      <c r="D28" s="164"/>
      <c r="E28" s="164"/>
      <c r="F28" s="128">
        <f>ROUND(SUM(F6:F27),2)</f>
        <v>5207680.96</v>
      </c>
      <c r="G28" s="105"/>
    </row>
    <row r="29" spans="1:8" ht="15.75" customHeight="1">
      <c r="A29" s="127"/>
      <c r="B29" s="165"/>
      <c r="C29" s="165"/>
      <c r="D29" s="165"/>
      <c r="E29" s="165"/>
      <c r="F29" s="129">
        <f>F28</f>
        <v>5207680.96</v>
      </c>
      <c r="G29" s="105"/>
    </row>
    <row r="30" spans="1:8" ht="15.75" customHeight="1">
      <c r="A30" s="130"/>
      <c r="B30" s="132"/>
      <c r="C30" s="131"/>
      <c r="D30" s="105"/>
      <c r="E30" s="105"/>
      <c r="F30" s="105"/>
      <c r="G30" s="105"/>
    </row>
    <row r="31" spans="1:8" ht="15.75" customHeight="1">
      <c r="A31" s="130"/>
      <c r="B31" s="132"/>
      <c r="C31" s="131"/>
      <c r="D31" s="105"/>
      <c r="E31" s="105"/>
      <c r="F31" s="105"/>
      <c r="G31" s="105"/>
    </row>
    <row r="32" spans="1:8" ht="15.75" customHeight="1">
      <c r="A32" s="130"/>
      <c r="B32" s="132"/>
      <c r="C32" s="131"/>
      <c r="D32" s="105"/>
      <c r="E32" s="105"/>
      <c r="F32" s="133"/>
      <c r="G32" s="133"/>
    </row>
    <row r="33" spans="1:7" ht="15.75" customHeight="1">
      <c r="A33" s="130"/>
      <c r="B33" s="132"/>
      <c r="C33" s="131"/>
      <c r="D33" s="105"/>
      <c r="E33" s="105"/>
      <c r="F33" s="133"/>
      <c r="G33" s="133"/>
    </row>
    <row r="34" spans="1:7" ht="15.75" customHeight="1">
      <c r="A34" s="130"/>
      <c r="B34" s="132"/>
      <c r="C34" s="131"/>
      <c r="D34" s="105"/>
      <c r="E34" s="105"/>
      <c r="F34" s="133"/>
      <c r="G34" s="133"/>
    </row>
    <row r="35" spans="1:7" ht="21" customHeight="1">
      <c r="A35" s="130"/>
      <c r="B35" s="132"/>
      <c r="C35" s="131"/>
      <c r="D35" s="105"/>
      <c r="E35" s="166" t="s">
        <v>148</v>
      </c>
      <c r="F35" s="166"/>
      <c r="G35" s="133"/>
    </row>
    <row r="36" spans="1:7" ht="28.5" customHeight="1">
      <c r="A36" s="130"/>
      <c r="B36" s="132"/>
      <c r="C36" s="131"/>
      <c r="D36" s="105"/>
      <c r="E36" s="166" t="s">
        <v>149</v>
      </c>
      <c r="F36" s="166"/>
      <c r="G36" s="134"/>
    </row>
    <row r="37" spans="1:7" ht="15.75" customHeight="1">
      <c r="A37" s="130"/>
      <c r="B37" s="132"/>
      <c r="C37" s="131"/>
      <c r="D37" s="105"/>
      <c r="E37" s="105"/>
      <c r="F37" s="134"/>
      <c r="G37" s="134"/>
    </row>
    <row r="38" spans="1:7" ht="15.75" customHeight="1">
      <c r="A38" s="130"/>
      <c r="B38" s="132"/>
      <c r="C38" s="131"/>
      <c r="D38" s="105"/>
      <c r="E38" s="105"/>
      <c r="F38" s="134"/>
      <c r="G38" s="134"/>
    </row>
    <row r="39" spans="1:7" ht="15.75" customHeight="1">
      <c r="A39" s="130"/>
      <c r="B39" s="132"/>
      <c r="C39" s="131"/>
      <c r="D39" s="105"/>
      <c r="E39" s="105"/>
      <c r="F39" s="134"/>
      <c r="G39" s="134"/>
    </row>
    <row r="40" spans="1:7" ht="15.75" customHeight="1">
      <c r="A40" s="130"/>
      <c r="B40" s="132"/>
      <c r="C40" s="131"/>
      <c r="D40" s="105"/>
      <c r="E40" s="105"/>
      <c r="F40" s="105"/>
      <c r="G40" s="105"/>
    </row>
    <row r="41" spans="1:7" ht="15.75" customHeight="1">
      <c r="A41" s="130"/>
      <c r="B41" s="132"/>
      <c r="C41" s="131"/>
      <c r="D41" s="105"/>
      <c r="E41" s="105"/>
      <c r="F41" s="105"/>
      <c r="G41" s="105"/>
    </row>
  </sheetData>
  <mergeCells count="8">
    <mergeCell ref="B28:E28"/>
    <mergeCell ref="B29:E29"/>
    <mergeCell ref="E35:F35"/>
    <mergeCell ref="E36:F36"/>
    <mergeCell ref="A1:F1"/>
    <mergeCell ref="A2:F2"/>
    <mergeCell ref="A3:F3"/>
    <mergeCell ref="A6:A7"/>
  </mergeCells>
  <pageMargins left="0.31496062992125984" right="0.27559055118110237" top="0.35433070866141736" bottom="0.59055118110236227" header="0" footer="0"/>
  <pageSetup paperSize="9" scale="65" fitToHeight="0" orientation="portrait" r:id="rId1"/>
  <headerFooter>
    <oddHeader>&amp;R&amp;P</oddHeader>
  </headerFooter>
  <rowBreaks count="1" manualBreakCount="1">
    <brk id="21" max="5" man="1"/>
  </rowBreaks>
</worksheet>
</file>

<file path=xl/worksheets/sheet4.xml><?xml version="1.0" encoding="utf-8"?>
<worksheet xmlns="http://schemas.openxmlformats.org/spreadsheetml/2006/main" xmlns:r="http://schemas.openxmlformats.org/officeDocument/2006/relationships">
  <dimension ref="A1:Z258"/>
  <sheetViews>
    <sheetView workbookViewId="0"/>
  </sheetViews>
  <sheetFormatPr defaultColWidth="14.42578125" defaultRowHeight="15" customHeight="1"/>
  <cols>
    <col min="1" max="1" width="5.7109375" customWidth="1"/>
    <col min="2" max="2" width="15.140625" customWidth="1"/>
    <col min="3" max="3" width="54.7109375" customWidth="1"/>
    <col min="4" max="4" width="7.140625" customWidth="1"/>
    <col min="5" max="5" width="8.28515625" customWidth="1"/>
    <col min="6" max="6" width="11.42578125" customWidth="1"/>
    <col min="7" max="7" width="12.28515625" customWidth="1"/>
    <col min="8" max="8" width="11.42578125" customWidth="1"/>
    <col min="9" max="9" width="10.85546875" customWidth="1"/>
    <col min="10" max="10" width="10.85546875" hidden="1" customWidth="1"/>
    <col min="11" max="11" width="11.5703125" customWidth="1"/>
    <col min="12" max="12" width="12.5703125" customWidth="1"/>
    <col min="13" max="13" width="13.5703125" customWidth="1"/>
    <col min="14" max="14" width="14.7109375" customWidth="1"/>
    <col min="15" max="15" width="12.7109375" customWidth="1"/>
    <col min="16" max="26" width="8" customWidth="1"/>
  </cols>
  <sheetData>
    <row r="1" spans="1:26" ht="15.75" customHeight="1">
      <c r="A1" s="174" t="s">
        <v>78</v>
      </c>
      <c r="B1" s="175"/>
      <c r="C1" s="175"/>
      <c r="D1" s="175"/>
      <c r="E1" s="175"/>
      <c r="F1" s="175"/>
      <c r="G1" s="175"/>
      <c r="H1" s="175"/>
      <c r="I1" s="175"/>
      <c r="J1" s="175"/>
      <c r="K1" s="175"/>
      <c r="L1" s="175"/>
      <c r="M1" s="175"/>
      <c r="N1" s="175"/>
      <c r="O1" s="16"/>
      <c r="P1" s="16"/>
      <c r="Q1" s="16"/>
      <c r="R1" s="16"/>
      <c r="S1" s="16"/>
      <c r="T1" s="16"/>
      <c r="U1" s="16"/>
      <c r="V1" s="16"/>
      <c r="W1" s="16"/>
      <c r="X1" s="16"/>
      <c r="Y1" s="16"/>
      <c r="Z1" s="16"/>
    </row>
    <row r="2" spans="1:26" ht="15.75" customHeight="1">
      <c r="A2" s="176" t="s">
        <v>79</v>
      </c>
      <c r="B2" s="175"/>
      <c r="C2" s="175"/>
      <c r="D2" s="175"/>
      <c r="E2" s="175"/>
      <c r="F2" s="175"/>
      <c r="G2" s="175"/>
      <c r="H2" s="175"/>
      <c r="I2" s="175"/>
      <c r="J2" s="175"/>
      <c r="K2" s="175"/>
      <c r="L2" s="175"/>
      <c r="M2" s="175"/>
      <c r="N2" s="175"/>
      <c r="O2" s="17"/>
      <c r="P2" s="17"/>
      <c r="Q2" s="17"/>
      <c r="R2" s="17"/>
      <c r="S2" s="17"/>
      <c r="T2" s="17"/>
      <c r="U2" s="17"/>
      <c r="V2" s="17"/>
      <c r="W2" s="17"/>
      <c r="X2" s="17"/>
      <c r="Y2" s="17"/>
      <c r="Z2" s="17"/>
    </row>
    <row r="3" spans="1:26" ht="78.75" customHeight="1">
      <c r="A3" s="18" t="s">
        <v>80</v>
      </c>
      <c r="B3" s="18" t="s">
        <v>81</v>
      </c>
      <c r="C3" s="19" t="s">
        <v>45</v>
      </c>
      <c r="D3" s="18" t="s">
        <v>46</v>
      </c>
      <c r="E3" s="18" t="s">
        <v>17</v>
      </c>
      <c r="F3" s="18" t="s">
        <v>82</v>
      </c>
      <c r="G3" s="18" t="s">
        <v>83</v>
      </c>
      <c r="H3" s="18" t="s">
        <v>84</v>
      </c>
      <c r="I3" s="18" t="s">
        <v>85</v>
      </c>
      <c r="J3" s="18" t="s">
        <v>86</v>
      </c>
      <c r="K3" s="18" t="s">
        <v>87</v>
      </c>
      <c r="L3" s="18" t="s">
        <v>47</v>
      </c>
      <c r="M3" s="18" t="s">
        <v>88</v>
      </c>
      <c r="N3" s="18" t="s">
        <v>89</v>
      </c>
      <c r="O3" s="19" t="s">
        <v>77</v>
      </c>
      <c r="P3" s="20"/>
      <c r="Q3" s="20"/>
      <c r="R3" s="20"/>
      <c r="S3" s="20"/>
      <c r="T3" s="20"/>
      <c r="U3" s="20"/>
      <c r="V3" s="20"/>
      <c r="W3" s="20"/>
      <c r="X3" s="20"/>
      <c r="Y3" s="20"/>
      <c r="Z3" s="20"/>
    </row>
    <row r="4" spans="1:26" ht="15.75" customHeight="1">
      <c r="A4" s="21" t="s">
        <v>90</v>
      </c>
      <c r="B4" s="21" t="s">
        <v>91</v>
      </c>
      <c r="C4" s="22" t="s">
        <v>92</v>
      </c>
      <c r="D4" s="23" t="s">
        <v>93</v>
      </c>
      <c r="E4" s="23" t="s">
        <v>94</v>
      </c>
      <c r="F4" s="23" t="s">
        <v>95</v>
      </c>
      <c r="G4" s="23" t="s">
        <v>96</v>
      </c>
      <c r="H4" s="23" t="s">
        <v>97</v>
      </c>
      <c r="I4" s="23" t="s">
        <v>98</v>
      </c>
      <c r="J4" s="23" t="s">
        <v>99</v>
      </c>
      <c r="K4" s="23" t="s">
        <v>100</v>
      </c>
      <c r="L4" s="23" t="s">
        <v>101</v>
      </c>
      <c r="M4" s="23" t="s">
        <v>102</v>
      </c>
      <c r="N4" s="23" t="s">
        <v>103</v>
      </c>
      <c r="O4" s="24" t="s">
        <v>104</v>
      </c>
      <c r="P4" s="17"/>
      <c r="Q4" s="17"/>
      <c r="R4" s="17"/>
      <c r="S4" s="17"/>
      <c r="T4" s="17"/>
      <c r="U4" s="17"/>
      <c r="V4" s="17"/>
      <c r="W4" s="17"/>
      <c r="X4" s="17"/>
      <c r="Y4" s="17"/>
      <c r="Z4" s="17"/>
    </row>
    <row r="5" spans="1:26" ht="47.25" customHeight="1">
      <c r="A5" s="25">
        <v>40</v>
      </c>
      <c r="B5" s="25" t="s">
        <v>105</v>
      </c>
      <c r="C5" s="26" t="s">
        <v>106</v>
      </c>
      <c r="D5" s="27">
        <v>30</v>
      </c>
      <c r="E5" s="27" t="s">
        <v>23</v>
      </c>
      <c r="F5" s="28">
        <v>867</v>
      </c>
      <c r="G5" s="29">
        <v>0</v>
      </c>
      <c r="H5" s="28">
        <f>F5+G5</f>
        <v>867</v>
      </c>
      <c r="I5" s="28">
        <f>H5*14%</f>
        <v>121.38000000000001</v>
      </c>
      <c r="J5" s="28"/>
      <c r="K5" s="30">
        <f>H5+I5</f>
        <v>988.38</v>
      </c>
      <c r="L5" s="28">
        <v>6000</v>
      </c>
      <c r="M5" s="28">
        <f>D5*K5</f>
        <v>29651.4</v>
      </c>
      <c r="N5" s="28">
        <f>D5*L5</f>
        <v>180000</v>
      </c>
      <c r="O5" s="31">
        <f>M5+N5</f>
        <v>209651.4</v>
      </c>
      <c r="P5" s="32"/>
      <c r="Q5" s="32"/>
      <c r="R5" s="32"/>
      <c r="S5" s="32"/>
      <c r="T5" s="32"/>
      <c r="U5" s="32"/>
      <c r="V5" s="32"/>
      <c r="W5" s="32"/>
      <c r="X5" s="32"/>
      <c r="Y5" s="32"/>
      <c r="Z5" s="32"/>
    </row>
    <row r="6" spans="1:26" ht="15.75" customHeight="1">
      <c r="A6" s="33"/>
      <c r="B6" s="33"/>
      <c r="C6" s="34"/>
      <c r="D6" s="32"/>
      <c r="E6" s="32"/>
      <c r="F6" s="32"/>
      <c r="G6" s="32"/>
      <c r="H6" s="35"/>
      <c r="I6" s="36"/>
      <c r="J6" s="36"/>
      <c r="K6" s="35" t="s">
        <v>107</v>
      </c>
      <c r="L6" s="24"/>
      <c r="M6" s="37">
        <f>ROUNDDOWN(N5*0.05,2)</f>
        <v>9000</v>
      </c>
      <c r="N6" s="38"/>
      <c r="O6" s="32"/>
      <c r="P6" s="32"/>
      <c r="Q6" s="32"/>
      <c r="R6" s="32"/>
      <c r="S6" s="32"/>
      <c r="T6" s="32"/>
      <c r="U6" s="32"/>
      <c r="V6" s="32"/>
      <c r="W6" s="32"/>
      <c r="X6" s="32"/>
      <c r="Y6" s="32"/>
      <c r="Z6" s="32"/>
    </row>
    <row r="7" spans="1:26" ht="15.75" customHeight="1">
      <c r="A7" s="33"/>
      <c r="B7" s="33"/>
      <c r="C7" s="34"/>
      <c r="D7" s="32"/>
      <c r="E7" s="32"/>
      <c r="F7" s="32"/>
      <c r="G7" s="32"/>
      <c r="H7" s="35"/>
      <c r="I7" s="36"/>
      <c r="J7" s="36"/>
      <c r="K7" s="35" t="s">
        <v>108</v>
      </c>
      <c r="L7" s="24"/>
      <c r="M7" s="37">
        <f>ROUND(M5*0.1236,2)</f>
        <v>3664.91</v>
      </c>
      <c r="N7" s="38"/>
      <c r="O7" s="32"/>
      <c r="P7" s="32"/>
      <c r="Q7" s="32"/>
      <c r="R7" s="32"/>
      <c r="S7" s="32"/>
      <c r="T7" s="32"/>
      <c r="U7" s="32"/>
      <c r="V7" s="32"/>
      <c r="W7" s="32"/>
      <c r="X7" s="32"/>
      <c r="Y7" s="32"/>
      <c r="Z7" s="32"/>
    </row>
    <row r="8" spans="1:26" ht="15.75" customHeight="1">
      <c r="A8" s="33"/>
      <c r="B8" s="33"/>
      <c r="C8" s="34"/>
      <c r="D8" s="32"/>
      <c r="E8" s="32"/>
      <c r="F8" s="32"/>
      <c r="G8" s="32"/>
      <c r="H8" s="35"/>
      <c r="I8" s="36"/>
      <c r="J8" s="36"/>
      <c r="K8" s="35" t="s">
        <v>109</v>
      </c>
      <c r="L8" s="24"/>
      <c r="M8" s="37">
        <f>ROUND((M5+N5)*0.01,2)</f>
        <v>2096.5100000000002</v>
      </c>
      <c r="N8" s="38"/>
      <c r="O8" s="32"/>
      <c r="P8" s="32"/>
      <c r="Q8" s="32"/>
      <c r="R8" s="32"/>
      <c r="S8" s="32"/>
      <c r="T8" s="32"/>
      <c r="U8" s="32"/>
      <c r="V8" s="32"/>
      <c r="W8" s="32"/>
      <c r="X8" s="32"/>
      <c r="Y8" s="32"/>
      <c r="Z8" s="32"/>
    </row>
    <row r="9" spans="1:26" ht="15.75" customHeight="1">
      <c r="A9" s="33"/>
      <c r="B9" s="33"/>
      <c r="C9" s="34"/>
      <c r="D9" s="32"/>
      <c r="E9" s="32"/>
      <c r="F9" s="32"/>
      <c r="G9" s="32"/>
      <c r="H9" s="35"/>
      <c r="I9" s="36"/>
      <c r="J9" s="36"/>
      <c r="K9" s="35" t="s">
        <v>110</v>
      </c>
      <c r="L9" s="24"/>
      <c r="M9" s="39">
        <f>SUM(M5:M8)</f>
        <v>44412.82</v>
      </c>
      <c r="N9" s="38"/>
      <c r="O9" s="32"/>
      <c r="P9" s="32"/>
      <c r="Q9" s="32"/>
      <c r="R9" s="32"/>
      <c r="S9" s="32"/>
      <c r="T9" s="32"/>
      <c r="U9" s="32"/>
      <c r="V9" s="32"/>
      <c r="W9" s="32"/>
      <c r="X9" s="32"/>
      <c r="Y9" s="32"/>
      <c r="Z9" s="32"/>
    </row>
    <row r="10" spans="1:26" ht="15.75" customHeight="1">
      <c r="A10" s="33"/>
      <c r="B10" s="33"/>
      <c r="C10" s="34"/>
      <c r="D10" s="32"/>
      <c r="E10" s="32"/>
      <c r="F10" s="32"/>
      <c r="G10" s="32"/>
      <c r="H10" s="35"/>
      <c r="I10" s="36"/>
      <c r="J10" s="36"/>
      <c r="K10" s="35" t="s">
        <v>111</v>
      </c>
      <c r="L10" s="24"/>
      <c r="M10" s="40">
        <f>ROUND(M9+N5,2)</f>
        <v>224412.82</v>
      </c>
      <c r="N10" s="38"/>
      <c r="O10" s="32"/>
      <c r="P10" s="32"/>
      <c r="Q10" s="32"/>
      <c r="R10" s="32"/>
      <c r="S10" s="32"/>
      <c r="T10" s="32"/>
      <c r="U10" s="32"/>
      <c r="V10" s="32"/>
      <c r="W10" s="32"/>
      <c r="X10" s="32"/>
      <c r="Y10" s="32"/>
      <c r="Z10" s="32"/>
    </row>
    <row r="11" spans="1:26" ht="15.75" customHeight="1">
      <c r="A11" s="33"/>
      <c r="B11" s="33"/>
      <c r="C11" s="34"/>
      <c r="D11" s="32"/>
      <c r="E11" s="32"/>
      <c r="F11" s="32"/>
      <c r="G11" s="32"/>
      <c r="H11" s="41"/>
      <c r="I11" s="42"/>
      <c r="J11" s="42"/>
      <c r="K11" s="41"/>
      <c r="L11" s="43"/>
      <c r="M11" s="44"/>
      <c r="N11" s="17"/>
      <c r="O11" s="32"/>
      <c r="P11" s="32"/>
      <c r="Q11" s="32"/>
      <c r="R11" s="32"/>
      <c r="S11" s="32"/>
      <c r="T11" s="32"/>
      <c r="U11" s="32"/>
      <c r="V11" s="32"/>
      <c r="W11" s="32"/>
      <c r="X11" s="32"/>
      <c r="Y11" s="32"/>
      <c r="Z11" s="32"/>
    </row>
    <row r="12" spans="1:26" ht="15.75" customHeight="1">
      <c r="A12" s="174" t="s">
        <v>112</v>
      </c>
      <c r="B12" s="175"/>
      <c r="C12" s="175"/>
      <c r="D12" s="175"/>
      <c r="E12" s="175"/>
      <c r="F12" s="175"/>
      <c r="G12" s="175"/>
      <c r="H12" s="175"/>
      <c r="I12" s="175"/>
      <c r="J12" s="175"/>
      <c r="K12" s="175"/>
      <c r="L12" s="175"/>
      <c r="M12" s="175"/>
      <c r="N12" s="175"/>
      <c r="O12" s="16"/>
      <c r="P12" s="16"/>
      <c r="Q12" s="16"/>
      <c r="R12" s="16"/>
      <c r="S12" s="16"/>
      <c r="T12" s="16"/>
      <c r="U12" s="16"/>
      <c r="V12" s="16"/>
      <c r="W12" s="16"/>
      <c r="X12" s="16"/>
      <c r="Y12" s="16"/>
      <c r="Z12" s="16"/>
    </row>
    <row r="13" spans="1:26" ht="66.75" customHeight="1">
      <c r="A13" s="25" t="s">
        <v>113</v>
      </c>
      <c r="B13" s="25" t="s">
        <v>105</v>
      </c>
      <c r="C13" s="26" t="s">
        <v>114</v>
      </c>
      <c r="D13" s="27">
        <v>6</v>
      </c>
      <c r="E13" s="27" t="s">
        <v>23</v>
      </c>
      <c r="F13" s="28">
        <v>867</v>
      </c>
      <c r="G13" s="29">
        <v>0</v>
      </c>
      <c r="H13" s="28">
        <f>F13+G13</f>
        <v>867</v>
      </c>
      <c r="I13" s="28">
        <f>H13*14%</f>
        <v>121.38000000000001</v>
      </c>
      <c r="J13" s="28"/>
      <c r="K13" s="30">
        <f>H13+I13</f>
        <v>988.38</v>
      </c>
      <c r="L13" s="28">
        <v>6000</v>
      </c>
      <c r="M13" s="28">
        <f t="shared" ref="M13:M14" si="0">D13*K13</f>
        <v>5930.28</v>
      </c>
      <c r="N13" s="28">
        <f t="shared" ref="N13:N14" si="1">D13*L13</f>
        <v>36000</v>
      </c>
      <c r="O13" s="31">
        <f t="shared" ref="O13:O14" si="2">M13+N13</f>
        <v>41930.28</v>
      </c>
      <c r="P13" s="32"/>
      <c r="Q13" s="32"/>
      <c r="R13" s="32"/>
      <c r="S13" s="32"/>
      <c r="T13" s="32"/>
      <c r="U13" s="32"/>
      <c r="V13" s="32"/>
      <c r="W13" s="32"/>
      <c r="X13" s="32"/>
      <c r="Y13" s="32"/>
      <c r="Z13" s="32"/>
    </row>
    <row r="14" spans="1:26" ht="47.25" customHeight="1">
      <c r="A14" s="25" t="s">
        <v>115</v>
      </c>
      <c r="B14" s="25" t="s">
        <v>116</v>
      </c>
      <c r="C14" s="26" t="s">
        <v>117</v>
      </c>
      <c r="D14" s="27">
        <v>25</v>
      </c>
      <c r="E14" s="27" t="s">
        <v>23</v>
      </c>
      <c r="F14" s="177" t="s">
        <v>118</v>
      </c>
      <c r="G14" s="150"/>
      <c r="H14" s="150"/>
      <c r="I14" s="150"/>
      <c r="J14" s="150"/>
      <c r="K14" s="178"/>
      <c r="L14" s="28">
        <v>12768</v>
      </c>
      <c r="M14" s="28">
        <f t="shared" si="0"/>
        <v>0</v>
      </c>
      <c r="N14" s="28">
        <f t="shared" si="1"/>
        <v>319200</v>
      </c>
      <c r="O14" s="31">
        <f t="shared" si="2"/>
        <v>319200</v>
      </c>
      <c r="P14" s="32"/>
      <c r="Q14" s="32"/>
      <c r="R14" s="32"/>
      <c r="S14" s="32"/>
      <c r="T14" s="32"/>
      <c r="U14" s="32"/>
      <c r="V14" s="32"/>
      <c r="W14" s="32"/>
      <c r="X14" s="32"/>
      <c r="Y14" s="32"/>
      <c r="Z14" s="32"/>
    </row>
    <row r="15" spans="1:26" ht="15.75" customHeight="1">
      <c r="A15" s="43"/>
      <c r="B15" s="43"/>
      <c r="C15" s="45"/>
      <c r="D15" s="17"/>
      <c r="E15" s="17"/>
      <c r="F15" s="17"/>
      <c r="G15" s="17"/>
      <c r="H15" s="17"/>
      <c r="I15" s="17"/>
      <c r="J15" s="17"/>
      <c r="K15" s="17"/>
      <c r="L15" s="17"/>
      <c r="M15" s="46">
        <f t="shared" ref="M15:O15" si="3">SUM(M13:M14)</f>
        <v>5930.28</v>
      </c>
      <c r="N15" s="46">
        <f t="shared" si="3"/>
        <v>355200</v>
      </c>
      <c r="O15" s="31">
        <f t="shared" si="3"/>
        <v>361130.28</v>
      </c>
      <c r="P15" s="17"/>
      <c r="Q15" s="17"/>
      <c r="R15" s="17"/>
      <c r="S15" s="17"/>
      <c r="T15" s="17"/>
      <c r="U15" s="17"/>
      <c r="V15" s="17"/>
      <c r="W15" s="17"/>
      <c r="X15" s="17"/>
      <c r="Y15" s="17"/>
      <c r="Z15" s="17"/>
    </row>
    <row r="16" spans="1:26" ht="15.75" customHeight="1">
      <c r="A16" s="33"/>
      <c r="B16" s="33"/>
      <c r="C16" s="34"/>
      <c r="D16" s="32"/>
      <c r="E16" s="32"/>
      <c r="F16" s="32"/>
      <c r="G16" s="32"/>
      <c r="H16" s="35"/>
      <c r="I16" s="36"/>
      <c r="J16" s="36"/>
      <c r="K16" s="35" t="s">
        <v>107</v>
      </c>
      <c r="L16" s="24"/>
      <c r="M16" s="37">
        <f>ROUNDDOWN(N15*0.05,2)</f>
        <v>17760</v>
      </c>
      <c r="N16" s="38"/>
      <c r="O16" s="32"/>
      <c r="P16" s="32"/>
      <c r="Q16" s="32"/>
      <c r="R16" s="32"/>
      <c r="S16" s="32"/>
      <c r="T16" s="32"/>
      <c r="U16" s="32"/>
      <c r="V16" s="32"/>
      <c r="W16" s="32"/>
      <c r="X16" s="32"/>
      <c r="Y16" s="32"/>
      <c r="Z16" s="32"/>
    </row>
    <row r="17" spans="1:26" ht="15.75" customHeight="1">
      <c r="A17" s="33"/>
      <c r="B17" s="33"/>
      <c r="C17" s="34"/>
      <c r="D17" s="32"/>
      <c r="E17" s="32"/>
      <c r="F17" s="32"/>
      <c r="G17" s="32"/>
      <c r="H17" s="35"/>
      <c r="I17" s="36"/>
      <c r="J17" s="36"/>
      <c r="K17" s="35" t="s">
        <v>108</v>
      </c>
      <c r="L17" s="24"/>
      <c r="M17" s="37">
        <f>ROUND(M15*0.1236,2)</f>
        <v>732.98</v>
      </c>
      <c r="N17" s="38"/>
      <c r="O17" s="32"/>
      <c r="P17" s="32"/>
      <c r="Q17" s="32"/>
      <c r="R17" s="32"/>
      <c r="S17" s="32"/>
      <c r="T17" s="32"/>
      <c r="U17" s="32"/>
      <c r="V17" s="32"/>
      <c r="W17" s="32"/>
      <c r="X17" s="32"/>
      <c r="Y17" s="32"/>
      <c r="Z17" s="32"/>
    </row>
    <row r="18" spans="1:26" ht="15.75" customHeight="1">
      <c r="A18" s="33"/>
      <c r="B18" s="33"/>
      <c r="C18" s="34"/>
      <c r="D18" s="32"/>
      <c r="E18" s="32"/>
      <c r="F18" s="32"/>
      <c r="G18" s="32"/>
      <c r="H18" s="35"/>
      <c r="I18" s="36"/>
      <c r="J18" s="36"/>
      <c r="K18" s="35" t="s">
        <v>109</v>
      </c>
      <c r="L18" s="24"/>
      <c r="M18" s="37">
        <f>ROUND((M15+N15)*0.01,2)</f>
        <v>3611.3</v>
      </c>
      <c r="N18" s="38"/>
      <c r="O18" s="32"/>
      <c r="P18" s="32"/>
      <c r="Q18" s="32"/>
      <c r="R18" s="32"/>
      <c r="S18" s="32"/>
      <c r="T18" s="32"/>
      <c r="U18" s="32"/>
      <c r="V18" s="32"/>
      <c r="W18" s="32"/>
      <c r="X18" s="32"/>
      <c r="Y18" s="32"/>
      <c r="Z18" s="32"/>
    </row>
    <row r="19" spans="1:26" ht="15.75" customHeight="1">
      <c r="A19" s="33"/>
      <c r="B19" s="33"/>
      <c r="C19" s="34"/>
      <c r="D19" s="32"/>
      <c r="E19" s="32"/>
      <c r="F19" s="32"/>
      <c r="G19" s="32"/>
      <c r="H19" s="35"/>
      <c r="I19" s="36"/>
      <c r="J19" s="36"/>
      <c r="K19" s="35" t="s">
        <v>110</v>
      </c>
      <c r="L19" s="24"/>
      <c r="M19" s="39">
        <f>SUM(M15:M18)</f>
        <v>28034.559999999998</v>
      </c>
      <c r="N19" s="38"/>
      <c r="O19" s="32"/>
      <c r="P19" s="32"/>
      <c r="Q19" s="32"/>
      <c r="R19" s="32"/>
      <c r="S19" s="32"/>
      <c r="T19" s="32"/>
      <c r="U19" s="32"/>
      <c r="V19" s="32"/>
      <c r="W19" s="32"/>
      <c r="X19" s="32"/>
      <c r="Y19" s="32"/>
      <c r="Z19" s="32"/>
    </row>
    <row r="20" spans="1:26" ht="15.75" customHeight="1">
      <c r="A20" s="33"/>
      <c r="B20" s="33"/>
      <c r="C20" s="34"/>
      <c r="D20" s="32"/>
      <c r="E20" s="32"/>
      <c r="F20" s="32"/>
      <c r="G20" s="32"/>
      <c r="H20" s="35"/>
      <c r="I20" s="36"/>
      <c r="J20" s="36"/>
      <c r="K20" s="35" t="s">
        <v>111</v>
      </c>
      <c r="L20" s="24"/>
      <c r="M20" s="40">
        <f>ROUND(M19+N15,2)</f>
        <v>383234.56</v>
      </c>
      <c r="N20" s="38"/>
      <c r="O20" s="32"/>
      <c r="P20" s="32"/>
      <c r="Q20" s="32"/>
      <c r="R20" s="32"/>
      <c r="S20" s="32"/>
      <c r="T20" s="32"/>
      <c r="U20" s="32"/>
      <c r="V20" s="32"/>
      <c r="W20" s="32"/>
      <c r="X20" s="32"/>
      <c r="Y20" s="32"/>
      <c r="Z20" s="32"/>
    </row>
    <row r="21" spans="1:26" ht="15.75" customHeight="1">
      <c r="A21" s="33"/>
      <c r="B21" s="33"/>
      <c r="C21" s="34"/>
      <c r="D21" s="32"/>
      <c r="E21" s="32"/>
      <c r="F21" s="32"/>
      <c r="G21" s="32"/>
      <c r="H21" s="41"/>
      <c r="I21" s="42"/>
      <c r="J21" s="42"/>
      <c r="K21" s="41"/>
      <c r="L21" s="43"/>
      <c r="M21" s="44"/>
      <c r="N21" s="17"/>
      <c r="O21" s="32"/>
      <c r="P21" s="32"/>
      <c r="Q21" s="32"/>
      <c r="R21" s="32"/>
      <c r="S21" s="32"/>
      <c r="T21" s="32"/>
      <c r="U21" s="32"/>
      <c r="V21" s="32"/>
      <c r="W21" s="32"/>
      <c r="X21" s="32"/>
      <c r="Y21" s="32"/>
      <c r="Z21" s="32"/>
    </row>
    <row r="22" spans="1:26" ht="15.75" customHeight="1">
      <c r="A22" s="33"/>
      <c r="B22" s="33"/>
      <c r="C22" s="47" t="s">
        <v>119</v>
      </c>
      <c r="D22" s="48" t="s">
        <v>120</v>
      </c>
      <c r="E22" s="179">
        <f>M20-M10</f>
        <v>158821.74</v>
      </c>
      <c r="F22" s="175"/>
      <c r="G22" s="32"/>
      <c r="H22" s="41"/>
      <c r="I22" s="42"/>
      <c r="J22" s="42"/>
      <c r="K22" s="41"/>
      <c r="L22" s="43"/>
      <c r="M22" s="44"/>
      <c r="N22" s="17"/>
      <c r="O22" s="32"/>
      <c r="P22" s="32"/>
      <c r="Q22" s="32"/>
      <c r="R22" s="32"/>
      <c r="S22" s="32"/>
      <c r="T22" s="32"/>
      <c r="U22" s="32"/>
      <c r="V22" s="32"/>
      <c r="W22" s="32"/>
      <c r="X22" s="32"/>
      <c r="Y22" s="32"/>
      <c r="Z22" s="32"/>
    </row>
    <row r="23" spans="1:26" ht="15.75" customHeight="1">
      <c r="A23" s="33"/>
      <c r="B23" s="33"/>
      <c r="C23" s="34"/>
      <c r="D23" s="32"/>
      <c r="E23" s="32"/>
      <c r="F23" s="32"/>
      <c r="G23" s="32"/>
      <c r="H23" s="41"/>
      <c r="I23" s="42"/>
      <c r="J23" s="42"/>
      <c r="K23" s="41"/>
      <c r="L23" s="43"/>
      <c r="M23" s="44"/>
      <c r="N23" s="17"/>
      <c r="O23" s="32"/>
      <c r="P23" s="32"/>
      <c r="Q23" s="32"/>
      <c r="R23" s="32"/>
      <c r="S23" s="32"/>
      <c r="T23" s="32"/>
      <c r="U23" s="32"/>
      <c r="V23" s="32"/>
      <c r="W23" s="32"/>
      <c r="X23" s="32"/>
      <c r="Y23" s="32"/>
      <c r="Z23" s="32"/>
    </row>
    <row r="24" spans="1:26" ht="15.75" customHeight="1">
      <c r="A24" s="43"/>
      <c r="B24" s="43"/>
      <c r="C24" s="45"/>
      <c r="D24" s="17"/>
      <c r="E24" s="17"/>
      <c r="F24" s="180"/>
      <c r="G24" s="175"/>
      <c r="H24" s="17"/>
      <c r="I24" s="17"/>
      <c r="J24" s="17"/>
      <c r="K24" s="17"/>
      <c r="L24" s="17" t="s">
        <v>121</v>
      </c>
      <c r="M24" s="17"/>
      <c r="N24" s="17"/>
      <c r="O24" s="17"/>
      <c r="P24" s="17"/>
      <c r="Q24" s="17"/>
      <c r="R24" s="17"/>
      <c r="S24" s="17"/>
      <c r="T24" s="17"/>
      <c r="U24" s="17"/>
      <c r="V24" s="17"/>
      <c r="W24" s="17"/>
      <c r="X24" s="17"/>
      <c r="Y24" s="17"/>
      <c r="Z24" s="17"/>
    </row>
    <row r="25" spans="1:26" ht="15.75" customHeight="1">
      <c r="A25" s="43"/>
      <c r="B25" s="43"/>
      <c r="C25" s="45"/>
      <c r="D25" s="17"/>
      <c r="E25" s="17"/>
      <c r="F25" s="180"/>
      <c r="G25" s="175"/>
      <c r="H25" s="17"/>
      <c r="I25" s="17"/>
      <c r="J25" s="17"/>
      <c r="K25" s="17"/>
      <c r="L25" s="17" t="s">
        <v>122</v>
      </c>
      <c r="M25" s="17"/>
      <c r="N25" s="17"/>
      <c r="O25" s="17"/>
      <c r="P25" s="17"/>
      <c r="Q25" s="17"/>
      <c r="R25" s="17"/>
      <c r="S25" s="17"/>
      <c r="T25" s="17"/>
      <c r="U25" s="17"/>
      <c r="V25" s="17"/>
      <c r="W25" s="17"/>
      <c r="X25" s="17"/>
      <c r="Y25" s="17"/>
      <c r="Z25" s="17"/>
    </row>
    <row r="26" spans="1:26" ht="15.75" customHeight="1">
      <c r="A26" s="43"/>
      <c r="B26" s="43"/>
      <c r="C26" s="45"/>
      <c r="D26" s="17"/>
      <c r="E26" s="17"/>
      <c r="F26" s="180"/>
      <c r="G26" s="175"/>
      <c r="H26" s="17"/>
      <c r="I26" s="17"/>
      <c r="J26" s="17"/>
      <c r="K26" s="17"/>
      <c r="L26" s="17"/>
      <c r="M26" s="17"/>
      <c r="N26" s="17"/>
      <c r="O26" s="17"/>
      <c r="P26" s="17"/>
      <c r="Q26" s="17"/>
      <c r="R26" s="17"/>
      <c r="S26" s="17"/>
      <c r="T26" s="17"/>
      <c r="U26" s="17"/>
      <c r="V26" s="17"/>
      <c r="W26" s="17"/>
      <c r="X26" s="17"/>
      <c r="Y26" s="17"/>
      <c r="Z26" s="17"/>
    </row>
    <row r="27" spans="1:26" ht="15.75" customHeight="1">
      <c r="A27" s="43"/>
      <c r="B27" s="43"/>
      <c r="C27" s="45"/>
      <c r="D27" s="17"/>
      <c r="E27" s="17"/>
      <c r="F27" s="17"/>
      <c r="G27" s="17"/>
      <c r="H27" s="17"/>
      <c r="I27" s="17"/>
      <c r="J27" s="17"/>
      <c r="K27" s="17"/>
      <c r="L27" s="17"/>
      <c r="M27" s="17"/>
      <c r="N27" s="17"/>
      <c r="O27" s="17"/>
      <c r="P27" s="17"/>
      <c r="Q27" s="17"/>
      <c r="R27" s="17"/>
      <c r="S27" s="17"/>
      <c r="T27" s="17"/>
      <c r="U27" s="17"/>
      <c r="V27" s="17"/>
      <c r="W27" s="17"/>
      <c r="X27" s="17"/>
      <c r="Y27" s="17"/>
      <c r="Z27" s="17"/>
    </row>
    <row r="28" spans="1:26" ht="15.75" customHeight="1">
      <c r="A28" s="43"/>
      <c r="B28" s="43"/>
      <c r="C28" s="45"/>
      <c r="D28" s="17"/>
      <c r="E28" s="17"/>
      <c r="F28" s="17"/>
      <c r="G28" s="17"/>
      <c r="H28" s="17"/>
      <c r="I28" s="17"/>
      <c r="J28" s="17"/>
      <c r="K28" s="17"/>
      <c r="L28" s="17"/>
      <c r="M28" s="17"/>
      <c r="N28" s="17"/>
      <c r="O28" s="17"/>
      <c r="P28" s="17"/>
      <c r="Q28" s="17"/>
      <c r="R28" s="17"/>
      <c r="S28" s="17"/>
      <c r="T28" s="17"/>
      <c r="U28" s="17"/>
      <c r="V28" s="17"/>
      <c r="W28" s="17"/>
      <c r="X28" s="17"/>
      <c r="Y28" s="17"/>
      <c r="Z28" s="17"/>
    </row>
    <row r="29" spans="1:26" ht="15.75" customHeight="1">
      <c r="A29" s="43"/>
      <c r="B29" s="43"/>
      <c r="C29" s="45"/>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43"/>
      <c r="B30" s="43"/>
      <c r="C30" s="45"/>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43"/>
      <c r="B31" s="43"/>
      <c r="C31" s="45"/>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43"/>
      <c r="B32" s="43"/>
      <c r="C32" s="45"/>
      <c r="D32" s="17"/>
      <c r="E32" s="17"/>
      <c r="F32" s="17"/>
      <c r="G32" s="17"/>
      <c r="H32" s="17"/>
      <c r="I32" s="17"/>
      <c r="J32" s="17"/>
      <c r="K32" s="17"/>
      <c r="L32" s="17"/>
      <c r="M32" s="17"/>
      <c r="N32" s="17"/>
      <c r="O32" s="17"/>
      <c r="P32" s="17"/>
      <c r="Q32" s="17"/>
      <c r="R32" s="17"/>
      <c r="S32" s="17"/>
      <c r="T32" s="17"/>
      <c r="U32" s="17"/>
      <c r="V32" s="17"/>
      <c r="W32" s="17"/>
      <c r="X32" s="17"/>
      <c r="Y32" s="17"/>
      <c r="Z32" s="17"/>
    </row>
    <row r="33" spans="1:26" ht="15.75" customHeight="1">
      <c r="A33" s="43"/>
      <c r="B33" s="43"/>
      <c r="C33" s="45"/>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43"/>
      <c r="B34" s="43"/>
      <c r="C34" s="45"/>
      <c r="D34" s="17"/>
      <c r="E34" s="17"/>
      <c r="F34" s="17"/>
      <c r="G34" s="17"/>
      <c r="H34" s="17"/>
      <c r="I34" s="17"/>
      <c r="J34" s="17"/>
      <c r="K34" s="17"/>
      <c r="L34" s="17"/>
      <c r="M34" s="17"/>
      <c r="N34" s="17"/>
      <c r="O34" s="17"/>
      <c r="P34" s="17"/>
      <c r="Q34" s="17"/>
      <c r="R34" s="17"/>
      <c r="S34" s="17"/>
      <c r="T34" s="17"/>
      <c r="U34" s="17"/>
      <c r="V34" s="17"/>
      <c r="W34" s="17"/>
      <c r="X34" s="17"/>
      <c r="Y34" s="17"/>
      <c r="Z34" s="17"/>
    </row>
    <row r="35" spans="1:26" ht="15.75" customHeight="1">
      <c r="A35" s="43"/>
      <c r="B35" s="43"/>
      <c r="C35" s="45"/>
      <c r="D35" s="17"/>
      <c r="E35" s="17"/>
      <c r="F35" s="17"/>
      <c r="G35" s="17"/>
      <c r="H35" s="17"/>
      <c r="I35" s="17"/>
      <c r="J35" s="17"/>
      <c r="K35" s="17"/>
      <c r="L35" s="17"/>
      <c r="M35" s="17"/>
      <c r="N35" s="17"/>
      <c r="O35" s="17"/>
      <c r="P35" s="17"/>
      <c r="Q35" s="17"/>
      <c r="R35" s="17"/>
      <c r="S35" s="17"/>
      <c r="T35" s="17"/>
      <c r="U35" s="17"/>
      <c r="V35" s="17"/>
      <c r="W35" s="17"/>
      <c r="X35" s="17"/>
      <c r="Y35" s="17"/>
      <c r="Z35" s="17"/>
    </row>
    <row r="36" spans="1:26" ht="15.75" customHeight="1">
      <c r="A36" s="43"/>
      <c r="B36" s="43"/>
      <c r="C36" s="45"/>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c r="A37" s="43"/>
      <c r="B37" s="43"/>
      <c r="C37" s="45"/>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43"/>
      <c r="B38" s="43"/>
      <c r="C38" s="45"/>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c r="A39" s="43"/>
      <c r="B39" s="43"/>
      <c r="C39" s="45"/>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c r="A40" s="43"/>
      <c r="B40" s="43"/>
      <c r="C40" s="45"/>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c r="A41" s="43"/>
      <c r="B41" s="43"/>
      <c r="C41" s="45"/>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c r="A42" s="49"/>
      <c r="B42" s="49"/>
      <c r="C42" s="49"/>
      <c r="D42" s="49"/>
      <c r="E42" s="49"/>
      <c r="F42" s="49"/>
      <c r="G42" s="49"/>
      <c r="H42" s="49"/>
      <c r="I42" s="49"/>
      <c r="J42" s="49"/>
      <c r="K42" s="49"/>
      <c r="L42" s="50"/>
      <c r="M42" s="49"/>
      <c r="N42" s="49"/>
      <c r="O42" s="49"/>
      <c r="P42" s="49"/>
      <c r="Q42" s="49"/>
      <c r="R42" s="49"/>
      <c r="S42" s="49"/>
      <c r="T42" s="49"/>
      <c r="U42" s="49"/>
      <c r="V42" s="49"/>
      <c r="W42" s="49"/>
      <c r="X42" s="49"/>
      <c r="Y42" s="49"/>
      <c r="Z42" s="49"/>
    </row>
    <row r="43" spans="1:26" ht="15.75" customHeight="1">
      <c r="A43" s="49"/>
      <c r="B43" s="49"/>
      <c r="C43" s="49"/>
      <c r="D43" s="49"/>
      <c r="E43" s="49"/>
      <c r="F43" s="49"/>
      <c r="G43" s="49"/>
      <c r="H43" s="49"/>
      <c r="I43" s="49"/>
      <c r="J43" s="49"/>
      <c r="K43" s="49"/>
      <c r="L43" s="50"/>
      <c r="M43" s="49"/>
      <c r="N43" s="49"/>
      <c r="O43" s="49"/>
      <c r="P43" s="49"/>
      <c r="Q43" s="49"/>
      <c r="R43" s="49"/>
      <c r="S43" s="49"/>
      <c r="T43" s="49"/>
      <c r="U43" s="49"/>
      <c r="V43" s="49"/>
      <c r="W43" s="49"/>
      <c r="X43" s="49"/>
      <c r="Y43" s="49"/>
      <c r="Z43" s="49"/>
    </row>
    <row r="44" spans="1:26" ht="15.75" customHeight="1">
      <c r="A44" s="49"/>
      <c r="B44" s="50"/>
      <c r="C44" s="49"/>
      <c r="D44" s="49"/>
      <c r="E44" s="49"/>
      <c r="F44" s="49"/>
      <c r="G44" s="49"/>
      <c r="H44" s="49"/>
      <c r="I44" s="49"/>
      <c r="J44" s="49"/>
      <c r="K44" s="49"/>
      <c r="L44" s="50" t="s">
        <v>121</v>
      </c>
      <c r="M44" s="49"/>
      <c r="N44" s="49"/>
      <c r="O44" s="49"/>
      <c r="P44" s="49"/>
      <c r="Q44" s="49"/>
      <c r="R44" s="49"/>
      <c r="S44" s="49"/>
      <c r="T44" s="49"/>
      <c r="U44" s="49"/>
      <c r="V44" s="49"/>
      <c r="W44" s="49"/>
      <c r="X44" s="49"/>
      <c r="Y44" s="49"/>
      <c r="Z44" s="49"/>
    </row>
    <row r="45" spans="1:26" ht="15.75" customHeight="1">
      <c r="A45" s="49"/>
      <c r="B45" s="50"/>
      <c r="C45" s="49"/>
      <c r="D45" s="49"/>
      <c r="E45" s="49"/>
      <c r="F45" s="49"/>
      <c r="G45" s="49"/>
      <c r="H45" s="49"/>
      <c r="I45" s="49"/>
      <c r="J45" s="49"/>
      <c r="K45" s="49"/>
      <c r="L45" s="50" t="s">
        <v>122</v>
      </c>
      <c r="M45" s="49"/>
      <c r="N45" s="49"/>
      <c r="O45" s="49"/>
      <c r="P45" s="49"/>
      <c r="Q45" s="49"/>
      <c r="R45" s="49"/>
      <c r="S45" s="49"/>
      <c r="T45" s="49"/>
      <c r="U45" s="49"/>
      <c r="V45" s="49"/>
      <c r="W45" s="49"/>
      <c r="X45" s="49"/>
      <c r="Y45" s="49"/>
      <c r="Z45" s="49"/>
    </row>
    <row r="46" spans="1:26" ht="19.5" customHeight="1">
      <c r="A46" s="49"/>
      <c r="B46" s="49"/>
      <c r="C46" s="49"/>
      <c r="D46" s="49"/>
      <c r="E46" s="49"/>
      <c r="F46" s="49"/>
      <c r="G46" s="50" t="s">
        <v>123</v>
      </c>
      <c r="H46" s="49"/>
      <c r="I46" s="49"/>
      <c r="J46" s="49"/>
      <c r="K46" s="49"/>
      <c r="L46" s="49"/>
      <c r="M46" s="49"/>
      <c r="N46" s="49"/>
      <c r="O46" s="49"/>
      <c r="P46" s="49"/>
      <c r="Q46" s="49"/>
      <c r="R46" s="49"/>
      <c r="S46" s="49"/>
      <c r="T46" s="49"/>
      <c r="U46" s="49"/>
      <c r="V46" s="49"/>
      <c r="W46" s="49"/>
      <c r="X46" s="49"/>
      <c r="Y46" s="49"/>
      <c r="Z46" s="49"/>
    </row>
    <row r="47" spans="1:26" ht="19.5" customHeight="1">
      <c r="A47" s="49"/>
      <c r="B47" s="49"/>
      <c r="C47" s="49"/>
      <c r="D47" s="49"/>
      <c r="E47" s="49"/>
      <c r="F47" s="49"/>
      <c r="G47" s="50"/>
      <c r="H47" s="49"/>
      <c r="I47" s="49"/>
      <c r="J47" s="49"/>
      <c r="K47" s="49"/>
      <c r="L47" s="49"/>
      <c r="M47" s="49"/>
      <c r="N47" s="49"/>
      <c r="O47" s="49"/>
      <c r="P47" s="49"/>
      <c r="Q47" s="49"/>
      <c r="R47" s="49"/>
      <c r="S47" s="49"/>
      <c r="T47" s="49"/>
      <c r="U47" s="49"/>
      <c r="V47" s="49"/>
      <c r="W47" s="49"/>
      <c r="X47" s="49"/>
      <c r="Y47" s="49"/>
      <c r="Z47" s="49"/>
    </row>
    <row r="48" spans="1:26" ht="27.75" customHeight="1">
      <c r="A48" s="51"/>
      <c r="B48" s="51"/>
      <c r="C48" s="51"/>
      <c r="D48" s="49"/>
      <c r="E48" s="49"/>
      <c r="F48" s="49"/>
      <c r="G48" s="49"/>
      <c r="H48" s="49"/>
      <c r="I48" s="49"/>
      <c r="J48" s="49"/>
      <c r="K48" s="49"/>
      <c r="L48" s="49"/>
      <c r="M48" s="49"/>
      <c r="N48" s="49"/>
      <c r="O48" s="49"/>
      <c r="P48" s="49"/>
      <c r="Q48" s="49"/>
      <c r="R48" s="49"/>
      <c r="S48" s="49"/>
      <c r="T48" s="49"/>
      <c r="U48" s="49"/>
      <c r="V48" s="49"/>
      <c r="W48" s="49"/>
      <c r="X48" s="49"/>
      <c r="Y48" s="49"/>
      <c r="Z48" s="49"/>
    </row>
    <row r="49" spans="1:26" ht="3" customHeight="1">
      <c r="A49" s="52"/>
      <c r="B49" s="52"/>
      <c r="C49" s="52"/>
      <c r="D49" s="49"/>
      <c r="E49" s="49"/>
      <c r="F49" s="49"/>
      <c r="G49" s="49"/>
      <c r="H49" s="49"/>
      <c r="I49" s="49"/>
      <c r="J49" s="49"/>
      <c r="K49" s="49"/>
      <c r="L49" s="49"/>
      <c r="M49" s="49"/>
      <c r="N49" s="49"/>
      <c r="O49" s="49"/>
      <c r="P49" s="49"/>
      <c r="Q49" s="49"/>
      <c r="R49" s="49"/>
      <c r="S49" s="49"/>
      <c r="T49" s="49"/>
      <c r="U49" s="49"/>
      <c r="V49" s="49"/>
      <c r="W49" s="49"/>
      <c r="X49" s="49"/>
      <c r="Y49" s="49"/>
      <c r="Z49" s="49"/>
    </row>
    <row r="50" spans="1:26" ht="15.75" customHeight="1">
      <c r="A50" s="52"/>
      <c r="B50" s="49"/>
      <c r="C50" s="52"/>
      <c r="D50" s="49"/>
      <c r="E50" s="49"/>
      <c r="F50" s="49"/>
      <c r="G50" s="50" t="s">
        <v>124</v>
      </c>
      <c r="H50" s="49"/>
      <c r="I50" s="49"/>
      <c r="J50" s="49"/>
      <c r="K50" s="49"/>
      <c r="L50" s="49"/>
      <c r="M50" s="49"/>
      <c r="N50" s="49"/>
      <c r="O50" s="49"/>
      <c r="P50" s="49"/>
      <c r="Q50" s="49"/>
      <c r="R50" s="49"/>
      <c r="S50" s="49"/>
      <c r="T50" s="49"/>
      <c r="U50" s="49"/>
      <c r="V50" s="49"/>
      <c r="W50" s="49"/>
      <c r="X50" s="49"/>
      <c r="Y50" s="49"/>
      <c r="Z50" s="49"/>
    </row>
    <row r="51" spans="1:26" ht="15.75" customHeight="1">
      <c r="A51" s="43"/>
      <c r="B51" s="43"/>
      <c r="C51" s="45"/>
      <c r="D51" s="17"/>
      <c r="E51" s="17"/>
      <c r="F51" s="17"/>
      <c r="G51" s="17"/>
      <c r="H51" s="17"/>
      <c r="I51" s="17"/>
      <c r="J51" s="17"/>
      <c r="K51" s="181" t="s">
        <v>125</v>
      </c>
      <c r="L51" s="175"/>
      <c r="M51" s="175"/>
      <c r="N51" s="17"/>
      <c r="O51" s="17"/>
      <c r="P51" s="17"/>
      <c r="Q51" s="17"/>
      <c r="R51" s="17"/>
      <c r="S51" s="17"/>
      <c r="T51" s="17"/>
      <c r="U51" s="17"/>
      <c r="V51" s="17"/>
      <c r="W51" s="17"/>
      <c r="X51" s="17"/>
      <c r="Y51" s="17"/>
      <c r="Z51" s="17"/>
    </row>
    <row r="52" spans="1:26" ht="15.75" customHeight="1">
      <c r="A52" s="43"/>
      <c r="B52" s="43"/>
      <c r="C52" s="45"/>
      <c r="D52" s="17"/>
      <c r="E52" s="17"/>
      <c r="F52" s="17"/>
      <c r="G52" s="17"/>
      <c r="H52" s="17"/>
      <c r="I52" s="17"/>
      <c r="J52" s="17"/>
      <c r="K52" s="53"/>
      <c r="L52" s="53"/>
      <c r="M52" s="53"/>
      <c r="N52" s="17"/>
      <c r="O52" s="17"/>
      <c r="P52" s="17"/>
      <c r="Q52" s="17"/>
      <c r="R52" s="17"/>
      <c r="S52" s="17"/>
      <c r="T52" s="17"/>
      <c r="U52" s="17"/>
      <c r="V52" s="17"/>
      <c r="W52" s="17"/>
      <c r="X52" s="17"/>
      <c r="Y52" s="17"/>
      <c r="Z52" s="17"/>
    </row>
    <row r="53" spans="1:26" ht="15.75" customHeight="1">
      <c r="A53" s="43"/>
      <c r="B53" s="43"/>
      <c r="C53" s="45"/>
      <c r="D53" s="17"/>
      <c r="E53" s="17"/>
      <c r="F53" s="17"/>
      <c r="G53" s="17"/>
      <c r="H53" s="17"/>
      <c r="I53" s="17"/>
      <c r="J53" s="17"/>
      <c r="K53" s="53"/>
      <c r="L53" s="53"/>
      <c r="M53" s="53"/>
      <c r="N53" s="17"/>
      <c r="O53" s="17"/>
      <c r="P53" s="17"/>
      <c r="Q53" s="17"/>
      <c r="R53" s="17"/>
      <c r="S53" s="17"/>
      <c r="T53" s="17"/>
      <c r="U53" s="17"/>
      <c r="V53" s="17"/>
      <c r="W53" s="17"/>
      <c r="X53" s="17"/>
      <c r="Y53" s="17"/>
      <c r="Z53" s="17"/>
    </row>
    <row r="54" spans="1:26" ht="15.75" customHeight="1">
      <c r="A54" s="43"/>
      <c r="B54" s="43"/>
      <c r="C54" s="45"/>
      <c r="D54" s="17"/>
      <c r="E54" s="17"/>
      <c r="F54" s="17"/>
      <c r="G54" s="17"/>
      <c r="H54" s="17"/>
      <c r="I54" s="17"/>
      <c r="J54" s="17"/>
      <c r="K54" s="181" t="s">
        <v>126</v>
      </c>
      <c r="L54" s="175"/>
      <c r="M54" s="175"/>
      <c r="N54" s="17"/>
      <c r="O54" s="17"/>
      <c r="P54" s="17"/>
      <c r="Q54" s="17"/>
      <c r="R54" s="17"/>
      <c r="S54" s="17"/>
      <c r="T54" s="17"/>
      <c r="U54" s="17"/>
      <c r="V54" s="17"/>
      <c r="W54" s="17"/>
      <c r="X54" s="17"/>
      <c r="Y54" s="17"/>
      <c r="Z54" s="17"/>
    </row>
    <row r="55" spans="1:26" ht="15.75" customHeight="1">
      <c r="A55" s="43"/>
      <c r="B55" s="43"/>
      <c r="C55" s="45"/>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c r="A56" s="43"/>
      <c r="B56" s="43"/>
      <c r="C56" s="45"/>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c r="A57" s="43"/>
      <c r="B57" s="43"/>
      <c r="C57" s="45"/>
      <c r="D57" s="17"/>
      <c r="E57" s="17"/>
      <c r="F57" s="17"/>
      <c r="G57" s="17"/>
      <c r="H57" s="17"/>
      <c r="I57" s="17"/>
      <c r="J57" s="17"/>
      <c r="K57" s="17"/>
      <c r="L57" s="17" t="s">
        <v>121</v>
      </c>
      <c r="M57" s="17"/>
      <c r="N57" s="17"/>
      <c r="O57" s="17"/>
      <c r="P57" s="17"/>
      <c r="Q57" s="17"/>
      <c r="R57" s="17"/>
      <c r="S57" s="17"/>
      <c r="T57" s="17"/>
      <c r="U57" s="17"/>
      <c r="V57" s="17"/>
      <c r="W57" s="17"/>
      <c r="X57" s="17"/>
      <c r="Y57" s="17"/>
      <c r="Z57" s="17"/>
    </row>
    <row r="58" spans="1:26" ht="15.75" customHeight="1">
      <c r="A58" s="43"/>
      <c r="B58" s="43"/>
      <c r="C58" s="45"/>
      <c r="D58" s="17"/>
      <c r="E58" s="17"/>
      <c r="F58" s="17"/>
      <c r="G58" s="17"/>
      <c r="H58" s="17"/>
      <c r="I58" s="17"/>
      <c r="J58" s="17"/>
      <c r="K58" s="17"/>
      <c r="L58" s="17" t="s">
        <v>122</v>
      </c>
      <c r="M58" s="17"/>
      <c r="N58" s="17"/>
      <c r="O58" s="17"/>
      <c r="P58" s="17"/>
      <c r="Q58" s="17"/>
      <c r="R58" s="17"/>
      <c r="S58" s="17"/>
      <c r="T58" s="17"/>
      <c r="U58" s="17"/>
      <c r="V58" s="17"/>
      <c r="W58" s="17"/>
      <c r="X58" s="17"/>
      <c r="Y58" s="17"/>
      <c r="Z58" s="17"/>
    </row>
    <row r="59" spans="1:26" ht="15.75" customHeight="1">
      <c r="A59" s="43"/>
      <c r="B59" s="43"/>
      <c r="C59" s="45"/>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c r="A60" s="43"/>
      <c r="B60" s="43"/>
      <c r="C60" s="45"/>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c r="A61" s="43"/>
      <c r="B61" s="43"/>
      <c r="C61" s="45"/>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c r="A62" s="43"/>
      <c r="B62" s="43"/>
      <c r="C62" s="45"/>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c r="A63" s="43"/>
      <c r="B63" s="43"/>
      <c r="C63" s="45"/>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c r="A64" s="43"/>
      <c r="B64" s="43"/>
      <c r="C64" s="45"/>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c r="A65" s="43"/>
      <c r="B65" s="43"/>
      <c r="C65" s="45"/>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c r="A66" s="43"/>
      <c r="B66" s="43"/>
      <c r="C66" s="45"/>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c r="A67" s="43"/>
      <c r="B67" s="43"/>
      <c r="C67" s="45"/>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c r="A68" s="43"/>
      <c r="B68" s="43"/>
      <c r="C68" s="45"/>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c r="A69" s="43"/>
      <c r="B69" s="43"/>
      <c r="C69" s="45"/>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c r="A70" s="43"/>
      <c r="B70" s="43"/>
      <c r="C70" s="45"/>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c r="A71" s="43"/>
      <c r="B71" s="43"/>
      <c r="C71" s="45"/>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c r="A72" s="43"/>
      <c r="B72" s="43"/>
      <c r="C72" s="45"/>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c r="A73" s="43"/>
      <c r="B73" s="43"/>
      <c r="C73" s="45"/>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c r="A74" s="43"/>
      <c r="B74" s="43"/>
      <c r="C74" s="45"/>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c r="A75" s="43"/>
      <c r="B75" s="43"/>
      <c r="C75" s="45"/>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c r="A76" s="43"/>
      <c r="B76" s="43"/>
      <c r="C76" s="45"/>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c r="A77" s="43"/>
      <c r="B77" s="43"/>
      <c r="C77" s="45"/>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c r="A78" s="43"/>
      <c r="B78" s="43"/>
      <c r="C78" s="45"/>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c r="A79" s="43"/>
      <c r="B79" s="43"/>
      <c r="C79" s="45"/>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c r="A80" s="43"/>
      <c r="B80" s="43"/>
      <c r="C80" s="45"/>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c r="A81" s="43"/>
      <c r="B81" s="43"/>
      <c r="C81" s="45"/>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c r="A82" s="43"/>
      <c r="B82" s="43"/>
      <c r="C82" s="45"/>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c r="A83" s="43"/>
      <c r="B83" s="43"/>
      <c r="C83" s="45"/>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c r="A84" s="43"/>
      <c r="B84" s="43"/>
      <c r="C84" s="45"/>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c r="A85" s="43"/>
      <c r="B85" s="43"/>
      <c r="C85" s="45"/>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c r="A86" s="43"/>
      <c r="B86" s="43"/>
      <c r="C86" s="45"/>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c r="A87" s="43"/>
      <c r="B87" s="43"/>
      <c r="C87" s="45"/>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c r="A88" s="43"/>
      <c r="B88" s="43"/>
      <c r="C88" s="45"/>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c r="A89" s="43"/>
      <c r="B89" s="43"/>
      <c r="C89" s="45"/>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c r="A90" s="43"/>
      <c r="B90" s="43"/>
      <c r="C90" s="45"/>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c r="A91" s="43"/>
      <c r="B91" s="43"/>
      <c r="C91" s="45"/>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c r="A92" s="43"/>
      <c r="B92" s="43"/>
      <c r="C92" s="45"/>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c r="A93" s="43"/>
      <c r="B93" s="43"/>
      <c r="C93" s="45"/>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c r="A94" s="43"/>
      <c r="B94" s="43"/>
      <c r="C94" s="45"/>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c r="A95" s="43"/>
      <c r="B95" s="43"/>
      <c r="C95" s="45"/>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c r="A96" s="43"/>
      <c r="B96" s="43"/>
      <c r="C96" s="45"/>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c r="A97" s="43"/>
      <c r="B97" s="43"/>
      <c r="C97" s="45"/>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c r="A98" s="43"/>
      <c r="B98" s="43"/>
      <c r="C98" s="45"/>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c r="A99" s="43"/>
      <c r="B99" s="43"/>
      <c r="C99" s="45"/>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c r="A100" s="43"/>
      <c r="B100" s="43"/>
      <c r="C100" s="45"/>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43"/>
      <c r="B101" s="43"/>
      <c r="C101" s="45"/>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43"/>
      <c r="B102" s="43"/>
      <c r="C102" s="45"/>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43"/>
      <c r="B103" s="43"/>
      <c r="C103" s="45"/>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43"/>
      <c r="B104" s="43"/>
      <c r="C104" s="45"/>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43"/>
      <c r="B105" s="43"/>
      <c r="C105" s="45"/>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43"/>
      <c r="B106" s="43"/>
      <c r="C106" s="45"/>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43"/>
      <c r="B107" s="43"/>
      <c r="C107" s="45"/>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43"/>
      <c r="B108" s="43"/>
      <c r="C108" s="45"/>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43"/>
      <c r="B109" s="43"/>
      <c r="C109" s="45"/>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43"/>
      <c r="B110" s="43"/>
      <c r="C110" s="45"/>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43"/>
      <c r="B111" s="43"/>
      <c r="C111" s="45"/>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43"/>
      <c r="B112" s="43"/>
      <c r="C112" s="45"/>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43"/>
      <c r="B113" s="43"/>
      <c r="C113" s="45"/>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43"/>
      <c r="B114" s="43"/>
      <c r="C114" s="45"/>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43"/>
      <c r="B115" s="43"/>
      <c r="C115" s="45"/>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43"/>
      <c r="B116" s="43"/>
      <c r="C116" s="45"/>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43"/>
      <c r="B117" s="43"/>
      <c r="C117" s="45"/>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43"/>
      <c r="B118" s="43"/>
      <c r="C118" s="45"/>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43"/>
      <c r="B119" s="43"/>
      <c r="C119" s="45"/>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43"/>
      <c r="B120" s="43"/>
      <c r="C120" s="45"/>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43"/>
      <c r="B121" s="43"/>
      <c r="C121" s="45"/>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43"/>
      <c r="B122" s="43"/>
      <c r="C122" s="45"/>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43"/>
      <c r="B123" s="43"/>
      <c r="C123" s="45"/>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43"/>
      <c r="B124" s="43"/>
      <c r="C124" s="45"/>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43"/>
      <c r="B125" s="43"/>
      <c r="C125" s="45"/>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43"/>
      <c r="B126" s="43"/>
      <c r="C126" s="45"/>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43"/>
      <c r="B127" s="43"/>
      <c r="C127" s="45"/>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43"/>
      <c r="B128" s="43"/>
      <c r="C128" s="45"/>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43"/>
      <c r="B129" s="43"/>
      <c r="C129" s="45"/>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43"/>
      <c r="B130" s="43"/>
      <c r="C130" s="45"/>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43"/>
      <c r="B131" s="43"/>
      <c r="C131" s="45"/>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43"/>
      <c r="B132" s="43"/>
      <c r="C132" s="45"/>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43"/>
      <c r="B133" s="43"/>
      <c r="C133" s="45"/>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43"/>
      <c r="B134" s="43"/>
      <c r="C134" s="45"/>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43"/>
      <c r="B135" s="43"/>
      <c r="C135" s="45"/>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43"/>
      <c r="B136" s="43"/>
      <c r="C136" s="45"/>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43"/>
      <c r="B137" s="43"/>
      <c r="C137" s="45"/>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43"/>
      <c r="B138" s="43"/>
      <c r="C138" s="45"/>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43"/>
      <c r="B139" s="43"/>
      <c r="C139" s="45"/>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43"/>
      <c r="B140" s="43"/>
      <c r="C140" s="45"/>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43"/>
      <c r="B141" s="43"/>
      <c r="C141" s="45"/>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43"/>
      <c r="B142" s="43"/>
      <c r="C142" s="45"/>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43"/>
      <c r="B143" s="43"/>
      <c r="C143" s="45"/>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43"/>
      <c r="B144" s="43"/>
      <c r="C144" s="45"/>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43"/>
      <c r="B145" s="43"/>
      <c r="C145" s="45"/>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43"/>
      <c r="B146" s="43"/>
      <c r="C146" s="45"/>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43"/>
      <c r="B147" s="43"/>
      <c r="C147" s="45"/>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43"/>
      <c r="B148" s="43"/>
      <c r="C148" s="45"/>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43"/>
      <c r="B149" s="43"/>
      <c r="C149" s="45"/>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43"/>
      <c r="B150" s="43"/>
      <c r="C150" s="45"/>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43"/>
      <c r="B151" s="43"/>
      <c r="C151" s="45"/>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43"/>
      <c r="B152" s="43"/>
      <c r="C152" s="45"/>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43"/>
      <c r="B153" s="43"/>
      <c r="C153" s="45"/>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43"/>
      <c r="B154" s="43"/>
      <c r="C154" s="45"/>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43"/>
      <c r="B155" s="43"/>
      <c r="C155" s="45"/>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43"/>
      <c r="B156" s="43"/>
      <c r="C156" s="45"/>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43"/>
      <c r="B157" s="43"/>
      <c r="C157" s="45"/>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43"/>
      <c r="B158" s="43"/>
      <c r="C158" s="45"/>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43"/>
      <c r="B159" s="43"/>
      <c r="C159" s="45"/>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43"/>
      <c r="B160" s="43"/>
      <c r="C160" s="45"/>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43"/>
      <c r="B161" s="43"/>
      <c r="C161" s="45"/>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43"/>
      <c r="B162" s="43"/>
      <c r="C162" s="45"/>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43"/>
      <c r="B163" s="43"/>
      <c r="C163" s="45"/>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43"/>
      <c r="B164" s="43"/>
      <c r="C164" s="45"/>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43"/>
      <c r="B165" s="43"/>
      <c r="C165" s="45"/>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43"/>
      <c r="B166" s="43"/>
      <c r="C166" s="45"/>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43"/>
      <c r="B167" s="43"/>
      <c r="C167" s="45"/>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43"/>
      <c r="B168" s="43"/>
      <c r="C168" s="45"/>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43"/>
      <c r="B169" s="43"/>
      <c r="C169" s="45"/>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43"/>
      <c r="B170" s="43"/>
      <c r="C170" s="45"/>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43"/>
      <c r="B171" s="43"/>
      <c r="C171" s="45"/>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43"/>
      <c r="B172" s="43"/>
      <c r="C172" s="45"/>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43"/>
      <c r="B173" s="43"/>
      <c r="C173" s="45"/>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43"/>
      <c r="B174" s="43"/>
      <c r="C174" s="45"/>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43"/>
      <c r="B175" s="43"/>
      <c r="C175" s="45"/>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43"/>
      <c r="B176" s="43"/>
      <c r="C176" s="45"/>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43"/>
      <c r="B177" s="43"/>
      <c r="C177" s="45"/>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43"/>
      <c r="B178" s="43"/>
      <c r="C178" s="45"/>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43"/>
      <c r="B179" s="43"/>
      <c r="C179" s="45"/>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43"/>
      <c r="B180" s="43"/>
      <c r="C180" s="45"/>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43"/>
      <c r="B181" s="43"/>
      <c r="C181" s="45"/>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43"/>
      <c r="B182" s="43"/>
      <c r="C182" s="45"/>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43"/>
      <c r="B183" s="43"/>
      <c r="C183" s="45"/>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43"/>
      <c r="B184" s="43"/>
      <c r="C184" s="45"/>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43"/>
      <c r="B185" s="43"/>
      <c r="C185" s="45"/>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43"/>
      <c r="B186" s="43"/>
      <c r="C186" s="45"/>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43"/>
      <c r="B187" s="43"/>
      <c r="C187" s="45"/>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43"/>
      <c r="B188" s="43"/>
      <c r="C188" s="45"/>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43"/>
      <c r="B189" s="43"/>
      <c r="C189" s="45"/>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43"/>
      <c r="B190" s="43"/>
      <c r="C190" s="45"/>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43"/>
      <c r="B191" s="43"/>
      <c r="C191" s="45"/>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43"/>
      <c r="B192" s="43"/>
      <c r="C192" s="45"/>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43"/>
      <c r="B193" s="43"/>
      <c r="C193" s="45"/>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43"/>
      <c r="B194" s="43"/>
      <c r="C194" s="45"/>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43"/>
      <c r="B195" s="43"/>
      <c r="C195" s="45"/>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43"/>
      <c r="B196" s="43"/>
      <c r="C196" s="45"/>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43"/>
      <c r="B197" s="43"/>
      <c r="C197" s="45"/>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43"/>
      <c r="B198" s="43"/>
      <c r="C198" s="45"/>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43"/>
      <c r="B199" s="43"/>
      <c r="C199" s="45"/>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43"/>
      <c r="B200" s="43"/>
      <c r="C200" s="45"/>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43"/>
      <c r="B201" s="43"/>
      <c r="C201" s="45"/>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43"/>
      <c r="B202" s="43"/>
      <c r="C202" s="45"/>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43"/>
      <c r="B203" s="43"/>
      <c r="C203" s="45"/>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43"/>
      <c r="B204" s="43"/>
      <c r="C204" s="45"/>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43"/>
      <c r="B205" s="43"/>
      <c r="C205" s="45"/>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43"/>
      <c r="B206" s="43"/>
      <c r="C206" s="45"/>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43"/>
      <c r="B207" s="43"/>
      <c r="C207" s="45"/>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43"/>
      <c r="B208" s="43"/>
      <c r="C208" s="45"/>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43"/>
      <c r="B209" s="43"/>
      <c r="C209" s="45"/>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43"/>
      <c r="B210" s="43"/>
      <c r="C210" s="45"/>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43"/>
      <c r="B211" s="43"/>
      <c r="C211" s="45"/>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43"/>
      <c r="B212" s="43"/>
      <c r="C212" s="45"/>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43"/>
      <c r="B213" s="43"/>
      <c r="C213" s="45"/>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43"/>
      <c r="B214" s="43"/>
      <c r="C214" s="45"/>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43"/>
      <c r="B215" s="43"/>
      <c r="C215" s="45"/>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43"/>
      <c r="B216" s="43"/>
      <c r="C216" s="45"/>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43"/>
      <c r="B217" s="43"/>
      <c r="C217" s="45"/>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43"/>
      <c r="B218" s="43"/>
      <c r="C218" s="45"/>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43"/>
      <c r="B219" s="43"/>
      <c r="C219" s="45"/>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43"/>
      <c r="B220" s="43"/>
      <c r="C220" s="45"/>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43"/>
      <c r="B221" s="43"/>
      <c r="C221" s="45"/>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43"/>
      <c r="B222" s="43"/>
      <c r="C222" s="45"/>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43"/>
      <c r="B223" s="43"/>
      <c r="C223" s="45"/>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43"/>
      <c r="B224" s="43"/>
      <c r="C224" s="45"/>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43"/>
      <c r="B225" s="43"/>
      <c r="C225" s="45"/>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43"/>
      <c r="B226" s="43"/>
      <c r="C226" s="45"/>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43"/>
      <c r="B227" s="43"/>
      <c r="C227" s="45"/>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43"/>
      <c r="B228" s="43"/>
      <c r="C228" s="45"/>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43"/>
      <c r="B229" s="43"/>
      <c r="C229" s="45"/>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43"/>
      <c r="B230" s="43"/>
      <c r="C230" s="45"/>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43"/>
      <c r="B231" s="43"/>
      <c r="C231" s="45"/>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43"/>
      <c r="B232" s="43"/>
      <c r="C232" s="45"/>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43"/>
      <c r="B233" s="43"/>
      <c r="C233" s="45"/>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43"/>
      <c r="B234" s="43"/>
      <c r="C234" s="45"/>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43"/>
      <c r="B235" s="43"/>
      <c r="C235" s="45"/>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43"/>
      <c r="B236" s="43"/>
      <c r="C236" s="45"/>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43"/>
      <c r="B237" s="43"/>
      <c r="C237" s="45"/>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43"/>
      <c r="B238" s="43"/>
      <c r="C238" s="45"/>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43"/>
      <c r="B239" s="43"/>
      <c r="C239" s="45"/>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43"/>
      <c r="B240" s="43"/>
      <c r="C240" s="45"/>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43"/>
      <c r="B241" s="43"/>
      <c r="C241" s="45"/>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43"/>
      <c r="B242" s="43"/>
      <c r="C242" s="45"/>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43"/>
      <c r="B243" s="43"/>
      <c r="C243" s="45"/>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43"/>
      <c r="B244" s="43"/>
      <c r="C244" s="45"/>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43"/>
      <c r="B245" s="43"/>
      <c r="C245" s="45"/>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43"/>
      <c r="B246" s="43"/>
      <c r="C246" s="45"/>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43"/>
      <c r="B247" s="43"/>
      <c r="C247" s="45"/>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43"/>
      <c r="B248" s="43"/>
      <c r="C248" s="45"/>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43"/>
      <c r="B249" s="43"/>
      <c r="C249" s="45"/>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43"/>
      <c r="B250" s="43"/>
      <c r="C250" s="45"/>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43"/>
      <c r="B251" s="43"/>
      <c r="C251" s="45"/>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43"/>
      <c r="B252" s="43"/>
      <c r="C252" s="45"/>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43"/>
      <c r="B253" s="43"/>
      <c r="C253" s="45"/>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43"/>
      <c r="B254" s="43"/>
      <c r="C254" s="45"/>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43"/>
      <c r="B255" s="43"/>
      <c r="C255" s="45"/>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43"/>
      <c r="B256" s="43"/>
      <c r="C256" s="45"/>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43"/>
      <c r="B257" s="43"/>
      <c r="C257" s="45"/>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43"/>
      <c r="B258" s="43"/>
      <c r="C258" s="45"/>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sheetData>
  <mergeCells count="10">
    <mergeCell ref="F26:G26"/>
    <mergeCell ref="F24:G24"/>
    <mergeCell ref="F25:G25"/>
    <mergeCell ref="K51:M51"/>
    <mergeCell ref="K54:M54"/>
    <mergeCell ref="A1:N1"/>
    <mergeCell ref="A2:N2"/>
    <mergeCell ref="A12:N12"/>
    <mergeCell ref="F14:K14"/>
    <mergeCell ref="E22:F2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dimension ref="A21:A220"/>
  <sheetViews>
    <sheetView workbookViewId="0"/>
  </sheetViews>
  <sheetFormatPr defaultColWidth="14.42578125" defaultRowHeight="15" customHeight="1"/>
  <cols>
    <col min="1" max="6" width="8" customWidth="1"/>
    <col min="7" max="11" width="12.570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sheetPr>
    <pageSetUpPr fitToPage="1"/>
  </sheetPr>
  <dimension ref="A1:G220"/>
  <sheetViews>
    <sheetView workbookViewId="0"/>
  </sheetViews>
  <sheetFormatPr defaultColWidth="14.42578125" defaultRowHeight="15" customHeight="1"/>
  <cols>
    <col min="1" max="1" width="4.85546875" customWidth="1"/>
    <col min="2" max="2" width="51.42578125" customWidth="1"/>
    <col min="3" max="3" width="8" customWidth="1"/>
    <col min="4" max="4" width="15.28515625" customWidth="1"/>
    <col min="5" max="5" width="19.42578125" customWidth="1"/>
    <col min="6" max="6" width="17.42578125" customWidth="1"/>
    <col min="7" max="7" width="14.28515625" customWidth="1"/>
    <col min="8" max="11" width="12.5703125" customWidth="1"/>
  </cols>
  <sheetData>
    <row r="1" spans="1:7" ht="20.25" customHeight="1">
      <c r="A1" s="182" t="s">
        <v>128</v>
      </c>
      <c r="B1" s="175"/>
      <c r="C1" s="175"/>
      <c r="D1" s="175"/>
      <c r="E1" s="175"/>
      <c r="F1" s="175"/>
      <c r="G1" s="175"/>
    </row>
    <row r="2" spans="1:7" ht="51.75" customHeight="1">
      <c r="A2" s="183" t="e">
        <f>#REF!</f>
        <v>#REF!</v>
      </c>
      <c r="B2" s="175"/>
      <c r="C2" s="175"/>
      <c r="D2" s="175"/>
      <c r="E2" s="175"/>
      <c r="F2" s="175"/>
      <c r="G2" s="175"/>
    </row>
    <row r="3" spans="1:7" ht="24" customHeight="1">
      <c r="A3" s="184" t="s">
        <v>129</v>
      </c>
      <c r="B3" s="150"/>
      <c r="C3" s="150"/>
      <c r="D3" s="150"/>
      <c r="E3" s="150"/>
      <c r="F3" s="150"/>
      <c r="G3" s="178"/>
    </row>
    <row r="4" spans="1:7" ht="75" customHeight="1">
      <c r="A4" s="54" t="s">
        <v>14</v>
      </c>
      <c r="B4" s="55" t="s">
        <v>127</v>
      </c>
      <c r="C4" s="55" t="s">
        <v>130</v>
      </c>
      <c r="D4" s="54" t="s">
        <v>131</v>
      </c>
      <c r="E4" s="54" t="s">
        <v>132</v>
      </c>
      <c r="F4" s="54" t="s">
        <v>133</v>
      </c>
      <c r="G4" s="54" t="s">
        <v>134</v>
      </c>
    </row>
    <row r="5" spans="1:7" ht="31.5" customHeight="1">
      <c r="A5" s="56">
        <v>1</v>
      </c>
      <c r="B5" s="57" t="s">
        <v>135</v>
      </c>
      <c r="C5" s="56" t="s">
        <v>136</v>
      </c>
      <c r="D5" s="56">
        <v>260000</v>
      </c>
      <c r="E5" s="56">
        <v>213371.25</v>
      </c>
      <c r="F5" s="56">
        <v>270000</v>
      </c>
      <c r="G5" s="56" t="s">
        <v>137</v>
      </c>
    </row>
    <row r="6" spans="1:7" ht="31.5" customHeight="1">
      <c r="A6" s="56">
        <v>2</v>
      </c>
      <c r="B6" s="58" t="s">
        <v>138</v>
      </c>
      <c r="C6" s="56" t="s">
        <v>139</v>
      </c>
      <c r="D6" s="56" t="s">
        <v>137</v>
      </c>
      <c r="E6" s="56">
        <v>5600</v>
      </c>
      <c r="F6" s="56" t="s">
        <v>137</v>
      </c>
      <c r="G6" s="59">
        <v>2067</v>
      </c>
    </row>
    <row r="7" spans="1:7" ht="31.5" customHeight="1">
      <c r="A7" s="56">
        <v>3</v>
      </c>
      <c r="B7" s="58" t="s">
        <v>140</v>
      </c>
      <c r="C7" s="56" t="s">
        <v>139</v>
      </c>
      <c r="D7" s="56" t="s">
        <v>137</v>
      </c>
      <c r="E7" s="56">
        <v>9600</v>
      </c>
      <c r="F7" s="56" t="s">
        <v>137</v>
      </c>
      <c r="G7" s="59">
        <v>4456</v>
      </c>
    </row>
    <row r="8" spans="1:7" ht="31.5" customHeight="1">
      <c r="A8" s="56">
        <v>4</v>
      </c>
      <c r="B8" s="58" t="s">
        <v>141</v>
      </c>
      <c r="C8" s="56" t="s">
        <v>139</v>
      </c>
      <c r="D8" s="56" t="s">
        <v>137</v>
      </c>
      <c r="E8" s="56">
        <v>6720</v>
      </c>
      <c r="F8" s="56" t="s">
        <v>137</v>
      </c>
      <c r="G8" s="59">
        <v>1931</v>
      </c>
    </row>
    <row r="9" spans="1:7" ht="31.5" customHeight="1">
      <c r="A9" s="60">
        <v>5</v>
      </c>
      <c r="B9" s="58" t="s">
        <v>142</v>
      </c>
      <c r="C9" s="56" t="s">
        <v>139</v>
      </c>
      <c r="D9" s="56" t="s">
        <v>137</v>
      </c>
      <c r="E9" s="60">
        <v>11520</v>
      </c>
      <c r="F9" s="56" t="s">
        <v>137</v>
      </c>
      <c r="G9" s="59">
        <v>3800</v>
      </c>
    </row>
    <row r="10" spans="1:7" ht="31.5" customHeight="1">
      <c r="A10" s="61">
        <v>6</v>
      </c>
      <c r="B10" s="58" t="s">
        <v>143</v>
      </c>
      <c r="C10" s="56" t="s">
        <v>139</v>
      </c>
      <c r="D10" s="56" t="s">
        <v>137</v>
      </c>
      <c r="E10" s="60">
        <v>2560</v>
      </c>
      <c r="F10" s="56" t="s">
        <v>137</v>
      </c>
      <c r="G10" s="59">
        <v>471</v>
      </c>
    </row>
    <row r="11" spans="1:7" ht="31.5" customHeight="1">
      <c r="A11" s="61">
        <v>7</v>
      </c>
      <c r="B11" s="58" t="s">
        <v>144</v>
      </c>
      <c r="C11" s="56" t="s">
        <v>139</v>
      </c>
      <c r="D11" s="56" t="s">
        <v>137</v>
      </c>
      <c r="E11" s="60">
        <v>1760</v>
      </c>
      <c r="F11" s="56" t="s">
        <v>137</v>
      </c>
      <c r="G11" s="59">
        <v>155</v>
      </c>
    </row>
    <row r="12" spans="1:7" ht="31.5" customHeight="1">
      <c r="A12" s="59">
        <v>8</v>
      </c>
      <c r="B12" s="58" t="s">
        <v>145</v>
      </c>
      <c r="C12" s="56" t="s">
        <v>139</v>
      </c>
      <c r="D12" s="56" t="s">
        <v>137</v>
      </c>
      <c r="E12" s="59">
        <v>2000</v>
      </c>
      <c r="F12" s="56" t="s">
        <v>137</v>
      </c>
      <c r="G12" s="59">
        <v>388</v>
      </c>
    </row>
    <row r="13" spans="1:7" ht="31.5" customHeight="1">
      <c r="A13" s="59">
        <v>9</v>
      </c>
      <c r="B13" s="58" t="s">
        <v>146</v>
      </c>
      <c r="C13" s="56" t="s">
        <v>139</v>
      </c>
      <c r="D13" s="56" t="s">
        <v>137</v>
      </c>
      <c r="E13" s="56" t="s">
        <v>137</v>
      </c>
      <c r="F13" s="56" t="s">
        <v>137</v>
      </c>
      <c r="G13" s="59">
        <v>619</v>
      </c>
    </row>
    <row r="14" spans="1:7" ht="12.75" customHeight="1">
      <c r="A14" s="62"/>
      <c r="B14" s="62"/>
      <c r="C14" s="62"/>
      <c r="D14" s="62"/>
      <c r="E14" s="62"/>
      <c r="F14" s="62"/>
      <c r="G14" s="62"/>
    </row>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3">
    <mergeCell ref="A1:G1"/>
    <mergeCell ref="A2:G2"/>
    <mergeCell ref="A3:G3"/>
  </mergeCells>
  <pageMargins left="0.38194444444444448" right="0.36284722222222221" top="0.43923611111111105" bottom="0.66840277777777779"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abs</vt:lpstr>
      <vt:lpstr>Sch-A</vt:lpstr>
      <vt:lpstr>Sch-B</vt:lpstr>
      <vt:lpstr>Sheet1</vt:lpstr>
      <vt:lpstr>Sheet2</vt:lpstr>
      <vt:lpstr>comparatative</vt:lpstr>
      <vt:lpstr>abs!Print_Area</vt:lpstr>
      <vt:lpstr>'Sch-A'!Print_Area</vt:lpstr>
      <vt:lpstr>'Sch-B'!Print_Area</vt:lpstr>
      <vt:lpstr>'Sch-B'!Print_Titles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AP TRANSCO</cp:lastModifiedBy>
  <cp:lastPrinted>2026-08-20T06:13:48Z</cp:lastPrinted>
  <dcterms:created xsi:type="dcterms:W3CDTF">1996-10-14T23:33:28Z</dcterms:created>
  <dcterms:modified xsi:type="dcterms:W3CDTF">2026-10-06T10:26:29Z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37E963257E614F10B332E63A98E6819D_13</vt:lpwstr>
  </property>
  <property fmtid="{D5CDD505-2E9C-101B-9397-08002B2CF9AE}" pid="3" name="KSOProductBuildVer">
    <vt:lpwstr>1033-12.2.0.13201</vt:lpwstr>
  </property>
</Properties>
</file>