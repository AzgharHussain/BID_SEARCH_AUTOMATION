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16395" yWindow="570" windowWidth="6945" windowHeight="7290"/>
  </bookViews>
  <sheets>
    <sheet name="sheet1" sheetId="1" r:id="rId1"/>
  </sheets>
  <externalReferences>
    <externalReference r:id="rId2"/>
  </externalReferences>
  <definedNames>
    <definedName name="_xlnm.Print_Area" localSheetId="0">sheet1!$A$1:$I$38</definedName>
    <definedName name="_xlnm.Print_Titles" localSheetId="0">sheet1!$14:$14</definedName>
  </definedNames>
  <calcPr calcId="124519" fullCalcOnLoad="1"/>
</workbook>
</file>

<file path=xl/calcChain.xml><?xml version="1.0" encoding="utf-8"?>
<calcChain xmlns="http://schemas.openxmlformats.org/spreadsheetml/2006/main">
  <c r="I16" i="1"/>
  <c r="I28"/>
  <c r="I29"/>
  <c r="I17"/>
  <c r="I18"/>
  <c r="I19"/>
  <c r="I20"/>
  <c r="I21"/>
  <c r="I22"/>
  <c r="I23"/>
  <c r="I24"/>
  <c r="H22"/>
  <c r="L16"/>
  <c r="H17"/>
  <c r="H18"/>
  <c r="H19"/>
  <c r="H20"/>
  <c r="H21"/>
  <c r="H23"/>
  <c r="H24"/>
  <c r="H16"/>
  <c r="G19"/>
  <c r="G22"/>
  <c r="G23"/>
  <c r="G20"/>
  <c r="G18"/>
  <c r="G21"/>
  <c r="G24"/>
  <c r="G16"/>
  <c r="G17"/>
  <c r="I25"/>
  <c r="I30"/>
  <c r="I31"/>
  <c r="I32"/>
  <c r="I33"/>
</calcChain>
</file>

<file path=xl/sharedStrings.xml><?xml version="1.0" encoding="utf-8"?>
<sst xmlns="http://schemas.openxmlformats.org/spreadsheetml/2006/main" count="70" uniqueCount="53">
  <si>
    <t>Sl. No.</t>
  </si>
  <si>
    <t>Quantity</t>
  </si>
  <si>
    <t>Description of item</t>
  </si>
  <si>
    <t>Rate (in Rs.)</t>
  </si>
  <si>
    <t>Unit</t>
  </si>
  <si>
    <t>Amount     (Rs.)</t>
  </si>
  <si>
    <t>In figures</t>
  </si>
  <si>
    <t>In words</t>
  </si>
  <si>
    <t>D</t>
  </si>
  <si>
    <t>B</t>
  </si>
  <si>
    <t>It is to be expressly understood that the measured work is to be taken net (not withstanding any custom or practice to the contrary) according to the actual quantities when in place and finished according to the drawing or as may be ordered from time to time by the Executive Engineer and the cost calculated by measurement or weight, at the respective prices, without any additional charge for any necessary or contingent works connected therewith.  The rates quoted are for works in situ and complete in every respect.</t>
  </si>
  <si>
    <t>A</t>
  </si>
  <si>
    <t>C</t>
  </si>
  <si>
    <t>Additions and alterations in the schedule of quantities will disqualify the tender</t>
  </si>
  <si>
    <t>Schedule of Rates and approximate quantities</t>
  </si>
  <si>
    <t>SCHEDULE - A</t>
  </si>
  <si>
    <t>Part I</t>
  </si>
  <si>
    <t>Total:</t>
  </si>
  <si>
    <t>PART-II</t>
  </si>
  <si>
    <t>LS</t>
  </si>
  <si>
    <t xml:space="preserve">The quantities here given are those upon which the lumpsum tender cost of the work is based, but they are subject to alterations omissions deductions or additions as provided for the in the conditions of this contract and do not necessarily show the actual quantities of work to be done. The unit rate noted  below are those governing payment of extras or deductions for omissions according to the conditions of the contract, as set forth preliminary  specifications of the A.P.S.S and other conditions or specifications of this contract. </t>
  </si>
  <si>
    <t>APSS No.</t>
  </si>
  <si>
    <t xml:space="preserve"> In case of discrepancies between the written description of the item in the schedule-A  and the detailed description in the specification of the same item, the latter shall be adopted.</t>
  </si>
  <si>
    <t>Provision towards Corpous fund for NAC@ 0.1%</t>
  </si>
  <si>
    <t xml:space="preserve">   Part.II</t>
  </si>
  <si>
    <t xml:space="preserve">                                                                                                                                                                                                                                                                                                                                                                                                                                                                                                 </t>
  </si>
  <si>
    <t xml:space="preserve">Superintending Engineer </t>
  </si>
  <si>
    <t xml:space="preserve">Irrigation Circle, Dowlaiswaram </t>
  </si>
  <si>
    <t xml:space="preserve">           Contractor</t>
  </si>
  <si>
    <t>Provision towards Seigniorage charges</t>
  </si>
  <si>
    <t>Provision for Merit charges@ 2% of Seigniorage charges</t>
  </si>
  <si>
    <t>Provision for DMF charges@ 30% of Seigniorage charges</t>
  </si>
  <si>
    <t>Provision towards GST@18%</t>
  </si>
  <si>
    <t xml:space="preserve">  </t>
  </si>
  <si>
    <t>Cum</t>
  </si>
  <si>
    <t>Sqm</t>
  </si>
  <si>
    <t>As directed by the Engineer-in-Charge.</t>
  </si>
  <si>
    <t xml:space="preserve">                   GRAND TOTAL (Part.I+Part.II) :      </t>
  </si>
  <si>
    <t xml:space="preserve">   Part.I</t>
  </si>
  <si>
    <t>301&amp;302</t>
  </si>
  <si>
    <t>Rmt</t>
  </si>
  <si>
    <t>Excavation in all kinds of soils including boulders upto 0.3m dia for foundations of canal cross drainage and other apurtnent structures and placing the excavated stuff neatly in specified dump area or disposing off same as directed etc complete with initial lead upto 50m and initial lift upto 3m.as directed by the Engineer-in-Charge.</t>
  </si>
  <si>
    <t>Filling in foundation wells with sand in layers of 25 to 30 cn and compacting by watering ramming as directed by Engineer-in-charge including cost of all materials, machinery, Labour charges etc.., complete with initial lead upto 50 m and lifts.as directed by the Engineer-in-Charge.</t>
  </si>
  <si>
    <t xml:space="preserve">Providing and laying insitu vibrated M-15 ( 28 days cube compressive strength not less than 15 N /sq mm ) grade cement concrete using 40 mm down size approved, clean, hard, graded aggregates for foundation filling including cost of all materials, machinery, labour, formwork, cleaning, batching, mixing, placing in position, levelling, vibrating, finishing, curing etc.complete with initial lead upto 50 m and all lifts.as directed by the Engineer-in-Charge.  </t>
  </si>
  <si>
    <t xml:space="preserve">Providing and laying insitu vibrated M-15 (28 days cube compressive strength not less than 15 N/Sqmm) grade cement concrete using 20 mm down size approved clean, hard, graded aggregates for sub structure/super structure works including cost of all materials, machinery, labour, form work, cleaning,batching, mixing, placing in position, leveling,vibrating, finishing, curing, etc.., complete with an initial lead up to 50 m and all lifts.as directed by the Engineer-in-Charge. </t>
  </si>
  <si>
    <t>Flooring with Chequrred terrazoTiles of 22mm thick (Medium shade),1st.quality as approved by the Engineer - in - charge  set over a base coat of CM (1:6), 12mm thick laid over flooring bed / V.R.C.C. slab, with neat cement slurry of honey like consistency spread at the rate of 3.3 Kgs of cement per Sq.m and jointed with neat white cement paste  to full depth mixed with pigment of matching shade including cost and conveyance of all materials like cement, sand, water,tiles etc. to site, seigniorage charges, sales and other taxes on all materials, all operational, incidental and labour charges such as mixing of cement mortar, laying, curing, lift charges etc., complete for finished item of work.(APSS No.701 &amp; 707) for Bathing ghat steps.as directed by the Engineer-in-Charge.</t>
  </si>
  <si>
    <t>Supply and fixing 100 mm dia G.I. Pipes B Class for vertical posts on platforms including cost and conveyance and labour charges for fixing etc., complete.as directed by the Engineer-in-Charge.</t>
  </si>
  <si>
    <t>Supply and fixing of Hot dipped Galvanised Iron chain link mesh 8 gauge (4mm) 63 MMX63MM gauge including cost conveyance of all materials to site of work and labour charges for fixing to G.I. Pipes etc., complete.as directed by the Engineer-in-Charge.</t>
  </si>
  <si>
    <t>White washing two coats with whiting of approved quality to give an even shade after thoroughly brushing the surface to remove all dirt and remaining to loose powdered materials including cost of all materials, labour charges and incidental such as scaffolding, lift charges etc., complete for finished item of work but excluding conveyance charges of materials.as directed by the Engineer-in-Charge.</t>
  </si>
  <si>
    <t>Providing and constructing Dry  rock-Pitching for groynes using un-coursed  rubble stone of size 300mm thick and un-coursed rubble  stone chips from quarry to site of work including cost of all materials, machinery, labour charge hand packing un-coursed rubble stone and  chips to the designed profile with all leads and all  lifts etc. Above water Level.as directed by the Engineer-in-Charge.</t>
  </si>
  <si>
    <t>Tender Notice NO.163/2026-27, Dated: 09.10.2026.</t>
  </si>
  <si>
    <t>Name of the work: Construction of Pushkar Ghat in between  km 29.200 to km 29.400 of Vasista Right Bank in Malleswaram Village Limits of Peravali Mandal in East Godavari District.</t>
  </si>
  <si>
    <t>401 &amp;402</t>
  </si>
</sst>
</file>

<file path=xl/styles.xml><?xml version="1.0" encoding="utf-8"?>
<styleSheet xmlns="http://schemas.openxmlformats.org/spreadsheetml/2006/main">
  <numFmts count="1">
    <numFmt numFmtId="43" formatCode="_(* #,##0.00_);_(* \(#,##0.00\);_(* &quot;-&quot;??_);_(@_)"/>
  </numFmts>
  <fonts count="15">
    <font>
      <sz val="11"/>
      <color theme="1"/>
      <name val="Calibri"/>
      <family val="2"/>
      <scheme val="minor"/>
    </font>
    <font>
      <sz val="11"/>
      <color indexed="8"/>
      <name val="Calibri"/>
      <family val="2"/>
    </font>
    <font>
      <sz val="10"/>
      <name val="Arial"/>
      <family val="2"/>
    </font>
    <font>
      <sz val="8"/>
      <name val="Calibri"/>
      <family val="2"/>
    </font>
    <font>
      <sz val="9"/>
      <name val="Verdana"/>
      <family val="2"/>
    </font>
    <font>
      <sz val="10"/>
      <name val="Verdana"/>
      <family val="2"/>
    </font>
    <font>
      <b/>
      <sz val="11"/>
      <name val="Verdana"/>
      <family val="2"/>
    </font>
    <font>
      <b/>
      <u/>
      <sz val="11"/>
      <name val="Verdana"/>
      <family val="2"/>
    </font>
    <font>
      <sz val="11"/>
      <name val="Verdana"/>
      <family val="2"/>
    </font>
    <font>
      <b/>
      <sz val="10"/>
      <name val="Verdana"/>
      <family val="2"/>
    </font>
    <font>
      <sz val="10"/>
      <color theme="1"/>
      <name val="Verdana"/>
      <family val="2"/>
    </font>
    <font>
      <sz val="11"/>
      <color theme="1"/>
      <name val="Verdana"/>
      <family val="2"/>
    </font>
    <font>
      <b/>
      <sz val="10"/>
      <color theme="1"/>
      <name val="Verdana"/>
      <family val="2"/>
    </font>
    <font>
      <sz val="11"/>
      <color rgb="FF000000"/>
      <name val="Verdana"/>
      <family val="2"/>
    </font>
    <font>
      <b/>
      <sz val="11"/>
      <color theme="1"/>
      <name val="Verdan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15">
    <xf numFmtId="0" fontId="0" fillId="0" borderId="0"/>
    <xf numFmtId="43" fontId="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80">
    <xf numFmtId="0" fontId="0" fillId="0" borderId="0" xfId="0"/>
    <xf numFmtId="0" fontId="5" fillId="0" borderId="0" xfId="0" applyFont="1" applyFill="1" applyAlignment="1">
      <alignment vertical="top"/>
    </xf>
    <xf numFmtId="0" fontId="5" fillId="0" borderId="0" xfId="0" applyFont="1" applyFill="1" applyAlignment="1">
      <alignment horizontal="center" vertical="top"/>
    </xf>
    <xf numFmtId="0" fontId="4" fillId="0" borderId="0" xfId="0" applyFont="1" applyFill="1" applyAlignment="1">
      <alignment vertical="top"/>
    </xf>
    <xf numFmtId="1" fontId="4" fillId="0" borderId="0" xfId="0" applyNumberFormat="1" applyFont="1" applyFill="1" applyAlignment="1">
      <alignment vertical="top"/>
    </xf>
    <xf numFmtId="1" fontId="10" fillId="0" borderId="1" xfId="0" applyNumberFormat="1" applyFont="1" applyBorder="1" applyAlignment="1">
      <alignment horizontal="center" vertical="center"/>
    </xf>
    <xf numFmtId="1" fontId="10" fillId="0" borderId="1" xfId="0" applyNumberFormat="1" applyFont="1" applyBorder="1" applyAlignment="1">
      <alignment horizontal="right" vertical="center"/>
    </xf>
    <xf numFmtId="0" fontId="10" fillId="0" borderId="1" xfId="0" applyFont="1" applyBorder="1" applyAlignment="1">
      <alignment horizontal="center" vertical="center"/>
    </xf>
    <xf numFmtId="0" fontId="10" fillId="0" borderId="1" xfId="0" applyFont="1" applyBorder="1" applyAlignment="1">
      <alignment horizontal="right" vertical="center"/>
    </xf>
    <xf numFmtId="0" fontId="8" fillId="0" borderId="0" xfId="0" applyFont="1" applyFill="1" applyAlignment="1">
      <alignment vertical="center"/>
    </xf>
    <xf numFmtId="0" fontId="8" fillId="0" borderId="1" xfId="6" applyFont="1" applyFill="1" applyBorder="1" applyAlignment="1">
      <alignment horizontal="center" vertical="center" wrapText="1"/>
    </xf>
    <xf numFmtId="0" fontId="8"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5" fillId="0" borderId="0" xfId="0" applyFont="1" applyFill="1" applyAlignment="1">
      <alignment vertical="center"/>
    </xf>
    <xf numFmtId="0" fontId="8" fillId="0" borderId="0" xfId="0" applyFont="1" applyFill="1" applyAlignment="1">
      <alignment horizontal="center" vertical="center"/>
    </xf>
    <xf numFmtId="0" fontId="8" fillId="0" borderId="0" xfId="14" applyFont="1" applyFill="1" applyAlignment="1">
      <alignment horizontal="center" vertical="center"/>
    </xf>
    <xf numFmtId="0" fontId="8" fillId="0" borderId="0" xfId="13" applyFont="1" applyFill="1" applyAlignment="1">
      <alignment horizontal="center" vertical="center"/>
    </xf>
    <xf numFmtId="0" fontId="8" fillId="0" borderId="0" xfId="2" applyFont="1" applyFill="1" applyAlignment="1">
      <alignment horizontal="center" vertical="center"/>
    </xf>
    <xf numFmtId="0" fontId="8" fillId="0" borderId="0" xfId="12" applyFont="1" applyFill="1" applyAlignment="1">
      <alignment horizontal="center" vertical="center"/>
    </xf>
    <xf numFmtId="0" fontId="5"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5" fillId="0" borderId="0" xfId="0" applyFont="1" applyFill="1" applyAlignment="1">
      <alignment horizontal="center" vertical="center"/>
    </xf>
    <xf numFmtId="0" fontId="8" fillId="0" borderId="0" xfId="0" applyFont="1" applyFill="1" applyAlignment="1">
      <alignment horizontal="left" vertical="center"/>
    </xf>
    <xf numFmtId="0" fontId="8" fillId="0" borderId="0" xfId="2" applyFont="1" applyFill="1" applyAlignment="1">
      <alignment horizontal="left" vertical="center"/>
    </xf>
    <xf numFmtId="0" fontId="8" fillId="0" borderId="1" xfId="0" applyFont="1" applyFill="1" applyBorder="1" applyAlignment="1">
      <alignment horizontal="left" vertical="center" wrapText="1"/>
    </xf>
    <xf numFmtId="2" fontId="5" fillId="0" borderId="1" xfId="0" applyNumberFormat="1" applyFont="1" applyBorder="1" applyAlignment="1">
      <alignment horizontal="right" vertical="center" wrapText="1"/>
    </xf>
    <xf numFmtId="2" fontId="5" fillId="0" borderId="1" xfId="0" applyNumberFormat="1" applyFont="1" applyFill="1" applyBorder="1" applyAlignment="1">
      <alignment horizontal="center" vertical="center" wrapText="1"/>
    </xf>
    <xf numFmtId="0" fontId="5" fillId="0" borderId="1" xfId="0" applyFont="1" applyFill="1" applyBorder="1" applyAlignment="1">
      <alignment horizontal="left" vertical="center"/>
    </xf>
    <xf numFmtId="0" fontId="8" fillId="0" borderId="0" xfId="0" applyFont="1" applyFill="1" applyAlignment="1">
      <alignment horizontal="left" vertical="center" wrapText="1"/>
    </xf>
    <xf numFmtId="0" fontId="5" fillId="0" borderId="0" xfId="0" applyFont="1" applyFill="1" applyAlignment="1">
      <alignment horizontal="left" vertical="center"/>
    </xf>
    <xf numFmtId="0" fontId="8" fillId="0" borderId="0" xfId="13" applyFont="1" applyFill="1" applyAlignment="1">
      <alignment horizontal="justify" vertical="center" wrapText="1"/>
    </xf>
    <xf numFmtId="0" fontId="11" fillId="0" borderId="1" xfId="0" applyFont="1" applyFill="1" applyBorder="1" applyAlignment="1">
      <alignment horizontal="center" vertical="center"/>
    </xf>
    <xf numFmtId="0" fontId="5" fillId="0" borderId="1" xfId="0" applyFont="1" applyFill="1" applyBorder="1" applyAlignment="1">
      <alignment vertical="center"/>
    </xf>
    <xf numFmtId="0" fontId="8" fillId="0" borderId="0" xfId="13" applyFont="1" applyFill="1" applyAlignment="1">
      <alignment horizontal="left" vertical="center" wrapText="1"/>
    </xf>
    <xf numFmtId="0" fontId="8" fillId="0" borderId="1" xfId="11" applyFont="1" applyFill="1" applyBorder="1" applyAlignment="1">
      <alignment horizontal="center" vertical="center" wrapText="1"/>
    </xf>
    <xf numFmtId="2" fontId="10" fillId="0" borderId="1" xfId="0" applyNumberFormat="1" applyFont="1" applyFill="1" applyBorder="1" applyAlignment="1">
      <alignment horizontal="center" vertical="center"/>
    </xf>
    <xf numFmtId="1" fontId="10" fillId="0" borderId="1" xfId="0" applyNumberFormat="1" applyFont="1" applyFill="1" applyBorder="1" applyAlignment="1">
      <alignment horizontal="center" vertical="center" wrapText="1"/>
    </xf>
    <xf numFmtId="0" fontId="9" fillId="0" borderId="1" xfId="0" applyFont="1" applyFill="1" applyBorder="1" applyAlignment="1">
      <alignment horizontal="left" vertical="center"/>
    </xf>
    <xf numFmtId="0" fontId="8" fillId="0" borderId="1" xfId="10" applyFont="1" applyFill="1" applyBorder="1" applyAlignment="1">
      <alignment horizontal="center" vertical="center" wrapText="1"/>
    </xf>
    <xf numFmtId="0" fontId="5" fillId="0" borderId="1" xfId="0" applyFont="1" applyFill="1" applyBorder="1" applyAlignment="1">
      <alignment horizontal="left" vertical="center" wrapText="1"/>
    </xf>
    <xf numFmtId="1" fontId="10" fillId="0" borderId="1" xfId="0" applyNumberFormat="1" applyFont="1" applyBorder="1" applyAlignment="1">
      <alignment vertical="center"/>
    </xf>
    <xf numFmtId="0" fontId="9" fillId="0" borderId="1" xfId="0" applyFont="1" applyFill="1" applyBorder="1" applyAlignment="1">
      <alignment horizontal="left" vertical="center" wrapText="1"/>
    </xf>
    <xf numFmtId="1" fontId="12" fillId="0" borderId="1" xfId="0" applyNumberFormat="1" applyFont="1" applyBorder="1" applyAlignment="1">
      <alignment vertical="center"/>
    </xf>
    <xf numFmtId="1" fontId="12" fillId="0" borderId="1" xfId="0" applyNumberFormat="1" applyFont="1" applyFill="1" applyBorder="1" applyAlignment="1">
      <alignment vertical="center"/>
    </xf>
    <xf numFmtId="1" fontId="9" fillId="0" borderId="1" xfId="0" quotePrefix="1" applyNumberFormat="1" applyFont="1" applyFill="1" applyBorder="1" applyAlignment="1">
      <alignment horizontal="right" vertical="center" wrapText="1"/>
    </xf>
    <xf numFmtId="0" fontId="6" fillId="0" borderId="1" xfId="0" applyFont="1" applyFill="1" applyBorder="1" applyAlignment="1">
      <alignment horizontal="center" vertical="center" wrapText="1"/>
    </xf>
    <xf numFmtId="0" fontId="10" fillId="0" borderId="1" xfId="0" applyFont="1" applyFill="1" applyBorder="1" applyAlignment="1">
      <alignment horizontal="justify" vertical="center" wrapText="1"/>
    </xf>
    <xf numFmtId="1" fontId="5" fillId="0" borderId="1" xfId="0" applyNumberFormat="1" applyFont="1" applyFill="1" applyBorder="1" applyAlignment="1">
      <alignment horizontal="left" vertical="center"/>
    </xf>
    <xf numFmtId="0" fontId="9" fillId="0" borderId="0" xfId="0" applyFont="1" applyFill="1" applyBorder="1" applyAlignment="1">
      <alignment horizontal="center" vertical="center"/>
    </xf>
    <xf numFmtId="0" fontId="5" fillId="0" borderId="0" xfId="0" applyFont="1" applyFill="1" applyBorder="1" applyAlignment="1">
      <alignment horizontal="left" vertical="center"/>
    </xf>
    <xf numFmtId="0" fontId="5" fillId="0" borderId="2" xfId="0" applyFont="1" applyFill="1" applyBorder="1" applyAlignment="1">
      <alignment vertical="center"/>
    </xf>
    <xf numFmtId="1" fontId="5" fillId="0" borderId="2" xfId="0" applyNumberFormat="1" applyFont="1" applyFill="1" applyBorder="1" applyAlignment="1">
      <alignment horizontal="left" vertical="center"/>
    </xf>
    <xf numFmtId="0" fontId="9" fillId="0" borderId="2" xfId="0" applyFont="1" applyFill="1" applyBorder="1" applyAlignment="1">
      <alignment horizontal="left" vertical="center"/>
    </xf>
    <xf numFmtId="1" fontId="9" fillId="0" borderId="0" xfId="0" quotePrefix="1" applyNumberFormat="1" applyFont="1" applyFill="1" applyBorder="1" applyAlignment="1">
      <alignment horizontal="right" vertical="center" wrapText="1"/>
    </xf>
    <xf numFmtId="0" fontId="0" fillId="0" borderId="1" xfId="0" applyBorder="1" applyAlignment="1">
      <alignment horizontal="center" vertical="center" wrapText="1"/>
    </xf>
    <xf numFmtId="0" fontId="8" fillId="0" borderId="0" xfId="13" applyFont="1" applyFill="1" applyAlignment="1">
      <alignment horizontal="center" vertical="center" wrapText="1"/>
    </xf>
    <xf numFmtId="0" fontId="8" fillId="0" borderId="1" xfId="7" applyFont="1" applyFill="1" applyBorder="1" applyAlignment="1">
      <alignment horizontal="center" vertical="center" wrapText="1"/>
    </xf>
    <xf numFmtId="0" fontId="10" fillId="0" borderId="1" xfId="0" applyFont="1" applyFill="1" applyBorder="1" applyAlignment="1">
      <alignment horizontal="center" vertical="center" wrapText="1"/>
    </xf>
    <xf numFmtId="0" fontId="9" fillId="0" borderId="2" xfId="0" applyFont="1" applyFill="1" applyBorder="1" applyAlignment="1">
      <alignment horizontal="center" vertical="center"/>
    </xf>
    <xf numFmtId="0" fontId="8" fillId="0" borderId="0" xfId="0" applyFont="1" applyFill="1" applyAlignment="1">
      <alignment horizontal="center" vertical="center" wrapText="1"/>
    </xf>
    <xf numFmtId="1" fontId="8" fillId="0" borderId="0" xfId="0" applyNumberFormat="1" applyFont="1" applyFill="1" applyAlignment="1">
      <alignment horizontal="center" vertical="center" wrapText="1"/>
    </xf>
    <xf numFmtId="0" fontId="5" fillId="0" borderId="3" xfId="0" applyNumberFormat="1" applyFont="1" applyBorder="1" applyAlignment="1">
      <alignment vertical="top" wrapText="1"/>
    </xf>
    <xf numFmtId="2" fontId="5" fillId="0" borderId="1" xfId="0" applyNumberFormat="1" applyFont="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right" vertical="center" wrapText="1"/>
    </xf>
    <xf numFmtId="0" fontId="7" fillId="0" borderId="0" xfId="5" applyFont="1" applyFill="1" applyAlignment="1">
      <alignment horizontal="center" vertical="top"/>
    </xf>
    <xf numFmtId="0" fontId="8" fillId="0" borderId="1" xfId="10" applyFont="1" applyFill="1" applyBorder="1" applyAlignment="1">
      <alignment horizontal="center" vertical="center" wrapText="1"/>
    </xf>
    <xf numFmtId="0" fontId="8" fillId="0" borderId="0" xfId="12" applyFont="1" applyFill="1" applyBorder="1" applyAlignment="1">
      <alignment horizontal="left" vertical="top" wrapText="1"/>
    </xf>
    <xf numFmtId="0" fontId="8" fillId="0" borderId="0" xfId="4" applyFont="1" applyFill="1" applyAlignment="1">
      <alignment horizontal="center" vertical="top"/>
    </xf>
    <xf numFmtId="0" fontId="8" fillId="0" borderId="0" xfId="13" applyFont="1" applyFill="1" applyAlignment="1">
      <alignment horizontal="left" vertical="top" wrapText="1"/>
    </xf>
    <xf numFmtId="0" fontId="8" fillId="0" borderId="1" xfId="6" applyFont="1" applyFill="1" applyBorder="1" applyAlignment="1">
      <alignment horizontal="center" vertical="center" wrapText="1"/>
    </xf>
    <xf numFmtId="0" fontId="14" fillId="0" borderId="0" xfId="0" applyFont="1" applyFill="1" applyAlignment="1">
      <alignment horizontal="center" vertical="top" wrapText="1"/>
    </xf>
    <xf numFmtId="0" fontId="6" fillId="0" borderId="0" xfId="0" applyFont="1" applyFill="1" applyAlignment="1">
      <alignment horizontal="left" vertical="top"/>
    </xf>
    <xf numFmtId="0" fontId="8" fillId="0" borderId="0" xfId="14" applyFont="1" applyFill="1" applyAlignment="1">
      <alignment horizontal="left" vertical="top" wrapText="1"/>
    </xf>
    <xf numFmtId="0" fontId="8" fillId="0" borderId="1" xfId="6" applyFont="1" applyFill="1" applyBorder="1" applyAlignment="1">
      <alignment horizontal="center" vertical="top" wrapText="1"/>
    </xf>
    <xf numFmtId="0" fontId="8" fillId="0" borderId="0" xfId="0" applyFont="1" applyFill="1" applyAlignment="1">
      <alignment horizontal="center" vertical="top"/>
    </xf>
    <xf numFmtId="0" fontId="13" fillId="0" borderId="0" xfId="0" applyFont="1" applyAlignment="1">
      <alignment horizontal="center"/>
    </xf>
    <xf numFmtId="0" fontId="9" fillId="0" borderId="1" xfId="0" applyFont="1" applyFill="1" applyBorder="1" applyAlignment="1">
      <alignment horizontal="center" vertical="top" wrapText="1"/>
    </xf>
    <xf numFmtId="0" fontId="8" fillId="0" borderId="1" xfId="9" applyFont="1" applyFill="1" applyBorder="1" applyAlignment="1">
      <alignment horizontal="center" vertical="top" wrapText="1"/>
    </xf>
    <xf numFmtId="0" fontId="8" fillId="0" borderId="1" xfId="0" applyFont="1" applyFill="1" applyBorder="1" applyAlignment="1">
      <alignment horizontal="center" vertical="center" wrapText="1"/>
    </xf>
  </cellXfs>
  <cellStyles count="15">
    <cellStyle name="Comma 2" xfId="1"/>
    <cellStyle name="Normal" xfId="0" builtinId="0"/>
    <cellStyle name="Normal 10" xfId="2"/>
    <cellStyle name="Normal 11" xfId="3"/>
    <cellStyle name="Normal 12" xfId="4"/>
    <cellStyle name="Normal 13" xfId="5"/>
    <cellStyle name="Normal 2" xfId="6"/>
    <cellStyle name="Normal 3" xfId="7"/>
    <cellStyle name="Normal 3 2" xfId="8"/>
    <cellStyle name="Normal 4" xfId="9"/>
    <cellStyle name="Normal 5" xfId="10"/>
    <cellStyle name="Normal 6" xfId="11"/>
    <cellStyle name="Normal 7" xfId="12"/>
    <cellStyle name="Normal 8" xfId="13"/>
    <cellStyle name="Normal 9" xfId="1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202/AppData/Roaming/Microsoft/AddIns/371505_1142517_sureshaddin.xla"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371505_1142517_sureshaddin"/>
    </sheetNames>
    <definedNames>
      <definedName name="rswords"/>
    </defined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L39"/>
  <sheetViews>
    <sheetView tabSelected="1" view="pageBreakPreview" topLeftCell="A9" zoomScaleSheetLayoutView="100" workbookViewId="0">
      <selection activeCell="I16" sqref="I16"/>
    </sheetView>
  </sheetViews>
  <sheetFormatPr defaultColWidth="9" defaultRowHeight="12.75"/>
  <cols>
    <col min="1" max="1" width="4.5703125" style="21" customWidth="1"/>
    <col min="2" max="2" width="9.85546875" style="29" customWidth="1"/>
    <col min="3" max="3" width="9.28515625" style="13" customWidth="1"/>
    <col min="4" max="4" width="75.28515625" style="29" customWidth="1"/>
    <col min="5" max="5" width="13.42578125" style="21" customWidth="1"/>
    <col min="6" max="6" width="12.85546875" style="21" customWidth="1"/>
    <col min="7" max="7" width="18.7109375" style="29" customWidth="1"/>
    <col min="8" max="8" width="14.7109375" style="29" customWidth="1"/>
    <col min="9" max="9" width="15.7109375" style="13" customWidth="1"/>
    <col min="10" max="10" width="12.85546875" style="1" bestFit="1" customWidth="1"/>
    <col min="11" max="11" width="9" style="1"/>
    <col min="12" max="12" width="13.7109375" style="1" bestFit="1" customWidth="1"/>
    <col min="13" max="16384" width="9" style="1"/>
  </cols>
  <sheetData>
    <row r="1" spans="1:12" ht="14.25">
      <c r="A1" s="65" t="s">
        <v>15</v>
      </c>
      <c r="B1" s="65"/>
      <c r="C1" s="65"/>
      <c r="D1" s="65"/>
      <c r="E1" s="65"/>
      <c r="F1" s="65"/>
      <c r="G1" s="65"/>
      <c r="H1" s="65"/>
      <c r="I1" s="65"/>
    </row>
    <row r="2" spans="1:12" ht="14.25">
      <c r="A2" s="14"/>
      <c r="B2" s="22"/>
      <c r="C2" s="9"/>
      <c r="D2" s="22"/>
      <c r="E2" s="14"/>
      <c r="F2" s="14"/>
      <c r="G2" s="22"/>
      <c r="H2" s="22"/>
      <c r="I2" s="9"/>
    </row>
    <row r="3" spans="1:12" ht="14.25">
      <c r="A3" s="68" t="s">
        <v>14</v>
      </c>
      <c r="B3" s="68"/>
      <c r="C3" s="68"/>
      <c r="D3" s="68"/>
      <c r="E3" s="68"/>
      <c r="F3" s="68"/>
      <c r="G3" s="68"/>
      <c r="H3" s="68"/>
      <c r="I3" s="68"/>
    </row>
    <row r="4" spans="1:12" ht="14.25">
      <c r="A4" s="14"/>
      <c r="B4" s="22"/>
      <c r="C4" s="9"/>
      <c r="D4" s="22"/>
      <c r="E4" s="72" t="s">
        <v>50</v>
      </c>
      <c r="F4" s="72"/>
      <c r="G4" s="72"/>
      <c r="H4" s="72"/>
      <c r="I4" s="72"/>
    </row>
    <row r="5" spans="1:12" ht="14.25">
      <c r="A5" s="14"/>
      <c r="B5" s="22"/>
      <c r="C5" s="9"/>
      <c r="D5" s="22"/>
      <c r="E5" s="14"/>
      <c r="F5" s="14"/>
      <c r="G5" s="22"/>
      <c r="H5" s="22"/>
      <c r="I5" s="9"/>
    </row>
    <row r="6" spans="1:12" ht="14.25" customHeight="1">
      <c r="A6" s="71" t="s">
        <v>51</v>
      </c>
      <c r="B6" s="71"/>
      <c r="C6" s="71"/>
      <c r="D6" s="71"/>
      <c r="E6" s="71"/>
      <c r="F6" s="71"/>
      <c r="G6" s="71"/>
      <c r="H6" s="71"/>
      <c r="I6" s="71"/>
    </row>
    <row r="7" spans="1:12" ht="14.25" customHeight="1">
      <c r="A7" s="71"/>
      <c r="B7" s="71"/>
      <c r="C7" s="71"/>
      <c r="D7" s="71"/>
      <c r="E7" s="71"/>
      <c r="F7" s="71"/>
      <c r="G7" s="71"/>
      <c r="H7" s="71"/>
      <c r="I7" s="71"/>
    </row>
    <row r="8" spans="1:12" ht="63.75" customHeight="1">
      <c r="A8" s="15" t="s">
        <v>11</v>
      </c>
      <c r="B8" s="73" t="s">
        <v>20</v>
      </c>
      <c r="C8" s="73"/>
      <c r="D8" s="73"/>
      <c r="E8" s="73"/>
      <c r="F8" s="73"/>
      <c r="G8" s="73"/>
      <c r="H8" s="73"/>
      <c r="I8" s="73"/>
    </row>
    <row r="9" spans="1:12" ht="60.75" customHeight="1">
      <c r="A9" s="16" t="s">
        <v>9</v>
      </c>
      <c r="B9" s="69" t="s">
        <v>10</v>
      </c>
      <c r="C9" s="69"/>
      <c r="D9" s="69"/>
      <c r="E9" s="69"/>
      <c r="F9" s="69"/>
      <c r="G9" s="69"/>
      <c r="H9" s="69"/>
      <c r="I9" s="69"/>
    </row>
    <row r="10" spans="1:12" ht="20.25" customHeight="1">
      <c r="A10" s="17" t="s">
        <v>12</v>
      </c>
      <c r="B10" s="23" t="s">
        <v>13</v>
      </c>
      <c r="C10" s="30"/>
      <c r="D10" s="33"/>
      <c r="E10" s="55"/>
      <c r="F10" s="55"/>
      <c r="G10" s="33"/>
      <c r="H10" s="33"/>
      <c r="I10" s="30"/>
    </row>
    <row r="11" spans="1:12" ht="33.75" customHeight="1">
      <c r="A11" s="18" t="s">
        <v>8</v>
      </c>
      <c r="B11" s="67" t="s">
        <v>22</v>
      </c>
      <c r="C11" s="67"/>
      <c r="D11" s="67"/>
      <c r="E11" s="67"/>
      <c r="F11" s="67"/>
      <c r="G11" s="67"/>
      <c r="H11" s="67"/>
      <c r="I11" s="67"/>
    </row>
    <row r="12" spans="1:12" s="2" customFormat="1" ht="14.25">
      <c r="A12" s="70" t="s">
        <v>0</v>
      </c>
      <c r="B12" s="74" t="s">
        <v>1</v>
      </c>
      <c r="C12" s="74"/>
      <c r="D12" s="70" t="s">
        <v>2</v>
      </c>
      <c r="E12" s="79" t="s">
        <v>21</v>
      </c>
      <c r="F12" s="78" t="s">
        <v>3</v>
      </c>
      <c r="G12" s="78"/>
      <c r="H12" s="66" t="s">
        <v>4</v>
      </c>
      <c r="I12" s="66" t="s">
        <v>5</v>
      </c>
    </row>
    <row r="13" spans="1:12" s="2" customFormat="1" ht="14.25">
      <c r="A13" s="70"/>
      <c r="B13" s="74"/>
      <c r="C13" s="74"/>
      <c r="D13" s="70"/>
      <c r="E13" s="79"/>
      <c r="F13" s="34" t="s">
        <v>6</v>
      </c>
      <c r="G13" s="34" t="s">
        <v>7</v>
      </c>
      <c r="H13" s="66"/>
      <c r="I13" s="66"/>
    </row>
    <row r="14" spans="1:12" s="2" customFormat="1" ht="14.25">
      <c r="A14" s="10">
        <v>1</v>
      </c>
      <c r="B14" s="74">
        <v>2</v>
      </c>
      <c r="C14" s="74"/>
      <c r="D14" s="10">
        <v>3</v>
      </c>
      <c r="E14" s="56">
        <v>4</v>
      </c>
      <c r="F14" s="34">
        <v>5</v>
      </c>
      <c r="G14" s="34">
        <v>6</v>
      </c>
      <c r="H14" s="38">
        <v>7</v>
      </c>
      <c r="I14" s="38">
        <v>8</v>
      </c>
    </row>
    <row r="15" spans="1:12" ht="14.25">
      <c r="A15" s="11"/>
      <c r="B15" s="24"/>
      <c r="C15" s="31"/>
      <c r="D15" s="45" t="s">
        <v>16</v>
      </c>
      <c r="E15" s="11"/>
      <c r="F15" s="11"/>
      <c r="G15" s="24"/>
      <c r="H15" s="24"/>
      <c r="I15" s="11"/>
    </row>
    <row r="16" spans="1:12" ht="64.5" customHeight="1">
      <c r="A16" s="19">
        <v>1</v>
      </c>
      <c r="B16" s="25">
        <v>556.19999999999993</v>
      </c>
      <c r="C16" s="62" t="s">
        <v>34</v>
      </c>
      <c r="D16" s="61" t="s">
        <v>41</v>
      </c>
      <c r="E16" s="26" t="s">
        <v>39</v>
      </c>
      <c r="F16" s="26">
        <v>489.7</v>
      </c>
      <c r="G16" s="39" t="str">
        <f>[1]!rswords(F16)</f>
        <v>Rupees Four Hundred Eighty Nine And Paise Seventy Only</v>
      </c>
      <c r="H16" s="54" t="str">
        <f>IF(OR(C16="Cum", C16="Cum."), "1 Cum (One Cubic Meter)", IF(OR(C16="Rmt", C16="Rmt."), "1 Rmt (One Running Meter)", IF(OR(C16="Sqm", C16="Sqmt", C16="Sqm.", C16="Sqmt."), "1 Sqm (One Square Meter)", IF(OR(C16="Kg", C16="Kgs", C16="Kg.", C16="Kgs."), "1 Kg (One Kilogram)", IF(OR(C16="Nos", C16="No", C16="Nos.", C16="No."), "1 No (One Number)", IF(OR(C16="Hrs", C16="Hr", C16="Hrs.", C16="Hr.", C16="Hour", C16="Hours"), "1 Hrs (One Hour)", "Null"))))))</f>
        <v>1 Cum (One Cubic Meter)</v>
      </c>
      <c r="I16" s="40">
        <f t="shared" ref="I16:I24" si="0">ROUND(B16*F16,0)</f>
        <v>272371</v>
      </c>
      <c r="L16" s="54" t="str">
        <f>IF(OR(C16="Cum", C16="Cum."), "1 Cum (One Cubic Meter)", IF(OR(C16="Rmt", C16="Rmt."), "1 Rmt (One Running Meter)", IF(OR(C16="Sqm", C16="Sqmt", C16="Sqm.", C16="Sqmt."), "1 Sqm (One Square Meter)", IF(OR(C16="Kg", C16="Kgs", C16="Kg.", C16="Kgs."), "1 Kg (One Kilogram)", IF(OR(C16="Nos", C16="No", C16="Nos.", C16="No."), "1 No (One Number)", IF(OR(C16="Hrs", C16="Hr", C16="Hrs.", C16="Hr.", C16="Hour", C16="Hours"), "1 Hrs (One Hour)", "Null"))))))</f>
        <v>1 Cum (One Cubic Meter)</v>
      </c>
    </row>
    <row r="17" spans="1:9" ht="57" customHeight="1">
      <c r="A17" s="19">
        <v>2</v>
      </c>
      <c r="B17" s="25">
        <v>121.8</v>
      </c>
      <c r="C17" s="62" t="s">
        <v>34</v>
      </c>
      <c r="D17" s="61" t="s">
        <v>42</v>
      </c>
      <c r="E17" s="26" t="s">
        <v>36</v>
      </c>
      <c r="F17" s="26">
        <v>832.7</v>
      </c>
      <c r="G17" s="39" t="str">
        <f>[1]!rswords(F17)</f>
        <v>Rupees Eight Hundred Thirty Two And Paise Seventy Only</v>
      </c>
      <c r="H17" s="54" t="str">
        <f t="shared" ref="H17:H24" si="1">IF(OR(C17="Cum", C17="Cum."), "1 Cum (One Cubic Meter)", IF(OR(C17="Rmt", C17="Rmt."), "1 Rmt (One Running Meter)", IF(OR(C17="Sqm", C17="Sqmt", C17="Sqm.", C17="Sqmt."), "1 Sqm (One Square Meter)", IF(OR(C17="Kg", C17="Kgs", C17="Kg.", C17="Kgs."), "1 Kg (One Kilogram)", IF(OR(C17="Nos", C17="No", C17="Nos.", C17="No."), "1 No (One Number)", IF(OR(C17="Hrs", C17="Hr", C17="Hrs.", C17="Hr.", C17="Hour", C17="Hours"), "1 Hrs (One Hour)", "Null"))))))</f>
        <v>1 Cum (One Cubic Meter)</v>
      </c>
      <c r="I17" s="40">
        <f t="shared" si="0"/>
        <v>101423</v>
      </c>
    </row>
    <row r="18" spans="1:9" ht="89.25">
      <c r="A18" s="19">
        <v>3</v>
      </c>
      <c r="B18" s="25">
        <v>155.1</v>
      </c>
      <c r="C18" s="62" t="s">
        <v>34</v>
      </c>
      <c r="D18" s="61" t="s">
        <v>43</v>
      </c>
      <c r="E18" s="26" t="s">
        <v>52</v>
      </c>
      <c r="F18" s="26">
        <v>6983.4</v>
      </c>
      <c r="G18" s="39" t="str">
        <f>[1]!rswords(F18)</f>
        <v>Rupees Six Thousand Nine Hundred Eighty Three And Paise Forty Only</v>
      </c>
      <c r="H18" s="54" t="str">
        <f t="shared" si="1"/>
        <v>1 Cum (One Cubic Meter)</v>
      </c>
      <c r="I18" s="40">
        <f t="shared" si="0"/>
        <v>1083125</v>
      </c>
    </row>
    <row r="19" spans="1:9" ht="92.25" customHeight="1">
      <c r="A19" s="19">
        <v>4</v>
      </c>
      <c r="B19" s="25">
        <v>296.10000000000002</v>
      </c>
      <c r="C19" s="62" t="s">
        <v>34</v>
      </c>
      <c r="D19" s="61" t="s">
        <v>44</v>
      </c>
      <c r="E19" s="26" t="s">
        <v>52</v>
      </c>
      <c r="F19" s="26">
        <v>7637.1</v>
      </c>
      <c r="G19" s="39" t="str">
        <f>[1]!rswords(F19)</f>
        <v>Rupees Seven Thousand Six Hundred Thirty Seven And Paise Ten Only</v>
      </c>
      <c r="H19" s="54" t="str">
        <f t="shared" si="1"/>
        <v>1 Cum (One Cubic Meter)</v>
      </c>
      <c r="I19" s="40">
        <f t="shared" si="0"/>
        <v>2261345</v>
      </c>
    </row>
    <row r="20" spans="1:9" ht="144.75" customHeight="1">
      <c r="A20" s="19">
        <v>5</v>
      </c>
      <c r="B20" s="25">
        <v>372.5</v>
      </c>
      <c r="C20" s="62" t="s">
        <v>35</v>
      </c>
      <c r="D20" s="61" t="s">
        <v>45</v>
      </c>
      <c r="E20" s="26" t="s">
        <v>36</v>
      </c>
      <c r="F20" s="26">
        <v>944.2</v>
      </c>
      <c r="G20" s="39" t="str">
        <f>[1]!rswords(F20)</f>
        <v>Rupees Nine Hundred Forty Four And Paise Twenty Only</v>
      </c>
      <c r="H20" s="54" t="str">
        <f t="shared" si="1"/>
        <v>1 Sqm (One Square Meter)</v>
      </c>
      <c r="I20" s="40">
        <f t="shared" si="0"/>
        <v>351715</v>
      </c>
    </row>
    <row r="21" spans="1:9" ht="50.25" customHeight="1">
      <c r="A21" s="19">
        <v>6</v>
      </c>
      <c r="B21" s="25">
        <v>60</v>
      </c>
      <c r="C21" s="62" t="s">
        <v>40</v>
      </c>
      <c r="D21" s="61" t="s">
        <v>46</v>
      </c>
      <c r="E21" s="26" t="s">
        <v>36</v>
      </c>
      <c r="F21" s="26">
        <v>898.7</v>
      </c>
      <c r="G21" s="39" t="str">
        <f>[1]!rswords(F21)</f>
        <v>Rupees Eight Hundred Ninety Eight And Paise Seventy Only</v>
      </c>
      <c r="H21" s="54" t="str">
        <f t="shared" si="1"/>
        <v>1 Rmt (One Running Meter)</v>
      </c>
      <c r="I21" s="40">
        <f t="shared" si="0"/>
        <v>53922</v>
      </c>
    </row>
    <row r="22" spans="1:9" ht="55.5" customHeight="1">
      <c r="A22" s="19">
        <v>7</v>
      </c>
      <c r="B22" s="25">
        <v>21.599999999999998</v>
      </c>
      <c r="C22" s="62" t="s">
        <v>35</v>
      </c>
      <c r="D22" s="61" t="s">
        <v>47</v>
      </c>
      <c r="E22" s="26" t="s">
        <v>36</v>
      </c>
      <c r="F22" s="26">
        <v>662.4</v>
      </c>
      <c r="G22" s="39" t="str">
        <f>[1]!rswords(F22)</f>
        <v>Rupees Six Hundred Sixty Two And Paise Forty Only</v>
      </c>
      <c r="H22" s="54" t="str">
        <f>IF(OR(C22="Cum", C22="Cum."), "1 Cum (One Cubic Meter)", IF(OR(C22="Rmt", C22="Rmt."), "1 Rmt (One Running Meter)", IF(OR(C22="Sqm", C22="Sqmt", C22="Sqm.", C22="Sqmt."), "1 Sqm (One Square Meter)", IF(OR(C22="Kg", C22="Kgs", C22="Kg.", C22="Kgs."), "1 Kg (One Kilogram)", IF(OR(C22="Nos", C22="No", C22="Nos.", C22="No."), "1 No (One Number)", IF(OR(C22="Hrs", C22="Hr", C22="Hrs.", C22="Hr.", C22="Hour", C22="Hours"), "1 Hrs (One Hour)", "Null"))))))</f>
        <v>1 Sqm (One Square Meter)</v>
      </c>
      <c r="I22" s="40">
        <f t="shared" si="0"/>
        <v>14308</v>
      </c>
    </row>
    <row r="23" spans="1:9" ht="78" customHeight="1">
      <c r="A23" s="19">
        <v>8</v>
      </c>
      <c r="B23" s="25">
        <v>90</v>
      </c>
      <c r="C23" s="62" t="s">
        <v>35</v>
      </c>
      <c r="D23" s="61" t="s">
        <v>48</v>
      </c>
      <c r="E23" s="26" t="s">
        <v>36</v>
      </c>
      <c r="F23" s="26">
        <v>55.8</v>
      </c>
      <c r="G23" s="39" t="str">
        <f>[1]!rswords(F23)</f>
        <v>Rupees Fifty Five And Paise Eighty Only</v>
      </c>
      <c r="H23" s="54" t="str">
        <f t="shared" si="1"/>
        <v>1 Sqm (One Square Meter)</v>
      </c>
      <c r="I23" s="40">
        <f t="shared" si="0"/>
        <v>5022</v>
      </c>
    </row>
    <row r="24" spans="1:9" ht="79.5" customHeight="1">
      <c r="A24" s="19">
        <v>9</v>
      </c>
      <c r="B24" s="25">
        <v>287.5</v>
      </c>
      <c r="C24" s="62" t="s">
        <v>34</v>
      </c>
      <c r="D24" s="61" t="s">
        <v>49</v>
      </c>
      <c r="E24" s="26" t="s">
        <v>36</v>
      </c>
      <c r="F24" s="26">
        <v>2692.2</v>
      </c>
      <c r="G24" s="39" t="str">
        <f>[1]!rswords(F24)</f>
        <v>Rupees Two Thousand Six Hundred Ninety Two And Paise Twenty Only</v>
      </c>
      <c r="H24" s="54" t="str">
        <f t="shared" si="1"/>
        <v>1 Cum (One Cubic Meter)</v>
      </c>
      <c r="I24" s="40">
        <f t="shared" si="0"/>
        <v>774008</v>
      </c>
    </row>
    <row r="25" spans="1:9" ht="20.25" customHeight="1">
      <c r="A25" s="19"/>
      <c r="B25" s="26"/>
      <c r="C25" s="12"/>
      <c r="D25" s="46"/>
      <c r="E25" s="26"/>
      <c r="F25" s="26"/>
      <c r="G25" s="63" t="s">
        <v>38</v>
      </c>
      <c r="H25" s="64" t="s">
        <v>17</v>
      </c>
      <c r="I25" s="42">
        <f>SUM(I16:I24)</f>
        <v>4917239</v>
      </c>
    </row>
    <row r="26" spans="1:9" s="3" customFormat="1">
      <c r="A26" s="77" t="s">
        <v>18</v>
      </c>
      <c r="B26" s="77"/>
      <c r="C26" s="77"/>
      <c r="D26" s="77"/>
      <c r="E26" s="77"/>
      <c r="F26" s="77"/>
      <c r="G26" s="77"/>
      <c r="H26" s="77"/>
      <c r="I26" s="77"/>
    </row>
    <row r="27" spans="1:9" ht="18" customHeight="1">
      <c r="A27" s="12">
        <v>10</v>
      </c>
      <c r="B27" s="12" t="s">
        <v>19</v>
      </c>
      <c r="C27" s="12"/>
      <c r="D27" s="46" t="s">
        <v>29</v>
      </c>
      <c r="E27" s="5" t="s">
        <v>33</v>
      </c>
      <c r="F27" s="35"/>
      <c r="G27" s="35"/>
      <c r="H27" s="12" t="s">
        <v>25</v>
      </c>
      <c r="I27" s="6">
        <v>104575</v>
      </c>
    </row>
    <row r="28" spans="1:9" ht="18" customHeight="1">
      <c r="A28" s="12">
        <v>11</v>
      </c>
      <c r="B28" s="12" t="s">
        <v>19</v>
      </c>
      <c r="C28" s="12"/>
      <c r="D28" s="46" t="s">
        <v>31</v>
      </c>
      <c r="E28" s="7"/>
      <c r="F28" s="35"/>
      <c r="G28" s="35"/>
      <c r="H28" s="12"/>
      <c r="I28" s="8">
        <f>ROUND(I27*30%,0)</f>
        <v>31373</v>
      </c>
    </row>
    <row r="29" spans="1:9" ht="18" customHeight="1">
      <c r="A29" s="12">
        <v>12</v>
      </c>
      <c r="B29" s="12" t="s">
        <v>19</v>
      </c>
      <c r="C29" s="12"/>
      <c r="D29" s="46" t="s">
        <v>30</v>
      </c>
      <c r="E29" s="7"/>
      <c r="F29" s="35"/>
      <c r="G29" s="35"/>
      <c r="H29" s="12"/>
      <c r="I29" s="8">
        <f>ROUND(I27*2%,0)</f>
        <v>2092</v>
      </c>
    </row>
    <row r="30" spans="1:9" ht="18" customHeight="1">
      <c r="A30" s="12">
        <v>13</v>
      </c>
      <c r="B30" s="12" t="s">
        <v>19</v>
      </c>
      <c r="C30" s="12"/>
      <c r="D30" s="46" t="s">
        <v>23</v>
      </c>
      <c r="E30" s="36"/>
      <c r="F30" s="36"/>
      <c r="G30" s="35"/>
      <c r="H30" s="12"/>
      <c r="I30" s="8">
        <f>ROUND(SUM(I25,I27,I28,I29)*0.1%,0)</f>
        <v>5055</v>
      </c>
    </row>
    <row r="31" spans="1:9" ht="18" customHeight="1">
      <c r="A31" s="12">
        <v>14</v>
      </c>
      <c r="B31" s="12" t="s">
        <v>19</v>
      </c>
      <c r="C31" s="12"/>
      <c r="D31" s="46" t="s">
        <v>32</v>
      </c>
      <c r="E31" s="57"/>
      <c r="F31" s="35"/>
      <c r="G31" s="35"/>
      <c r="H31" s="12"/>
      <c r="I31" s="6">
        <f>ROUND(SUM(I25,I27,I28,I29,I30)*18%,0)</f>
        <v>910860</v>
      </c>
    </row>
    <row r="32" spans="1:9">
      <c r="A32" s="12"/>
      <c r="B32" s="12"/>
      <c r="C32" s="12"/>
      <c r="D32" s="46"/>
      <c r="E32" s="57"/>
      <c r="F32" s="35"/>
      <c r="G32" s="41" t="s">
        <v>24</v>
      </c>
      <c r="H32" s="41" t="s">
        <v>17</v>
      </c>
      <c r="I32" s="43">
        <f>SUM(I27:I31)</f>
        <v>1053955</v>
      </c>
    </row>
    <row r="33" spans="1:10" s="3" customFormat="1">
      <c r="A33" s="20"/>
      <c r="B33" s="27"/>
      <c r="C33" s="32"/>
      <c r="D33" s="47"/>
      <c r="E33" s="20" t="s">
        <v>37</v>
      </c>
      <c r="F33" s="20"/>
      <c r="G33" s="37"/>
      <c r="H33" s="37"/>
      <c r="I33" s="44">
        <f>I25+I32</f>
        <v>5971194</v>
      </c>
      <c r="J33" s="4"/>
    </row>
    <row r="34" spans="1:10" s="3" customFormat="1">
      <c r="A34" s="48"/>
      <c r="B34" s="49"/>
      <c r="C34" s="50"/>
      <c r="D34" s="51"/>
      <c r="E34" s="58"/>
      <c r="F34" s="58"/>
      <c r="G34" s="52"/>
      <c r="H34" s="52"/>
      <c r="I34" s="53"/>
      <c r="J34" s="4"/>
    </row>
    <row r="35" spans="1:10" s="3" customFormat="1" ht="14.25">
      <c r="A35" s="14"/>
      <c r="B35" s="28"/>
      <c r="C35" s="28"/>
      <c r="D35" s="28"/>
      <c r="E35" s="59"/>
      <c r="F35" s="59"/>
      <c r="G35" s="28"/>
      <c r="H35" s="28"/>
      <c r="I35" s="28"/>
    </row>
    <row r="36" spans="1:10" s="3" customFormat="1" ht="14.25">
      <c r="A36" s="14"/>
      <c r="B36" s="28"/>
      <c r="C36" s="28"/>
      <c r="D36" s="28"/>
      <c r="E36" s="59"/>
      <c r="F36" s="60"/>
      <c r="G36" s="28"/>
      <c r="H36" s="28"/>
      <c r="I36" s="28"/>
    </row>
    <row r="37" spans="1:10" s="3" customFormat="1" ht="14.25">
      <c r="A37" s="14"/>
      <c r="B37" s="22" t="s">
        <v>28</v>
      </c>
      <c r="C37" s="9"/>
      <c r="D37" s="9"/>
      <c r="E37" s="14"/>
      <c r="F37" s="76" t="s">
        <v>26</v>
      </c>
      <c r="G37" s="76"/>
      <c r="H37" s="76"/>
      <c r="I37" s="76"/>
    </row>
    <row r="38" spans="1:10" s="3" customFormat="1" ht="14.25">
      <c r="A38" s="14"/>
      <c r="B38" s="22"/>
      <c r="C38" s="9"/>
      <c r="D38" s="9"/>
      <c r="E38" s="14"/>
      <c r="F38" s="75" t="s">
        <v>27</v>
      </c>
      <c r="G38" s="75"/>
      <c r="H38" s="75"/>
      <c r="I38" s="75"/>
    </row>
    <row r="39" spans="1:10">
      <c r="D39" s="13"/>
    </row>
  </sheetData>
  <mergeCells count="19">
    <mergeCell ref="B8:I8"/>
    <mergeCell ref="B12:C13"/>
    <mergeCell ref="D12:D13"/>
    <mergeCell ref="F38:I38"/>
    <mergeCell ref="F37:I37"/>
    <mergeCell ref="A26:I26"/>
    <mergeCell ref="F12:G12"/>
    <mergeCell ref="E12:E13"/>
    <mergeCell ref="B14:C14"/>
    <mergeCell ref="A1:I1"/>
    <mergeCell ref="A1:I1"/>
    <mergeCell ref="I12:I13"/>
    <mergeCell ref="H12:H13"/>
    <mergeCell ref="B11:I11"/>
    <mergeCell ref="A3:I3"/>
    <mergeCell ref="B9:I9"/>
    <mergeCell ref="A12:A13"/>
    <mergeCell ref="A6:I7"/>
    <mergeCell ref="E4:I4"/>
  </mergeCells>
  <phoneticPr fontId="3" type="noConversion"/>
  <pageMargins left="1.06" right="0.31496062992126" top="0.28999999999999998" bottom="0.31496062992126" header="0.64" footer="0"/>
  <pageSetup paperSize="9" scale="75" orientation="landscape" r:id="rId1"/>
  <rowBreaks count="2" manualBreakCount="2">
    <brk id="19" max="8" man="1"/>
    <brk id="38"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http://sharingcentre.info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Activated User</dc:creator>
  <cp:lastModifiedBy>LITHIK</cp:lastModifiedBy>
  <cp:lastPrinted>2026-10-24T14:03:24Z</cp:lastPrinted>
  <dcterms:created xsi:type="dcterms:W3CDTF">2010-04-25T02:46:31Z</dcterms:created>
  <dcterms:modified xsi:type="dcterms:W3CDTF">2026-10-26T04:23:18Z</dcterms:modified>
</cp:coreProperties>
</file>