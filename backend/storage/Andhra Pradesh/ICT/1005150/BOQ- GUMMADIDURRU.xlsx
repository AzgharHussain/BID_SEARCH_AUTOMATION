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HP\Desktop\GUMMADIDURRU\"/>
    </mc:Choice>
  </mc:AlternateContent>
  <xr:revisionPtr revIDLastSave="0" documentId="13_ncr:1_{810E9737-B33B-462D-94B6-3BEDFFD682E7}"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externalReferences>
    <externalReference r:id="rId3"/>
  </externalReferences>
  <definedNames>
    <definedName name="_xlnm._FilterDatabase" localSheetId="0" hidden="1">Sheet1!$A$1:$H$124</definedName>
    <definedName name="_xlnm.Print_Area" localSheetId="0">Sheet1!$A$1:$H$121</definedName>
    <definedName name="_xlnm.Print_Titles" localSheetId="0">Sheet1!$1:$1</definedName>
  </definedNames>
  <calcPr calcId="191029"/>
</workbook>
</file>

<file path=xl/calcChain.xml><?xml version="1.0" encoding="utf-8"?>
<calcChain xmlns="http://schemas.openxmlformats.org/spreadsheetml/2006/main">
  <c r="H6" i="2" l="1"/>
  <c r="D6" i="2"/>
  <c r="D15" i="2" l="1"/>
  <c r="F10" i="2"/>
  <c r="E15" i="2" s="1"/>
  <c r="H5" i="2"/>
  <c r="D5" i="2"/>
  <c r="H4" i="2"/>
  <c r="D4" i="2"/>
  <c r="H3" i="2"/>
  <c r="D3" i="2"/>
  <c r="H6" i="1" l="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F5" i="1" l="1"/>
  <c r="H5" i="1" s="1"/>
  <c r="H121" i="1" s="1"/>
  <c r="H122" i="1" s="1"/>
  <c r="H123" i="1" s="1"/>
  <c r="H124" i="1" s="1"/>
</calcChain>
</file>

<file path=xl/sharedStrings.xml><?xml version="1.0" encoding="utf-8"?>
<sst xmlns="http://schemas.openxmlformats.org/spreadsheetml/2006/main" count="624" uniqueCount="223">
  <si>
    <t>Estimate Quantity (only Figures)</t>
  </si>
  <si>
    <t>Item Detailed 
Specification Description</t>
  </si>
  <si>
    <t>Work Type 
eg. Earth Work, Electrical works.. etc
( upto 200 Characters)</t>
  </si>
  <si>
    <t>Item Short Description 
( upto 100 Characters)</t>
  </si>
  <si>
    <t>APSS / Morth Cl. Number 
( upto 200 Characters)</t>
  </si>
  <si>
    <t>Rate (INR) 
( Upto 2 Decimals )</t>
  </si>
  <si>
    <t>UOM
( upto 50 Characters)</t>
  </si>
  <si>
    <t>Amount (INR) 
( Upto 2 Decimals )</t>
  </si>
  <si>
    <t>Sqm</t>
  </si>
  <si>
    <t>NIL</t>
  </si>
  <si>
    <t>Each</t>
  </si>
  <si>
    <t xml:space="preserve">Re-Construction of Temple </t>
  </si>
  <si>
    <t>Temple</t>
  </si>
  <si>
    <t>B).  Above Sthambhavargam (1st  floor)</t>
  </si>
  <si>
    <t>A). Cost of cut stone</t>
  </si>
  <si>
    <t>Sri Omkareswara Swamy Temple, Gummadidurru (V), Penuganchiprolu (M), NTR District.</t>
  </si>
  <si>
    <t>Earth work excavation for foundations (Manual Means) of buildings,   septic tank, sump, compound wall in ordinary soils and depositing on bank with an initial lead of 10m and 1m additional lift charges over the initial depth up to 3m including all operational incidental  ,  labour charges such as shoring, sheeting , planking, strutting etc., and including  overheads &amp; contractors profit complete for finished item of work excluding seigniorage charges, sales &amp; other taxes on all materials ,  dewatering charges etc., as per SS 20 B(APSS 308)</t>
  </si>
  <si>
    <t>Earth Work excavation</t>
  </si>
  <si>
    <t>308</t>
  </si>
  <si>
    <t xml:space="preserve">Filling with carted filling sand in trenches,sides of foundations and basement with initial lead in layers not exceeding 15cm thick,watering and ramming including cost and conveyance of water to work site and all peraitonal, incidental , labour charges,hire charges of T&amp;P excluding seigniorage charges, sales &amp; other taxes on all materials  etc.,  and including  overheads &amp; contractors profit complete for fnished item of work(APSS NO.309&amp;310) </t>
  </si>
  <si>
    <t xml:space="preserve">Filling with carted filling sand </t>
  </si>
  <si>
    <t>309 &amp;310</t>
  </si>
  <si>
    <t>Plain Cement Concrete  (1:4:8) (cement: fine aggregate: Coarse aggregate) for foundations and under flooring bed using coarse aggregate 40mm size  hard , machine crushed  granite from approved quarry including cost and conveyance of all materials like cement, sand, coarse aggregate, water etc. to site, excluding seigniorage charges, sales &amp; other taxes on all materials and including all charges for machine mixing, laying concrete in foundations and under flooring bed, ramming in 15 cm layers finishing top surface to the required level curing etc., and including overheads &amp; contractors profit complete for finished item of work. (APSS No. 402)</t>
  </si>
  <si>
    <t xml:space="preserve">Plain Cement Concrete  (1:4:8) </t>
  </si>
  <si>
    <t>402</t>
  </si>
  <si>
    <t>Vibrated Plain Cement Concrete (1:3:6) nominal mix using 50% 40mm size and 50% 20 mm size  machine crushed hard granite metal (coarse aggregate) from approved quarry including cost and conveyance of all materials like cement, fine aggregate (sand), coarse aggregate, water etc. to site, excluding seigniorage charges, sales &amp; other taxes on all materials, including all charges for mixing, laying concerete in position, vibrating, curing, centering using Steel scaffolding pipes , jack props , wallers , Foot plates , brackets , steel centering plates etc., including all operational, incidental and labour charges, including overheads &amp; contractors profit etc.,for finished item of work for footings. (APSS No. 402)</t>
  </si>
  <si>
    <t xml:space="preserve">Vibrated Plain Cement Concrete (1:3:6) </t>
  </si>
  <si>
    <t>Ornamental brick work in C.M. (1:5) using common burnt clay bricks prop: (Cement : Screened sand) using common burnt clay bricks of class as per Table- I of IS:1077-1992, Non- Modular or traditional size 23 x 11 x 7 cms  from approved source having minimum crushing strength of 50 Kg/Sqcm using bricks, bats and flat tiles including cost and conveyance of all materials like cement, sand, bricks etc to site ,excluding seigniorage charges, sales &amp; other taxes on all materials,  excluding scaffolding for construction of masonary but including lift charges and soaking the bricks in clean water atleast an hour immediately before use, curing etc complete for finished item of work,including overheads &amp; contractors profit etc.,for finished item of work.</t>
  </si>
  <si>
    <t>A).Up to Sthambhavargam Level / 2nd class veriety</t>
  </si>
  <si>
    <t xml:space="preserve">Ornamental brick work in C.M. (1:5) </t>
  </si>
  <si>
    <t>As per Description</t>
  </si>
  <si>
    <t>C)  2nd floor</t>
  </si>
  <si>
    <t>VRCC M-20 grade nominal mix (cement :fine aggreegate: coarse aggregate) corresponding to table 9 of IS456 using 20mm size graded machine crushed hard granite metal (coarse aggreegate)from approved Quarry including cost and conveyancej of all materials like cement,fine aggregate(sand)coarse aggregate, water etc, to site and excluding seigniorage charges,sales and other taxes on all materials including all operational incidental and labour charges such  as machine mixing , laying concrete, curing etc., complete but excluding cost of steel and its fabrication charges for finished item of work, including overheads &amp; contractors profit etc.,for finished item of work ,but excluding centering shuttering :</t>
  </si>
  <si>
    <t>a). Lintel</t>
  </si>
  <si>
    <t xml:space="preserve">VRCC M-20 grade nominal mix </t>
  </si>
  <si>
    <t>As per APSSS</t>
  </si>
  <si>
    <t>26.30</t>
  </si>
  <si>
    <t>b). Roof slab 0-5" thick</t>
  </si>
  <si>
    <t>Providing High Yield Strength Deformed (HYSD) (Fe 415 /500 grade as per IS 1786-1979) of different diameters for RCC works , including labour charges for straightening, cutting, bending to required sizes and shapes, placing in position with cover blocks of approved materials and size and tying and lap-splicing with binding wire of 18 SWG, forming grills for reinforcement work as per approved designs and drawings, including cost and conveyance of steel bars, including all wastages such as overlaps, couplings, chairs, spacer bars including cost and conveyance of binding wire, cover blocks and all incidental, operational, labour charges such as cutting, bending, placing in position, tying excluding sales and other taxes on all materials etc. ,and  including overheads &amp; contractors profit complete for finished item of work in all floors.( APSS No.126)</t>
  </si>
  <si>
    <t xml:space="preserve">Providing HYSD (Fe 415 /500 grade as per IS 1786-1979) of different diameters </t>
  </si>
  <si>
    <t>Providing impervious coat to exposed RCC roof slab surfaces to required slopes with CM (1:3) prop. using screened sand 20mm thick (average) mixed with water proofing compound manufactured by reputed manufacturers as approved by Engineer-in-charge at 1 Kg per one bag of cement, laid over roof slab when it is green, finished smooth with a floating coat of neat cement and thread lining at regular intervals of 45cmx45cm including cost and conveyance of all materials like cement, sand, water proofing compound, water etc., to site, excluding seigniorage charges, sales &amp; other taxes on all materials and including all operational, incidental, and labour charges for mixing mortar, laying, lift charges, rendering smooth and thread lining, curing including rounding off junctions of wall and slab etc., and  including overheads &amp; contractors profit  complete for finished item of work. (APSS No. 901 &amp; 903).</t>
  </si>
  <si>
    <t xml:space="preserve">Providing impervious coat to exposed RCC roof slab surfaces </t>
  </si>
  <si>
    <t>901 &amp; 903</t>
  </si>
  <si>
    <t>Brick masonry for panel walls in superstructure with CM (1:6) prop: (Cement : Screened sand) using common burnt clay bricks of class as per Table- I of IS:1077-1992, Non- Modular or traditional size 23 x 11 x 7 cms  from approved source having minimum crushing strength of 50 Kg/Sqcm. including cost and conveyance of all materials like cement, screened sand, bricks, water etc., to site, excluding seigniorage charges, sales &amp; other taxes on all materials and including labour charges, like mixing cement mortar, scaffolding charges, constructing masonry, lift charges, curing, etc.,and including overheads &amp; contractors profit  complete for finished item of work. (APSS No. 501 &amp; 504).</t>
  </si>
  <si>
    <t>Brick masonry for panel walls in superstructure with CM (1:6)</t>
  </si>
  <si>
    <t>501 &amp; 504</t>
  </si>
  <si>
    <t>Supply and fixing of granite stone door frame of required size and shape as per plan or as directed during execution of work including cost and conveyance of stone, excluding sales &amp; other taxes including overheads &amp; contractor profit</t>
  </si>
  <si>
    <t xml:space="preserve">Supply and fixing of granite stone door frame </t>
  </si>
  <si>
    <t>B) Dressing Charges - 5 lines palmana instead of fine dressing &amp; polishing &amp; padmams at top &amp; bottom, nagabandham on vertical stone</t>
  </si>
  <si>
    <t>C)Fixing Charges</t>
  </si>
  <si>
    <t>Ornamental plastering 25mm to 40mm thick with base pleastering 12mm to 20 mm in C.M. (1:3) and top finishing 12mm thick with C.M. (1:2) to bring the required ornamentation including fine rendeing with neat cement cost and conveyance of all materials, labour charges, all incidental and operational charges curing etc., complete for finished item of work in site for external surface as per approved drawings and as directed during execution including preparation and fixing precast pillars, Kudam, Palakai, Vedika, Lathalu in Uttara Elduhakam, Pothikas, Nasigudu, Pupha Puskala, Adihishtanam whereever necessary  &amp; including overheads &amp; contractors profit etc.,for finished item of work, excluding seigniorage, sales &amp; other taxes, etc.</t>
  </si>
  <si>
    <t xml:space="preserve">A). Upto S.V Level /2nd class veriety  </t>
  </si>
  <si>
    <t xml:space="preserve">Ornamental Plastering </t>
  </si>
  <si>
    <t>B). Above S.V. 1st class verity</t>
  </si>
  <si>
    <t>d) 2nd floor</t>
  </si>
  <si>
    <t xml:space="preserve">Ceiling Plastering 12 mm thick single coat in CM(1:3) using screened sand including cost and conveyance of all materials like cement, sand, water etc., to site, excluding seigniorage charges, sales &amp; other taxes on all materials, and including all operational, incidental charges on materials and including cost of all labour charges for mixing mortar, finishing, curing as directed by Engineer-in-charge etc., and including overheads &amp; contractors profit complete for finished item of work.(SS 901,903 &amp; 904) </t>
  </si>
  <si>
    <t>Ceiling Plastering 12 mm thick single coat in CM(1:3)</t>
  </si>
  <si>
    <t>901, 903 &amp; 904</t>
  </si>
  <si>
    <t xml:space="preserve">Plastering 20 mm thick single coat in CM(1:3) using screened sand including cost and conveyance of all materials like cement, sand, water etc., to site, excluding seigniorage charges, sales &amp; other taxes on all materials, and including all operational, incidental charges on materials and including cost of all labour charges for mixing mortar, finishing, curing as directed by Engineer-in-charge etc., and including overheads &amp; contractors profit complete for finished item of work.(SS 901,903 &amp; 904) </t>
  </si>
  <si>
    <t xml:space="preserve">Plastering 20 mm thick single coat in CM(1:3) </t>
  </si>
  <si>
    <t>27.96</t>
  </si>
  <si>
    <t>Supply and fixing of best teak wood ornamental Door shutters with two leaves using 25mm thick planks and 40mm thick frame as per standard temle design including cost of frame and flanks and preparation charges,fixing of shutters in position,locking arrangements etc.,complete. including overheads &amp; contractors profit etc.,for finished item of work(Double padmam with padmarekulu and plain frame) excluding sales &amp; other taxes.</t>
  </si>
  <si>
    <t xml:space="preserve">Supply and fixing of best teak wood ornamental Door shutters with two leaves </t>
  </si>
  <si>
    <t>As per Silpi norms</t>
  </si>
  <si>
    <t>Supply and fixing of brass metal stoopi with stoopi dendam, Bramha randhram stone (Gandhapu-Raje) including cost and conveyance of all materials and labour charges including overheads &amp; contractors profit etc.,for finished item of work etc complete.excluding sales &amp; other taxes.</t>
  </si>
  <si>
    <t xml:space="preserve">Supply and fixing of brass metal stoopi with stoopi dendam, Bramha randhram stone </t>
  </si>
  <si>
    <t xml:space="preserve">Supplying and fixing of Nayalam type black granite cut stone  Somasutram  including cost and conveyance of stone excluding seigninorage charges, sales &amp; other taxes and including all labour charges with fine palamana dressing including operational charges including overheads &amp; contractors profit etc.,for finished item of work etc. complete for finished item of work. as per Silpi SSR 2012. </t>
  </si>
  <si>
    <t xml:space="preserve">Supplying and fixing of Nayalam type black granite cut stone  Somasutram  </t>
  </si>
  <si>
    <t>Providing Cement Vighrams using  cement,fine sand ,iron bars,mesh,brick bats,and flat tiles pieces including cost and conveyance of all material and all labour charges including overheads &amp; contractors profit etc.,for finished item of work etc., Complete.excluding sales &amp; other taxes.</t>
  </si>
  <si>
    <t xml:space="preserve">A) 4 Hands sitting </t>
  </si>
  <si>
    <t xml:space="preserve">Providing Cement Vighrams </t>
  </si>
  <si>
    <t>b) Standing 2 Hands</t>
  </si>
  <si>
    <t>c) Simhams/Nandulu</t>
  </si>
  <si>
    <t xml:space="preserve">Flooring with unpolished Flamed granite 18-20mm thick upto 2.43m granite stone slabs </t>
  </si>
  <si>
    <t>Providing cladding to walls with Multi  red colour Granite 18-20 mm thick upto 2.43m other than black and regular colours, length equal to flooring stones set over base coat of CM(1:5) 12 mm thick using screened sand with cement slurry of honey like consistency spread at the rate of 3.30 kgs per sqm and jointing with white cement paste mixed with pigment of matching shade to full depth, including cost of all materials like tiles, cement, sand and water etc., complete excluding seigniorage charges, sales &amp; other taxes etc., and including overheads &amp; contractors profit complete for finished item of work.</t>
  </si>
  <si>
    <t xml:space="preserve">Providing cladding to walls with Multi  red colour Granite 18-20 mm thick upto 2.43m </t>
  </si>
  <si>
    <t>A) Up to 20'-0" Height</t>
  </si>
  <si>
    <t xml:space="preserve">Supplying and fixing of scaffolding to structure </t>
  </si>
  <si>
    <t>B) Above 20'-0" to 30-0" Height</t>
  </si>
  <si>
    <t xml:space="preserve">Supply &amp; application of one coat of  deco orient base &amp; two coats of acrylic exterior emulsion paint </t>
  </si>
  <si>
    <t>Mukha Mandapam</t>
  </si>
  <si>
    <t>Earth work excavation for foundations (Manual Means) of buildings,  septic tank, sump, compound wall in ordinary soils and depositing on bank with an initial lead of 10m and 1m additional lift charges over the initial depth up to 3m including all operational,incidental, labour charges such as shoring, sheeting, planking, strutting excluding seigniorage charges, sales &amp; other taxes on all materials  etc., and including  overheads &amp; contractors profit complete for finished item of work excluding seigniorage, dewatering charges etc., as per SS 20 B(APSS 308)</t>
  </si>
  <si>
    <t>Earth work Excavation</t>
  </si>
  <si>
    <t xml:space="preserve">Filling with carted filling sand in trenches,sides of foundations and basement with initial lead in layers not exceeding 15cm thick,watering and ramming including cost and conveyance of water to work site and all peraitonal, incidental ,labour charges,hire charges of T&amp;P  excluding seigniorage charges, sales &amp; other taxes on all materials  etc.,  and including  overheads &amp; contractors profit complete for fnished item of work(APSS No.309 &amp; 310) </t>
  </si>
  <si>
    <t>309 &amp; 310</t>
  </si>
  <si>
    <t>Plain Cement Concrete  (1:4:8) (cement: fine aggregate: Coarse aggregate) for foundations and under flooring bed using coarse aggregate 40mm size  hard , machine crushed  granite from approved quarry including cost and conveyance of all materials like cement, sand, coarse aggregate, water etc. to site, excluding seigniorage charges, sales &amp; other taxes on all materials and including all charges for machine mixing, laying concrete in foundations and under flooring bed, ramming in 15 cm layers finishing top surface to the required level curing etc.,and including overheads &amp; contractors profit  complete for finished item of work. (APSS No. 402)</t>
  </si>
  <si>
    <t>Plain Cement Concrete  (1:4:8)</t>
  </si>
  <si>
    <t>VRCC M-20 grade nominal mix (cement :fine aggreegate: coarse aggregate) corresponding to table 9 of IS456 using 20mm size graded machine crushed hard granite metal (coarse aggreegate)from approved Quarry including cost and conveyancej of all materials like cement,fine aggregate(sand)coarse aggregate, water etc, to site and excluding seigniorage charges,sales and other taxes on all materials including all operational incidental and labour charges such  as machine mixing , laying concrete, curing etc., complete but excluding cost of steel and its fabrication charges for finished item of work, but including centering shuttering and including overheads &amp; contractors profit  complete for finished item of work.</t>
  </si>
  <si>
    <t>a) Footings</t>
  </si>
  <si>
    <t>As per APSS</t>
  </si>
  <si>
    <t>b) Pedastals</t>
  </si>
  <si>
    <t>3.74</t>
  </si>
  <si>
    <t>c) Columns</t>
  </si>
  <si>
    <t>45.17</t>
  </si>
  <si>
    <t>f) Roof slab 0-5" thick</t>
  </si>
  <si>
    <t>g) Ornamental Sunshade 2'-6"wide</t>
  </si>
  <si>
    <t>Providing High Yield Strength Deformed (HYSD) (Fe 415 /500 grade as per IS 1786-1979) of different diameters for RCC works , including labour charges for straightening, cutting, bending to required sizes and shapes, placing in position with cover blocks of approved materials and size and tying and lap-splicing with binding wire of 18 SWG, forming grills for reinforcement work as per approved designs and drawings, including cost and conveyance of steel bars, including all wastages such as overlaps, couplings, chairs, spacer bars including cost and conveyance of binding wire, cover blocks and all incidental, operational, labour charges such as cutting, bending, placing in position, tying excluding sales and other taxes on all materials etc. ,and including  overheads &amp; contractors profit complete for finished item of work in all floors.( APSS No.126)</t>
  </si>
  <si>
    <t xml:space="preserve">Providing High Yield Strength Deformed (HYSD) </t>
  </si>
  <si>
    <t>Brick masonry for panel walls in superstructure with CM (1:6) prop: (Cement : Screened sand) using common burnt clay bricks of class as per Table- I of IS:1077-1992, Non- Modular or traditional size 23 x 11 x 7 cms  from approved source having minimum crushing strength of 50 Kg/Sqcm. including cost and conveyance of all materials like cement, screened sand, bricks, water etc., to site, excluding seigniorage charges, sales &amp; other taxes on all materials and including labour charges, like mixing cement mortar, scaffolding charges, constructing masonry, lift charges, curing, etc.,and including  overheads &amp; contractors profit  complete for finished item of work. (APSS No. 501 &amp; 504).</t>
  </si>
  <si>
    <t xml:space="preserve">Ornamental brick work in C.M. (1:5) using second class well burnt bricks from approved sources using bricks, bats and flat tiles including cost and conveyance of all materials like cement, sand, bricks etc to site excluding seigniorage charges,  excluding scaffolding for construction of masonary but including lift charges and soaking the bricks in clean water atleast an hour immediately before use, curing etc and including overheads &amp; contractors profit  complete for finished item of work complete </t>
  </si>
  <si>
    <t>A).Up to Sthambhavargam Level/2nd class veriety</t>
  </si>
  <si>
    <t>Providing impervious coat to exposed RCC roof slab surfaces to required slopes with CM (1:3) prop. using screened sand 20mm thick (average) mixed with water proofing compound manufactured by reputed manufacturers as approved by Engineer-in-charge at 1 Kg per one bag of cement, laid over roof slab when it is green, finished smooth with a floating coat of neat cement and thread lining at regular intervals of 45cmx45cm including cost and conveyance of all materials like cement, sand, water proofing compound, water etc., to site, excluding seigniorage charges, sales &amp; other taxes on all materials and including operational, incidental, and labour charges for mixing mortar, laying, lift charges, rendering smooth and thread lining, curing including rounding off junctions of wall and slab etc., and including overheads &amp; contractors profit  complete for finished item of work. (APSS No. 901 &amp; 903).</t>
  </si>
  <si>
    <t>Ornamental plastering 25mm to 40mm thick with base pleastering 12mm to 20 mm in C.M. (1:3) and top finishing 12mm thick with C.M. (1:2) to bring the required ornamentation including fine rendeing with neat cement cost and conveyance of all materials, labour charges, all incidental and operational charges curing etc., complete for finished item of work in site for external surface as per approved drawings and as directed during execution including preparation and fixing precast pillars, Kudam, Palakai, Vedika, Lathalu in Uttara Elduhakam, Pothikas, Nasigudu, Pupha Puskala, Adihishtanam whereever necessary and including overheads &amp; contractors profit  complete for finished item of work, excluding seigniorage sales &amp; other taxes.</t>
  </si>
  <si>
    <t>a) Upto S.V.Level / 2 nd class verity</t>
  </si>
  <si>
    <t xml:space="preserve">Ornamental plastering 25mm to 40mm </t>
  </si>
  <si>
    <t>B). Above Sthambhavargam /2nd class veriety (1st  floor)</t>
  </si>
  <si>
    <t>b)Ornamental plastering with precast cement moulds Pillars using with cements fine sand,brick bats etc., including cost and conveyance of all material and all labour charges ,curing &amp; operational charges etc., complete but excluding scaffolding charges, seignorage charges, sales &amp; other taxes for finished item of work.and including overheads &amp; contractors profit  complete for finished item of work.</t>
  </si>
  <si>
    <t>A). Chitrakanta stambham</t>
  </si>
  <si>
    <t xml:space="preserve">Ornamental plastering with precast cement moulds </t>
  </si>
  <si>
    <t>d) Ceiling Padmam  4-0" dia</t>
  </si>
  <si>
    <t>e) Providing Salai</t>
  </si>
  <si>
    <t xml:space="preserve">Ceiling plastering 12mm thick single coat in CM (1:3) using screened sand including cost and conveyance of all materials like cement, sand, water etc., to site, excluding seigniorage charges, sales &amp; other taxes on all materials, and including all operational, incidental charges on materials and including cost of all labour charges for mixing mortar, finishing, curing as directed by Engineer-in-charge etc., and including overheads &amp; contractors profit complete for finished item of work.(SS 901,903 &amp; 904) </t>
  </si>
  <si>
    <t>Ceiling plastering 12mm thick single coat in CM (1:3)</t>
  </si>
  <si>
    <t xml:space="preserve">Plastering 20 mm thick single coat in CM (1:5) using screened sand including cost and conveyance of all materials like cement, sand, water etc., to site, excluding seigniorage charges, sales &amp; other taxes on all materials, and including all operational, incidental charges on materials and including cost of all labour charges for mixing mortar, finishing, curing as directed by Engineer-in-charge etc., and including overheads &amp; contractors profit complete for finished item of work.(SS 901,903 &amp; 904) </t>
  </si>
  <si>
    <t xml:space="preserve">Plastering 20 mm thick single coat in CM (1:5) </t>
  </si>
  <si>
    <t>Supplying and fixing of scaffolding to structure including cost &amp; conveyance of all materials such as casino poles, bamboos plat form, nails, and coir rope etc complete, excluding sales &amp; other taxes.</t>
  </si>
  <si>
    <t>A). Upto 20 feet height</t>
  </si>
  <si>
    <t>Dwajam</t>
  </si>
  <si>
    <t>Earth work excavation for foundations ( Mannual Means) for buildings in ordinary soils and depositing on bank for all lifts and with an initial lead of 10m and up to 3m depth  including all operational,incidental, labour charges such as shoring, sheeting, planking, strutting etc., and including overheads &amp; contractors profit complete for finished item of work excluding seigniorage sales &amp; other taxes on all materials, and dewatering charges etc., complete as per SS 20 B (APSS No.  308)</t>
  </si>
  <si>
    <t xml:space="preserve">Earth work excavation </t>
  </si>
  <si>
    <t xml:space="preserve">Filling with carted  filling sand in trenches,sides of foundations and basement  lead in layers not exceeding 15cm thick,watering and ramming including cost and conveyance of water to work site and all operaitonal,incidental, labour charges,hire charges of T&amp;P etc.,excluding seigniorage sales &amp; other taxes on all materials  and including overheads &amp; contractors profit complete for fnished item of work (APSS No.309&amp;310) </t>
  </si>
  <si>
    <t xml:space="preserve">Filling with carted  filling sand </t>
  </si>
  <si>
    <t>Plain Cement Concrete (1:4:8) nominal mix using 40mm size machine crushed hard granite metal (coarse aggregate) from approved quarry including cost and conveyance of all materials like cement, fine aggregate (sand), coarse aggregate, water etc. to site, including excluding seigniorage charges, sales &amp; other taxes on all materials, including  all charges for mixing, laying concrete in position, vibrating, curing,including  overheads &amp; contractors profit etc.,for finished item of work for footings and basement .</t>
  </si>
  <si>
    <t xml:space="preserve">Plain Cement Concrete (1:4:8) </t>
  </si>
  <si>
    <t>Vibrated Plain Cement Concrete (1:3:6) nominal mix using 40mm size machine crushed hard granite metal (coarse aggregate) from approved quarry including cost and conveyance of all materials like cement, fine aggregate (sand), coarse aggregate, water etc. to site, excluding seigniorage charges, sales &amp; other taxes on all materials, including all charges for mixing, laying concrete in position, vibrating, curing,including  overheads &amp; contractors profit etc.,for finished item of work for footings and basement .</t>
  </si>
  <si>
    <t>Vibrated plain Cement Concrete (1:1.5:3) nominal mix using 20mm size machine crushed hard granite metal (coarse aggregate) from approved quarry including cost and conveyance of all materials like cement, fine aggregate (sand), coarse aggregate, water etc. to site, excluding seigniorage charges, sales &amp; other taxes on all materials, including all charges for mixing, laying concrete in position, vibrating, curing, including overheads &amp; contractors profit etc.,for finished item of work for footings and basement .</t>
  </si>
  <si>
    <t xml:space="preserve">Vibrated plain Cement Concrete (1:1.5:3) nominal mix </t>
  </si>
  <si>
    <t>Ornamental brick work in C.M (1:5) using second class well burnt bricks from approved sources using bricks, bats and flat tiles including cost and conveyance of all materials like cement, sand, bricks etc to site ,  excluding seigniorage charges, sales &amp; other taxes on all materials, excluding scaffolding for construction of masonry but including lift charges and soaking the bricks in clean water atleast an hour immediately before use, curing etc., and including over heads and contractor profit complete for finished item of work. (as per Silpi SSR 2012)</t>
  </si>
  <si>
    <t xml:space="preserve">Ornamental brick work in C.M (1:5) </t>
  </si>
  <si>
    <t>Ornamental plastering  25mm to 40mm thick with base plastering 12mm to 20mm in C.M (1:3) and top finishing 12mm thick with C.M (1:2) to bring the required ornamentation including fine rendering with neat cement including cost and conveyance of all materials to site, labour charges, all incidental and operational charges curing etc., including over heads and contractor profit complete for finished item of work in site for external surface as per approved drawings and as directed during execution including preparation and fixing precast pillars, Kudam, Palakai, Vedika. Lathalu in Uttara Eludhakam, Pothikas, Nasigudu. Pupha Puskala Adihishtanam Wherever necessary. (as per Silpi SSR 2012) excluding seigniorage , sales &amp; other taxes</t>
  </si>
  <si>
    <t>A). 2nd class Upto Stambhavargam</t>
  </si>
  <si>
    <t xml:space="preserve">Ornamental plastering  25mm to 40mm thick </t>
  </si>
  <si>
    <t>Providing medium  teak wood  for Dwajasthambam including cost and conveyance of  wood- labour charges  for shaping and cutting the log,errection on cut stone base including cost of megalalu,Brass bells etc.,Complete.etc., Complete,  excluding sales &amp; other taxes, including overheads &amp; contractor profit.</t>
  </si>
  <si>
    <t>NIl</t>
  </si>
  <si>
    <t>A) Cost of Dwajam</t>
  </si>
  <si>
    <t xml:space="preserve">Providing medium  teak wood  for Dwajasthambam </t>
  </si>
  <si>
    <t>C) Granite stone bed</t>
  </si>
  <si>
    <t xml:space="preserve">Supplying and Fixing of Megalalu,Upadandams etc., </t>
  </si>
  <si>
    <t>E) Supplying and Fixing of Brass bells to Meghalalu</t>
  </si>
  <si>
    <t>Supplying and Fixing of Brass bells to Meghalalu</t>
  </si>
  <si>
    <t>F) Errection of Dwajam</t>
  </si>
  <si>
    <t>Errection of Dwajam</t>
  </si>
  <si>
    <t>Supply and fixing of brass metal stoopi  including cost and conveyance of all materials and labour charges etc complete, excluding sales &amp; other taxes, including overheads &amp; contractor profit.</t>
  </si>
  <si>
    <t xml:space="preserve">Supply and fixing of brass metal stoopi  </t>
  </si>
  <si>
    <t>Providing Brass Sheet covering to dwajam including cost and  conveyance of all materials such as Brass Sheet, Brass nails,Polishing and all labour  charges etc., Complete</t>
  </si>
  <si>
    <t xml:space="preserve">Providing Brass Sheet covering to dwajam </t>
  </si>
  <si>
    <t>Supplying and fixing of Granite stone Balipeetam of required size and shaper as per plan including cost &amp; conveyance of stone,dressing charges and fixing charges etc., completed</t>
  </si>
  <si>
    <t xml:space="preserve">Supplying and fixing of Granite stone Balipeetam </t>
  </si>
  <si>
    <t>Compound wall</t>
  </si>
  <si>
    <t>Earth work excavation for foundations (Manual Means) of buildings,  septic tank, sump, compound wall in ordinary soils and depositing on bank with an initial lead of 10m and 1m additional lift charges over the initial depth up to 3m including all operational,incidental, labour charges such as shoring, sheeting, planking, strutting etc., and  including overheads &amp; contractors profit complete for finished item of work excluding seigniorage ,sales and other taxes excluding dewatering charges etc., as per SS 20 B(APSS 308)</t>
  </si>
  <si>
    <t xml:space="preserve">Earth work excavation for foundations </t>
  </si>
  <si>
    <t xml:space="preserve">Filling with carted filling sand in trenches,sides of foundations and basement with initial lead in layers not exceeding 15cm thick,watering and ramming including cost and conveyance of water to work site and all peraitonal, incidental ,labour charges,hire charges of T&amp;P etc.,  excluding seigniorage ,sales and other taxes  and  including overheads &amp; contractors profit complete for fnished item of work(APSS NO.309&amp;310) </t>
  </si>
  <si>
    <t>Plain Cement Concrete  (1:4:8) (cement: fine aggregate: Coarse aggregate) for foundations and under flooring bed using coarse aggregate 40mm size  hard , machine crushed  granite from approved quarry including cost and conveyance of all materials like cement, sand, coarse aggregate, water etc. to site, excluding seigniorage charges, sales &amp; other taxes on all materials and including all charges for machine mixing, laying concrete in foundations and under flooring bed, ramming in 15 cm layers finishing top surface to the required level curing etc.,and  including overheads &amp; contractors profit  complete for finished item of work. (APSS No. 402)</t>
  </si>
  <si>
    <t>Vibrated Plain Cement Concrete (1:3:6) nominal mix using 40mm size machine crushed hard granite metal (coarse aggregate) from approved quarry including cost and conveyance of all materials like cement, fine aggregate (sand), coarse aggregate, water etc. to site, excluding seigniorage charges, sales &amp; other taxes on all materials, including all charges for mixing, laying concerete in position, vibrating, curing, centering using Steel scaffolding pipes , jack props , wallers , Foot plates , brackets , steel centering plates etc., including all operational, incidental and labour charges, including overheads &amp; contractors profit etc.,for finished item of work for footings. (APSS No. 402)</t>
  </si>
  <si>
    <t>Brick masonry for panel walls in superstructure with CM (1:6) prop: (Cement : Screened sand) using common burnt clay bricks of class as per Table- I of IS:1077-1992, Non- Modular or traditional size 23 x 11 x 7 cms  from approved source having minimum crushing strength of 50 Kg/Sqcm. including cost and conveyance of all materials like cement, screened sand, bricks, water etc., to site, excluding seigniorage charges, sales &amp; other taxes on all materials and including  labour charges, like mixing cement mortar, scaffolding charges, constructing masonry, lift charges, curing, etc.,and  including overheads &amp; contractors profit  complete for finished item of work. (APSS No. 501 &amp; 504).</t>
  </si>
  <si>
    <t xml:space="preserve">Brick masonry for panel walls in superstructure with CM (1:6) </t>
  </si>
  <si>
    <t xml:space="preserve">Plastering 12mm thick single coat in CM (1:5) using screened sand including cost and conveyance of all materials like cement, sand, water etc., to site, excluding seigniorage charges, sales &amp; other taxes on all materials, and INCLUDING all operational, incidental charges on materials and including cost of all labour charges for mixing mortar, finishing, curing as directed by Engineer-in-charge etc., excluding seigniorage charges, sales &amp; other taxes on all materials a and including overheads &amp; contractors profit complete for finished item of work.(SS 901,903 &amp; 904) </t>
  </si>
  <si>
    <t xml:space="preserve">Plastering 12mm thick single coat in CM (1:5) </t>
  </si>
  <si>
    <t xml:space="preserve">Plastering 20 mm thick single coat in CM (1:5) using screened sand including cost and conveyance of all materials like cement, sand, water etc., to site, excluding seigniorage charges, sales &amp; other taxes on all materials, and including all operational, incidental charges on materials and including cost of all labour charges for mixing mortar, finishing, curing as directed by Engineer-in-charge etc.,excluding seigniorage charges, sales &amp; other taxes on all materials a  and  including overheads &amp; contractors profit complete for finished item of work.(SS 901,903 &amp; 904) </t>
  </si>
  <si>
    <t>Supplying and fixing of Mild steel Grill gate of Heavy Gage of approved design including cost  of steel rods fabrication charges and applying red oxide coat including all incidental ,conveyance and fixing charges,  including overheads &amp; contractors profit etc.,  as per SSR BMM-V.14 &amp; 15, excluding sales &amp; other taxes.</t>
  </si>
  <si>
    <t xml:space="preserve">Supplying and fixing of Mild steel Grill gate of Heavy Gage </t>
  </si>
  <si>
    <t>Painting two coats with synthetic enamel paint  to new iron work</t>
  </si>
  <si>
    <t>Supply &amp; application of one coat of  deco orient base &amp; two coats of acrylic exterior emulsion paint having VOC (Volatile Organic Compound) content less than 50 grams/litre for exterior walls including cost and conveyance of all materials to site, excluding sales &amp; other taxes, including incidental, operational and all labour charges etc.,and including overheads &amp; contractors profit complete for finished item of work in all floors.</t>
  </si>
  <si>
    <t>Providing Pradakshana Chapta</t>
  </si>
  <si>
    <t xml:space="preserve">Filling with carted  filling sand in trenches,sides of foundations and basement  lead in layers not exceeding 15cm thick,watering and ramming including cost and conveyance of water to work site and all operaitonal,incidental, labour charges,hire charges of T&amp;P etc., excluding seigniorage charges, sales &amp; other taxes on all materials and including overheads &amp; contractors profit complete for fnished item of work (APSS No.309&amp;310) </t>
  </si>
  <si>
    <t>Plain Cement Concrete (1:4:8) nominal mix using 40mm size machine crushed hard granite metal (coarse aggregate) from approved quarry including cost and conveyance of all materials like cement, fine aggregate (sand), coarse aggregate, water etc. to site, excluding seigniorage charges, sales &amp; other taxes on all materials, including all charges for mixing, laying concrete in position, vibrating, curing, including overheads &amp; contractors profit etc.,for finished item of work for footings and basement .</t>
  </si>
  <si>
    <t xml:space="preserve">Plain Cement Concrete (1:4:8) nominal mix </t>
  </si>
  <si>
    <t xml:space="preserve">Dismantling, clearing away and carefully stacking useful materials for re-use and disposal of unserviceable materials with 100m lead as directed by Engineer In-charge duly taking actual premeasurements before dismantling including all labour charges , overheads &amp; contractor profit etc., complete </t>
  </si>
  <si>
    <t>a) Reinforced Cement Concrete</t>
  </si>
  <si>
    <t xml:space="preserve">Dismantling, clearing away and carefully stacking useful materials for re-use </t>
  </si>
  <si>
    <t>b) Un Reinforced Cement Concrete</t>
  </si>
  <si>
    <t>c) Brick work with Cement Mortar</t>
  </si>
  <si>
    <t>Conveyance  of Debaries clarance to a lead of 5KMS including labour charges,Overheads&amp; Contractor Profit etc., complete.</t>
  </si>
  <si>
    <t xml:space="preserve">Conveyance  of Debaries clarance to a lead of 5KMS </t>
  </si>
  <si>
    <t>Supply and Fixing of 25mm outer dia (1.60 -1.80) mm thickness medium grade with IS:9537-part 3 rigid PVC Conduit  with all accessories fixing on chromium plated metallic base saddles and along with raw plugs, 32mm screws, 25mm 1,2,3,&amp;4 way junction boxes, 25mm PVC bends, 8 or 9 module hot dip galvanized metal boxes for switches for Light, Fan and separate plug point including all labour charges etc.,including overhead &amp; contractor profit etc.exluding sales &amp; other taxes,etc.,complete.</t>
  </si>
  <si>
    <t xml:space="preserve">Supply and Fixing of 25mm outer dia (1.60 -1.80) mm thickness medium grade with IS:9537-part 3 rigid PVC Conduit  </t>
  </si>
  <si>
    <t>Supply and wiring with 2 run of 1.5 Sq.mm ISI marked FRLS/ FRLS-H/ HFFR /  ZHFR PVC insulated flexible copper  cables 1100V grade as per  IS: 694/1990 &amp; IS:17048/2018 specification for copper cable in existing pipe with supply of 6A/10A 1 way 1 module Modular Switch, 3 Plate Jumbo Ceiling Rose and Modular switches   with cover  plate and GI switch box including all labour charges etc.,  complete for light, bell, fan and exhaust fan points ,including overhead &amp; contractor profit etc.exluding sales &amp; other taxes,etc., complete .  Non-Residential Buildings. [Makes as per approved list in prevailing SOR under Category-I for Switches/ Sockets and Category-I for Copper Cables]</t>
  </si>
  <si>
    <t xml:space="preserve">Supply and wiring with 2 run of 1.5 Sq.mm ISI marked FRLS/ FRLS-H/ HFFR /  ZHFR PVC insulated flexible copper  cables 1100V grade </t>
  </si>
  <si>
    <t>Supply and fixing of 2 Nos 16A/6A, 1 way, Combi Socket Modular Socket with shutter ISI Marked and 2 Nos 6A / 10A,  1 Way, 1 Module, Modular Switch ISI mark on existing   Modular board including earth connection and all labour  charges etc., complete on wall. Seperate Modular Switch board including overhead &amp; contractor profit etc.exluding sales &amp; other taxes,etc.,  complete .</t>
  </si>
  <si>
    <t xml:space="preserve">Supply and fixing of 2 Nos 16A/6A, 1 way, Combi Socket Modular Socket with shutter ISI Marked and 2 Nos 6A / 10A,  1 Way, 1 Module, Modular Switch ISI mark on existing   Modular board including earth connection </t>
  </si>
  <si>
    <t>Supply and fixing 4 Way SPN Distribution board with IP-43 protection (Metal Door) suitable for 1 No. 40 A single phase ELCB / RCCB/DP Isolator as incomer and 2 Nos. 6-32 A 10kA SP MCBs as outing going including internal connection and labour  charges for surface / flush mounting etc., including overhead &amp; contractor profit etc.exluding sales &amp; other  taxes,etc., complete.</t>
  </si>
  <si>
    <t xml:space="preserve">Supply and fixing 4 Way SPN Distribution board with IP-43 protection (Metal Door) suitable for 1 No. 40 A single phase </t>
  </si>
  <si>
    <t>Supply and fixing of 20-24W, not less than 1100mm length LED batten light with extruded aluminum housing and polycarbonate cover, input voltage AC 220 - 260 Volts, with high power LEDs, having System Efficacy of &gt;=100 lumens/watt , PF&gt;0.9, Surge protection: 2KV, THD&lt;15%, with inbuilt  driver and frosted cover  CCT: 3000K - 5700K, minimum CRI&gt;70, etc., complete with earth connection and not less than two years warranty along with Tw/PVC round blocks, supply of No:8 screws of 35mm, supply of PVC rawl plugs &amp; supply of ISI  marked 23/0060 twin core twisted / Flat heavy copper cable wire.. Makes: As per list of recommended brands as category including overhead &amp; contractor profit etc.exluding sales &amp; other  taxes,etc., complete .</t>
  </si>
  <si>
    <t xml:space="preserve">Supply and fixing of 20-24W, not less than 1100mm length LED batten light with extruded aluminum housing </t>
  </si>
  <si>
    <t>Supply &amp; Fixing of 48"  (1200mm) Sweep 5 star rated BLDC (Brush less Direct Current) Ceiling Fan with double ball bearings, input voltage 230V AC converted to 24 V DC, power input not more than 30W, air delivery not less than 220 cubic meter/min and a minimum service value of 7.0, with remote and without Regulator, including all labour charges , overheads &amp; contractor profit etc., complete .Makes: Atomberg(GV2 )/ Halonix (Plasma) /Havells(Efficiencia Neo)/ Crompton(EN Groove) /Superfan (E281) / RJP(Ecowise)xluding sales &amp; other taxesetc.,</t>
  </si>
  <si>
    <t>Supply &amp; Fixing of 48"  (1200mm) Sweep 5 star rated BLDC (Brush less Direct Current) Ceiling Fan with double ball bearings, input voltage 230V AC converted to 24 V DC</t>
  </si>
  <si>
    <t>Dismantling &amp; Electrification</t>
  </si>
  <si>
    <t>B) Cutting and Shapping for  Dwajam log</t>
  </si>
  <si>
    <t>d)  Plinth Beam</t>
  </si>
  <si>
    <t>e) Roof Beam</t>
  </si>
  <si>
    <t xml:space="preserve">Flooring with unpolished Flamed granite 18-20mm thick upto 2.43m granite stone slabs with borders and design as per the pattern approved by the Engineer-in-Charge of length not less than 2.43 mts set over base coat of cement mortar (1:8) , 20mm thick using screened sand over CC bed already laid or RCC roof slab including neat grey cement slurry of honey like consistency spread @ 3.3 Kg per sqm and jointed neatly with white cement paste mixed with pigment of matching shade to full depth including cost and conveyance of all materials like cement , sand , water , granite slabs etc., to work site and all operational, incidental labour &amp; lift charges, half rounding the edges of treads , polishing charges and excluding seigniorage charges and all other taxes on all materials, including cost of base coat and  including overheads &amp; contractors profit complete for finished item of work (S.S.701 &amp; special) </t>
  </si>
  <si>
    <t>c) Providing Puspha pothikas including cost and conveyance of all materials and all labour charges etc.,complete.</t>
  </si>
  <si>
    <t xml:space="preserve">Flooring with unpolished Flamed granite 18-20mm thick upto 2.43m granite stone slabs with borders and design as per the pattern approved by the Engineer-in-Charge of length not less than 2.43 mts set over base coat of cement mortar (1:8) , 20mm thick using screened sand over CC bed already laid or RCC roof slab including neat grey cement slurry of honey like consistency spread @ 3.3 Kg per sqm and jointed neatly with white cement paste mixed with pigment of matching shade to full depth including cost and conveyance of all materials like cement , sand , water , granite slabs etc., to work site and all operational, incidental labour &amp; lift charges, half rounding the edges of treads , polishing charges and excluding seigniorage charges and all other taxes on all materials, including cost of base coat and including overheads &amp; contractors profit complete for finished item of work (S.S.701 &amp; special) </t>
  </si>
  <si>
    <r>
      <t xml:space="preserve">Painting two coats with synthetic enamel paint Grade-II VOC (Volatile Organic Compound) content less than 50 grams/litre </t>
    </r>
    <r>
      <rPr>
        <sz val="12"/>
        <color indexed="8"/>
        <rFont val="Arial"/>
        <family val="2"/>
      </rPr>
      <t>to new iron work including cost and conveyance of all materials to site, incidental, operational and all labour charges etc.,and  including overheads &amp; contractors profit complete for finished item of work in all floors. (SS No. 1201, 1212 &amp; 1207), excluding sales &amp; other taxes</t>
    </r>
  </si>
  <si>
    <t>Supply &amp; application of one coat of  deco orient base &amp; two coats of acrylic exterior emulsion paint having VOC (Volatile Organic Compound) content less than 50 grams/litre for exterior walls including cost and conveyance of all materials to site,  incidental, operational and all labour charges etc.,and including overheads &amp; contractors profit, excluding sales &amp; other taxes complete for finished item of work in all floors.</t>
  </si>
  <si>
    <t>1 Cft</t>
  </si>
  <si>
    <t>1 Cum</t>
  </si>
  <si>
    <t>1 MT</t>
  </si>
  <si>
    <t>1 Rft</t>
  </si>
  <si>
    <t>1 Sqm</t>
  </si>
  <si>
    <t>1 Kg</t>
  </si>
  <si>
    <t>1 No.</t>
  </si>
  <si>
    <t>1 Sft</t>
  </si>
  <si>
    <t>1 Set</t>
  </si>
  <si>
    <t>Physical Quantities</t>
  </si>
  <si>
    <t>Sl. No.</t>
  </si>
  <si>
    <t>Item</t>
  </si>
  <si>
    <t>No. of items taken</t>
  </si>
  <si>
    <t>Total Qty</t>
  </si>
  <si>
    <t>Completion Period
in Months</t>
  </si>
  <si>
    <t>Req. Qty</t>
  </si>
  <si>
    <t>UOM</t>
  </si>
  <si>
    <t>VPCC / PCC /  VRCC OR Combined</t>
  </si>
  <si>
    <t xml:space="preserve">Cum </t>
  </si>
  <si>
    <t>Similar Nature of work</t>
  </si>
  <si>
    <t>ECV
Rs. In Lakhs</t>
  </si>
  <si>
    <t>Req. Amt.
Rs. In Lakhs</t>
  </si>
  <si>
    <t>Liquid Assets</t>
  </si>
  <si>
    <t>Supply &amp; application of one coat of  deco orient base &amp; two coats of acrylic exterior emulsion paint having VOC (Volatile Organic Compound) content less than 50 grams/litre for exterior walls including cost and conveyance of all materials to site,  incidental, operational and all labour charges and including overheads &amp; contractors profit, excluding sales &amp; other taxes etc., complete for finished item of work in all floors.</t>
  </si>
  <si>
    <t>1 Rmt</t>
  </si>
  <si>
    <t>Supplying and fixing of scaffolding to structure including cost &amp; conveyance of all materials such as casino poles, Bamboos mats and coir ropes etc., includinding  labour charges, including overheads &amp; contractors profit etc.,for finished item of work complete.excluding sales &amp; other taxes.</t>
  </si>
  <si>
    <t>D) Supplying and Fixing of Megalalu, Upadandams etc., in teak wood  including cost and conveyance of all materials and labour charges etc complete, excluding sales &amp; other taxes, including overheads &amp; contractor profit.</t>
  </si>
  <si>
    <t xml:space="preserve">Flooring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</si>
</sst>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13" x14ac:knownFonts="1">
    <font>
      <sz val="11"/>
      <color theme="1"/>
      <name val="Calibri"/>
      <family val="2"/>
      <scheme val="minor"/>
    </font>
    <font>
      <sz val="10"/>
      <name val="Arial"/>
      <family val="2"/>
    </font>
    <font>
      <sz val="11"/>
      <color theme="1"/>
      <name val="Calibri"/>
      <family val="2"/>
      <scheme val="minor"/>
    </font>
    <font>
      <sz val="8"/>
      <name val="Calibri"/>
      <family val="2"/>
      <scheme val="minor"/>
    </font>
    <font>
      <sz val="11"/>
      <name val="Times New Roman"/>
      <family val="1"/>
    </font>
    <font>
      <b/>
      <sz val="12"/>
      <name val="Arial"/>
      <family val="2"/>
    </font>
    <font>
      <sz val="12"/>
      <name val="Arial"/>
      <family val="2"/>
    </font>
    <font>
      <sz val="12"/>
      <color theme="1"/>
      <name val="Arial"/>
      <family val="2"/>
    </font>
    <font>
      <sz val="12"/>
      <color indexed="8"/>
      <name val="Arial"/>
      <family val="2"/>
    </font>
    <font>
      <sz val="12"/>
      <color indexed="63"/>
      <name val="Arial"/>
      <family val="2"/>
    </font>
    <font>
      <sz val="12"/>
      <color rgb="FFFF0000"/>
      <name val="Arial"/>
      <family val="2"/>
    </font>
    <font>
      <b/>
      <sz val="12"/>
      <color theme="1"/>
      <name val="Arial"/>
      <family val="2"/>
    </font>
    <font>
      <b/>
      <u/>
      <sz val="12"/>
      <color rgb="FFFF0000"/>
      <name val="Arial"/>
      <family val="2"/>
    </font>
  </fonts>
  <fills count="5">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0" borderId="0"/>
    <xf numFmtId="0" fontId="1" fillId="0" borderId="0"/>
    <xf numFmtId="43" fontId="2" fillId="0" borderId="0" applyFont="0" applyFill="0" applyBorder="0" applyAlignment="0" applyProtection="0"/>
    <xf numFmtId="0" fontId="4" fillId="0" borderId="0"/>
  </cellStyleXfs>
  <cellXfs count="69">
    <xf numFmtId="0" fontId="0" fillId="0" borderId="0" xfId="0"/>
    <xf numFmtId="0" fontId="6" fillId="0" borderId="2" xfId="0" applyFont="1" applyBorder="1" applyAlignment="1">
      <alignment horizontal="justify" vertical="top" wrapText="1"/>
    </xf>
    <xf numFmtId="0" fontId="6" fillId="0" borderId="3" xfId="0" applyFont="1" applyBorder="1" applyAlignment="1">
      <alignment horizontal="justify" vertical="top" wrapText="1" shrinkToFit="1"/>
    </xf>
    <xf numFmtId="0" fontId="6" fillId="0" borderId="0" xfId="0" applyFont="1" applyAlignment="1">
      <alignment horizontal="justify" vertical="top" wrapText="1" shrinkToFit="1"/>
    </xf>
    <xf numFmtId="0" fontId="6" fillId="0" borderId="3" xfId="0" applyFont="1" applyBorder="1" applyAlignment="1">
      <alignment horizontal="justify" vertical="top" wrapText="1"/>
    </xf>
    <xf numFmtId="0" fontId="6" fillId="0" borderId="0" xfId="0" applyFont="1" applyAlignment="1">
      <alignment horizontal="justify" vertical="top" wrapText="1"/>
    </xf>
    <xf numFmtId="0" fontId="6" fillId="0" borderId="4" xfId="0" applyFont="1" applyBorder="1" applyAlignment="1">
      <alignment horizontal="justify" vertical="top" wrapText="1"/>
    </xf>
    <xf numFmtId="0" fontId="6" fillId="0" borderId="0" xfId="0" applyFont="1" applyAlignment="1">
      <alignment horizontal="center" vertical="top" wrapText="1"/>
    </xf>
    <xf numFmtId="49" fontId="6" fillId="0" borderId="0" xfId="0" applyNumberFormat="1" applyFont="1" applyAlignment="1">
      <alignment horizontal="center" vertical="top" wrapText="1"/>
    </xf>
    <xf numFmtId="2" fontId="6" fillId="0" borderId="1" xfId="0" applyNumberFormat="1"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49" fontId="6" fillId="0" borderId="1" xfId="0" applyNumberFormat="1" applyFont="1" applyBorder="1" applyAlignment="1">
      <alignment horizontal="center" vertical="top" wrapText="1"/>
    </xf>
    <xf numFmtId="2" fontId="6" fillId="0" borderId="1" xfId="0" applyNumberFormat="1" applyFont="1" applyBorder="1" applyAlignment="1">
      <alignment horizontal="right" vertical="top" wrapText="1"/>
    </xf>
    <xf numFmtId="2" fontId="5" fillId="2" borderId="1" xfId="0" applyNumberFormat="1" applyFont="1" applyFill="1" applyBorder="1" applyAlignment="1">
      <alignment horizontal="center" vertical="top" wrapText="1"/>
    </xf>
    <xf numFmtId="0" fontId="5" fillId="2" borderId="1" xfId="0" applyFont="1" applyFill="1" applyBorder="1" applyAlignment="1">
      <alignment horizontal="left" vertical="top" wrapText="1"/>
    </xf>
    <xf numFmtId="0" fontId="5" fillId="2" borderId="1" xfId="0" applyFont="1" applyFill="1" applyBorder="1" applyAlignment="1">
      <alignment horizontal="center" vertical="top" wrapText="1"/>
    </xf>
    <xf numFmtId="49" fontId="5" fillId="2" borderId="1" xfId="0" applyNumberFormat="1" applyFont="1" applyFill="1" applyBorder="1" applyAlignment="1">
      <alignment horizontal="center" vertical="top" wrapText="1"/>
    </xf>
    <xf numFmtId="2" fontId="5" fillId="2" borderId="1" xfId="0" applyNumberFormat="1" applyFont="1" applyFill="1" applyBorder="1" applyAlignment="1">
      <alignment horizontal="right" vertical="top" wrapText="1"/>
    </xf>
    <xf numFmtId="49" fontId="6" fillId="0" borderId="1" xfId="0" applyNumberFormat="1" applyFont="1" applyBorder="1" applyAlignment="1">
      <alignment horizontal="left" vertical="top" wrapText="1"/>
    </xf>
    <xf numFmtId="2" fontId="6" fillId="3" borderId="1" xfId="0" applyNumberFormat="1" applyFont="1" applyFill="1" applyBorder="1" applyAlignment="1">
      <alignment horizontal="center" vertical="top" wrapText="1"/>
    </xf>
    <xf numFmtId="2" fontId="6" fillId="0" borderId="1" xfId="0" applyNumberFormat="1" applyFont="1" applyBorder="1" applyAlignment="1">
      <alignment horizontal="center" vertical="top" wrapText="1" shrinkToFit="1"/>
    </xf>
    <xf numFmtId="0" fontId="6" fillId="0" borderId="1" xfId="0" applyFont="1" applyBorder="1" applyAlignment="1">
      <alignment horizontal="left" vertical="top" wrapText="1" shrinkToFit="1"/>
    </xf>
    <xf numFmtId="0" fontId="6" fillId="0" borderId="1" xfId="0" applyFont="1" applyBorder="1" applyAlignment="1">
      <alignment horizontal="center" vertical="top" wrapText="1" shrinkToFit="1"/>
    </xf>
    <xf numFmtId="0" fontId="8" fillId="0" borderId="1" xfId="0" applyFont="1" applyBorder="1" applyAlignment="1">
      <alignment horizontal="left" vertical="top" wrapText="1"/>
    </xf>
    <xf numFmtId="2" fontId="8" fillId="0" borderId="1" xfId="0" applyNumberFormat="1" applyFont="1" applyBorder="1" applyAlignment="1">
      <alignment horizontal="center" vertical="top" wrapText="1"/>
    </xf>
    <xf numFmtId="2" fontId="10" fillId="0" borderId="1" xfId="0" applyNumberFormat="1" applyFont="1" applyBorder="1" applyAlignment="1">
      <alignment horizontal="center" vertical="top" wrapText="1"/>
    </xf>
    <xf numFmtId="0" fontId="7" fillId="0" borderId="1" xfId="0" applyFont="1" applyBorder="1" applyAlignment="1">
      <alignment horizontal="left" vertical="top" wrapText="1"/>
    </xf>
    <xf numFmtId="2" fontId="7" fillId="0" borderId="1" xfId="0" applyNumberFormat="1" applyFont="1" applyBorder="1" applyAlignment="1">
      <alignment horizontal="center" vertical="top" wrapText="1"/>
    </xf>
    <xf numFmtId="2" fontId="6" fillId="3" borderId="1" xfId="0" applyNumberFormat="1" applyFont="1" applyFill="1" applyBorder="1" applyAlignment="1">
      <alignment horizontal="left" vertical="top" wrapText="1"/>
    </xf>
    <xf numFmtId="0" fontId="7" fillId="0" borderId="1" xfId="0" applyFont="1" applyBorder="1" applyAlignment="1">
      <alignment horizontal="center" vertical="top" wrapText="1"/>
    </xf>
    <xf numFmtId="0" fontId="7" fillId="0" borderId="0" xfId="0" applyFont="1" applyAlignment="1">
      <alignment vertical="top" wrapText="1"/>
    </xf>
    <xf numFmtId="0" fontId="11" fillId="0" borderId="1" xfId="0" applyFont="1" applyBorder="1" applyAlignment="1">
      <alignment horizontal="center" vertical="top" wrapText="1"/>
    </xf>
    <xf numFmtId="2" fontId="11" fillId="0" borderId="1" xfId="0" applyNumberFormat="1" applyFont="1" applyBorder="1" applyAlignment="1">
      <alignment horizontal="center" vertical="top" wrapText="1"/>
    </xf>
    <xf numFmtId="0" fontId="11" fillId="0" borderId="0" xfId="0" applyFont="1" applyAlignment="1">
      <alignment horizontal="center" vertical="top" wrapText="1"/>
    </xf>
    <xf numFmtId="0" fontId="11" fillId="4" borderId="1" xfId="0" applyFont="1" applyFill="1" applyBorder="1" applyAlignment="1">
      <alignment horizontal="left" vertical="top" wrapText="1"/>
    </xf>
    <xf numFmtId="0" fontId="7" fillId="3" borderId="1" xfId="0" applyFont="1" applyFill="1" applyBorder="1" applyAlignment="1">
      <alignment horizontal="left" vertical="top" wrapText="1"/>
    </xf>
    <xf numFmtId="1" fontId="11" fillId="0" borderId="1" xfId="0" applyNumberFormat="1" applyFont="1" applyBorder="1" applyAlignment="1">
      <alignment horizontal="center" vertical="top" wrapText="1"/>
    </xf>
    <xf numFmtId="2" fontId="11" fillId="4" borderId="1" xfId="0" applyNumberFormat="1" applyFont="1" applyFill="1" applyBorder="1" applyAlignment="1">
      <alignment horizontal="center" vertical="top" wrapText="1"/>
    </xf>
    <xf numFmtId="0" fontId="7" fillId="0" borderId="0" xfId="0" applyFont="1" applyAlignment="1">
      <alignment horizontal="center" vertical="top" wrapText="1"/>
    </xf>
    <xf numFmtId="2" fontId="7" fillId="0" borderId="0" xfId="0" applyNumberFormat="1" applyFont="1" applyAlignment="1">
      <alignment horizontal="center" vertical="top" wrapText="1"/>
    </xf>
    <xf numFmtId="0" fontId="5" fillId="0" borderId="5" xfId="0" applyFont="1" applyBorder="1" applyAlignment="1">
      <alignment horizontal="left" vertical="top" wrapText="1" shrinkToFit="1"/>
    </xf>
    <xf numFmtId="0" fontId="5" fillId="0" borderId="5" xfId="0" applyFont="1" applyBorder="1" applyAlignment="1">
      <alignment horizontal="center" vertical="top" wrapText="1"/>
    </xf>
    <xf numFmtId="164" fontId="5" fillId="0" borderId="5" xfId="0" applyNumberFormat="1" applyFont="1" applyBorder="1" applyAlignment="1">
      <alignment horizontal="center" vertical="top" wrapText="1"/>
    </xf>
    <xf numFmtId="49" fontId="5" fillId="0" borderId="5" xfId="0" applyNumberFormat="1" applyFont="1" applyBorder="1" applyAlignment="1">
      <alignment horizontal="center" vertical="top" wrapText="1"/>
    </xf>
    <xf numFmtId="0" fontId="12" fillId="0" borderId="1" xfId="0" applyFont="1" applyBorder="1" applyAlignment="1">
      <alignment horizontal="left" vertical="top" wrapText="1"/>
    </xf>
    <xf numFmtId="0" fontId="11" fillId="0" borderId="8" xfId="0" applyFont="1" applyBorder="1" applyAlignment="1">
      <alignment horizontal="center" vertical="top" wrapText="1"/>
    </xf>
    <xf numFmtId="0" fontId="11" fillId="0" borderId="9" xfId="0" applyFont="1" applyBorder="1" applyAlignment="1">
      <alignment horizontal="center"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2" fontId="11" fillId="0" borderId="8" xfId="0" applyNumberFormat="1" applyFont="1" applyBorder="1" applyAlignment="1">
      <alignment horizontal="center" vertical="top" wrapText="1"/>
    </xf>
    <xf numFmtId="2" fontId="11" fillId="0" borderId="9" xfId="0" applyNumberFormat="1" applyFont="1" applyBorder="1" applyAlignment="1">
      <alignment horizontal="center" vertical="top" wrapText="1"/>
    </xf>
    <xf numFmtId="2" fontId="11" fillId="4" borderId="8" xfId="0" applyNumberFormat="1" applyFont="1" applyFill="1" applyBorder="1" applyAlignment="1">
      <alignment horizontal="center" vertical="top" wrapText="1"/>
    </xf>
    <xf numFmtId="2" fontId="11" fillId="4" borderId="9" xfId="0" applyNumberFormat="1" applyFont="1" applyFill="1" applyBorder="1" applyAlignment="1">
      <alignment horizontal="center" vertical="top" wrapText="1"/>
    </xf>
    <xf numFmtId="2" fontId="7" fillId="3" borderId="0" xfId="0" applyNumberFormat="1" applyFont="1" applyFill="1" applyAlignment="1">
      <alignment horizontal="right" vertical="top" wrapText="1"/>
    </xf>
    <xf numFmtId="0" fontId="7" fillId="0" borderId="0" xfId="0" applyFont="1" applyAlignment="1">
      <alignment horizontal="left" vertical="top" wrapText="1"/>
    </xf>
    <xf numFmtId="0" fontId="11" fillId="0" borderId="0" xfId="0" applyFont="1" applyAlignment="1">
      <alignment vertical="top" wrapText="1"/>
    </xf>
    <xf numFmtId="0" fontId="8" fillId="0" borderId="0" xfId="0" applyFont="1" applyAlignment="1">
      <alignment vertical="top" wrapText="1"/>
    </xf>
    <xf numFmtId="0" fontId="8" fillId="0" borderId="0" xfId="0" applyFont="1" applyAlignment="1">
      <alignment horizontal="center" vertical="top" wrapText="1"/>
    </xf>
    <xf numFmtId="2" fontId="8" fillId="0" borderId="0" xfId="0" applyNumberFormat="1" applyFont="1" applyAlignment="1">
      <alignment horizontal="right" vertical="top" wrapText="1"/>
    </xf>
    <xf numFmtId="0" fontId="8" fillId="0" borderId="3" xfId="0" applyFont="1" applyBorder="1" applyAlignment="1">
      <alignment vertical="top" wrapText="1"/>
    </xf>
    <xf numFmtId="0" fontId="9" fillId="0" borderId="0" xfId="0" applyFont="1" applyAlignment="1">
      <alignment vertical="top" wrapText="1"/>
    </xf>
    <xf numFmtId="0" fontId="6" fillId="0" borderId="0" xfId="0" applyFont="1" applyAlignment="1">
      <alignment vertical="top" wrapText="1"/>
    </xf>
    <xf numFmtId="0" fontId="10" fillId="0" borderId="0" xfId="0" applyFont="1" applyAlignment="1">
      <alignment vertical="top" wrapText="1"/>
    </xf>
    <xf numFmtId="2" fontId="11" fillId="0" borderId="6" xfId="0" applyNumberFormat="1" applyFont="1" applyBorder="1" applyAlignment="1">
      <alignment horizontal="center" vertical="top" wrapText="1"/>
    </xf>
    <xf numFmtId="2" fontId="5" fillId="0" borderId="5" xfId="0" applyNumberFormat="1" applyFont="1" applyBorder="1" applyAlignment="1">
      <alignment horizontal="center" vertical="top" wrapText="1"/>
    </xf>
    <xf numFmtId="2" fontId="5" fillId="0" borderId="7" xfId="0" applyNumberFormat="1" applyFont="1" applyBorder="1" applyAlignment="1">
      <alignment horizontal="right" vertical="top" wrapText="1"/>
    </xf>
    <xf numFmtId="2" fontId="6" fillId="0" borderId="0" xfId="0" applyNumberFormat="1" applyFont="1" applyAlignment="1">
      <alignment horizontal="center" vertical="top" wrapText="1"/>
    </xf>
    <xf numFmtId="2" fontId="6" fillId="0" borderId="0" xfId="0" applyNumberFormat="1" applyFont="1" applyAlignment="1">
      <alignment horizontal="right" vertical="top" wrapText="1"/>
    </xf>
  </cellXfs>
  <cellStyles count="5">
    <cellStyle name="Comma 2" xfId="3" xr:uid="{00000000-0005-0000-0000-000000000000}"/>
    <cellStyle name="Normal" xfId="0" builtinId="0"/>
    <cellStyle name="Normal 2" xfId="1" xr:uid="{00000000-0005-0000-0000-000002000000}"/>
    <cellStyle name="Normal 2 2" xfId="2" xr:uid="{00000000-0005-0000-0000-000003000000}"/>
    <cellStyle name="Normal 5"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0</xdr:row>
      <xdr:rowOff>0</xdr:rowOff>
    </xdr:from>
    <xdr:to>
      <xdr:col>1</xdr:col>
      <xdr:colOff>503301</xdr:colOff>
      <xdr:row>0</xdr:row>
      <xdr:rowOff>182880</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 name="Text Box 3">
          <a:extLst>
            <a:ext uri="{FF2B5EF4-FFF2-40B4-BE49-F238E27FC236}">
              <a16:creationId xmlns:a16="http://schemas.microsoft.com/office/drawing/2014/main" id="{00000000-0008-0000-0000-000004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 name="Text Box 4">
          <a:extLst>
            <a:ext uri="{FF2B5EF4-FFF2-40B4-BE49-F238E27FC236}">
              <a16:creationId xmlns:a16="http://schemas.microsoft.com/office/drawing/2014/main" id="{00000000-0008-0000-0000-000005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 name="Text Box 5">
          <a:extLst>
            <a:ext uri="{FF2B5EF4-FFF2-40B4-BE49-F238E27FC236}">
              <a16:creationId xmlns:a16="http://schemas.microsoft.com/office/drawing/2014/main" id="{00000000-0008-0000-0000-000006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7" name="Text Box 6">
          <a:extLst>
            <a:ext uri="{FF2B5EF4-FFF2-40B4-BE49-F238E27FC236}">
              <a16:creationId xmlns:a16="http://schemas.microsoft.com/office/drawing/2014/main" id="{00000000-0008-0000-0000-000007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8" name="Text Box 7">
          <a:extLst>
            <a:ext uri="{FF2B5EF4-FFF2-40B4-BE49-F238E27FC236}">
              <a16:creationId xmlns:a16="http://schemas.microsoft.com/office/drawing/2014/main" id="{00000000-0008-0000-0000-000008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9" name="Text Box 8">
          <a:extLst>
            <a:ext uri="{FF2B5EF4-FFF2-40B4-BE49-F238E27FC236}">
              <a16:creationId xmlns:a16="http://schemas.microsoft.com/office/drawing/2014/main" id="{00000000-0008-0000-0000-000009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10" name="Text Box 9">
          <a:extLst>
            <a:ext uri="{FF2B5EF4-FFF2-40B4-BE49-F238E27FC236}">
              <a16:creationId xmlns:a16="http://schemas.microsoft.com/office/drawing/2014/main" id="{00000000-0008-0000-0000-00000A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11" name="Text Box 10">
          <a:extLst>
            <a:ext uri="{FF2B5EF4-FFF2-40B4-BE49-F238E27FC236}">
              <a16:creationId xmlns:a16="http://schemas.microsoft.com/office/drawing/2014/main" id="{00000000-0008-0000-0000-00000B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12" name="Text Box 11">
          <a:extLst>
            <a:ext uri="{FF2B5EF4-FFF2-40B4-BE49-F238E27FC236}">
              <a16:creationId xmlns:a16="http://schemas.microsoft.com/office/drawing/2014/main" id="{00000000-0008-0000-0000-00000C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13" name="Text Box 134">
          <a:extLst>
            <a:ext uri="{FF2B5EF4-FFF2-40B4-BE49-F238E27FC236}">
              <a16:creationId xmlns:a16="http://schemas.microsoft.com/office/drawing/2014/main" id="{00000000-0008-0000-0000-00000D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14" name="Text Box 135">
          <a:extLst>
            <a:ext uri="{FF2B5EF4-FFF2-40B4-BE49-F238E27FC236}">
              <a16:creationId xmlns:a16="http://schemas.microsoft.com/office/drawing/2014/main" id="{00000000-0008-0000-0000-00000E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15" name="Text Box 136">
          <a:extLst>
            <a:ext uri="{FF2B5EF4-FFF2-40B4-BE49-F238E27FC236}">
              <a16:creationId xmlns:a16="http://schemas.microsoft.com/office/drawing/2014/main" id="{00000000-0008-0000-0000-00000F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16" name="Text Box 137">
          <a:extLst>
            <a:ext uri="{FF2B5EF4-FFF2-40B4-BE49-F238E27FC236}">
              <a16:creationId xmlns:a16="http://schemas.microsoft.com/office/drawing/2014/main" id="{00000000-0008-0000-0000-000010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17" name="Text Box 138">
          <a:extLst>
            <a:ext uri="{FF2B5EF4-FFF2-40B4-BE49-F238E27FC236}">
              <a16:creationId xmlns:a16="http://schemas.microsoft.com/office/drawing/2014/main" id="{00000000-0008-0000-0000-000011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18" name="Text Box 139">
          <a:extLst>
            <a:ext uri="{FF2B5EF4-FFF2-40B4-BE49-F238E27FC236}">
              <a16:creationId xmlns:a16="http://schemas.microsoft.com/office/drawing/2014/main" id="{00000000-0008-0000-0000-000012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19" name="Text Box 140">
          <a:extLst>
            <a:ext uri="{FF2B5EF4-FFF2-40B4-BE49-F238E27FC236}">
              <a16:creationId xmlns:a16="http://schemas.microsoft.com/office/drawing/2014/main" id="{00000000-0008-0000-0000-000013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20" name="Text Box 141">
          <a:extLst>
            <a:ext uri="{FF2B5EF4-FFF2-40B4-BE49-F238E27FC236}">
              <a16:creationId xmlns:a16="http://schemas.microsoft.com/office/drawing/2014/main" id="{00000000-0008-0000-0000-000014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21" name="Text Box 142">
          <a:extLst>
            <a:ext uri="{FF2B5EF4-FFF2-40B4-BE49-F238E27FC236}">
              <a16:creationId xmlns:a16="http://schemas.microsoft.com/office/drawing/2014/main" id="{00000000-0008-0000-0000-000015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22" name="Text Box 143">
          <a:extLst>
            <a:ext uri="{FF2B5EF4-FFF2-40B4-BE49-F238E27FC236}">
              <a16:creationId xmlns:a16="http://schemas.microsoft.com/office/drawing/2014/main" id="{00000000-0008-0000-0000-000016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23" name="Text Box 144">
          <a:extLst>
            <a:ext uri="{FF2B5EF4-FFF2-40B4-BE49-F238E27FC236}">
              <a16:creationId xmlns:a16="http://schemas.microsoft.com/office/drawing/2014/main" id="{00000000-0008-0000-0000-000017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24" name="Text Box 6840">
          <a:extLst>
            <a:ext uri="{FF2B5EF4-FFF2-40B4-BE49-F238E27FC236}">
              <a16:creationId xmlns:a16="http://schemas.microsoft.com/office/drawing/2014/main" id="{00000000-0008-0000-0000-000018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25" name="Text Box 6841">
          <a:extLst>
            <a:ext uri="{FF2B5EF4-FFF2-40B4-BE49-F238E27FC236}">
              <a16:creationId xmlns:a16="http://schemas.microsoft.com/office/drawing/2014/main" id="{00000000-0008-0000-0000-000019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26" name="Text Box 6842">
          <a:extLst>
            <a:ext uri="{FF2B5EF4-FFF2-40B4-BE49-F238E27FC236}">
              <a16:creationId xmlns:a16="http://schemas.microsoft.com/office/drawing/2014/main" id="{00000000-0008-0000-0000-00001A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27" name="Text Box 6843">
          <a:extLst>
            <a:ext uri="{FF2B5EF4-FFF2-40B4-BE49-F238E27FC236}">
              <a16:creationId xmlns:a16="http://schemas.microsoft.com/office/drawing/2014/main" id="{00000000-0008-0000-0000-00001B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28" name="Text Box 6844">
          <a:extLst>
            <a:ext uri="{FF2B5EF4-FFF2-40B4-BE49-F238E27FC236}">
              <a16:creationId xmlns:a16="http://schemas.microsoft.com/office/drawing/2014/main" id="{00000000-0008-0000-0000-00001C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29" name="Text Box 6845">
          <a:extLst>
            <a:ext uri="{FF2B5EF4-FFF2-40B4-BE49-F238E27FC236}">
              <a16:creationId xmlns:a16="http://schemas.microsoft.com/office/drawing/2014/main" id="{00000000-0008-0000-0000-00001D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30" name="Text Box 6846">
          <a:extLst>
            <a:ext uri="{FF2B5EF4-FFF2-40B4-BE49-F238E27FC236}">
              <a16:creationId xmlns:a16="http://schemas.microsoft.com/office/drawing/2014/main" id="{00000000-0008-0000-0000-00001E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31" name="Text Box 6847">
          <a:extLst>
            <a:ext uri="{FF2B5EF4-FFF2-40B4-BE49-F238E27FC236}">
              <a16:creationId xmlns:a16="http://schemas.microsoft.com/office/drawing/2014/main" id="{00000000-0008-0000-0000-00001F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32" name="Text Box 6848">
          <a:extLst>
            <a:ext uri="{FF2B5EF4-FFF2-40B4-BE49-F238E27FC236}">
              <a16:creationId xmlns:a16="http://schemas.microsoft.com/office/drawing/2014/main" id="{00000000-0008-0000-0000-000020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33" name="Text Box 6849">
          <a:extLst>
            <a:ext uri="{FF2B5EF4-FFF2-40B4-BE49-F238E27FC236}">
              <a16:creationId xmlns:a16="http://schemas.microsoft.com/office/drawing/2014/main" id="{00000000-0008-0000-0000-000021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34" name="Text Box 6850">
          <a:extLst>
            <a:ext uri="{FF2B5EF4-FFF2-40B4-BE49-F238E27FC236}">
              <a16:creationId xmlns:a16="http://schemas.microsoft.com/office/drawing/2014/main" id="{00000000-0008-0000-0000-000022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35" name="Text Box 1">
          <a:extLst>
            <a:ext uri="{FF2B5EF4-FFF2-40B4-BE49-F238E27FC236}">
              <a16:creationId xmlns:a16="http://schemas.microsoft.com/office/drawing/2014/main" id="{00000000-0008-0000-0000-000023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36" name="Text Box 2">
          <a:extLst>
            <a:ext uri="{FF2B5EF4-FFF2-40B4-BE49-F238E27FC236}">
              <a16:creationId xmlns:a16="http://schemas.microsoft.com/office/drawing/2014/main" id="{00000000-0008-0000-0000-000024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37" name="Text Box 3">
          <a:extLst>
            <a:ext uri="{FF2B5EF4-FFF2-40B4-BE49-F238E27FC236}">
              <a16:creationId xmlns:a16="http://schemas.microsoft.com/office/drawing/2014/main" id="{00000000-0008-0000-0000-000025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38" name="Text Box 4">
          <a:extLst>
            <a:ext uri="{FF2B5EF4-FFF2-40B4-BE49-F238E27FC236}">
              <a16:creationId xmlns:a16="http://schemas.microsoft.com/office/drawing/2014/main" id="{00000000-0008-0000-0000-000026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39" name="Text Box 5">
          <a:extLst>
            <a:ext uri="{FF2B5EF4-FFF2-40B4-BE49-F238E27FC236}">
              <a16:creationId xmlns:a16="http://schemas.microsoft.com/office/drawing/2014/main" id="{00000000-0008-0000-0000-000027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0" name="Text Box 6">
          <a:extLst>
            <a:ext uri="{FF2B5EF4-FFF2-40B4-BE49-F238E27FC236}">
              <a16:creationId xmlns:a16="http://schemas.microsoft.com/office/drawing/2014/main" id="{00000000-0008-0000-0000-000028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1" name="Text Box 7">
          <a:extLst>
            <a:ext uri="{FF2B5EF4-FFF2-40B4-BE49-F238E27FC236}">
              <a16:creationId xmlns:a16="http://schemas.microsoft.com/office/drawing/2014/main" id="{00000000-0008-0000-0000-000029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2" name="Text Box 8">
          <a:extLst>
            <a:ext uri="{FF2B5EF4-FFF2-40B4-BE49-F238E27FC236}">
              <a16:creationId xmlns:a16="http://schemas.microsoft.com/office/drawing/2014/main" id="{00000000-0008-0000-0000-00002A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3" name="Text Box 9">
          <a:extLst>
            <a:ext uri="{FF2B5EF4-FFF2-40B4-BE49-F238E27FC236}">
              <a16:creationId xmlns:a16="http://schemas.microsoft.com/office/drawing/2014/main" id="{00000000-0008-0000-0000-00002B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4" name="Text Box 10">
          <a:extLst>
            <a:ext uri="{FF2B5EF4-FFF2-40B4-BE49-F238E27FC236}">
              <a16:creationId xmlns:a16="http://schemas.microsoft.com/office/drawing/2014/main" id="{00000000-0008-0000-0000-00002C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5" name="Text Box 11">
          <a:extLst>
            <a:ext uri="{FF2B5EF4-FFF2-40B4-BE49-F238E27FC236}">
              <a16:creationId xmlns:a16="http://schemas.microsoft.com/office/drawing/2014/main" id="{00000000-0008-0000-0000-00002D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46" name="Text Box 134">
          <a:extLst>
            <a:ext uri="{FF2B5EF4-FFF2-40B4-BE49-F238E27FC236}">
              <a16:creationId xmlns:a16="http://schemas.microsoft.com/office/drawing/2014/main" id="{00000000-0008-0000-0000-00002E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47" name="Text Box 135">
          <a:extLst>
            <a:ext uri="{FF2B5EF4-FFF2-40B4-BE49-F238E27FC236}">
              <a16:creationId xmlns:a16="http://schemas.microsoft.com/office/drawing/2014/main" id="{00000000-0008-0000-0000-00002F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8" name="Text Box 136">
          <a:extLst>
            <a:ext uri="{FF2B5EF4-FFF2-40B4-BE49-F238E27FC236}">
              <a16:creationId xmlns:a16="http://schemas.microsoft.com/office/drawing/2014/main" id="{00000000-0008-0000-0000-000030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49" name="Text Box 137">
          <a:extLst>
            <a:ext uri="{FF2B5EF4-FFF2-40B4-BE49-F238E27FC236}">
              <a16:creationId xmlns:a16="http://schemas.microsoft.com/office/drawing/2014/main" id="{00000000-0008-0000-0000-000031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0" name="Text Box 138">
          <a:extLst>
            <a:ext uri="{FF2B5EF4-FFF2-40B4-BE49-F238E27FC236}">
              <a16:creationId xmlns:a16="http://schemas.microsoft.com/office/drawing/2014/main" id="{00000000-0008-0000-0000-000032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1" name="Text Box 139">
          <a:extLst>
            <a:ext uri="{FF2B5EF4-FFF2-40B4-BE49-F238E27FC236}">
              <a16:creationId xmlns:a16="http://schemas.microsoft.com/office/drawing/2014/main" id="{00000000-0008-0000-0000-000033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2" name="Text Box 140">
          <a:extLst>
            <a:ext uri="{FF2B5EF4-FFF2-40B4-BE49-F238E27FC236}">
              <a16:creationId xmlns:a16="http://schemas.microsoft.com/office/drawing/2014/main" id="{00000000-0008-0000-0000-000034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3" name="Text Box 141">
          <a:extLst>
            <a:ext uri="{FF2B5EF4-FFF2-40B4-BE49-F238E27FC236}">
              <a16:creationId xmlns:a16="http://schemas.microsoft.com/office/drawing/2014/main" id="{00000000-0008-0000-0000-000035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4" name="Text Box 142">
          <a:extLst>
            <a:ext uri="{FF2B5EF4-FFF2-40B4-BE49-F238E27FC236}">
              <a16:creationId xmlns:a16="http://schemas.microsoft.com/office/drawing/2014/main" id="{00000000-0008-0000-0000-000036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5" name="Text Box 143">
          <a:extLst>
            <a:ext uri="{FF2B5EF4-FFF2-40B4-BE49-F238E27FC236}">
              <a16:creationId xmlns:a16="http://schemas.microsoft.com/office/drawing/2014/main" id="{00000000-0008-0000-0000-000037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6" name="Text Box 144">
          <a:extLst>
            <a:ext uri="{FF2B5EF4-FFF2-40B4-BE49-F238E27FC236}">
              <a16:creationId xmlns:a16="http://schemas.microsoft.com/office/drawing/2014/main" id="{00000000-0008-0000-0000-000038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57" name="Text Box 6840">
          <a:extLst>
            <a:ext uri="{FF2B5EF4-FFF2-40B4-BE49-F238E27FC236}">
              <a16:creationId xmlns:a16="http://schemas.microsoft.com/office/drawing/2014/main" id="{00000000-0008-0000-0000-000039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1</xdr:col>
      <xdr:colOff>371475</xdr:colOff>
      <xdr:row>0</xdr:row>
      <xdr:rowOff>0</xdr:rowOff>
    </xdr:from>
    <xdr:to>
      <xdr:col>1</xdr:col>
      <xdr:colOff>503301</xdr:colOff>
      <xdr:row>0</xdr:row>
      <xdr:rowOff>182880</xdr:rowOff>
    </xdr:to>
    <xdr:sp macro="" textlink="">
      <xdr:nvSpPr>
        <xdr:cNvPr id="58" name="Text Box 6841">
          <a:extLst>
            <a:ext uri="{FF2B5EF4-FFF2-40B4-BE49-F238E27FC236}">
              <a16:creationId xmlns:a16="http://schemas.microsoft.com/office/drawing/2014/main" id="{00000000-0008-0000-0000-00003A000000}"/>
            </a:ext>
          </a:extLst>
        </xdr:cNvPr>
        <xdr:cNvSpPr txBox="1">
          <a:spLocks noChangeArrowheads="1"/>
        </xdr:cNvSpPr>
      </xdr:nvSpPr>
      <xdr:spPr bwMode="auto">
        <a:xfrm>
          <a:off x="1295400"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59" name="Text Box 6842">
          <a:extLst>
            <a:ext uri="{FF2B5EF4-FFF2-40B4-BE49-F238E27FC236}">
              <a16:creationId xmlns:a16="http://schemas.microsoft.com/office/drawing/2014/main" id="{00000000-0008-0000-0000-00003B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0" name="Text Box 6843">
          <a:extLst>
            <a:ext uri="{FF2B5EF4-FFF2-40B4-BE49-F238E27FC236}">
              <a16:creationId xmlns:a16="http://schemas.microsoft.com/office/drawing/2014/main" id="{00000000-0008-0000-0000-00003C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1" name="Text Box 6844">
          <a:extLst>
            <a:ext uri="{FF2B5EF4-FFF2-40B4-BE49-F238E27FC236}">
              <a16:creationId xmlns:a16="http://schemas.microsoft.com/office/drawing/2014/main" id="{00000000-0008-0000-0000-00003D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2" name="Text Box 6845">
          <a:extLst>
            <a:ext uri="{FF2B5EF4-FFF2-40B4-BE49-F238E27FC236}">
              <a16:creationId xmlns:a16="http://schemas.microsoft.com/office/drawing/2014/main" id="{00000000-0008-0000-0000-00003E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3" name="Text Box 6846">
          <a:extLst>
            <a:ext uri="{FF2B5EF4-FFF2-40B4-BE49-F238E27FC236}">
              <a16:creationId xmlns:a16="http://schemas.microsoft.com/office/drawing/2014/main" id="{00000000-0008-0000-0000-00003F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4" name="Text Box 6847">
          <a:extLst>
            <a:ext uri="{FF2B5EF4-FFF2-40B4-BE49-F238E27FC236}">
              <a16:creationId xmlns:a16="http://schemas.microsoft.com/office/drawing/2014/main" id="{00000000-0008-0000-0000-000040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5" name="Text Box 6848">
          <a:extLst>
            <a:ext uri="{FF2B5EF4-FFF2-40B4-BE49-F238E27FC236}">
              <a16:creationId xmlns:a16="http://schemas.microsoft.com/office/drawing/2014/main" id="{00000000-0008-0000-0000-000041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6" name="Text Box 6849">
          <a:extLst>
            <a:ext uri="{FF2B5EF4-FFF2-40B4-BE49-F238E27FC236}">
              <a16:creationId xmlns:a16="http://schemas.microsoft.com/office/drawing/2014/main" id="{00000000-0008-0000-0000-000042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twoCellAnchor editAs="oneCell">
    <xdr:from>
      <xdr:col>4</xdr:col>
      <xdr:colOff>0</xdr:colOff>
      <xdr:row>0</xdr:row>
      <xdr:rowOff>0</xdr:rowOff>
    </xdr:from>
    <xdr:to>
      <xdr:col>4</xdr:col>
      <xdr:colOff>76200</xdr:colOff>
      <xdr:row>0</xdr:row>
      <xdr:rowOff>182880</xdr:rowOff>
    </xdr:to>
    <xdr:sp macro="" textlink="">
      <xdr:nvSpPr>
        <xdr:cNvPr id="67" name="Text Box 6850">
          <a:extLst>
            <a:ext uri="{FF2B5EF4-FFF2-40B4-BE49-F238E27FC236}">
              <a16:creationId xmlns:a16="http://schemas.microsoft.com/office/drawing/2014/main" id="{00000000-0008-0000-0000-000043000000}"/>
            </a:ext>
          </a:extLst>
        </xdr:cNvPr>
        <xdr:cNvSpPr txBox="1">
          <a:spLocks noChangeArrowheads="1"/>
        </xdr:cNvSpPr>
      </xdr:nvSpPr>
      <xdr:spPr bwMode="auto">
        <a:xfrm>
          <a:off x="6334125" y="0"/>
          <a:ext cx="76200" cy="190500"/>
        </a:xfrm>
        <a:prstGeom prst="rect">
          <a:avLst/>
        </a:prstGeom>
        <a:no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manth/Downloads/gummadidurruv%20estimates/Datas%202025-26%20-%20original%20change%20%20scrneed%20sand,128%20&amp;%20water%20charges%20%201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sheetName val="Entry"/>
      <sheetName val="Lead "/>
      <sheetName val="Extra leads&amp;lifts"/>
      <sheetName val="SSR RATES"/>
      <sheetName val="Conveyance"/>
      <sheetName val="PCC-M15"/>
      <sheetName val="PCC -M20"/>
      <sheetName val="C.M"/>
      <sheetName val="M15 grade"/>
      <sheetName val="Gravel filling"/>
      <sheetName val="Quarry Dust"/>
      <sheetName val="Ew toRR"/>
      <sheetName val="VPCC"/>
      <sheetName val="VRCC M20"/>
      <sheetName val="VRCC M20 design mix"/>
      <sheetName val="VRCC M25 design mix "/>
      <sheetName val="VRCC with lifts"/>
      <sheetName val="Slab of different thick"/>
      <sheetName val="C&amp;Csteel"/>
      <sheetName val="CRS Masonry"/>
      <sheetName val="B.W"/>
      <sheetName val="Plastering 2 coats"/>
      <sheetName val="Plasterings"/>
      <sheetName val="Ornamental"/>
      <sheetName val="Floorings"/>
      <sheetName val="Paintings (2)"/>
      <sheetName val="Paintings"/>
      <sheetName val="Wall care &amp; white Cem"/>
      <sheetName val="Pancha colour paint"/>
      <sheetName val="T.W frame &amp; Flush shutter"/>
      <sheetName val="T.W. Winows "/>
      <sheetName val="T.W. doors "/>
      <sheetName val="CTW doors "/>
      <sheetName val="C.T.Wood Windows "/>
      <sheetName val="PVC doors &amp; W"/>
      <sheetName val="Dismantling"/>
      <sheetName val="JALLIES"/>
      <sheetName val="Roofs"/>
      <sheetName val="M.S grills etc"/>
      <sheetName val="MS trusses"/>
      <sheetName val="Rolling shutter "/>
      <sheetName val="Stainless steel Que lines"/>
      <sheetName val="False ceiling "/>
      <sheetName val="Barbed wire fencing  "/>
      <sheetName val="Water Supply and Sanitory"/>
      <sheetName val="Seigniorage fee"/>
      <sheetName val="Hard granite stone Data"/>
      <sheetName val="S&amp;W"/>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0">
          <cell r="K10">
            <v>254.338539</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4"/>
  <sheetViews>
    <sheetView view="pageBreakPreview" topLeftCell="A120" zoomScaleNormal="85" zoomScaleSheetLayoutView="100" workbookViewId="0">
      <selection activeCell="A120" sqref="A120"/>
    </sheetView>
  </sheetViews>
  <sheetFormatPr defaultColWidth="9.109375" defaultRowHeight="15" x14ac:dyDescent="0.3"/>
  <cols>
    <col min="1" max="1" width="11.33203125" style="40" customWidth="1"/>
    <col min="2" max="2" width="47.44140625" style="55" customWidth="1"/>
    <col min="3" max="4" width="19.88671875" style="7" customWidth="1"/>
    <col min="5" max="5" width="13.33203125" style="8" customWidth="1"/>
    <col min="6" max="6" width="14.44140625" style="67" customWidth="1"/>
    <col min="7" max="7" width="13.33203125" style="7" customWidth="1"/>
    <col min="8" max="8" width="14.5546875" style="68" bestFit="1" customWidth="1"/>
    <col min="9" max="10" width="9.109375" style="31"/>
    <col min="11" max="11" width="10" style="31" bestFit="1" customWidth="1"/>
    <col min="12" max="16384" width="9.109375" style="31"/>
  </cols>
  <sheetData>
    <row r="1" spans="1:8" s="56" customFormat="1" ht="93.6" x14ac:dyDescent="0.3">
      <c r="A1" s="14" t="s">
        <v>0</v>
      </c>
      <c r="B1" s="15" t="s">
        <v>1</v>
      </c>
      <c r="C1" s="16" t="s">
        <v>2</v>
      </c>
      <c r="D1" s="16" t="s">
        <v>3</v>
      </c>
      <c r="E1" s="17" t="s">
        <v>4</v>
      </c>
      <c r="F1" s="14" t="s">
        <v>5</v>
      </c>
      <c r="G1" s="16" t="s">
        <v>6</v>
      </c>
      <c r="H1" s="18" t="s">
        <v>7</v>
      </c>
    </row>
    <row r="2" spans="1:8" ht="45" x14ac:dyDescent="0.3">
      <c r="A2" s="9">
        <v>0</v>
      </c>
      <c r="B2" s="10" t="s">
        <v>15</v>
      </c>
      <c r="C2" s="11" t="s">
        <v>9</v>
      </c>
      <c r="D2" s="11" t="s">
        <v>9</v>
      </c>
      <c r="E2" s="12" t="s">
        <v>9</v>
      </c>
      <c r="F2" s="9">
        <v>0</v>
      </c>
      <c r="G2" s="11" t="s">
        <v>9</v>
      </c>
      <c r="H2" s="13">
        <v>0</v>
      </c>
    </row>
    <row r="3" spans="1:8" x14ac:dyDescent="0.3">
      <c r="A3" s="9">
        <v>0</v>
      </c>
      <c r="B3" s="10" t="s">
        <v>11</v>
      </c>
      <c r="C3" s="11" t="s">
        <v>9</v>
      </c>
      <c r="D3" s="11" t="s">
        <v>9</v>
      </c>
      <c r="E3" s="12" t="s">
        <v>9</v>
      </c>
      <c r="F3" s="9">
        <v>0</v>
      </c>
      <c r="G3" s="11" t="s">
        <v>9</v>
      </c>
      <c r="H3" s="13">
        <v>0</v>
      </c>
    </row>
    <row r="4" spans="1:8" x14ac:dyDescent="0.3">
      <c r="A4" s="9">
        <v>0</v>
      </c>
      <c r="B4" s="10" t="s">
        <v>12</v>
      </c>
      <c r="C4" s="11" t="s">
        <v>9</v>
      </c>
      <c r="D4" s="11" t="s">
        <v>9</v>
      </c>
      <c r="E4" s="12" t="s">
        <v>9</v>
      </c>
      <c r="F4" s="9">
        <v>0</v>
      </c>
      <c r="G4" s="11" t="s">
        <v>9</v>
      </c>
      <c r="H4" s="13">
        <v>0</v>
      </c>
    </row>
    <row r="5" spans="1:8" s="57" customFormat="1" ht="195" x14ac:dyDescent="0.3">
      <c r="A5" s="9">
        <v>85.45</v>
      </c>
      <c r="B5" s="10" t="s">
        <v>16</v>
      </c>
      <c r="C5" s="11" t="s">
        <v>17</v>
      </c>
      <c r="D5" s="11" t="s">
        <v>17</v>
      </c>
      <c r="E5" s="12" t="s">
        <v>18</v>
      </c>
      <c r="F5" s="9">
        <f>'[1]Ew toRR'!$K$10</f>
        <v>254.338539</v>
      </c>
      <c r="G5" s="9" t="s">
        <v>196</v>
      </c>
      <c r="H5" s="13">
        <f>ROUND(A5*F5,0)</f>
        <v>21733</v>
      </c>
    </row>
    <row r="6" spans="1:8" s="57" customFormat="1" ht="150" x14ac:dyDescent="0.3">
      <c r="A6" s="9">
        <v>69.7</v>
      </c>
      <c r="B6" s="10" t="s">
        <v>19</v>
      </c>
      <c r="C6" s="12" t="s">
        <v>20</v>
      </c>
      <c r="D6" s="12" t="s">
        <v>20</v>
      </c>
      <c r="E6" s="12" t="s">
        <v>21</v>
      </c>
      <c r="F6" s="9">
        <v>377.13</v>
      </c>
      <c r="G6" s="9" t="s">
        <v>196</v>
      </c>
      <c r="H6" s="13">
        <f t="shared" ref="H6:H69" si="0">ROUND(A6*F6,0)</f>
        <v>26286</v>
      </c>
    </row>
    <row r="7" spans="1:8" s="57" customFormat="1" ht="225" x14ac:dyDescent="0.3">
      <c r="A7" s="9">
        <v>12.11</v>
      </c>
      <c r="B7" s="10" t="s">
        <v>22</v>
      </c>
      <c r="C7" s="11" t="s">
        <v>23</v>
      </c>
      <c r="D7" s="9" t="s">
        <v>23</v>
      </c>
      <c r="E7" s="12" t="s">
        <v>24</v>
      </c>
      <c r="F7" s="9">
        <v>4559.1400000000003</v>
      </c>
      <c r="G7" s="9" t="s">
        <v>196</v>
      </c>
      <c r="H7" s="13">
        <f t="shared" si="0"/>
        <v>55211</v>
      </c>
    </row>
    <row r="8" spans="1:8" s="57" customFormat="1" ht="240" x14ac:dyDescent="0.3">
      <c r="A8" s="9">
        <v>110.78</v>
      </c>
      <c r="B8" s="10" t="s">
        <v>25</v>
      </c>
      <c r="C8" s="11" t="s">
        <v>26</v>
      </c>
      <c r="D8" s="12" t="s">
        <v>26</v>
      </c>
      <c r="E8" s="12" t="s">
        <v>24</v>
      </c>
      <c r="F8" s="9">
        <v>6281.13</v>
      </c>
      <c r="G8" s="9" t="s">
        <v>196</v>
      </c>
      <c r="H8" s="13">
        <f t="shared" si="0"/>
        <v>695824</v>
      </c>
    </row>
    <row r="9" spans="1:8" s="57" customFormat="1" ht="270" x14ac:dyDescent="0.3">
      <c r="A9" s="9">
        <v>0</v>
      </c>
      <c r="B9" s="10" t="s">
        <v>27</v>
      </c>
      <c r="C9" s="11" t="s">
        <v>9</v>
      </c>
      <c r="D9" s="11" t="s">
        <v>9</v>
      </c>
      <c r="E9" s="11" t="s">
        <v>9</v>
      </c>
      <c r="F9" s="9">
        <v>0</v>
      </c>
      <c r="G9" s="9" t="s">
        <v>9</v>
      </c>
      <c r="H9" s="13">
        <f t="shared" si="0"/>
        <v>0</v>
      </c>
    </row>
    <row r="10" spans="1:8" s="57" customFormat="1" ht="30" x14ac:dyDescent="0.3">
      <c r="A10" s="9">
        <v>55.38</v>
      </c>
      <c r="B10" s="10" t="s">
        <v>28</v>
      </c>
      <c r="C10" s="11" t="s">
        <v>29</v>
      </c>
      <c r="D10" s="11" t="s">
        <v>29</v>
      </c>
      <c r="E10" s="11" t="s">
        <v>30</v>
      </c>
      <c r="F10" s="9">
        <v>11046.51</v>
      </c>
      <c r="G10" s="9" t="s">
        <v>196</v>
      </c>
      <c r="H10" s="13">
        <f t="shared" si="0"/>
        <v>611756</v>
      </c>
    </row>
    <row r="11" spans="1:8" s="57" customFormat="1" ht="30" x14ac:dyDescent="0.3">
      <c r="A11" s="9">
        <v>32.83</v>
      </c>
      <c r="B11" s="10" t="s">
        <v>13</v>
      </c>
      <c r="C11" s="11" t="s">
        <v>29</v>
      </c>
      <c r="D11" s="11" t="s">
        <v>29</v>
      </c>
      <c r="E11" s="11" t="s">
        <v>30</v>
      </c>
      <c r="F11" s="9">
        <v>11405.83</v>
      </c>
      <c r="G11" s="9" t="s">
        <v>196</v>
      </c>
      <c r="H11" s="13">
        <f t="shared" si="0"/>
        <v>374453</v>
      </c>
    </row>
    <row r="12" spans="1:8" s="57" customFormat="1" ht="30" x14ac:dyDescent="0.3">
      <c r="A12" s="9">
        <v>11.18</v>
      </c>
      <c r="B12" s="10" t="s">
        <v>31</v>
      </c>
      <c r="C12" s="11" t="s">
        <v>29</v>
      </c>
      <c r="D12" s="11" t="s">
        <v>29</v>
      </c>
      <c r="E12" s="11" t="s">
        <v>30</v>
      </c>
      <c r="F12" s="9">
        <v>11765.15</v>
      </c>
      <c r="G12" s="9" t="s">
        <v>196</v>
      </c>
      <c r="H12" s="13">
        <f t="shared" si="0"/>
        <v>131534</v>
      </c>
    </row>
    <row r="13" spans="1:8" s="57" customFormat="1" ht="255" x14ac:dyDescent="0.3">
      <c r="A13" s="9">
        <v>0</v>
      </c>
      <c r="B13" s="10" t="s">
        <v>32</v>
      </c>
      <c r="C13" s="11" t="s">
        <v>9</v>
      </c>
      <c r="D13" s="11" t="s">
        <v>9</v>
      </c>
      <c r="E13" s="11" t="s">
        <v>9</v>
      </c>
      <c r="F13" s="9">
        <v>0</v>
      </c>
      <c r="G13" s="9" t="s">
        <v>9</v>
      </c>
      <c r="H13" s="13">
        <f t="shared" si="0"/>
        <v>0</v>
      </c>
    </row>
    <row r="14" spans="1:8" s="57" customFormat="1" ht="30" x14ac:dyDescent="0.3">
      <c r="A14" s="9">
        <v>0.28000000000000003</v>
      </c>
      <c r="B14" s="10" t="s">
        <v>33</v>
      </c>
      <c r="C14" s="11" t="s">
        <v>34</v>
      </c>
      <c r="D14" s="11" t="s">
        <v>34</v>
      </c>
      <c r="E14" s="11" t="s">
        <v>35</v>
      </c>
      <c r="F14" s="9">
        <v>12546.14</v>
      </c>
      <c r="G14" s="9" t="s">
        <v>196</v>
      </c>
      <c r="H14" s="13">
        <f t="shared" si="0"/>
        <v>3513</v>
      </c>
    </row>
    <row r="15" spans="1:8" s="57" customFormat="1" ht="30" x14ac:dyDescent="0.3">
      <c r="A15" s="9" t="s">
        <v>36</v>
      </c>
      <c r="B15" s="10" t="s">
        <v>37</v>
      </c>
      <c r="C15" s="11" t="s">
        <v>34</v>
      </c>
      <c r="D15" s="11" t="s">
        <v>34</v>
      </c>
      <c r="E15" s="11" t="s">
        <v>35</v>
      </c>
      <c r="F15" s="9">
        <v>1409.31</v>
      </c>
      <c r="G15" s="9" t="s">
        <v>199</v>
      </c>
      <c r="H15" s="13">
        <f t="shared" si="0"/>
        <v>37065</v>
      </c>
    </row>
    <row r="16" spans="1:8" s="57" customFormat="1" ht="300" x14ac:dyDescent="0.3">
      <c r="A16" s="9">
        <v>0.35</v>
      </c>
      <c r="B16" s="10" t="s">
        <v>38</v>
      </c>
      <c r="C16" s="11" t="s">
        <v>39</v>
      </c>
      <c r="D16" s="11" t="s">
        <v>39</v>
      </c>
      <c r="E16" s="11">
        <v>126</v>
      </c>
      <c r="F16" s="9">
        <v>82961.67</v>
      </c>
      <c r="G16" s="9" t="s">
        <v>197</v>
      </c>
      <c r="H16" s="13">
        <f t="shared" si="0"/>
        <v>29037</v>
      </c>
    </row>
    <row r="17" spans="1:9" s="57" customFormat="1" ht="315" x14ac:dyDescent="0.3">
      <c r="A17" s="9">
        <v>26.3</v>
      </c>
      <c r="B17" s="10" t="s">
        <v>40</v>
      </c>
      <c r="C17" s="12" t="s">
        <v>41</v>
      </c>
      <c r="D17" s="12" t="s">
        <v>41</v>
      </c>
      <c r="E17" s="12" t="s">
        <v>42</v>
      </c>
      <c r="F17" s="9">
        <v>515.25</v>
      </c>
      <c r="G17" s="9" t="s">
        <v>199</v>
      </c>
      <c r="H17" s="13">
        <f t="shared" si="0"/>
        <v>13551</v>
      </c>
    </row>
    <row r="18" spans="1:9" s="57" customFormat="1" ht="255" x14ac:dyDescent="0.3">
      <c r="A18" s="9">
        <v>10.3</v>
      </c>
      <c r="B18" s="10" t="s">
        <v>43</v>
      </c>
      <c r="C18" s="12" t="s">
        <v>44</v>
      </c>
      <c r="D18" s="12" t="s">
        <v>44</v>
      </c>
      <c r="E18" s="12" t="s">
        <v>45</v>
      </c>
      <c r="F18" s="9">
        <v>8316.6200000000008</v>
      </c>
      <c r="G18" s="9" t="s">
        <v>196</v>
      </c>
      <c r="H18" s="13">
        <f t="shared" si="0"/>
        <v>85661</v>
      </c>
    </row>
    <row r="19" spans="1:9" s="57" customFormat="1" ht="90" x14ac:dyDescent="0.3">
      <c r="A19" s="9">
        <v>0</v>
      </c>
      <c r="B19" s="10" t="s">
        <v>46</v>
      </c>
      <c r="C19" s="11" t="s">
        <v>9</v>
      </c>
      <c r="D19" s="11" t="s">
        <v>9</v>
      </c>
      <c r="E19" s="11" t="s">
        <v>9</v>
      </c>
      <c r="F19" s="9">
        <v>0</v>
      </c>
      <c r="G19" s="9" t="s">
        <v>9</v>
      </c>
      <c r="H19" s="13">
        <f t="shared" si="0"/>
        <v>0</v>
      </c>
    </row>
    <row r="20" spans="1:9" s="57" customFormat="1" ht="45" x14ac:dyDescent="0.3">
      <c r="A20" s="9">
        <v>79.98</v>
      </c>
      <c r="B20" s="10" t="s">
        <v>14</v>
      </c>
      <c r="C20" s="11" t="s">
        <v>47</v>
      </c>
      <c r="D20" s="11" t="s">
        <v>47</v>
      </c>
      <c r="E20" s="11" t="s">
        <v>30</v>
      </c>
      <c r="F20" s="9">
        <v>397.65</v>
      </c>
      <c r="G20" s="9" t="s">
        <v>195</v>
      </c>
      <c r="H20" s="13">
        <f t="shared" si="0"/>
        <v>31804</v>
      </c>
    </row>
    <row r="21" spans="1:9" s="57" customFormat="1" ht="45" x14ac:dyDescent="0.3">
      <c r="A21" s="9">
        <v>97.91</v>
      </c>
      <c r="B21" s="10" t="s">
        <v>48</v>
      </c>
      <c r="C21" s="11" t="s">
        <v>47</v>
      </c>
      <c r="D21" s="11" t="s">
        <v>47</v>
      </c>
      <c r="E21" s="11" t="s">
        <v>30</v>
      </c>
      <c r="F21" s="9">
        <v>573.75</v>
      </c>
      <c r="G21" s="9" t="s">
        <v>202</v>
      </c>
      <c r="H21" s="13">
        <f t="shared" si="0"/>
        <v>56176</v>
      </c>
    </row>
    <row r="22" spans="1:9" s="57" customFormat="1" ht="45" x14ac:dyDescent="0.3">
      <c r="A22" s="9">
        <v>2</v>
      </c>
      <c r="B22" s="10" t="s">
        <v>49</v>
      </c>
      <c r="C22" s="11" t="s">
        <v>47</v>
      </c>
      <c r="D22" s="11" t="s">
        <v>47</v>
      </c>
      <c r="E22" s="11" t="s">
        <v>30</v>
      </c>
      <c r="F22" s="9">
        <v>3999.24</v>
      </c>
      <c r="G22" s="9" t="s">
        <v>203</v>
      </c>
      <c r="H22" s="13">
        <f t="shared" si="0"/>
        <v>7998</v>
      </c>
    </row>
    <row r="23" spans="1:9" s="57" customFormat="1" ht="255" x14ac:dyDescent="0.3">
      <c r="A23" s="9">
        <v>0</v>
      </c>
      <c r="B23" s="10" t="s">
        <v>50</v>
      </c>
      <c r="C23" s="11" t="s">
        <v>9</v>
      </c>
      <c r="D23" s="11" t="s">
        <v>9</v>
      </c>
      <c r="E23" s="11" t="s">
        <v>9</v>
      </c>
      <c r="F23" s="9">
        <v>0</v>
      </c>
      <c r="G23" s="9" t="s">
        <v>9</v>
      </c>
      <c r="H23" s="13">
        <f t="shared" si="0"/>
        <v>0</v>
      </c>
    </row>
    <row r="24" spans="1:9" s="57" customFormat="1" ht="45" x14ac:dyDescent="0.3">
      <c r="A24" s="9">
        <v>106.56</v>
      </c>
      <c r="B24" s="10" t="s">
        <v>51</v>
      </c>
      <c r="C24" s="11" t="s">
        <v>104</v>
      </c>
      <c r="D24" s="12" t="s">
        <v>52</v>
      </c>
      <c r="E24" s="12" t="s">
        <v>30</v>
      </c>
      <c r="F24" s="9">
        <v>1313.07</v>
      </c>
      <c r="G24" s="9" t="s">
        <v>199</v>
      </c>
      <c r="H24" s="13">
        <f t="shared" si="0"/>
        <v>139921</v>
      </c>
    </row>
    <row r="25" spans="1:9" s="57" customFormat="1" ht="45" x14ac:dyDescent="0.3">
      <c r="A25" s="9">
        <v>81.41</v>
      </c>
      <c r="B25" s="10" t="s">
        <v>53</v>
      </c>
      <c r="C25" s="11" t="s">
        <v>104</v>
      </c>
      <c r="D25" s="12" t="s">
        <v>52</v>
      </c>
      <c r="E25" s="12" t="s">
        <v>30</v>
      </c>
      <c r="F25" s="9">
        <v>3036.16</v>
      </c>
      <c r="G25" s="9" t="s">
        <v>199</v>
      </c>
      <c r="H25" s="13">
        <f t="shared" si="0"/>
        <v>247174</v>
      </c>
    </row>
    <row r="26" spans="1:9" s="58" customFormat="1" ht="45" x14ac:dyDescent="0.3">
      <c r="A26" s="9">
        <v>39.549999999999997</v>
      </c>
      <c r="B26" s="10" t="s">
        <v>54</v>
      </c>
      <c r="C26" s="11" t="s">
        <v>104</v>
      </c>
      <c r="D26" s="12" t="s">
        <v>52</v>
      </c>
      <c r="E26" s="12" t="s">
        <v>30</v>
      </c>
      <c r="F26" s="9">
        <v>3298.26</v>
      </c>
      <c r="G26" s="9" t="s">
        <v>199</v>
      </c>
      <c r="H26" s="13">
        <f t="shared" si="0"/>
        <v>130446</v>
      </c>
    </row>
    <row r="27" spans="1:9" s="57" customFormat="1" ht="180" x14ac:dyDescent="0.3">
      <c r="A27" s="9">
        <v>14.23</v>
      </c>
      <c r="B27" s="10" t="s">
        <v>55</v>
      </c>
      <c r="C27" s="11" t="s">
        <v>56</v>
      </c>
      <c r="D27" s="11" t="s">
        <v>56</v>
      </c>
      <c r="E27" s="11" t="s">
        <v>57</v>
      </c>
      <c r="F27" s="9">
        <v>383.44</v>
      </c>
      <c r="G27" s="9" t="s">
        <v>199</v>
      </c>
      <c r="H27" s="13">
        <f t="shared" si="0"/>
        <v>5456</v>
      </c>
    </row>
    <row r="28" spans="1:9" s="57" customFormat="1" ht="180" x14ac:dyDescent="0.3">
      <c r="A28" s="9">
        <v>49.97</v>
      </c>
      <c r="B28" s="10" t="s">
        <v>58</v>
      </c>
      <c r="C28" s="11" t="s">
        <v>59</v>
      </c>
      <c r="D28" s="11" t="s">
        <v>59</v>
      </c>
      <c r="E28" s="11" t="s">
        <v>57</v>
      </c>
      <c r="F28" s="9">
        <v>390.36</v>
      </c>
      <c r="G28" s="9" t="s">
        <v>199</v>
      </c>
      <c r="H28" s="13">
        <f t="shared" si="0"/>
        <v>19506</v>
      </c>
    </row>
    <row r="29" spans="1:9" s="57" customFormat="1" ht="165" x14ac:dyDescent="0.3">
      <c r="A29" s="9" t="s">
        <v>60</v>
      </c>
      <c r="B29" s="10" t="s">
        <v>61</v>
      </c>
      <c r="C29" s="11" t="s">
        <v>62</v>
      </c>
      <c r="D29" s="11" t="s">
        <v>62</v>
      </c>
      <c r="E29" s="11" t="s">
        <v>63</v>
      </c>
      <c r="F29" s="9">
        <v>4771.83</v>
      </c>
      <c r="G29" s="9" t="s">
        <v>202</v>
      </c>
      <c r="H29" s="13">
        <f t="shared" si="0"/>
        <v>133420</v>
      </c>
      <c r="I29" s="59"/>
    </row>
    <row r="30" spans="1:9" s="57" customFormat="1" ht="105" x14ac:dyDescent="0.3">
      <c r="A30" s="9">
        <v>1.57</v>
      </c>
      <c r="B30" s="10" t="s">
        <v>64</v>
      </c>
      <c r="C30" s="11" t="s">
        <v>65</v>
      </c>
      <c r="D30" s="11" t="s">
        <v>65</v>
      </c>
      <c r="E30" s="11" t="s">
        <v>63</v>
      </c>
      <c r="F30" s="9">
        <v>4686.6099999999997</v>
      </c>
      <c r="G30" s="9" t="s">
        <v>198</v>
      </c>
      <c r="H30" s="13">
        <f t="shared" si="0"/>
        <v>7358</v>
      </c>
    </row>
    <row r="31" spans="1:9" s="57" customFormat="1" ht="135" x14ac:dyDescent="0.3">
      <c r="A31" s="9">
        <v>1</v>
      </c>
      <c r="B31" s="10" t="s">
        <v>66</v>
      </c>
      <c r="C31" s="11" t="s">
        <v>67</v>
      </c>
      <c r="D31" s="11" t="s">
        <v>67</v>
      </c>
      <c r="E31" s="11" t="s">
        <v>63</v>
      </c>
      <c r="F31" s="9">
        <v>8498.4</v>
      </c>
      <c r="G31" s="9" t="s">
        <v>201</v>
      </c>
      <c r="H31" s="13">
        <f t="shared" si="0"/>
        <v>8498</v>
      </c>
    </row>
    <row r="32" spans="1:9" s="57" customFormat="1" ht="105" x14ac:dyDescent="0.3">
      <c r="A32" s="9">
        <v>0</v>
      </c>
      <c r="B32" s="10" t="s">
        <v>68</v>
      </c>
      <c r="C32" s="11" t="s">
        <v>9</v>
      </c>
      <c r="D32" s="11" t="s">
        <v>9</v>
      </c>
      <c r="E32" s="11" t="s">
        <v>9</v>
      </c>
      <c r="F32" s="9">
        <v>0</v>
      </c>
      <c r="G32" s="9" t="s">
        <v>9</v>
      </c>
      <c r="H32" s="13">
        <f t="shared" si="0"/>
        <v>0</v>
      </c>
    </row>
    <row r="33" spans="1:10" s="57" customFormat="1" ht="30" x14ac:dyDescent="0.3">
      <c r="A33" s="9">
        <v>32</v>
      </c>
      <c r="B33" s="10" t="s">
        <v>69</v>
      </c>
      <c r="C33" s="11" t="s">
        <v>70</v>
      </c>
      <c r="D33" s="11" t="s">
        <v>70</v>
      </c>
      <c r="E33" s="12" t="s">
        <v>63</v>
      </c>
      <c r="F33" s="9">
        <v>2533.61</v>
      </c>
      <c r="G33" s="9" t="s">
        <v>198</v>
      </c>
      <c r="H33" s="13">
        <f t="shared" si="0"/>
        <v>81076</v>
      </c>
    </row>
    <row r="34" spans="1:10" s="57" customFormat="1" ht="30" x14ac:dyDescent="0.3">
      <c r="A34" s="9">
        <v>20</v>
      </c>
      <c r="B34" s="10" t="s">
        <v>71</v>
      </c>
      <c r="C34" s="11" t="s">
        <v>70</v>
      </c>
      <c r="D34" s="11" t="s">
        <v>70</v>
      </c>
      <c r="E34" s="12" t="s">
        <v>63</v>
      </c>
      <c r="F34" s="9">
        <v>1937.13</v>
      </c>
      <c r="G34" s="9" t="s">
        <v>198</v>
      </c>
      <c r="H34" s="13">
        <f t="shared" si="0"/>
        <v>38743</v>
      </c>
    </row>
    <row r="35" spans="1:10" s="57" customFormat="1" ht="30" x14ac:dyDescent="0.3">
      <c r="A35" s="9">
        <v>14</v>
      </c>
      <c r="B35" s="10" t="s">
        <v>72</v>
      </c>
      <c r="C35" s="11" t="s">
        <v>70</v>
      </c>
      <c r="D35" s="11" t="s">
        <v>70</v>
      </c>
      <c r="E35" s="12" t="s">
        <v>63</v>
      </c>
      <c r="F35" s="9">
        <v>1238.4000000000001</v>
      </c>
      <c r="G35" s="9" t="s">
        <v>198</v>
      </c>
      <c r="H35" s="13">
        <f t="shared" si="0"/>
        <v>17338</v>
      </c>
      <c r="I35" s="60"/>
    </row>
    <row r="36" spans="1:10" s="57" customFormat="1" ht="315" x14ac:dyDescent="0.3">
      <c r="A36" s="9">
        <v>14.23</v>
      </c>
      <c r="B36" s="10" t="s">
        <v>190</v>
      </c>
      <c r="C36" s="11" t="s">
        <v>73</v>
      </c>
      <c r="D36" s="11" t="s">
        <v>73</v>
      </c>
      <c r="E36" s="11" t="s">
        <v>30</v>
      </c>
      <c r="F36" s="9">
        <v>2678.27</v>
      </c>
      <c r="G36" s="9" t="s">
        <v>199</v>
      </c>
      <c r="H36" s="13">
        <f t="shared" si="0"/>
        <v>38112</v>
      </c>
      <c r="I36" s="4"/>
      <c r="J36" s="5"/>
    </row>
    <row r="37" spans="1:10" s="57" customFormat="1" ht="210" x14ac:dyDescent="0.3">
      <c r="A37" s="9">
        <v>48.38</v>
      </c>
      <c r="B37" s="10" t="s">
        <v>74</v>
      </c>
      <c r="C37" s="11" t="s">
        <v>75</v>
      </c>
      <c r="D37" s="11" t="s">
        <v>75</v>
      </c>
      <c r="E37" s="11" t="s">
        <v>30</v>
      </c>
      <c r="F37" s="9">
        <v>2238.27</v>
      </c>
      <c r="G37" s="9" t="s">
        <v>199</v>
      </c>
      <c r="H37" s="13">
        <f t="shared" si="0"/>
        <v>108288</v>
      </c>
      <c r="I37" s="4"/>
      <c r="J37" s="5"/>
    </row>
    <row r="38" spans="1:10" s="61" customFormat="1" ht="105" x14ac:dyDescent="0.3">
      <c r="A38" s="9">
        <v>0</v>
      </c>
      <c r="B38" s="10" t="s">
        <v>220</v>
      </c>
      <c r="C38" s="11" t="s">
        <v>9</v>
      </c>
      <c r="D38" s="11" t="s">
        <v>9</v>
      </c>
      <c r="E38" s="11" t="s">
        <v>9</v>
      </c>
      <c r="F38" s="9">
        <v>0</v>
      </c>
      <c r="G38" s="9" t="s">
        <v>9</v>
      </c>
      <c r="H38" s="13">
        <f t="shared" si="0"/>
        <v>0</v>
      </c>
    </row>
    <row r="39" spans="1:10" s="57" customFormat="1" ht="45" x14ac:dyDescent="0.3">
      <c r="A39" s="9">
        <v>1516.6</v>
      </c>
      <c r="B39" s="10" t="s">
        <v>76</v>
      </c>
      <c r="C39" s="12" t="s">
        <v>77</v>
      </c>
      <c r="D39" s="12" t="s">
        <v>77</v>
      </c>
      <c r="E39" s="12" t="s">
        <v>30</v>
      </c>
      <c r="F39" s="9">
        <v>14.99</v>
      </c>
      <c r="G39" s="9" t="s">
        <v>202</v>
      </c>
      <c r="H39" s="13">
        <f t="shared" si="0"/>
        <v>22734</v>
      </c>
    </row>
    <row r="40" spans="1:10" s="57" customFormat="1" ht="45" x14ac:dyDescent="0.3">
      <c r="A40" s="9">
        <v>1113.75</v>
      </c>
      <c r="B40" s="10" t="s">
        <v>78</v>
      </c>
      <c r="C40" s="12" t="s">
        <v>77</v>
      </c>
      <c r="D40" s="12" t="s">
        <v>77</v>
      </c>
      <c r="E40" s="12" t="s">
        <v>30</v>
      </c>
      <c r="F40" s="9">
        <v>13.74</v>
      </c>
      <c r="G40" s="9" t="s">
        <v>202</v>
      </c>
      <c r="H40" s="13">
        <f t="shared" si="0"/>
        <v>15303</v>
      </c>
    </row>
    <row r="41" spans="1:10" s="57" customFormat="1" ht="150" x14ac:dyDescent="0.3">
      <c r="A41" s="9">
        <v>291.72000000000003</v>
      </c>
      <c r="B41" s="10" t="s">
        <v>218</v>
      </c>
      <c r="C41" s="11" t="s">
        <v>79</v>
      </c>
      <c r="D41" s="11" t="s">
        <v>79</v>
      </c>
      <c r="E41" s="11" t="s">
        <v>30</v>
      </c>
      <c r="F41" s="9">
        <v>220.76</v>
      </c>
      <c r="G41" s="9" t="s">
        <v>199</v>
      </c>
      <c r="H41" s="13">
        <f t="shared" si="0"/>
        <v>64400</v>
      </c>
    </row>
    <row r="42" spans="1:10" x14ac:dyDescent="0.3">
      <c r="A42" s="9">
        <v>0</v>
      </c>
      <c r="B42" s="10" t="s">
        <v>80</v>
      </c>
      <c r="C42" s="11" t="s">
        <v>9</v>
      </c>
      <c r="D42" s="11" t="s">
        <v>9</v>
      </c>
      <c r="E42" s="12" t="s">
        <v>9</v>
      </c>
      <c r="F42" s="9">
        <v>0</v>
      </c>
      <c r="G42" s="11" t="s">
        <v>9</v>
      </c>
      <c r="H42" s="13">
        <f t="shared" si="0"/>
        <v>0</v>
      </c>
    </row>
    <row r="43" spans="1:10" ht="195" x14ac:dyDescent="0.3">
      <c r="A43" s="9">
        <v>48.94</v>
      </c>
      <c r="B43" s="10" t="s">
        <v>81</v>
      </c>
      <c r="C43" s="11" t="s">
        <v>82</v>
      </c>
      <c r="D43" s="11" t="s">
        <v>82</v>
      </c>
      <c r="E43" s="11">
        <v>308</v>
      </c>
      <c r="F43" s="9">
        <v>254.34</v>
      </c>
      <c r="G43" s="9" t="s">
        <v>196</v>
      </c>
      <c r="H43" s="13">
        <f t="shared" si="0"/>
        <v>12447</v>
      </c>
    </row>
    <row r="44" spans="1:10" ht="150" x14ac:dyDescent="0.3">
      <c r="A44" s="9">
        <v>98.03</v>
      </c>
      <c r="B44" s="10" t="s">
        <v>83</v>
      </c>
      <c r="C44" s="11" t="s">
        <v>20</v>
      </c>
      <c r="D44" s="11" t="s">
        <v>20</v>
      </c>
      <c r="E44" s="11" t="s">
        <v>84</v>
      </c>
      <c r="F44" s="9">
        <v>377.13</v>
      </c>
      <c r="G44" s="9" t="s">
        <v>196</v>
      </c>
      <c r="H44" s="13">
        <f t="shared" si="0"/>
        <v>36970</v>
      </c>
    </row>
    <row r="45" spans="1:10" ht="225" x14ac:dyDescent="0.3">
      <c r="A45" s="9">
        <v>11.9</v>
      </c>
      <c r="B45" s="10" t="s">
        <v>85</v>
      </c>
      <c r="C45" s="11" t="s">
        <v>23</v>
      </c>
      <c r="D45" s="11" t="s">
        <v>86</v>
      </c>
      <c r="E45" s="11">
        <v>402</v>
      </c>
      <c r="F45" s="9">
        <v>4559.1400000000003</v>
      </c>
      <c r="G45" s="9" t="s">
        <v>196</v>
      </c>
      <c r="H45" s="13">
        <f t="shared" si="0"/>
        <v>54254</v>
      </c>
    </row>
    <row r="46" spans="1:10" ht="255" x14ac:dyDescent="0.3">
      <c r="A46" s="9">
        <v>0</v>
      </c>
      <c r="B46" s="10" t="s">
        <v>87</v>
      </c>
      <c r="C46" s="11" t="s">
        <v>9</v>
      </c>
      <c r="D46" s="11" t="s">
        <v>9</v>
      </c>
      <c r="E46" s="11" t="s">
        <v>9</v>
      </c>
      <c r="F46" s="9">
        <v>0</v>
      </c>
      <c r="G46" s="11" t="s">
        <v>9</v>
      </c>
      <c r="H46" s="13">
        <f t="shared" si="0"/>
        <v>0</v>
      </c>
    </row>
    <row r="47" spans="1:10" ht="30" x14ac:dyDescent="0.3">
      <c r="A47" s="9">
        <v>7.08</v>
      </c>
      <c r="B47" s="10" t="s">
        <v>88</v>
      </c>
      <c r="C47" s="12" t="s">
        <v>34</v>
      </c>
      <c r="D47" s="12" t="s">
        <v>34</v>
      </c>
      <c r="E47" s="12" t="s">
        <v>89</v>
      </c>
      <c r="F47" s="9">
        <v>9575.1200000000008</v>
      </c>
      <c r="G47" s="9" t="s">
        <v>196</v>
      </c>
      <c r="H47" s="13">
        <f t="shared" si="0"/>
        <v>67792</v>
      </c>
    </row>
    <row r="48" spans="1:10" ht="30" x14ac:dyDescent="0.3">
      <c r="A48" s="9">
        <v>1.81</v>
      </c>
      <c r="B48" s="10" t="s">
        <v>90</v>
      </c>
      <c r="C48" s="12" t="s">
        <v>34</v>
      </c>
      <c r="D48" s="12" t="s">
        <v>34</v>
      </c>
      <c r="E48" s="12" t="s">
        <v>89</v>
      </c>
      <c r="F48" s="9">
        <v>10073.89</v>
      </c>
      <c r="G48" s="9" t="s">
        <v>196</v>
      </c>
      <c r="H48" s="13">
        <f t="shared" si="0"/>
        <v>18234</v>
      </c>
    </row>
    <row r="49" spans="1:9" ht="30" x14ac:dyDescent="0.3">
      <c r="A49" s="9" t="s">
        <v>91</v>
      </c>
      <c r="B49" s="10" t="s">
        <v>92</v>
      </c>
      <c r="C49" s="12" t="s">
        <v>34</v>
      </c>
      <c r="D49" s="12" t="s">
        <v>34</v>
      </c>
      <c r="E49" s="12" t="s">
        <v>89</v>
      </c>
      <c r="F49" s="9">
        <v>12356.41</v>
      </c>
      <c r="G49" s="9" t="s">
        <v>196</v>
      </c>
      <c r="H49" s="13">
        <f t="shared" si="0"/>
        <v>46213</v>
      </c>
    </row>
    <row r="50" spans="1:9" ht="30" x14ac:dyDescent="0.3">
      <c r="A50" s="9">
        <v>4.8099999999999996</v>
      </c>
      <c r="B50" s="10" t="s">
        <v>188</v>
      </c>
      <c r="C50" s="12" t="s">
        <v>34</v>
      </c>
      <c r="D50" s="12" t="s">
        <v>34</v>
      </c>
      <c r="E50" s="12" t="s">
        <v>89</v>
      </c>
      <c r="F50" s="9">
        <v>11961.04</v>
      </c>
      <c r="G50" s="9" t="s">
        <v>196</v>
      </c>
      <c r="H50" s="13">
        <f t="shared" si="0"/>
        <v>57533</v>
      </c>
    </row>
    <row r="51" spans="1:9" ht="30" x14ac:dyDescent="0.3">
      <c r="A51" s="9">
        <v>3.01</v>
      </c>
      <c r="B51" s="10" t="s">
        <v>189</v>
      </c>
      <c r="C51" s="12" t="s">
        <v>34</v>
      </c>
      <c r="D51" s="12" t="s">
        <v>34</v>
      </c>
      <c r="E51" s="12" t="s">
        <v>89</v>
      </c>
      <c r="F51" s="9">
        <v>11617.62</v>
      </c>
      <c r="G51" s="9" t="s">
        <v>196</v>
      </c>
      <c r="H51" s="13">
        <f t="shared" si="0"/>
        <v>34969</v>
      </c>
    </row>
    <row r="52" spans="1:9" ht="30" x14ac:dyDescent="0.3">
      <c r="A52" s="9" t="s">
        <v>93</v>
      </c>
      <c r="B52" s="10" t="s">
        <v>94</v>
      </c>
      <c r="C52" s="12" t="s">
        <v>34</v>
      </c>
      <c r="D52" s="12" t="s">
        <v>34</v>
      </c>
      <c r="E52" s="12" t="s">
        <v>89</v>
      </c>
      <c r="F52" s="9">
        <v>1409.31</v>
      </c>
      <c r="G52" s="9" t="s">
        <v>199</v>
      </c>
      <c r="H52" s="13">
        <f t="shared" si="0"/>
        <v>63659</v>
      </c>
    </row>
    <row r="53" spans="1:9" ht="30" x14ac:dyDescent="0.3">
      <c r="A53" s="9">
        <v>20.07</v>
      </c>
      <c r="B53" s="10" t="s">
        <v>95</v>
      </c>
      <c r="C53" s="12" t="s">
        <v>34</v>
      </c>
      <c r="D53" s="12" t="s">
        <v>34</v>
      </c>
      <c r="E53" s="12" t="s">
        <v>89</v>
      </c>
      <c r="F53" s="9">
        <v>1294.9000000000001</v>
      </c>
      <c r="G53" s="9" t="s">
        <v>199</v>
      </c>
      <c r="H53" s="13">
        <f t="shared" si="0"/>
        <v>25989</v>
      </c>
    </row>
    <row r="54" spans="1:9" ht="300" x14ac:dyDescent="0.3">
      <c r="A54" s="9">
        <v>2.72</v>
      </c>
      <c r="B54" s="10" t="s">
        <v>96</v>
      </c>
      <c r="C54" s="11" t="s">
        <v>39</v>
      </c>
      <c r="D54" s="11" t="s">
        <v>97</v>
      </c>
      <c r="E54" s="11">
        <v>126</v>
      </c>
      <c r="F54" s="9">
        <v>82961.759999999995</v>
      </c>
      <c r="G54" s="9" t="s">
        <v>197</v>
      </c>
      <c r="H54" s="13">
        <f t="shared" si="0"/>
        <v>225656</v>
      </c>
      <c r="I54" s="62"/>
    </row>
    <row r="55" spans="1:9" ht="255" x14ac:dyDescent="0.3">
      <c r="A55" s="9">
        <v>10.96</v>
      </c>
      <c r="B55" s="10" t="s">
        <v>98</v>
      </c>
      <c r="C55" s="11" t="s">
        <v>44</v>
      </c>
      <c r="D55" s="11" t="s">
        <v>44</v>
      </c>
      <c r="E55" s="11" t="s">
        <v>45</v>
      </c>
      <c r="F55" s="9">
        <v>7845.36</v>
      </c>
      <c r="G55" s="9" t="s">
        <v>196</v>
      </c>
      <c r="H55" s="13">
        <f t="shared" si="0"/>
        <v>85985</v>
      </c>
    </row>
    <row r="56" spans="1:9" ht="180" x14ac:dyDescent="0.3">
      <c r="A56" s="9">
        <v>0</v>
      </c>
      <c r="B56" s="10" t="s">
        <v>99</v>
      </c>
      <c r="C56" s="11" t="s">
        <v>9</v>
      </c>
      <c r="D56" s="11" t="s">
        <v>9</v>
      </c>
      <c r="E56" s="11" t="s">
        <v>9</v>
      </c>
      <c r="F56" s="9">
        <v>0</v>
      </c>
      <c r="G56" s="9" t="s">
        <v>9</v>
      </c>
      <c r="H56" s="13">
        <f t="shared" si="0"/>
        <v>0</v>
      </c>
    </row>
    <row r="57" spans="1:9" ht="30" x14ac:dyDescent="0.3">
      <c r="A57" s="9">
        <v>4.9000000000000004</v>
      </c>
      <c r="B57" s="10" t="s">
        <v>100</v>
      </c>
      <c r="C57" s="11" t="s">
        <v>29</v>
      </c>
      <c r="D57" s="12" t="s">
        <v>29</v>
      </c>
      <c r="E57" s="12" t="s">
        <v>63</v>
      </c>
      <c r="F57" s="9">
        <v>11046.51</v>
      </c>
      <c r="G57" s="9" t="s">
        <v>196</v>
      </c>
      <c r="H57" s="13">
        <f t="shared" si="0"/>
        <v>54128</v>
      </c>
    </row>
    <row r="58" spans="1:9" ht="30" x14ac:dyDescent="0.3">
      <c r="A58" s="9">
        <v>2.0499999999999998</v>
      </c>
      <c r="B58" s="10" t="s">
        <v>13</v>
      </c>
      <c r="C58" s="11" t="s">
        <v>29</v>
      </c>
      <c r="D58" s="12" t="s">
        <v>29</v>
      </c>
      <c r="E58" s="12" t="s">
        <v>63</v>
      </c>
      <c r="F58" s="9">
        <v>11404.77</v>
      </c>
      <c r="G58" s="9" t="s">
        <v>196</v>
      </c>
      <c r="H58" s="13">
        <f t="shared" si="0"/>
        <v>23380</v>
      </c>
    </row>
    <row r="59" spans="1:9" ht="315" x14ac:dyDescent="0.3">
      <c r="A59" s="9">
        <v>45.15</v>
      </c>
      <c r="B59" s="10" t="s">
        <v>101</v>
      </c>
      <c r="C59" s="11" t="s">
        <v>41</v>
      </c>
      <c r="D59" s="11" t="s">
        <v>41</v>
      </c>
      <c r="E59" s="11" t="s">
        <v>42</v>
      </c>
      <c r="F59" s="9">
        <v>515.25</v>
      </c>
      <c r="G59" s="9" t="s">
        <v>199</v>
      </c>
      <c r="H59" s="13">
        <f t="shared" si="0"/>
        <v>23264</v>
      </c>
    </row>
    <row r="60" spans="1:9" ht="255" x14ac:dyDescent="0.3">
      <c r="A60" s="9">
        <v>0</v>
      </c>
      <c r="B60" s="10" t="s">
        <v>102</v>
      </c>
      <c r="C60" s="11" t="s">
        <v>9</v>
      </c>
      <c r="D60" s="11" t="s">
        <v>9</v>
      </c>
      <c r="E60" s="11" t="s">
        <v>9</v>
      </c>
      <c r="F60" s="9">
        <v>0</v>
      </c>
      <c r="G60" s="9" t="s">
        <v>9</v>
      </c>
      <c r="H60" s="13">
        <f t="shared" si="0"/>
        <v>0</v>
      </c>
    </row>
    <row r="61" spans="1:9" ht="45" x14ac:dyDescent="0.3">
      <c r="A61" s="9">
        <v>25.09</v>
      </c>
      <c r="B61" s="10" t="s">
        <v>103</v>
      </c>
      <c r="C61" s="11" t="s">
        <v>104</v>
      </c>
      <c r="D61" s="11" t="s">
        <v>104</v>
      </c>
      <c r="E61" s="11" t="s">
        <v>63</v>
      </c>
      <c r="F61" s="9">
        <v>1313.07</v>
      </c>
      <c r="G61" s="9" t="s">
        <v>199</v>
      </c>
      <c r="H61" s="13">
        <f t="shared" si="0"/>
        <v>32945</v>
      </c>
    </row>
    <row r="62" spans="1:9" ht="45" x14ac:dyDescent="0.3">
      <c r="A62" s="9">
        <v>32.090000000000003</v>
      </c>
      <c r="B62" s="10" t="s">
        <v>105</v>
      </c>
      <c r="C62" s="11" t="s">
        <v>104</v>
      </c>
      <c r="D62" s="11" t="s">
        <v>104</v>
      </c>
      <c r="E62" s="11" t="s">
        <v>63</v>
      </c>
      <c r="F62" s="9">
        <v>1430.52</v>
      </c>
      <c r="G62" s="9" t="s">
        <v>199</v>
      </c>
      <c r="H62" s="13">
        <f t="shared" si="0"/>
        <v>45905</v>
      </c>
    </row>
    <row r="63" spans="1:9" ht="150" x14ac:dyDescent="0.3">
      <c r="A63" s="9">
        <v>0</v>
      </c>
      <c r="B63" s="10" t="s">
        <v>106</v>
      </c>
      <c r="C63" s="11" t="s">
        <v>9</v>
      </c>
      <c r="D63" s="11" t="s">
        <v>9</v>
      </c>
      <c r="E63" s="11" t="s">
        <v>9</v>
      </c>
      <c r="F63" s="9">
        <v>0</v>
      </c>
      <c r="G63" s="11" t="s">
        <v>9</v>
      </c>
      <c r="H63" s="13">
        <f t="shared" si="0"/>
        <v>0</v>
      </c>
    </row>
    <row r="64" spans="1:9" ht="60" x14ac:dyDescent="0.3">
      <c r="A64" s="9">
        <v>361.71</v>
      </c>
      <c r="B64" s="10" t="s">
        <v>107</v>
      </c>
      <c r="C64" s="11" t="s">
        <v>108</v>
      </c>
      <c r="D64" s="11" t="s">
        <v>108</v>
      </c>
      <c r="E64" s="12" t="s">
        <v>63</v>
      </c>
      <c r="F64" s="9">
        <v>312.44</v>
      </c>
      <c r="G64" s="9" t="s">
        <v>202</v>
      </c>
      <c r="H64" s="13">
        <f t="shared" si="0"/>
        <v>113013</v>
      </c>
    </row>
    <row r="65" spans="1:10" ht="60" x14ac:dyDescent="0.3">
      <c r="A65" s="9">
        <v>32.65</v>
      </c>
      <c r="B65" s="10" t="s">
        <v>191</v>
      </c>
      <c r="C65" s="11" t="s">
        <v>108</v>
      </c>
      <c r="D65" s="11" t="s">
        <v>108</v>
      </c>
      <c r="E65" s="12" t="s">
        <v>63</v>
      </c>
      <c r="F65" s="9">
        <v>1971.22</v>
      </c>
      <c r="G65" s="9" t="s">
        <v>195</v>
      </c>
      <c r="H65" s="13">
        <f t="shared" si="0"/>
        <v>64360</v>
      </c>
    </row>
    <row r="66" spans="1:10" ht="60" x14ac:dyDescent="0.3">
      <c r="A66" s="9">
        <v>28.28</v>
      </c>
      <c r="B66" s="10" t="s">
        <v>109</v>
      </c>
      <c r="C66" s="11" t="s">
        <v>108</v>
      </c>
      <c r="D66" s="11" t="s">
        <v>108</v>
      </c>
      <c r="E66" s="12" t="s">
        <v>63</v>
      </c>
      <c r="F66" s="9">
        <v>482.86</v>
      </c>
      <c r="G66" s="9" t="s">
        <v>198</v>
      </c>
      <c r="H66" s="13">
        <f t="shared" si="0"/>
        <v>13655</v>
      </c>
    </row>
    <row r="67" spans="1:10" ht="60" x14ac:dyDescent="0.3">
      <c r="A67" s="9">
        <v>18</v>
      </c>
      <c r="B67" s="10" t="s">
        <v>110</v>
      </c>
      <c r="C67" s="11" t="s">
        <v>108</v>
      </c>
      <c r="D67" s="11" t="s">
        <v>108</v>
      </c>
      <c r="E67" s="12" t="s">
        <v>63</v>
      </c>
      <c r="F67" s="9">
        <v>710.09</v>
      </c>
      <c r="G67" s="9" t="s">
        <v>202</v>
      </c>
      <c r="H67" s="13">
        <f t="shared" si="0"/>
        <v>12782</v>
      </c>
    </row>
    <row r="68" spans="1:10" ht="180" x14ac:dyDescent="0.3">
      <c r="A68" s="9">
        <v>92.08</v>
      </c>
      <c r="B68" s="10" t="s">
        <v>111</v>
      </c>
      <c r="C68" s="11" t="s">
        <v>112</v>
      </c>
      <c r="D68" s="11" t="s">
        <v>112</v>
      </c>
      <c r="E68" s="11" t="s">
        <v>57</v>
      </c>
      <c r="F68" s="9">
        <v>383.44</v>
      </c>
      <c r="G68" s="9" t="s">
        <v>199</v>
      </c>
      <c r="H68" s="13">
        <f t="shared" si="0"/>
        <v>35307</v>
      </c>
    </row>
    <row r="69" spans="1:10" ht="180" x14ac:dyDescent="0.3">
      <c r="A69" s="9">
        <v>16.86</v>
      </c>
      <c r="B69" s="10" t="s">
        <v>113</v>
      </c>
      <c r="C69" s="11" t="s">
        <v>114</v>
      </c>
      <c r="D69" s="11" t="s">
        <v>114</v>
      </c>
      <c r="E69" s="11" t="s">
        <v>57</v>
      </c>
      <c r="F69" s="9">
        <v>359.98</v>
      </c>
      <c r="G69" s="9" t="s">
        <v>199</v>
      </c>
      <c r="H69" s="13">
        <f t="shared" si="0"/>
        <v>6069</v>
      </c>
    </row>
    <row r="70" spans="1:10" ht="315" x14ac:dyDescent="0.3">
      <c r="A70" s="9">
        <v>61.12</v>
      </c>
      <c r="B70" s="10" t="s">
        <v>192</v>
      </c>
      <c r="C70" s="11" t="s">
        <v>73</v>
      </c>
      <c r="D70" s="11" t="s">
        <v>73</v>
      </c>
      <c r="E70" s="11" t="s">
        <v>30</v>
      </c>
      <c r="F70" s="9">
        <v>2678.27</v>
      </c>
      <c r="G70" s="9" t="s">
        <v>199</v>
      </c>
      <c r="H70" s="13">
        <f t="shared" ref="H70:H120" si="1">ROUND(A70*F70,0)</f>
        <v>163696</v>
      </c>
      <c r="I70" s="4"/>
      <c r="J70" s="5"/>
    </row>
    <row r="71" spans="1:10" ht="75" x14ac:dyDescent="0.3">
      <c r="A71" s="9">
        <v>0</v>
      </c>
      <c r="B71" s="10" t="s">
        <v>115</v>
      </c>
      <c r="C71" s="11" t="s">
        <v>9</v>
      </c>
      <c r="D71" s="11" t="s">
        <v>9</v>
      </c>
      <c r="E71" s="11" t="s">
        <v>9</v>
      </c>
      <c r="F71" s="9">
        <v>0</v>
      </c>
      <c r="G71" s="9" t="s">
        <v>9</v>
      </c>
      <c r="H71" s="13">
        <f t="shared" si="1"/>
        <v>0</v>
      </c>
    </row>
    <row r="72" spans="1:10" ht="45" x14ac:dyDescent="0.3">
      <c r="A72" s="9">
        <v>3264</v>
      </c>
      <c r="B72" s="19" t="s">
        <v>116</v>
      </c>
      <c r="C72" s="12" t="s">
        <v>77</v>
      </c>
      <c r="D72" s="12" t="s">
        <v>77</v>
      </c>
      <c r="E72" s="12" t="s">
        <v>63</v>
      </c>
      <c r="F72" s="9">
        <v>14.99</v>
      </c>
      <c r="G72" s="9" t="s">
        <v>202</v>
      </c>
      <c r="H72" s="13">
        <f t="shared" si="1"/>
        <v>48927</v>
      </c>
    </row>
    <row r="73" spans="1:10" ht="150" x14ac:dyDescent="0.3">
      <c r="A73" s="20">
        <v>199.73</v>
      </c>
      <c r="B73" s="10" t="s">
        <v>194</v>
      </c>
      <c r="C73" s="20" t="s">
        <v>79</v>
      </c>
      <c r="D73" s="20" t="s">
        <v>79</v>
      </c>
      <c r="E73" s="20" t="s">
        <v>89</v>
      </c>
      <c r="F73" s="20">
        <v>220.76</v>
      </c>
      <c r="G73" s="9" t="s">
        <v>199</v>
      </c>
      <c r="H73" s="13">
        <f t="shared" si="1"/>
        <v>44092</v>
      </c>
    </row>
    <row r="74" spans="1:10" x14ac:dyDescent="0.3">
      <c r="A74" s="9">
        <v>0</v>
      </c>
      <c r="B74" s="10" t="s">
        <v>117</v>
      </c>
      <c r="C74" s="11" t="s">
        <v>9</v>
      </c>
      <c r="D74" s="11" t="s">
        <v>9</v>
      </c>
      <c r="E74" s="12" t="s">
        <v>9</v>
      </c>
      <c r="F74" s="9">
        <v>0</v>
      </c>
      <c r="G74" s="11" t="s">
        <v>9</v>
      </c>
      <c r="H74" s="13">
        <f t="shared" si="1"/>
        <v>0</v>
      </c>
    </row>
    <row r="75" spans="1:10" ht="180" x14ac:dyDescent="0.3">
      <c r="A75" s="21">
        <v>15.11</v>
      </c>
      <c r="B75" s="22" t="s">
        <v>118</v>
      </c>
      <c r="C75" s="23" t="s">
        <v>119</v>
      </c>
      <c r="D75" s="23" t="s">
        <v>119</v>
      </c>
      <c r="E75" s="23">
        <v>308</v>
      </c>
      <c r="F75" s="9">
        <v>254.34</v>
      </c>
      <c r="G75" s="9" t="s">
        <v>196</v>
      </c>
      <c r="H75" s="13">
        <f t="shared" si="1"/>
        <v>3843</v>
      </c>
    </row>
    <row r="76" spans="1:10" ht="165" x14ac:dyDescent="0.3">
      <c r="A76" s="21">
        <v>1.9</v>
      </c>
      <c r="B76" s="22" t="s">
        <v>120</v>
      </c>
      <c r="C76" s="23" t="s">
        <v>121</v>
      </c>
      <c r="D76" s="23" t="s">
        <v>121</v>
      </c>
      <c r="E76" s="23" t="s">
        <v>84</v>
      </c>
      <c r="F76" s="9">
        <v>377.13</v>
      </c>
      <c r="G76" s="9" t="s">
        <v>196</v>
      </c>
      <c r="H76" s="13">
        <f t="shared" si="1"/>
        <v>717</v>
      </c>
    </row>
    <row r="77" spans="1:10" ht="180" x14ac:dyDescent="0.3">
      <c r="A77" s="9">
        <v>1.9</v>
      </c>
      <c r="B77" s="22" t="s">
        <v>122</v>
      </c>
      <c r="C77" s="11" t="s">
        <v>23</v>
      </c>
      <c r="D77" s="23" t="s">
        <v>123</v>
      </c>
      <c r="E77" s="23" t="s">
        <v>89</v>
      </c>
      <c r="F77" s="9">
        <v>4559.1400000000003</v>
      </c>
      <c r="G77" s="9" t="s">
        <v>196</v>
      </c>
      <c r="H77" s="13">
        <f t="shared" si="1"/>
        <v>8662</v>
      </c>
    </row>
    <row r="78" spans="1:10" ht="180" x14ac:dyDescent="0.3">
      <c r="A78" s="9">
        <v>8.2100000000000009</v>
      </c>
      <c r="B78" s="22" t="s">
        <v>124</v>
      </c>
      <c r="C78" s="23" t="s">
        <v>26</v>
      </c>
      <c r="D78" s="23" t="s">
        <v>26</v>
      </c>
      <c r="E78" s="23" t="s">
        <v>89</v>
      </c>
      <c r="F78" s="9">
        <v>6281.13</v>
      </c>
      <c r="G78" s="9" t="s">
        <v>196</v>
      </c>
      <c r="H78" s="13">
        <f t="shared" si="1"/>
        <v>51568</v>
      </c>
    </row>
    <row r="79" spans="1:10" ht="180" x14ac:dyDescent="0.3">
      <c r="A79" s="9">
        <v>1.1399999999999999</v>
      </c>
      <c r="B79" s="22" t="s">
        <v>125</v>
      </c>
      <c r="C79" s="23" t="s">
        <v>126</v>
      </c>
      <c r="D79" s="23" t="s">
        <v>126</v>
      </c>
      <c r="E79" s="23" t="s">
        <v>89</v>
      </c>
      <c r="F79" s="9">
        <v>6696.16</v>
      </c>
      <c r="G79" s="9" t="s">
        <v>196</v>
      </c>
      <c r="H79" s="13">
        <f t="shared" si="1"/>
        <v>7634</v>
      </c>
    </row>
    <row r="80" spans="1:10" ht="195" x14ac:dyDescent="0.3">
      <c r="A80" s="21">
        <v>1.68</v>
      </c>
      <c r="B80" s="22" t="s">
        <v>127</v>
      </c>
      <c r="C80" s="11" t="s">
        <v>29</v>
      </c>
      <c r="D80" s="23" t="s">
        <v>128</v>
      </c>
      <c r="E80" s="23" t="s">
        <v>63</v>
      </c>
      <c r="F80" s="9">
        <v>11046.51</v>
      </c>
      <c r="G80" s="9" t="s">
        <v>196</v>
      </c>
      <c r="H80" s="13">
        <f t="shared" si="1"/>
        <v>18558</v>
      </c>
    </row>
    <row r="81" spans="1:8" ht="270" x14ac:dyDescent="0.3">
      <c r="A81" s="9">
        <v>0</v>
      </c>
      <c r="B81" s="22" t="s">
        <v>129</v>
      </c>
      <c r="C81" s="11" t="s">
        <v>9</v>
      </c>
      <c r="D81" s="11" t="s">
        <v>9</v>
      </c>
      <c r="E81" s="23" t="s">
        <v>9</v>
      </c>
      <c r="F81" s="9">
        <v>0</v>
      </c>
      <c r="G81" s="9" t="s">
        <v>9</v>
      </c>
      <c r="H81" s="13">
        <f t="shared" si="1"/>
        <v>0</v>
      </c>
    </row>
    <row r="82" spans="1:8" ht="45" x14ac:dyDescent="0.3">
      <c r="A82" s="9">
        <v>7.63</v>
      </c>
      <c r="B82" s="10" t="s">
        <v>130</v>
      </c>
      <c r="C82" s="11" t="s">
        <v>104</v>
      </c>
      <c r="D82" s="11" t="s">
        <v>131</v>
      </c>
      <c r="E82" s="23" t="s">
        <v>63</v>
      </c>
      <c r="F82" s="9">
        <v>1313.07</v>
      </c>
      <c r="G82" s="9" t="s">
        <v>199</v>
      </c>
      <c r="H82" s="13">
        <f t="shared" si="1"/>
        <v>10019</v>
      </c>
    </row>
    <row r="83" spans="1:8" ht="120" x14ac:dyDescent="0.3">
      <c r="A83" s="9">
        <v>0</v>
      </c>
      <c r="B83" s="10" t="s">
        <v>132</v>
      </c>
      <c r="C83" s="11" t="s">
        <v>9</v>
      </c>
      <c r="D83" s="11" t="s">
        <v>9</v>
      </c>
      <c r="E83" s="11" t="s">
        <v>133</v>
      </c>
      <c r="F83" s="9">
        <v>0</v>
      </c>
      <c r="G83" s="9" t="s">
        <v>9</v>
      </c>
      <c r="H83" s="13">
        <f t="shared" si="1"/>
        <v>0</v>
      </c>
    </row>
    <row r="84" spans="1:8" ht="45" x14ac:dyDescent="0.3">
      <c r="A84" s="9">
        <v>1.32</v>
      </c>
      <c r="B84" s="10" t="s">
        <v>134</v>
      </c>
      <c r="C84" s="12" t="s">
        <v>135</v>
      </c>
      <c r="D84" s="12" t="s">
        <v>135</v>
      </c>
      <c r="E84" s="12" t="s">
        <v>63</v>
      </c>
      <c r="F84" s="9">
        <v>127060</v>
      </c>
      <c r="G84" s="9" t="s">
        <v>196</v>
      </c>
      <c r="H84" s="13">
        <f t="shared" si="1"/>
        <v>167719</v>
      </c>
    </row>
    <row r="85" spans="1:8" ht="45" x14ac:dyDescent="0.3">
      <c r="A85" s="9">
        <v>39.92</v>
      </c>
      <c r="B85" s="10" t="s">
        <v>187</v>
      </c>
      <c r="C85" s="12" t="s">
        <v>135</v>
      </c>
      <c r="D85" s="12" t="s">
        <v>135</v>
      </c>
      <c r="E85" s="12" t="s">
        <v>63</v>
      </c>
      <c r="F85" s="9">
        <v>681.69</v>
      </c>
      <c r="G85" s="9" t="s">
        <v>198</v>
      </c>
      <c r="H85" s="13">
        <f t="shared" si="1"/>
        <v>27213</v>
      </c>
    </row>
    <row r="86" spans="1:8" ht="45" x14ac:dyDescent="0.3">
      <c r="A86" s="9">
        <v>9</v>
      </c>
      <c r="B86" s="10" t="s">
        <v>136</v>
      </c>
      <c r="C86" s="12" t="s">
        <v>135</v>
      </c>
      <c r="D86" s="12" t="s">
        <v>135</v>
      </c>
      <c r="E86" s="12" t="s">
        <v>63</v>
      </c>
      <c r="F86" s="9">
        <v>323.8</v>
      </c>
      <c r="G86" s="9" t="s">
        <v>195</v>
      </c>
      <c r="H86" s="13">
        <f t="shared" si="1"/>
        <v>2914</v>
      </c>
    </row>
    <row r="87" spans="1:8" ht="75" x14ac:dyDescent="0.3">
      <c r="A87" s="9">
        <v>4.5599999999999996</v>
      </c>
      <c r="B87" s="22" t="s">
        <v>221</v>
      </c>
      <c r="C87" s="23" t="s">
        <v>137</v>
      </c>
      <c r="D87" s="23" t="s">
        <v>137</v>
      </c>
      <c r="E87" s="12" t="s">
        <v>63</v>
      </c>
      <c r="F87" s="9">
        <v>7548.58</v>
      </c>
      <c r="G87" s="9" t="s">
        <v>195</v>
      </c>
      <c r="H87" s="13">
        <f t="shared" si="1"/>
        <v>34422</v>
      </c>
    </row>
    <row r="88" spans="1:8" ht="45" x14ac:dyDescent="0.3">
      <c r="A88" s="9">
        <v>18</v>
      </c>
      <c r="B88" s="10" t="s">
        <v>138</v>
      </c>
      <c r="C88" s="11" t="s">
        <v>139</v>
      </c>
      <c r="D88" s="11" t="s">
        <v>139</v>
      </c>
      <c r="E88" s="12" t="s">
        <v>63</v>
      </c>
      <c r="F88" s="9">
        <v>170.42</v>
      </c>
      <c r="G88" s="9" t="s">
        <v>10</v>
      </c>
      <c r="H88" s="13">
        <f t="shared" si="1"/>
        <v>3068</v>
      </c>
    </row>
    <row r="89" spans="1:8" ht="30" x14ac:dyDescent="0.3">
      <c r="A89" s="9">
        <v>1</v>
      </c>
      <c r="B89" s="10" t="s">
        <v>140</v>
      </c>
      <c r="C89" s="12" t="s">
        <v>141</v>
      </c>
      <c r="D89" s="12" t="s">
        <v>141</v>
      </c>
      <c r="E89" s="12" t="s">
        <v>63</v>
      </c>
      <c r="F89" s="9">
        <v>11361.5</v>
      </c>
      <c r="G89" s="9" t="s">
        <v>10</v>
      </c>
      <c r="H89" s="13">
        <f t="shared" si="1"/>
        <v>11362</v>
      </c>
    </row>
    <row r="90" spans="1:8" ht="75" x14ac:dyDescent="0.3">
      <c r="A90" s="9">
        <v>2</v>
      </c>
      <c r="B90" s="10" t="s">
        <v>142</v>
      </c>
      <c r="C90" s="11" t="s">
        <v>143</v>
      </c>
      <c r="D90" s="11" t="s">
        <v>143</v>
      </c>
      <c r="E90" s="12" t="s">
        <v>63</v>
      </c>
      <c r="F90" s="9">
        <v>4686.6099999999997</v>
      </c>
      <c r="G90" s="9" t="s">
        <v>198</v>
      </c>
      <c r="H90" s="13">
        <f t="shared" si="1"/>
        <v>9373</v>
      </c>
    </row>
    <row r="91" spans="1:8" ht="60" x14ac:dyDescent="0.3">
      <c r="A91" s="9">
        <v>145</v>
      </c>
      <c r="B91" s="22" t="s">
        <v>144</v>
      </c>
      <c r="C91" s="23" t="s">
        <v>145</v>
      </c>
      <c r="D91" s="23" t="s">
        <v>145</v>
      </c>
      <c r="E91" s="12" t="s">
        <v>63</v>
      </c>
      <c r="F91" s="9">
        <v>1874.64</v>
      </c>
      <c r="G91" s="9" t="s">
        <v>200</v>
      </c>
      <c r="H91" s="13">
        <f t="shared" si="1"/>
        <v>271823</v>
      </c>
    </row>
    <row r="92" spans="1:8" ht="75" x14ac:dyDescent="0.3">
      <c r="A92" s="9">
        <v>1</v>
      </c>
      <c r="B92" s="22" t="s">
        <v>146</v>
      </c>
      <c r="C92" s="23" t="s">
        <v>147</v>
      </c>
      <c r="D92" s="23" t="s">
        <v>147</v>
      </c>
      <c r="E92" s="12" t="s">
        <v>63</v>
      </c>
      <c r="F92" s="9">
        <v>6612.39</v>
      </c>
      <c r="G92" s="9" t="s">
        <v>198</v>
      </c>
      <c r="H92" s="13">
        <f t="shared" si="1"/>
        <v>6612</v>
      </c>
    </row>
    <row r="93" spans="1:8" ht="150" x14ac:dyDescent="0.3">
      <c r="A93" s="20">
        <v>7.63</v>
      </c>
      <c r="B93" s="10" t="s">
        <v>218</v>
      </c>
      <c r="C93" s="20" t="s">
        <v>79</v>
      </c>
      <c r="D93" s="20" t="s">
        <v>79</v>
      </c>
      <c r="E93" s="20" t="s">
        <v>89</v>
      </c>
      <c r="F93" s="20">
        <v>220.76</v>
      </c>
      <c r="G93" s="9" t="s">
        <v>199</v>
      </c>
      <c r="H93" s="13">
        <f t="shared" si="1"/>
        <v>1684</v>
      </c>
    </row>
    <row r="94" spans="1:8" x14ac:dyDescent="0.3">
      <c r="A94" s="9">
        <v>0</v>
      </c>
      <c r="B94" s="10" t="s">
        <v>148</v>
      </c>
      <c r="C94" s="11" t="s">
        <v>9</v>
      </c>
      <c r="D94" s="11" t="s">
        <v>9</v>
      </c>
      <c r="E94" s="12" t="s">
        <v>9</v>
      </c>
      <c r="F94" s="9">
        <v>0</v>
      </c>
      <c r="G94" s="11" t="s">
        <v>9</v>
      </c>
      <c r="H94" s="13">
        <f t="shared" si="1"/>
        <v>0</v>
      </c>
    </row>
    <row r="95" spans="1:8" ht="180" x14ac:dyDescent="0.3">
      <c r="A95" s="9">
        <v>58.34</v>
      </c>
      <c r="B95" s="24" t="s">
        <v>149</v>
      </c>
      <c r="C95" s="11" t="s">
        <v>150</v>
      </c>
      <c r="D95" s="11" t="s">
        <v>150</v>
      </c>
      <c r="E95" s="11">
        <v>308</v>
      </c>
      <c r="F95" s="9">
        <v>254.34</v>
      </c>
      <c r="G95" s="9" t="s">
        <v>196</v>
      </c>
      <c r="H95" s="13">
        <f t="shared" si="1"/>
        <v>14838</v>
      </c>
    </row>
    <row r="96" spans="1:8" ht="150" x14ac:dyDescent="0.3">
      <c r="A96" s="9">
        <v>3.65</v>
      </c>
      <c r="B96" s="24" t="s">
        <v>151</v>
      </c>
      <c r="C96" s="11" t="s">
        <v>20</v>
      </c>
      <c r="D96" s="11" t="s">
        <v>20</v>
      </c>
      <c r="E96" s="11" t="s">
        <v>84</v>
      </c>
      <c r="F96" s="9">
        <v>377.13</v>
      </c>
      <c r="G96" s="9" t="s">
        <v>196</v>
      </c>
      <c r="H96" s="13">
        <f t="shared" si="1"/>
        <v>1377</v>
      </c>
    </row>
    <row r="97" spans="1:10" ht="225" x14ac:dyDescent="0.3">
      <c r="A97" s="9">
        <v>3.65</v>
      </c>
      <c r="B97" s="24" t="s">
        <v>152</v>
      </c>
      <c r="C97" s="11" t="s">
        <v>23</v>
      </c>
      <c r="D97" s="11" t="s">
        <v>23</v>
      </c>
      <c r="E97" s="11">
        <v>402</v>
      </c>
      <c r="F97" s="9">
        <v>4559.1400000000003</v>
      </c>
      <c r="G97" s="9" t="s">
        <v>196</v>
      </c>
      <c r="H97" s="13">
        <f t="shared" si="1"/>
        <v>16641</v>
      </c>
    </row>
    <row r="98" spans="1:10" ht="240" x14ac:dyDescent="0.3">
      <c r="A98" s="25">
        <v>34.21</v>
      </c>
      <c r="B98" s="10" t="s">
        <v>153</v>
      </c>
      <c r="C98" s="11" t="s">
        <v>26</v>
      </c>
      <c r="D98" s="11" t="s">
        <v>26</v>
      </c>
      <c r="E98" s="11">
        <v>402</v>
      </c>
      <c r="F98" s="9">
        <v>6281.13</v>
      </c>
      <c r="G98" s="9" t="s">
        <v>196</v>
      </c>
      <c r="H98" s="13">
        <f t="shared" si="1"/>
        <v>214877</v>
      </c>
    </row>
    <row r="99" spans="1:10" s="63" customFormat="1" ht="255" x14ac:dyDescent="0.3">
      <c r="A99" s="26">
        <v>9.56</v>
      </c>
      <c r="B99" s="10" t="s">
        <v>154</v>
      </c>
      <c r="C99" s="11" t="s">
        <v>155</v>
      </c>
      <c r="D99" s="11" t="s">
        <v>155</v>
      </c>
      <c r="E99" s="11" t="s">
        <v>45</v>
      </c>
      <c r="F99" s="9">
        <v>8316.6200000000008</v>
      </c>
      <c r="G99" s="9" t="s">
        <v>196</v>
      </c>
      <c r="H99" s="13">
        <f t="shared" si="1"/>
        <v>79507</v>
      </c>
    </row>
    <row r="100" spans="1:10" ht="195" x14ac:dyDescent="0.3">
      <c r="A100" s="25">
        <v>167.98</v>
      </c>
      <c r="B100" s="24" t="s">
        <v>156</v>
      </c>
      <c r="C100" s="11" t="s">
        <v>157</v>
      </c>
      <c r="D100" s="11" t="s">
        <v>157</v>
      </c>
      <c r="E100" s="11" t="s">
        <v>57</v>
      </c>
      <c r="F100" s="9">
        <v>358.18</v>
      </c>
      <c r="G100" s="9" t="s">
        <v>199</v>
      </c>
      <c r="H100" s="13">
        <f t="shared" si="1"/>
        <v>60167</v>
      </c>
    </row>
    <row r="101" spans="1:10" ht="195" x14ac:dyDescent="0.3">
      <c r="A101" s="25">
        <v>89.92</v>
      </c>
      <c r="B101" s="24" t="s">
        <v>158</v>
      </c>
      <c r="C101" s="11" t="s">
        <v>114</v>
      </c>
      <c r="D101" s="11" t="s">
        <v>114</v>
      </c>
      <c r="E101" s="11" t="s">
        <v>57</v>
      </c>
      <c r="F101" s="9">
        <v>370.84</v>
      </c>
      <c r="G101" s="9" t="s">
        <v>199</v>
      </c>
      <c r="H101" s="13">
        <f t="shared" si="1"/>
        <v>33346</v>
      </c>
    </row>
    <row r="102" spans="1:10" ht="120" x14ac:dyDescent="0.3">
      <c r="A102" s="25">
        <v>495</v>
      </c>
      <c r="B102" s="24" t="s">
        <v>159</v>
      </c>
      <c r="C102" s="11" t="s">
        <v>160</v>
      </c>
      <c r="D102" s="11" t="s">
        <v>160</v>
      </c>
      <c r="E102" s="11" t="s">
        <v>30</v>
      </c>
      <c r="F102" s="9">
        <v>113.62</v>
      </c>
      <c r="G102" s="9" t="s">
        <v>199</v>
      </c>
      <c r="H102" s="13">
        <f t="shared" si="1"/>
        <v>56242</v>
      </c>
      <c r="I102" s="6"/>
      <c r="J102" s="1"/>
    </row>
    <row r="103" spans="1:10" ht="135" x14ac:dyDescent="0.3">
      <c r="A103" s="25">
        <v>8.43</v>
      </c>
      <c r="B103" s="27" t="s">
        <v>193</v>
      </c>
      <c r="C103" s="11" t="s">
        <v>161</v>
      </c>
      <c r="D103" s="11" t="s">
        <v>161</v>
      </c>
      <c r="E103" s="11" t="s">
        <v>30</v>
      </c>
      <c r="F103" s="9">
        <v>115.43</v>
      </c>
      <c r="G103" s="9" t="s">
        <v>199</v>
      </c>
      <c r="H103" s="13">
        <f t="shared" si="1"/>
        <v>973</v>
      </c>
    </row>
    <row r="104" spans="1:10" ht="150" x14ac:dyDescent="0.3">
      <c r="A104" s="28">
        <v>257.89999999999998</v>
      </c>
      <c r="B104" s="29" t="s">
        <v>162</v>
      </c>
      <c r="C104" s="20" t="s">
        <v>79</v>
      </c>
      <c r="D104" s="20" t="s">
        <v>79</v>
      </c>
      <c r="E104" s="20" t="s">
        <v>89</v>
      </c>
      <c r="F104" s="9">
        <v>220.76</v>
      </c>
      <c r="G104" s="9" t="s">
        <v>199</v>
      </c>
      <c r="H104" s="13">
        <f t="shared" si="1"/>
        <v>56934</v>
      </c>
    </row>
    <row r="105" spans="1:10" x14ac:dyDescent="0.3">
      <c r="A105" s="9">
        <v>0</v>
      </c>
      <c r="B105" s="10" t="s">
        <v>163</v>
      </c>
      <c r="C105" s="11" t="s">
        <v>9</v>
      </c>
      <c r="D105" s="11" t="s">
        <v>9</v>
      </c>
      <c r="E105" s="12" t="s">
        <v>9</v>
      </c>
      <c r="F105" s="9">
        <v>0</v>
      </c>
      <c r="G105" s="11" t="s">
        <v>9</v>
      </c>
      <c r="H105" s="13">
        <f t="shared" si="1"/>
        <v>0</v>
      </c>
    </row>
    <row r="106" spans="1:10" ht="165" x14ac:dyDescent="0.3">
      <c r="A106" s="21">
        <v>244.91</v>
      </c>
      <c r="B106" s="22" t="s">
        <v>164</v>
      </c>
      <c r="C106" s="23" t="s">
        <v>121</v>
      </c>
      <c r="D106" s="23" t="s">
        <v>121</v>
      </c>
      <c r="E106" s="23" t="s">
        <v>84</v>
      </c>
      <c r="F106" s="9">
        <v>377.13</v>
      </c>
      <c r="G106" s="9" t="s">
        <v>196</v>
      </c>
      <c r="H106" s="13">
        <f t="shared" si="1"/>
        <v>92363</v>
      </c>
    </row>
    <row r="107" spans="1:10" ht="180" x14ac:dyDescent="0.3">
      <c r="A107" s="9">
        <v>15.63</v>
      </c>
      <c r="B107" s="22" t="s">
        <v>165</v>
      </c>
      <c r="C107" s="11" t="s">
        <v>23</v>
      </c>
      <c r="D107" s="23" t="s">
        <v>166</v>
      </c>
      <c r="E107" s="23" t="s">
        <v>89</v>
      </c>
      <c r="F107" s="9">
        <v>4559.1400000000003</v>
      </c>
      <c r="G107" s="9" t="s">
        <v>196</v>
      </c>
      <c r="H107" s="13">
        <f t="shared" si="1"/>
        <v>71259</v>
      </c>
    </row>
    <row r="108" spans="1:10" ht="315" x14ac:dyDescent="0.3">
      <c r="A108" s="21">
        <v>155.41</v>
      </c>
      <c r="B108" s="10" t="s">
        <v>190</v>
      </c>
      <c r="C108" s="11" t="s">
        <v>73</v>
      </c>
      <c r="D108" s="11" t="s">
        <v>73</v>
      </c>
      <c r="E108" s="11" t="s">
        <v>30</v>
      </c>
      <c r="F108" s="21">
        <v>2678.27</v>
      </c>
      <c r="G108" s="9" t="s">
        <v>199</v>
      </c>
      <c r="H108" s="13">
        <f t="shared" si="1"/>
        <v>416230</v>
      </c>
      <c r="I108" s="2"/>
      <c r="J108" s="3"/>
    </row>
    <row r="109" spans="1:10" x14ac:dyDescent="0.3">
      <c r="A109" s="9">
        <v>0</v>
      </c>
      <c r="B109" s="10" t="s">
        <v>186</v>
      </c>
      <c r="C109" s="11" t="s">
        <v>9</v>
      </c>
      <c r="D109" s="11" t="s">
        <v>9</v>
      </c>
      <c r="E109" s="12" t="s">
        <v>9</v>
      </c>
      <c r="F109" s="9">
        <v>0</v>
      </c>
      <c r="G109" s="11" t="s">
        <v>9</v>
      </c>
      <c r="H109" s="13">
        <f t="shared" si="1"/>
        <v>0</v>
      </c>
    </row>
    <row r="110" spans="1:10" ht="105" x14ac:dyDescent="0.3">
      <c r="A110" s="9">
        <v>0</v>
      </c>
      <c r="B110" s="10" t="s">
        <v>167</v>
      </c>
      <c r="C110" s="11" t="s">
        <v>9</v>
      </c>
      <c r="D110" s="11" t="s">
        <v>9</v>
      </c>
      <c r="E110" s="11" t="s">
        <v>9</v>
      </c>
      <c r="F110" s="9">
        <v>0</v>
      </c>
      <c r="G110" s="11" t="s">
        <v>9</v>
      </c>
      <c r="H110" s="13">
        <f t="shared" si="1"/>
        <v>0</v>
      </c>
    </row>
    <row r="111" spans="1:10" ht="75" x14ac:dyDescent="0.3">
      <c r="A111" s="9">
        <v>30</v>
      </c>
      <c r="B111" s="27" t="s">
        <v>168</v>
      </c>
      <c r="C111" s="11" t="s">
        <v>169</v>
      </c>
      <c r="D111" s="11" t="s">
        <v>169</v>
      </c>
      <c r="E111" s="11" t="s">
        <v>89</v>
      </c>
      <c r="F111" s="9">
        <v>3762.7</v>
      </c>
      <c r="G111" s="9" t="s">
        <v>196</v>
      </c>
      <c r="H111" s="13">
        <f t="shared" si="1"/>
        <v>112881</v>
      </c>
    </row>
    <row r="112" spans="1:10" ht="75" x14ac:dyDescent="0.3">
      <c r="A112" s="9">
        <v>22</v>
      </c>
      <c r="B112" s="27" t="s">
        <v>170</v>
      </c>
      <c r="C112" s="11" t="s">
        <v>169</v>
      </c>
      <c r="D112" s="11" t="s">
        <v>169</v>
      </c>
      <c r="E112" s="11" t="s">
        <v>89</v>
      </c>
      <c r="F112" s="9">
        <v>1704.91</v>
      </c>
      <c r="G112" s="9" t="s">
        <v>196</v>
      </c>
      <c r="H112" s="13">
        <f t="shared" si="1"/>
        <v>37508</v>
      </c>
    </row>
    <row r="113" spans="1:8" ht="75" x14ac:dyDescent="0.3">
      <c r="A113" s="9">
        <v>70</v>
      </c>
      <c r="B113" s="27" t="s">
        <v>171</v>
      </c>
      <c r="C113" s="11" t="s">
        <v>169</v>
      </c>
      <c r="D113" s="11" t="s">
        <v>169</v>
      </c>
      <c r="E113" s="11" t="s">
        <v>89</v>
      </c>
      <c r="F113" s="9">
        <v>285.77999999999997</v>
      </c>
      <c r="G113" s="9" t="s">
        <v>196</v>
      </c>
      <c r="H113" s="13">
        <f t="shared" si="1"/>
        <v>20005</v>
      </c>
    </row>
    <row r="114" spans="1:8" ht="45" x14ac:dyDescent="0.3">
      <c r="A114" s="9">
        <v>122</v>
      </c>
      <c r="B114" s="10" t="s">
        <v>172</v>
      </c>
      <c r="C114" s="11" t="s">
        <v>173</v>
      </c>
      <c r="D114" s="11" t="s">
        <v>173</v>
      </c>
      <c r="E114" s="11" t="s">
        <v>89</v>
      </c>
      <c r="F114" s="9">
        <v>73.150000000000006</v>
      </c>
      <c r="G114" s="9" t="s">
        <v>196</v>
      </c>
      <c r="H114" s="13">
        <f t="shared" si="1"/>
        <v>8924</v>
      </c>
    </row>
    <row r="115" spans="1:8" ht="180" x14ac:dyDescent="0.3">
      <c r="A115" s="9">
        <v>106.71</v>
      </c>
      <c r="B115" s="10" t="s">
        <v>174</v>
      </c>
      <c r="C115" s="11" t="s">
        <v>175</v>
      </c>
      <c r="D115" s="11" t="s">
        <v>175</v>
      </c>
      <c r="E115" s="11" t="s">
        <v>89</v>
      </c>
      <c r="F115" s="9">
        <v>115.38</v>
      </c>
      <c r="G115" s="9" t="s">
        <v>219</v>
      </c>
      <c r="H115" s="13">
        <f t="shared" si="1"/>
        <v>12312</v>
      </c>
    </row>
    <row r="116" spans="1:8" ht="240" x14ac:dyDescent="0.3">
      <c r="A116" s="9">
        <v>40</v>
      </c>
      <c r="B116" s="10" t="s">
        <v>176</v>
      </c>
      <c r="C116" s="11" t="s">
        <v>177</v>
      </c>
      <c r="D116" s="11" t="s">
        <v>177</v>
      </c>
      <c r="E116" s="11" t="s">
        <v>89</v>
      </c>
      <c r="F116" s="9">
        <v>889.23</v>
      </c>
      <c r="G116" s="9" t="s">
        <v>201</v>
      </c>
      <c r="H116" s="13">
        <f t="shared" si="1"/>
        <v>35569</v>
      </c>
    </row>
    <row r="117" spans="1:8" ht="195" x14ac:dyDescent="0.3">
      <c r="A117" s="28">
        <v>12</v>
      </c>
      <c r="B117" s="10" t="s">
        <v>178</v>
      </c>
      <c r="C117" s="11" t="s">
        <v>179</v>
      </c>
      <c r="D117" s="11" t="s">
        <v>179</v>
      </c>
      <c r="E117" s="11" t="s">
        <v>89</v>
      </c>
      <c r="F117" s="9">
        <v>1119.1099999999999</v>
      </c>
      <c r="G117" s="11" t="s">
        <v>10</v>
      </c>
      <c r="H117" s="13">
        <f t="shared" si="1"/>
        <v>13429</v>
      </c>
    </row>
    <row r="118" spans="1:8" ht="135" x14ac:dyDescent="0.3">
      <c r="A118" s="28">
        <v>1</v>
      </c>
      <c r="B118" s="10" t="s">
        <v>180</v>
      </c>
      <c r="C118" s="11" t="s">
        <v>181</v>
      </c>
      <c r="D118" s="11" t="s">
        <v>181</v>
      </c>
      <c r="E118" s="11" t="s">
        <v>89</v>
      </c>
      <c r="F118" s="9">
        <v>4325.32</v>
      </c>
      <c r="G118" s="11" t="s">
        <v>10</v>
      </c>
      <c r="H118" s="13">
        <f t="shared" si="1"/>
        <v>4325</v>
      </c>
    </row>
    <row r="119" spans="1:8" ht="270" x14ac:dyDescent="0.3">
      <c r="A119" s="28">
        <v>12</v>
      </c>
      <c r="B119" s="10" t="s">
        <v>182</v>
      </c>
      <c r="C119" s="11" t="s">
        <v>183</v>
      </c>
      <c r="D119" s="11" t="s">
        <v>183</v>
      </c>
      <c r="E119" s="11" t="s">
        <v>89</v>
      </c>
      <c r="F119" s="9">
        <v>664.65</v>
      </c>
      <c r="G119" s="11" t="s">
        <v>10</v>
      </c>
      <c r="H119" s="13">
        <f t="shared" si="1"/>
        <v>7976</v>
      </c>
    </row>
    <row r="120" spans="1:8" ht="195" x14ac:dyDescent="0.3">
      <c r="A120" s="28">
        <v>6</v>
      </c>
      <c r="B120" s="10" t="s">
        <v>184</v>
      </c>
      <c r="C120" s="11" t="s">
        <v>185</v>
      </c>
      <c r="D120" s="11" t="s">
        <v>185</v>
      </c>
      <c r="E120" s="11" t="s">
        <v>89</v>
      </c>
      <c r="F120" s="9">
        <v>4180.3599999999997</v>
      </c>
      <c r="G120" s="11" t="s">
        <v>10</v>
      </c>
      <c r="H120" s="13">
        <f t="shared" si="1"/>
        <v>25082</v>
      </c>
    </row>
    <row r="121" spans="1:8" s="56" customFormat="1" ht="15.6" x14ac:dyDescent="0.3">
      <c r="A121" s="64"/>
      <c r="B121" s="41"/>
      <c r="C121" s="42"/>
      <c r="D121" s="43"/>
      <c r="E121" s="44"/>
      <c r="F121" s="65"/>
      <c r="G121" s="65"/>
      <c r="H121" s="66">
        <f>SUM(H2:H120)</f>
        <v>6700555</v>
      </c>
    </row>
    <row r="122" spans="1:8" x14ac:dyDescent="0.3">
      <c r="H122" s="54">
        <f>H121*0.03%</f>
        <v>2010.1664999999998</v>
      </c>
    </row>
    <row r="123" spans="1:8" x14ac:dyDescent="0.3">
      <c r="H123" s="54">
        <f>H122*18%</f>
        <v>361.82996999999995</v>
      </c>
    </row>
    <row r="124" spans="1:8" x14ac:dyDescent="0.3">
      <c r="H124" s="54">
        <f>H122+H123</f>
        <v>2371.9964699999996</v>
      </c>
    </row>
  </sheetData>
  <phoneticPr fontId="3" type="noConversion"/>
  <dataValidations count="7">
    <dataValidation type="textLength" operator="lessThan" allowBlank="1" showInputMessage="1" showErrorMessage="1" error="Text Length Exceed the Required Value of 200 Characters" promptTitle="WORK TYPE" prompt="Ex. Earth Work, Electrical Work" sqref="D2:E120 G2:G120 C1:C120" xr:uid="{00000000-0002-0000-0000-000000000000}">
      <formula1>200</formula1>
    </dataValidation>
    <dataValidation type="textLength" operator="lessThan" allowBlank="1" showInputMessage="1" showErrorMessage="1" sqref="G1" xr:uid="{00000000-0002-0000-0000-000001000000}">
      <formula1>51</formula1>
    </dataValidation>
    <dataValidation type="decimal" operator="lessThan" allowBlank="1" showInputMessage="1" showErrorMessage="1" sqref="F1:F120" xr:uid="{00000000-0002-0000-0000-000002000000}">
      <formula1>9999999999999990</formula1>
    </dataValidation>
    <dataValidation type="decimal" operator="lessThan" allowBlank="1" showInputMessage="1" showErrorMessage="1" sqref="H1:H120 H122:H124" xr:uid="{00000000-0002-0000-0000-000003000000}">
      <formula1>999999999999999</formula1>
    </dataValidation>
    <dataValidation type="textLength" operator="lessThan" allowBlank="1" showInputMessage="1" showErrorMessage="1" error="Text Length Exceed the Required Value of 100 Characters" promptTitle="Item Short Description" prompt="Enter Short Description_x000a_( upto 100 Characters)" sqref="D1" xr:uid="{00000000-0002-0000-0000-000004000000}">
      <formula1>101</formula1>
    </dataValidation>
    <dataValidation operator="greaterThan" allowBlank="1" showInputMessage="1" showErrorMessage="1" sqref="A1:A65406" xr:uid="{00000000-0002-0000-0000-000005000000}"/>
    <dataValidation type="textLength" operator="lessThan" allowBlank="1" showInputMessage="1" showErrorMessage="1" error="Text Length Exceed the Required Value of 200 Characters" promptTitle="APSS / Morth Cl. Number" prompt="Enter APSS / Morth Cl. Number" sqref="E1" xr:uid="{00000000-0002-0000-0000-000006000000}">
      <formula1>201</formula1>
    </dataValidation>
  </dataValidations>
  <printOptions horizontalCentered="1"/>
  <pageMargins left="0.27559055118110237" right="0.35433070866141736" top="0.74803149606299213" bottom="0.74803149606299213" header="0.31496062992125984" footer="0.31496062992125984"/>
  <pageSetup paperSize="9" scale="85" orientation="landscape"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47123-BFB7-43C3-B3F8-26ADCC17693B}">
  <dimension ref="A1:I27"/>
  <sheetViews>
    <sheetView tabSelected="1" topLeftCell="B1" workbookViewId="0">
      <selection activeCell="E6" sqref="E6"/>
    </sheetView>
  </sheetViews>
  <sheetFormatPr defaultColWidth="9.109375" defaultRowHeight="15" x14ac:dyDescent="0.3"/>
  <cols>
    <col min="1" max="1" width="9.109375" style="31" hidden="1" customWidth="1"/>
    <col min="2" max="2" width="9.109375" style="39"/>
    <col min="3" max="3" width="31.5546875" style="39" customWidth="1"/>
    <col min="4" max="4" width="31.88671875" style="31" customWidth="1"/>
    <col min="5" max="5" width="11.33203125" style="39" customWidth="1"/>
    <col min="6" max="6" width="16.44140625" style="39" customWidth="1"/>
    <col min="7" max="7" width="12.88671875" style="39" customWidth="1"/>
    <col min="8" max="8" width="16.44140625" style="40" customWidth="1"/>
    <col min="9" max="9" width="8.5546875" style="39" customWidth="1"/>
    <col min="10" max="12" width="9.44140625" style="31" customWidth="1"/>
    <col min="13" max="256" width="9.109375" style="31"/>
    <col min="257" max="257" width="0" style="31" hidden="1" customWidth="1"/>
    <col min="258" max="258" width="9.109375" style="31"/>
    <col min="259" max="259" width="31.5546875" style="31" customWidth="1"/>
    <col min="260" max="260" width="31.88671875" style="31" customWidth="1"/>
    <col min="261" max="261" width="11.33203125" style="31" customWidth="1"/>
    <col min="262" max="262" width="16.44140625" style="31" customWidth="1"/>
    <col min="263" max="263" width="12.88671875" style="31" customWidth="1"/>
    <col min="264" max="264" width="16.44140625" style="31" customWidth="1"/>
    <col min="265" max="265" width="8.5546875" style="31" customWidth="1"/>
    <col min="266" max="268" width="9.44140625" style="31" customWidth="1"/>
    <col min="269" max="512" width="9.109375" style="31"/>
    <col min="513" max="513" width="0" style="31" hidden="1" customWidth="1"/>
    <col min="514" max="514" width="9.109375" style="31"/>
    <col min="515" max="515" width="31.5546875" style="31" customWidth="1"/>
    <col min="516" max="516" width="31.88671875" style="31" customWidth="1"/>
    <col min="517" max="517" width="11.33203125" style="31" customWidth="1"/>
    <col min="518" max="518" width="16.44140625" style="31" customWidth="1"/>
    <col min="519" max="519" width="12.88671875" style="31" customWidth="1"/>
    <col min="520" max="520" width="16.44140625" style="31" customWidth="1"/>
    <col min="521" max="521" width="8.5546875" style="31" customWidth="1"/>
    <col min="522" max="524" width="9.44140625" style="31" customWidth="1"/>
    <col min="525" max="768" width="9.109375" style="31"/>
    <col min="769" max="769" width="0" style="31" hidden="1" customWidth="1"/>
    <col min="770" max="770" width="9.109375" style="31"/>
    <col min="771" max="771" width="31.5546875" style="31" customWidth="1"/>
    <col min="772" max="772" width="31.88671875" style="31" customWidth="1"/>
    <col min="773" max="773" width="11.33203125" style="31" customWidth="1"/>
    <col min="774" max="774" width="16.44140625" style="31" customWidth="1"/>
    <col min="775" max="775" width="12.88671875" style="31" customWidth="1"/>
    <col min="776" max="776" width="16.44140625" style="31" customWidth="1"/>
    <col min="777" max="777" width="8.5546875" style="31" customWidth="1"/>
    <col min="778" max="780" width="9.44140625" style="31" customWidth="1"/>
    <col min="781" max="1024" width="9.109375" style="31"/>
    <col min="1025" max="1025" width="0" style="31" hidden="1" customWidth="1"/>
    <col min="1026" max="1026" width="9.109375" style="31"/>
    <col min="1027" max="1027" width="31.5546875" style="31" customWidth="1"/>
    <col min="1028" max="1028" width="31.88671875" style="31" customWidth="1"/>
    <col min="1029" max="1029" width="11.33203125" style="31" customWidth="1"/>
    <col min="1030" max="1030" width="16.44140625" style="31" customWidth="1"/>
    <col min="1031" max="1031" width="12.88671875" style="31" customWidth="1"/>
    <col min="1032" max="1032" width="16.44140625" style="31" customWidth="1"/>
    <col min="1033" max="1033" width="8.5546875" style="31" customWidth="1"/>
    <col min="1034" max="1036" width="9.44140625" style="31" customWidth="1"/>
    <col min="1037" max="1280" width="9.109375" style="31"/>
    <col min="1281" max="1281" width="0" style="31" hidden="1" customWidth="1"/>
    <col min="1282" max="1282" width="9.109375" style="31"/>
    <col min="1283" max="1283" width="31.5546875" style="31" customWidth="1"/>
    <col min="1284" max="1284" width="31.88671875" style="31" customWidth="1"/>
    <col min="1285" max="1285" width="11.33203125" style="31" customWidth="1"/>
    <col min="1286" max="1286" width="16.44140625" style="31" customWidth="1"/>
    <col min="1287" max="1287" width="12.88671875" style="31" customWidth="1"/>
    <col min="1288" max="1288" width="16.44140625" style="31" customWidth="1"/>
    <col min="1289" max="1289" width="8.5546875" style="31" customWidth="1"/>
    <col min="1290" max="1292" width="9.44140625" style="31" customWidth="1"/>
    <col min="1293" max="1536" width="9.109375" style="31"/>
    <col min="1537" max="1537" width="0" style="31" hidden="1" customWidth="1"/>
    <col min="1538" max="1538" width="9.109375" style="31"/>
    <col min="1539" max="1539" width="31.5546875" style="31" customWidth="1"/>
    <col min="1540" max="1540" width="31.88671875" style="31" customWidth="1"/>
    <col min="1541" max="1541" width="11.33203125" style="31" customWidth="1"/>
    <col min="1542" max="1542" width="16.44140625" style="31" customWidth="1"/>
    <col min="1543" max="1543" width="12.88671875" style="31" customWidth="1"/>
    <col min="1544" max="1544" width="16.44140625" style="31" customWidth="1"/>
    <col min="1545" max="1545" width="8.5546875" style="31" customWidth="1"/>
    <col min="1546" max="1548" width="9.44140625" style="31" customWidth="1"/>
    <col min="1549" max="1792" width="9.109375" style="31"/>
    <col min="1793" max="1793" width="0" style="31" hidden="1" customWidth="1"/>
    <col min="1794" max="1794" width="9.109375" style="31"/>
    <col min="1795" max="1795" width="31.5546875" style="31" customWidth="1"/>
    <col min="1796" max="1796" width="31.88671875" style="31" customWidth="1"/>
    <col min="1797" max="1797" width="11.33203125" style="31" customWidth="1"/>
    <col min="1798" max="1798" width="16.44140625" style="31" customWidth="1"/>
    <col min="1799" max="1799" width="12.88671875" style="31" customWidth="1"/>
    <col min="1800" max="1800" width="16.44140625" style="31" customWidth="1"/>
    <col min="1801" max="1801" width="8.5546875" style="31" customWidth="1"/>
    <col min="1802" max="1804" width="9.44140625" style="31" customWidth="1"/>
    <col min="1805" max="2048" width="9.109375" style="31"/>
    <col min="2049" max="2049" width="0" style="31" hidden="1" customWidth="1"/>
    <col min="2050" max="2050" width="9.109375" style="31"/>
    <col min="2051" max="2051" width="31.5546875" style="31" customWidth="1"/>
    <col min="2052" max="2052" width="31.88671875" style="31" customWidth="1"/>
    <col min="2053" max="2053" width="11.33203125" style="31" customWidth="1"/>
    <col min="2054" max="2054" width="16.44140625" style="31" customWidth="1"/>
    <col min="2055" max="2055" width="12.88671875" style="31" customWidth="1"/>
    <col min="2056" max="2056" width="16.44140625" style="31" customWidth="1"/>
    <col min="2057" max="2057" width="8.5546875" style="31" customWidth="1"/>
    <col min="2058" max="2060" width="9.44140625" style="31" customWidth="1"/>
    <col min="2061" max="2304" width="9.109375" style="31"/>
    <col min="2305" max="2305" width="0" style="31" hidden="1" customWidth="1"/>
    <col min="2306" max="2306" width="9.109375" style="31"/>
    <col min="2307" max="2307" width="31.5546875" style="31" customWidth="1"/>
    <col min="2308" max="2308" width="31.88671875" style="31" customWidth="1"/>
    <col min="2309" max="2309" width="11.33203125" style="31" customWidth="1"/>
    <col min="2310" max="2310" width="16.44140625" style="31" customWidth="1"/>
    <col min="2311" max="2311" width="12.88671875" style="31" customWidth="1"/>
    <col min="2312" max="2312" width="16.44140625" style="31" customWidth="1"/>
    <col min="2313" max="2313" width="8.5546875" style="31" customWidth="1"/>
    <col min="2314" max="2316" width="9.44140625" style="31" customWidth="1"/>
    <col min="2317" max="2560" width="9.109375" style="31"/>
    <col min="2561" max="2561" width="0" style="31" hidden="1" customWidth="1"/>
    <col min="2562" max="2562" width="9.109375" style="31"/>
    <col min="2563" max="2563" width="31.5546875" style="31" customWidth="1"/>
    <col min="2564" max="2564" width="31.88671875" style="31" customWidth="1"/>
    <col min="2565" max="2565" width="11.33203125" style="31" customWidth="1"/>
    <col min="2566" max="2566" width="16.44140625" style="31" customWidth="1"/>
    <col min="2567" max="2567" width="12.88671875" style="31" customWidth="1"/>
    <col min="2568" max="2568" width="16.44140625" style="31" customWidth="1"/>
    <col min="2569" max="2569" width="8.5546875" style="31" customWidth="1"/>
    <col min="2570" max="2572" width="9.44140625" style="31" customWidth="1"/>
    <col min="2573" max="2816" width="9.109375" style="31"/>
    <col min="2817" max="2817" width="0" style="31" hidden="1" customWidth="1"/>
    <col min="2818" max="2818" width="9.109375" style="31"/>
    <col min="2819" max="2819" width="31.5546875" style="31" customWidth="1"/>
    <col min="2820" max="2820" width="31.88671875" style="31" customWidth="1"/>
    <col min="2821" max="2821" width="11.33203125" style="31" customWidth="1"/>
    <col min="2822" max="2822" width="16.44140625" style="31" customWidth="1"/>
    <col min="2823" max="2823" width="12.88671875" style="31" customWidth="1"/>
    <col min="2824" max="2824" width="16.44140625" style="31" customWidth="1"/>
    <col min="2825" max="2825" width="8.5546875" style="31" customWidth="1"/>
    <col min="2826" max="2828" width="9.44140625" style="31" customWidth="1"/>
    <col min="2829" max="3072" width="9.109375" style="31"/>
    <col min="3073" max="3073" width="0" style="31" hidden="1" customWidth="1"/>
    <col min="3074" max="3074" width="9.109375" style="31"/>
    <col min="3075" max="3075" width="31.5546875" style="31" customWidth="1"/>
    <col min="3076" max="3076" width="31.88671875" style="31" customWidth="1"/>
    <col min="3077" max="3077" width="11.33203125" style="31" customWidth="1"/>
    <col min="3078" max="3078" width="16.44140625" style="31" customWidth="1"/>
    <col min="3079" max="3079" width="12.88671875" style="31" customWidth="1"/>
    <col min="3080" max="3080" width="16.44140625" style="31" customWidth="1"/>
    <col min="3081" max="3081" width="8.5546875" style="31" customWidth="1"/>
    <col min="3082" max="3084" width="9.44140625" style="31" customWidth="1"/>
    <col min="3085" max="3328" width="9.109375" style="31"/>
    <col min="3329" max="3329" width="0" style="31" hidden="1" customWidth="1"/>
    <col min="3330" max="3330" width="9.109375" style="31"/>
    <col min="3331" max="3331" width="31.5546875" style="31" customWidth="1"/>
    <col min="3332" max="3332" width="31.88671875" style="31" customWidth="1"/>
    <col min="3333" max="3333" width="11.33203125" style="31" customWidth="1"/>
    <col min="3334" max="3334" width="16.44140625" style="31" customWidth="1"/>
    <col min="3335" max="3335" width="12.88671875" style="31" customWidth="1"/>
    <col min="3336" max="3336" width="16.44140625" style="31" customWidth="1"/>
    <col min="3337" max="3337" width="8.5546875" style="31" customWidth="1"/>
    <col min="3338" max="3340" width="9.44140625" style="31" customWidth="1"/>
    <col min="3341" max="3584" width="9.109375" style="31"/>
    <col min="3585" max="3585" width="0" style="31" hidden="1" customWidth="1"/>
    <col min="3586" max="3586" width="9.109375" style="31"/>
    <col min="3587" max="3587" width="31.5546875" style="31" customWidth="1"/>
    <col min="3588" max="3588" width="31.88671875" style="31" customWidth="1"/>
    <col min="3589" max="3589" width="11.33203125" style="31" customWidth="1"/>
    <col min="3590" max="3590" width="16.44140625" style="31" customWidth="1"/>
    <col min="3591" max="3591" width="12.88671875" style="31" customWidth="1"/>
    <col min="3592" max="3592" width="16.44140625" style="31" customWidth="1"/>
    <col min="3593" max="3593" width="8.5546875" style="31" customWidth="1"/>
    <col min="3594" max="3596" width="9.44140625" style="31" customWidth="1"/>
    <col min="3597" max="3840" width="9.109375" style="31"/>
    <col min="3841" max="3841" width="0" style="31" hidden="1" customWidth="1"/>
    <col min="3842" max="3842" width="9.109375" style="31"/>
    <col min="3843" max="3843" width="31.5546875" style="31" customWidth="1"/>
    <col min="3844" max="3844" width="31.88671875" style="31" customWidth="1"/>
    <col min="3845" max="3845" width="11.33203125" style="31" customWidth="1"/>
    <col min="3846" max="3846" width="16.44140625" style="31" customWidth="1"/>
    <col min="3847" max="3847" width="12.88671875" style="31" customWidth="1"/>
    <col min="3848" max="3848" width="16.44140625" style="31" customWidth="1"/>
    <col min="3849" max="3849" width="8.5546875" style="31" customWidth="1"/>
    <col min="3850" max="3852" width="9.44140625" style="31" customWidth="1"/>
    <col min="3853" max="4096" width="9.109375" style="31"/>
    <col min="4097" max="4097" width="0" style="31" hidden="1" customWidth="1"/>
    <col min="4098" max="4098" width="9.109375" style="31"/>
    <col min="4099" max="4099" width="31.5546875" style="31" customWidth="1"/>
    <col min="4100" max="4100" width="31.88671875" style="31" customWidth="1"/>
    <col min="4101" max="4101" width="11.33203125" style="31" customWidth="1"/>
    <col min="4102" max="4102" width="16.44140625" style="31" customWidth="1"/>
    <col min="4103" max="4103" width="12.88671875" style="31" customWidth="1"/>
    <col min="4104" max="4104" width="16.44140625" style="31" customWidth="1"/>
    <col min="4105" max="4105" width="8.5546875" style="31" customWidth="1"/>
    <col min="4106" max="4108" width="9.44140625" style="31" customWidth="1"/>
    <col min="4109" max="4352" width="9.109375" style="31"/>
    <col min="4353" max="4353" width="0" style="31" hidden="1" customWidth="1"/>
    <col min="4354" max="4354" width="9.109375" style="31"/>
    <col min="4355" max="4355" width="31.5546875" style="31" customWidth="1"/>
    <col min="4356" max="4356" width="31.88671875" style="31" customWidth="1"/>
    <col min="4357" max="4357" width="11.33203125" style="31" customWidth="1"/>
    <col min="4358" max="4358" width="16.44140625" style="31" customWidth="1"/>
    <col min="4359" max="4359" width="12.88671875" style="31" customWidth="1"/>
    <col min="4360" max="4360" width="16.44140625" style="31" customWidth="1"/>
    <col min="4361" max="4361" width="8.5546875" style="31" customWidth="1"/>
    <col min="4362" max="4364" width="9.44140625" style="31" customWidth="1"/>
    <col min="4365" max="4608" width="9.109375" style="31"/>
    <col min="4609" max="4609" width="0" style="31" hidden="1" customWidth="1"/>
    <col min="4610" max="4610" width="9.109375" style="31"/>
    <col min="4611" max="4611" width="31.5546875" style="31" customWidth="1"/>
    <col min="4612" max="4612" width="31.88671875" style="31" customWidth="1"/>
    <col min="4613" max="4613" width="11.33203125" style="31" customWidth="1"/>
    <col min="4614" max="4614" width="16.44140625" style="31" customWidth="1"/>
    <col min="4615" max="4615" width="12.88671875" style="31" customWidth="1"/>
    <col min="4616" max="4616" width="16.44140625" style="31" customWidth="1"/>
    <col min="4617" max="4617" width="8.5546875" style="31" customWidth="1"/>
    <col min="4618" max="4620" width="9.44140625" style="31" customWidth="1"/>
    <col min="4621" max="4864" width="9.109375" style="31"/>
    <col min="4865" max="4865" width="0" style="31" hidden="1" customWidth="1"/>
    <col min="4866" max="4866" width="9.109375" style="31"/>
    <col min="4867" max="4867" width="31.5546875" style="31" customWidth="1"/>
    <col min="4868" max="4868" width="31.88671875" style="31" customWidth="1"/>
    <col min="4869" max="4869" width="11.33203125" style="31" customWidth="1"/>
    <col min="4870" max="4870" width="16.44140625" style="31" customWidth="1"/>
    <col min="4871" max="4871" width="12.88671875" style="31" customWidth="1"/>
    <col min="4872" max="4872" width="16.44140625" style="31" customWidth="1"/>
    <col min="4873" max="4873" width="8.5546875" style="31" customWidth="1"/>
    <col min="4874" max="4876" width="9.44140625" style="31" customWidth="1"/>
    <col min="4877" max="5120" width="9.109375" style="31"/>
    <col min="5121" max="5121" width="0" style="31" hidden="1" customWidth="1"/>
    <col min="5122" max="5122" width="9.109375" style="31"/>
    <col min="5123" max="5123" width="31.5546875" style="31" customWidth="1"/>
    <col min="5124" max="5124" width="31.88671875" style="31" customWidth="1"/>
    <col min="5125" max="5125" width="11.33203125" style="31" customWidth="1"/>
    <col min="5126" max="5126" width="16.44140625" style="31" customWidth="1"/>
    <col min="5127" max="5127" width="12.88671875" style="31" customWidth="1"/>
    <col min="5128" max="5128" width="16.44140625" style="31" customWidth="1"/>
    <col min="5129" max="5129" width="8.5546875" style="31" customWidth="1"/>
    <col min="5130" max="5132" width="9.44140625" style="31" customWidth="1"/>
    <col min="5133" max="5376" width="9.109375" style="31"/>
    <col min="5377" max="5377" width="0" style="31" hidden="1" customWidth="1"/>
    <col min="5378" max="5378" width="9.109375" style="31"/>
    <col min="5379" max="5379" width="31.5546875" style="31" customWidth="1"/>
    <col min="5380" max="5380" width="31.88671875" style="31" customWidth="1"/>
    <col min="5381" max="5381" width="11.33203125" style="31" customWidth="1"/>
    <col min="5382" max="5382" width="16.44140625" style="31" customWidth="1"/>
    <col min="5383" max="5383" width="12.88671875" style="31" customWidth="1"/>
    <col min="5384" max="5384" width="16.44140625" style="31" customWidth="1"/>
    <col min="5385" max="5385" width="8.5546875" style="31" customWidth="1"/>
    <col min="5386" max="5388" width="9.44140625" style="31" customWidth="1"/>
    <col min="5389" max="5632" width="9.109375" style="31"/>
    <col min="5633" max="5633" width="0" style="31" hidden="1" customWidth="1"/>
    <col min="5634" max="5634" width="9.109375" style="31"/>
    <col min="5635" max="5635" width="31.5546875" style="31" customWidth="1"/>
    <col min="5636" max="5636" width="31.88671875" style="31" customWidth="1"/>
    <col min="5637" max="5637" width="11.33203125" style="31" customWidth="1"/>
    <col min="5638" max="5638" width="16.44140625" style="31" customWidth="1"/>
    <col min="5639" max="5639" width="12.88671875" style="31" customWidth="1"/>
    <col min="5640" max="5640" width="16.44140625" style="31" customWidth="1"/>
    <col min="5641" max="5641" width="8.5546875" style="31" customWidth="1"/>
    <col min="5642" max="5644" width="9.44140625" style="31" customWidth="1"/>
    <col min="5645" max="5888" width="9.109375" style="31"/>
    <col min="5889" max="5889" width="0" style="31" hidden="1" customWidth="1"/>
    <col min="5890" max="5890" width="9.109375" style="31"/>
    <col min="5891" max="5891" width="31.5546875" style="31" customWidth="1"/>
    <col min="5892" max="5892" width="31.88671875" style="31" customWidth="1"/>
    <col min="5893" max="5893" width="11.33203125" style="31" customWidth="1"/>
    <col min="5894" max="5894" width="16.44140625" style="31" customWidth="1"/>
    <col min="5895" max="5895" width="12.88671875" style="31" customWidth="1"/>
    <col min="5896" max="5896" width="16.44140625" style="31" customWidth="1"/>
    <col min="5897" max="5897" width="8.5546875" style="31" customWidth="1"/>
    <col min="5898" max="5900" width="9.44140625" style="31" customWidth="1"/>
    <col min="5901" max="6144" width="9.109375" style="31"/>
    <col min="6145" max="6145" width="0" style="31" hidden="1" customWidth="1"/>
    <col min="6146" max="6146" width="9.109375" style="31"/>
    <col min="6147" max="6147" width="31.5546875" style="31" customWidth="1"/>
    <col min="6148" max="6148" width="31.88671875" style="31" customWidth="1"/>
    <col min="6149" max="6149" width="11.33203125" style="31" customWidth="1"/>
    <col min="6150" max="6150" width="16.44140625" style="31" customWidth="1"/>
    <col min="6151" max="6151" width="12.88671875" style="31" customWidth="1"/>
    <col min="6152" max="6152" width="16.44140625" style="31" customWidth="1"/>
    <col min="6153" max="6153" width="8.5546875" style="31" customWidth="1"/>
    <col min="6154" max="6156" width="9.44140625" style="31" customWidth="1"/>
    <col min="6157" max="6400" width="9.109375" style="31"/>
    <col min="6401" max="6401" width="0" style="31" hidden="1" customWidth="1"/>
    <col min="6402" max="6402" width="9.109375" style="31"/>
    <col min="6403" max="6403" width="31.5546875" style="31" customWidth="1"/>
    <col min="6404" max="6404" width="31.88671875" style="31" customWidth="1"/>
    <col min="6405" max="6405" width="11.33203125" style="31" customWidth="1"/>
    <col min="6406" max="6406" width="16.44140625" style="31" customWidth="1"/>
    <col min="6407" max="6407" width="12.88671875" style="31" customWidth="1"/>
    <col min="6408" max="6408" width="16.44140625" style="31" customWidth="1"/>
    <col min="6409" max="6409" width="8.5546875" style="31" customWidth="1"/>
    <col min="6410" max="6412" width="9.44140625" style="31" customWidth="1"/>
    <col min="6413" max="6656" width="9.109375" style="31"/>
    <col min="6657" max="6657" width="0" style="31" hidden="1" customWidth="1"/>
    <col min="6658" max="6658" width="9.109375" style="31"/>
    <col min="6659" max="6659" width="31.5546875" style="31" customWidth="1"/>
    <col min="6660" max="6660" width="31.88671875" style="31" customWidth="1"/>
    <col min="6661" max="6661" width="11.33203125" style="31" customWidth="1"/>
    <col min="6662" max="6662" width="16.44140625" style="31" customWidth="1"/>
    <col min="6663" max="6663" width="12.88671875" style="31" customWidth="1"/>
    <col min="6664" max="6664" width="16.44140625" style="31" customWidth="1"/>
    <col min="6665" max="6665" width="8.5546875" style="31" customWidth="1"/>
    <col min="6666" max="6668" width="9.44140625" style="31" customWidth="1"/>
    <col min="6669" max="6912" width="9.109375" style="31"/>
    <col min="6913" max="6913" width="0" style="31" hidden="1" customWidth="1"/>
    <col min="6914" max="6914" width="9.109375" style="31"/>
    <col min="6915" max="6915" width="31.5546875" style="31" customWidth="1"/>
    <col min="6916" max="6916" width="31.88671875" style="31" customWidth="1"/>
    <col min="6917" max="6917" width="11.33203125" style="31" customWidth="1"/>
    <col min="6918" max="6918" width="16.44140625" style="31" customWidth="1"/>
    <col min="6919" max="6919" width="12.88671875" style="31" customWidth="1"/>
    <col min="6920" max="6920" width="16.44140625" style="31" customWidth="1"/>
    <col min="6921" max="6921" width="8.5546875" style="31" customWidth="1"/>
    <col min="6922" max="6924" width="9.44140625" style="31" customWidth="1"/>
    <col min="6925" max="7168" width="9.109375" style="31"/>
    <col min="7169" max="7169" width="0" style="31" hidden="1" customWidth="1"/>
    <col min="7170" max="7170" width="9.109375" style="31"/>
    <col min="7171" max="7171" width="31.5546875" style="31" customWidth="1"/>
    <col min="7172" max="7172" width="31.88671875" style="31" customWidth="1"/>
    <col min="7173" max="7173" width="11.33203125" style="31" customWidth="1"/>
    <col min="7174" max="7174" width="16.44140625" style="31" customWidth="1"/>
    <col min="7175" max="7175" width="12.88671875" style="31" customWidth="1"/>
    <col min="7176" max="7176" width="16.44140625" style="31" customWidth="1"/>
    <col min="7177" max="7177" width="8.5546875" style="31" customWidth="1"/>
    <col min="7178" max="7180" width="9.44140625" style="31" customWidth="1"/>
    <col min="7181" max="7424" width="9.109375" style="31"/>
    <col min="7425" max="7425" width="0" style="31" hidden="1" customWidth="1"/>
    <col min="7426" max="7426" width="9.109375" style="31"/>
    <col min="7427" max="7427" width="31.5546875" style="31" customWidth="1"/>
    <col min="7428" max="7428" width="31.88671875" style="31" customWidth="1"/>
    <col min="7429" max="7429" width="11.33203125" style="31" customWidth="1"/>
    <col min="7430" max="7430" width="16.44140625" style="31" customWidth="1"/>
    <col min="7431" max="7431" width="12.88671875" style="31" customWidth="1"/>
    <col min="7432" max="7432" width="16.44140625" style="31" customWidth="1"/>
    <col min="7433" max="7433" width="8.5546875" style="31" customWidth="1"/>
    <col min="7434" max="7436" width="9.44140625" style="31" customWidth="1"/>
    <col min="7437" max="7680" width="9.109375" style="31"/>
    <col min="7681" max="7681" width="0" style="31" hidden="1" customWidth="1"/>
    <col min="7682" max="7682" width="9.109375" style="31"/>
    <col min="7683" max="7683" width="31.5546875" style="31" customWidth="1"/>
    <col min="7684" max="7684" width="31.88671875" style="31" customWidth="1"/>
    <col min="7685" max="7685" width="11.33203125" style="31" customWidth="1"/>
    <col min="7686" max="7686" width="16.44140625" style="31" customWidth="1"/>
    <col min="7687" max="7687" width="12.88671875" style="31" customWidth="1"/>
    <col min="7688" max="7688" width="16.44140625" style="31" customWidth="1"/>
    <col min="7689" max="7689" width="8.5546875" style="31" customWidth="1"/>
    <col min="7690" max="7692" width="9.44140625" style="31" customWidth="1"/>
    <col min="7693" max="7936" width="9.109375" style="31"/>
    <col min="7937" max="7937" width="0" style="31" hidden="1" customWidth="1"/>
    <col min="7938" max="7938" width="9.109375" style="31"/>
    <col min="7939" max="7939" width="31.5546875" style="31" customWidth="1"/>
    <col min="7940" max="7940" width="31.88671875" style="31" customWidth="1"/>
    <col min="7941" max="7941" width="11.33203125" style="31" customWidth="1"/>
    <col min="7942" max="7942" width="16.44140625" style="31" customWidth="1"/>
    <col min="7943" max="7943" width="12.88671875" style="31" customWidth="1"/>
    <col min="7944" max="7944" width="16.44140625" style="31" customWidth="1"/>
    <col min="7945" max="7945" width="8.5546875" style="31" customWidth="1"/>
    <col min="7946" max="7948" width="9.44140625" style="31" customWidth="1"/>
    <col min="7949" max="8192" width="9.109375" style="31"/>
    <col min="8193" max="8193" width="0" style="31" hidden="1" customWidth="1"/>
    <col min="8194" max="8194" width="9.109375" style="31"/>
    <col min="8195" max="8195" width="31.5546875" style="31" customWidth="1"/>
    <col min="8196" max="8196" width="31.88671875" style="31" customWidth="1"/>
    <col min="8197" max="8197" width="11.33203125" style="31" customWidth="1"/>
    <col min="8198" max="8198" width="16.44140625" style="31" customWidth="1"/>
    <col min="8199" max="8199" width="12.88671875" style="31" customWidth="1"/>
    <col min="8200" max="8200" width="16.44140625" style="31" customWidth="1"/>
    <col min="8201" max="8201" width="8.5546875" style="31" customWidth="1"/>
    <col min="8202" max="8204" width="9.44140625" style="31" customWidth="1"/>
    <col min="8205" max="8448" width="9.109375" style="31"/>
    <col min="8449" max="8449" width="0" style="31" hidden="1" customWidth="1"/>
    <col min="8450" max="8450" width="9.109375" style="31"/>
    <col min="8451" max="8451" width="31.5546875" style="31" customWidth="1"/>
    <col min="8452" max="8452" width="31.88671875" style="31" customWidth="1"/>
    <col min="8453" max="8453" width="11.33203125" style="31" customWidth="1"/>
    <col min="8454" max="8454" width="16.44140625" style="31" customWidth="1"/>
    <col min="8455" max="8455" width="12.88671875" style="31" customWidth="1"/>
    <col min="8456" max="8456" width="16.44140625" style="31" customWidth="1"/>
    <col min="8457" max="8457" width="8.5546875" style="31" customWidth="1"/>
    <col min="8458" max="8460" width="9.44140625" style="31" customWidth="1"/>
    <col min="8461" max="8704" width="9.109375" style="31"/>
    <col min="8705" max="8705" width="0" style="31" hidden="1" customWidth="1"/>
    <col min="8706" max="8706" width="9.109375" style="31"/>
    <col min="8707" max="8707" width="31.5546875" style="31" customWidth="1"/>
    <col min="8708" max="8708" width="31.88671875" style="31" customWidth="1"/>
    <col min="8709" max="8709" width="11.33203125" style="31" customWidth="1"/>
    <col min="8710" max="8710" width="16.44140625" style="31" customWidth="1"/>
    <col min="8711" max="8711" width="12.88671875" style="31" customWidth="1"/>
    <col min="8712" max="8712" width="16.44140625" style="31" customWidth="1"/>
    <col min="8713" max="8713" width="8.5546875" style="31" customWidth="1"/>
    <col min="8714" max="8716" width="9.44140625" style="31" customWidth="1"/>
    <col min="8717" max="8960" width="9.109375" style="31"/>
    <col min="8961" max="8961" width="0" style="31" hidden="1" customWidth="1"/>
    <col min="8962" max="8962" width="9.109375" style="31"/>
    <col min="8963" max="8963" width="31.5546875" style="31" customWidth="1"/>
    <col min="8964" max="8964" width="31.88671875" style="31" customWidth="1"/>
    <col min="8965" max="8965" width="11.33203125" style="31" customWidth="1"/>
    <col min="8966" max="8966" width="16.44140625" style="31" customWidth="1"/>
    <col min="8967" max="8967" width="12.88671875" style="31" customWidth="1"/>
    <col min="8968" max="8968" width="16.44140625" style="31" customWidth="1"/>
    <col min="8969" max="8969" width="8.5546875" style="31" customWidth="1"/>
    <col min="8970" max="8972" width="9.44140625" style="31" customWidth="1"/>
    <col min="8973" max="9216" width="9.109375" style="31"/>
    <col min="9217" max="9217" width="0" style="31" hidden="1" customWidth="1"/>
    <col min="9218" max="9218" width="9.109375" style="31"/>
    <col min="9219" max="9219" width="31.5546875" style="31" customWidth="1"/>
    <col min="9220" max="9220" width="31.88671875" style="31" customWidth="1"/>
    <col min="9221" max="9221" width="11.33203125" style="31" customWidth="1"/>
    <col min="9222" max="9222" width="16.44140625" style="31" customWidth="1"/>
    <col min="9223" max="9223" width="12.88671875" style="31" customWidth="1"/>
    <col min="9224" max="9224" width="16.44140625" style="31" customWidth="1"/>
    <col min="9225" max="9225" width="8.5546875" style="31" customWidth="1"/>
    <col min="9226" max="9228" width="9.44140625" style="31" customWidth="1"/>
    <col min="9229" max="9472" width="9.109375" style="31"/>
    <col min="9473" max="9473" width="0" style="31" hidden="1" customWidth="1"/>
    <col min="9474" max="9474" width="9.109375" style="31"/>
    <col min="9475" max="9475" width="31.5546875" style="31" customWidth="1"/>
    <col min="9476" max="9476" width="31.88671875" style="31" customWidth="1"/>
    <col min="9477" max="9477" width="11.33203125" style="31" customWidth="1"/>
    <col min="9478" max="9478" width="16.44140625" style="31" customWidth="1"/>
    <col min="9479" max="9479" width="12.88671875" style="31" customWidth="1"/>
    <col min="9480" max="9480" width="16.44140625" style="31" customWidth="1"/>
    <col min="9481" max="9481" width="8.5546875" style="31" customWidth="1"/>
    <col min="9482" max="9484" width="9.44140625" style="31" customWidth="1"/>
    <col min="9485" max="9728" width="9.109375" style="31"/>
    <col min="9729" max="9729" width="0" style="31" hidden="1" customWidth="1"/>
    <col min="9730" max="9730" width="9.109375" style="31"/>
    <col min="9731" max="9731" width="31.5546875" style="31" customWidth="1"/>
    <col min="9732" max="9732" width="31.88671875" style="31" customWidth="1"/>
    <col min="9733" max="9733" width="11.33203125" style="31" customWidth="1"/>
    <col min="9734" max="9734" width="16.44140625" style="31" customWidth="1"/>
    <col min="9735" max="9735" width="12.88671875" style="31" customWidth="1"/>
    <col min="9736" max="9736" width="16.44140625" style="31" customWidth="1"/>
    <col min="9737" max="9737" width="8.5546875" style="31" customWidth="1"/>
    <col min="9738" max="9740" width="9.44140625" style="31" customWidth="1"/>
    <col min="9741" max="9984" width="9.109375" style="31"/>
    <col min="9985" max="9985" width="0" style="31" hidden="1" customWidth="1"/>
    <col min="9986" max="9986" width="9.109375" style="31"/>
    <col min="9987" max="9987" width="31.5546875" style="31" customWidth="1"/>
    <col min="9988" max="9988" width="31.88671875" style="31" customWidth="1"/>
    <col min="9989" max="9989" width="11.33203125" style="31" customWidth="1"/>
    <col min="9990" max="9990" width="16.44140625" style="31" customWidth="1"/>
    <col min="9991" max="9991" width="12.88671875" style="31" customWidth="1"/>
    <col min="9992" max="9992" width="16.44140625" style="31" customWidth="1"/>
    <col min="9993" max="9993" width="8.5546875" style="31" customWidth="1"/>
    <col min="9994" max="9996" width="9.44140625" style="31" customWidth="1"/>
    <col min="9997" max="10240" width="9.109375" style="31"/>
    <col min="10241" max="10241" width="0" style="31" hidden="1" customWidth="1"/>
    <col min="10242" max="10242" width="9.109375" style="31"/>
    <col min="10243" max="10243" width="31.5546875" style="31" customWidth="1"/>
    <col min="10244" max="10244" width="31.88671875" style="31" customWidth="1"/>
    <col min="10245" max="10245" width="11.33203125" style="31" customWidth="1"/>
    <col min="10246" max="10246" width="16.44140625" style="31" customWidth="1"/>
    <col min="10247" max="10247" width="12.88671875" style="31" customWidth="1"/>
    <col min="10248" max="10248" width="16.44140625" style="31" customWidth="1"/>
    <col min="10249" max="10249" width="8.5546875" style="31" customWidth="1"/>
    <col min="10250" max="10252" width="9.44140625" style="31" customWidth="1"/>
    <col min="10253" max="10496" width="9.109375" style="31"/>
    <col min="10497" max="10497" width="0" style="31" hidden="1" customWidth="1"/>
    <col min="10498" max="10498" width="9.109375" style="31"/>
    <col min="10499" max="10499" width="31.5546875" style="31" customWidth="1"/>
    <col min="10500" max="10500" width="31.88671875" style="31" customWidth="1"/>
    <col min="10501" max="10501" width="11.33203125" style="31" customWidth="1"/>
    <col min="10502" max="10502" width="16.44140625" style="31" customWidth="1"/>
    <col min="10503" max="10503" width="12.88671875" style="31" customWidth="1"/>
    <col min="10504" max="10504" width="16.44140625" style="31" customWidth="1"/>
    <col min="10505" max="10505" width="8.5546875" style="31" customWidth="1"/>
    <col min="10506" max="10508" width="9.44140625" style="31" customWidth="1"/>
    <col min="10509" max="10752" width="9.109375" style="31"/>
    <col min="10753" max="10753" width="0" style="31" hidden="1" customWidth="1"/>
    <col min="10754" max="10754" width="9.109375" style="31"/>
    <col min="10755" max="10755" width="31.5546875" style="31" customWidth="1"/>
    <col min="10756" max="10756" width="31.88671875" style="31" customWidth="1"/>
    <col min="10757" max="10757" width="11.33203125" style="31" customWidth="1"/>
    <col min="10758" max="10758" width="16.44140625" style="31" customWidth="1"/>
    <col min="10759" max="10759" width="12.88671875" style="31" customWidth="1"/>
    <col min="10760" max="10760" width="16.44140625" style="31" customWidth="1"/>
    <col min="10761" max="10761" width="8.5546875" style="31" customWidth="1"/>
    <col min="10762" max="10764" width="9.44140625" style="31" customWidth="1"/>
    <col min="10765" max="11008" width="9.109375" style="31"/>
    <col min="11009" max="11009" width="0" style="31" hidden="1" customWidth="1"/>
    <col min="11010" max="11010" width="9.109375" style="31"/>
    <col min="11011" max="11011" width="31.5546875" style="31" customWidth="1"/>
    <col min="11012" max="11012" width="31.88671875" style="31" customWidth="1"/>
    <col min="11013" max="11013" width="11.33203125" style="31" customWidth="1"/>
    <col min="11014" max="11014" width="16.44140625" style="31" customWidth="1"/>
    <col min="11015" max="11015" width="12.88671875" style="31" customWidth="1"/>
    <col min="11016" max="11016" width="16.44140625" style="31" customWidth="1"/>
    <col min="11017" max="11017" width="8.5546875" style="31" customWidth="1"/>
    <col min="11018" max="11020" width="9.44140625" style="31" customWidth="1"/>
    <col min="11021" max="11264" width="9.109375" style="31"/>
    <col min="11265" max="11265" width="0" style="31" hidden="1" customWidth="1"/>
    <col min="11266" max="11266" width="9.109375" style="31"/>
    <col min="11267" max="11267" width="31.5546875" style="31" customWidth="1"/>
    <col min="11268" max="11268" width="31.88671875" style="31" customWidth="1"/>
    <col min="11269" max="11269" width="11.33203125" style="31" customWidth="1"/>
    <col min="11270" max="11270" width="16.44140625" style="31" customWidth="1"/>
    <col min="11271" max="11271" width="12.88671875" style="31" customWidth="1"/>
    <col min="11272" max="11272" width="16.44140625" style="31" customWidth="1"/>
    <col min="11273" max="11273" width="8.5546875" style="31" customWidth="1"/>
    <col min="11274" max="11276" width="9.44140625" style="31" customWidth="1"/>
    <col min="11277" max="11520" width="9.109375" style="31"/>
    <col min="11521" max="11521" width="0" style="31" hidden="1" customWidth="1"/>
    <col min="11522" max="11522" width="9.109375" style="31"/>
    <col min="11523" max="11523" width="31.5546875" style="31" customWidth="1"/>
    <col min="11524" max="11524" width="31.88671875" style="31" customWidth="1"/>
    <col min="11525" max="11525" width="11.33203125" style="31" customWidth="1"/>
    <col min="11526" max="11526" width="16.44140625" style="31" customWidth="1"/>
    <col min="11527" max="11527" width="12.88671875" style="31" customWidth="1"/>
    <col min="11528" max="11528" width="16.44140625" style="31" customWidth="1"/>
    <col min="11529" max="11529" width="8.5546875" style="31" customWidth="1"/>
    <col min="11530" max="11532" width="9.44140625" style="31" customWidth="1"/>
    <col min="11533" max="11776" width="9.109375" style="31"/>
    <col min="11777" max="11777" width="0" style="31" hidden="1" customWidth="1"/>
    <col min="11778" max="11778" width="9.109375" style="31"/>
    <col min="11779" max="11779" width="31.5546875" style="31" customWidth="1"/>
    <col min="11780" max="11780" width="31.88671875" style="31" customWidth="1"/>
    <col min="11781" max="11781" width="11.33203125" style="31" customWidth="1"/>
    <col min="11782" max="11782" width="16.44140625" style="31" customWidth="1"/>
    <col min="11783" max="11783" width="12.88671875" style="31" customWidth="1"/>
    <col min="11784" max="11784" width="16.44140625" style="31" customWidth="1"/>
    <col min="11785" max="11785" width="8.5546875" style="31" customWidth="1"/>
    <col min="11786" max="11788" width="9.44140625" style="31" customWidth="1"/>
    <col min="11789" max="12032" width="9.109375" style="31"/>
    <col min="12033" max="12033" width="0" style="31" hidden="1" customWidth="1"/>
    <col min="12034" max="12034" width="9.109375" style="31"/>
    <col min="12035" max="12035" width="31.5546875" style="31" customWidth="1"/>
    <col min="12036" max="12036" width="31.88671875" style="31" customWidth="1"/>
    <col min="12037" max="12037" width="11.33203125" style="31" customWidth="1"/>
    <col min="12038" max="12038" width="16.44140625" style="31" customWidth="1"/>
    <col min="12039" max="12039" width="12.88671875" style="31" customWidth="1"/>
    <col min="12040" max="12040" width="16.44140625" style="31" customWidth="1"/>
    <col min="12041" max="12041" width="8.5546875" style="31" customWidth="1"/>
    <col min="12042" max="12044" width="9.44140625" style="31" customWidth="1"/>
    <col min="12045" max="12288" width="9.109375" style="31"/>
    <col min="12289" max="12289" width="0" style="31" hidden="1" customWidth="1"/>
    <col min="12290" max="12290" width="9.109375" style="31"/>
    <col min="12291" max="12291" width="31.5546875" style="31" customWidth="1"/>
    <col min="12292" max="12292" width="31.88671875" style="31" customWidth="1"/>
    <col min="12293" max="12293" width="11.33203125" style="31" customWidth="1"/>
    <col min="12294" max="12294" width="16.44140625" style="31" customWidth="1"/>
    <col min="12295" max="12295" width="12.88671875" style="31" customWidth="1"/>
    <col min="12296" max="12296" width="16.44140625" style="31" customWidth="1"/>
    <col min="12297" max="12297" width="8.5546875" style="31" customWidth="1"/>
    <col min="12298" max="12300" width="9.44140625" style="31" customWidth="1"/>
    <col min="12301" max="12544" width="9.109375" style="31"/>
    <col min="12545" max="12545" width="0" style="31" hidden="1" customWidth="1"/>
    <col min="12546" max="12546" width="9.109375" style="31"/>
    <col min="12547" max="12547" width="31.5546875" style="31" customWidth="1"/>
    <col min="12548" max="12548" width="31.88671875" style="31" customWidth="1"/>
    <col min="12549" max="12549" width="11.33203125" style="31" customWidth="1"/>
    <col min="12550" max="12550" width="16.44140625" style="31" customWidth="1"/>
    <col min="12551" max="12551" width="12.88671875" style="31" customWidth="1"/>
    <col min="12552" max="12552" width="16.44140625" style="31" customWidth="1"/>
    <col min="12553" max="12553" width="8.5546875" style="31" customWidth="1"/>
    <col min="12554" max="12556" width="9.44140625" style="31" customWidth="1"/>
    <col min="12557" max="12800" width="9.109375" style="31"/>
    <col min="12801" max="12801" width="0" style="31" hidden="1" customWidth="1"/>
    <col min="12802" max="12802" width="9.109375" style="31"/>
    <col min="12803" max="12803" width="31.5546875" style="31" customWidth="1"/>
    <col min="12804" max="12804" width="31.88671875" style="31" customWidth="1"/>
    <col min="12805" max="12805" width="11.33203125" style="31" customWidth="1"/>
    <col min="12806" max="12806" width="16.44140625" style="31" customWidth="1"/>
    <col min="12807" max="12807" width="12.88671875" style="31" customWidth="1"/>
    <col min="12808" max="12808" width="16.44140625" style="31" customWidth="1"/>
    <col min="12809" max="12809" width="8.5546875" style="31" customWidth="1"/>
    <col min="12810" max="12812" width="9.44140625" style="31" customWidth="1"/>
    <col min="12813" max="13056" width="9.109375" style="31"/>
    <col min="13057" max="13057" width="0" style="31" hidden="1" customWidth="1"/>
    <col min="13058" max="13058" width="9.109375" style="31"/>
    <col min="13059" max="13059" width="31.5546875" style="31" customWidth="1"/>
    <col min="13060" max="13060" width="31.88671875" style="31" customWidth="1"/>
    <col min="13061" max="13061" width="11.33203125" style="31" customWidth="1"/>
    <col min="13062" max="13062" width="16.44140625" style="31" customWidth="1"/>
    <col min="13063" max="13063" width="12.88671875" style="31" customWidth="1"/>
    <col min="13064" max="13064" width="16.44140625" style="31" customWidth="1"/>
    <col min="13065" max="13065" width="8.5546875" style="31" customWidth="1"/>
    <col min="13066" max="13068" width="9.44140625" style="31" customWidth="1"/>
    <col min="13069" max="13312" width="9.109375" style="31"/>
    <col min="13313" max="13313" width="0" style="31" hidden="1" customWidth="1"/>
    <col min="13314" max="13314" width="9.109375" style="31"/>
    <col min="13315" max="13315" width="31.5546875" style="31" customWidth="1"/>
    <col min="13316" max="13316" width="31.88671875" style="31" customWidth="1"/>
    <col min="13317" max="13317" width="11.33203125" style="31" customWidth="1"/>
    <col min="13318" max="13318" width="16.44140625" style="31" customWidth="1"/>
    <col min="13319" max="13319" width="12.88671875" style="31" customWidth="1"/>
    <col min="13320" max="13320" width="16.44140625" style="31" customWidth="1"/>
    <col min="13321" max="13321" width="8.5546875" style="31" customWidth="1"/>
    <col min="13322" max="13324" width="9.44140625" style="31" customWidth="1"/>
    <col min="13325" max="13568" width="9.109375" style="31"/>
    <col min="13569" max="13569" width="0" style="31" hidden="1" customWidth="1"/>
    <col min="13570" max="13570" width="9.109375" style="31"/>
    <col min="13571" max="13571" width="31.5546875" style="31" customWidth="1"/>
    <col min="13572" max="13572" width="31.88671875" style="31" customWidth="1"/>
    <col min="13573" max="13573" width="11.33203125" style="31" customWidth="1"/>
    <col min="13574" max="13574" width="16.44140625" style="31" customWidth="1"/>
    <col min="13575" max="13575" width="12.88671875" style="31" customWidth="1"/>
    <col min="13576" max="13576" width="16.44140625" style="31" customWidth="1"/>
    <col min="13577" max="13577" width="8.5546875" style="31" customWidth="1"/>
    <col min="13578" max="13580" width="9.44140625" style="31" customWidth="1"/>
    <col min="13581" max="13824" width="9.109375" style="31"/>
    <col min="13825" max="13825" width="0" style="31" hidden="1" customWidth="1"/>
    <col min="13826" max="13826" width="9.109375" style="31"/>
    <col min="13827" max="13827" width="31.5546875" style="31" customWidth="1"/>
    <col min="13828" max="13828" width="31.88671875" style="31" customWidth="1"/>
    <col min="13829" max="13829" width="11.33203125" style="31" customWidth="1"/>
    <col min="13830" max="13830" width="16.44140625" style="31" customWidth="1"/>
    <col min="13831" max="13831" width="12.88671875" style="31" customWidth="1"/>
    <col min="13832" max="13832" width="16.44140625" style="31" customWidth="1"/>
    <col min="13833" max="13833" width="8.5546875" style="31" customWidth="1"/>
    <col min="13834" max="13836" width="9.44140625" style="31" customWidth="1"/>
    <col min="13837" max="14080" width="9.109375" style="31"/>
    <col min="14081" max="14081" width="0" style="31" hidden="1" customWidth="1"/>
    <col min="14082" max="14082" width="9.109375" style="31"/>
    <col min="14083" max="14083" width="31.5546875" style="31" customWidth="1"/>
    <col min="14084" max="14084" width="31.88671875" style="31" customWidth="1"/>
    <col min="14085" max="14085" width="11.33203125" style="31" customWidth="1"/>
    <col min="14086" max="14086" width="16.44140625" style="31" customWidth="1"/>
    <col min="14087" max="14087" width="12.88671875" style="31" customWidth="1"/>
    <col min="14088" max="14088" width="16.44140625" style="31" customWidth="1"/>
    <col min="14089" max="14089" width="8.5546875" style="31" customWidth="1"/>
    <col min="14090" max="14092" width="9.44140625" style="31" customWidth="1"/>
    <col min="14093" max="14336" width="9.109375" style="31"/>
    <col min="14337" max="14337" width="0" style="31" hidden="1" customWidth="1"/>
    <col min="14338" max="14338" width="9.109375" style="31"/>
    <col min="14339" max="14339" width="31.5546875" style="31" customWidth="1"/>
    <col min="14340" max="14340" width="31.88671875" style="31" customWidth="1"/>
    <col min="14341" max="14341" width="11.33203125" style="31" customWidth="1"/>
    <col min="14342" max="14342" width="16.44140625" style="31" customWidth="1"/>
    <col min="14343" max="14343" width="12.88671875" style="31" customWidth="1"/>
    <col min="14344" max="14344" width="16.44140625" style="31" customWidth="1"/>
    <col min="14345" max="14345" width="8.5546875" style="31" customWidth="1"/>
    <col min="14346" max="14348" width="9.44140625" style="31" customWidth="1"/>
    <col min="14349" max="14592" width="9.109375" style="31"/>
    <col min="14593" max="14593" width="0" style="31" hidden="1" customWidth="1"/>
    <col min="14594" max="14594" width="9.109375" style="31"/>
    <col min="14595" max="14595" width="31.5546875" style="31" customWidth="1"/>
    <col min="14596" max="14596" width="31.88671875" style="31" customWidth="1"/>
    <col min="14597" max="14597" width="11.33203125" style="31" customWidth="1"/>
    <col min="14598" max="14598" width="16.44140625" style="31" customWidth="1"/>
    <col min="14599" max="14599" width="12.88671875" style="31" customWidth="1"/>
    <col min="14600" max="14600" width="16.44140625" style="31" customWidth="1"/>
    <col min="14601" max="14601" width="8.5546875" style="31" customWidth="1"/>
    <col min="14602" max="14604" width="9.44140625" style="31" customWidth="1"/>
    <col min="14605" max="14848" width="9.109375" style="31"/>
    <col min="14849" max="14849" width="0" style="31" hidden="1" customWidth="1"/>
    <col min="14850" max="14850" width="9.109375" style="31"/>
    <col min="14851" max="14851" width="31.5546875" style="31" customWidth="1"/>
    <col min="14852" max="14852" width="31.88671875" style="31" customWidth="1"/>
    <col min="14853" max="14853" width="11.33203125" style="31" customWidth="1"/>
    <col min="14854" max="14854" width="16.44140625" style="31" customWidth="1"/>
    <col min="14855" max="14855" width="12.88671875" style="31" customWidth="1"/>
    <col min="14856" max="14856" width="16.44140625" style="31" customWidth="1"/>
    <col min="14857" max="14857" width="8.5546875" style="31" customWidth="1"/>
    <col min="14858" max="14860" width="9.44140625" style="31" customWidth="1"/>
    <col min="14861" max="15104" width="9.109375" style="31"/>
    <col min="15105" max="15105" width="0" style="31" hidden="1" customWidth="1"/>
    <col min="15106" max="15106" width="9.109375" style="31"/>
    <col min="15107" max="15107" width="31.5546875" style="31" customWidth="1"/>
    <col min="15108" max="15108" width="31.88671875" style="31" customWidth="1"/>
    <col min="15109" max="15109" width="11.33203125" style="31" customWidth="1"/>
    <col min="15110" max="15110" width="16.44140625" style="31" customWidth="1"/>
    <col min="15111" max="15111" width="12.88671875" style="31" customWidth="1"/>
    <col min="15112" max="15112" width="16.44140625" style="31" customWidth="1"/>
    <col min="15113" max="15113" width="8.5546875" style="31" customWidth="1"/>
    <col min="15114" max="15116" width="9.44140625" style="31" customWidth="1"/>
    <col min="15117" max="15360" width="9.109375" style="31"/>
    <col min="15361" max="15361" width="0" style="31" hidden="1" customWidth="1"/>
    <col min="15362" max="15362" width="9.109375" style="31"/>
    <col min="15363" max="15363" width="31.5546875" style="31" customWidth="1"/>
    <col min="15364" max="15364" width="31.88671875" style="31" customWidth="1"/>
    <col min="15365" max="15365" width="11.33203125" style="31" customWidth="1"/>
    <col min="15366" max="15366" width="16.44140625" style="31" customWidth="1"/>
    <col min="15367" max="15367" width="12.88671875" style="31" customWidth="1"/>
    <col min="15368" max="15368" width="16.44140625" style="31" customWidth="1"/>
    <col min="15369" max="15369" width="8.5546875" style="31" customWidth="1"/>
    <col min="15370" max="15372" width="9.44140625" style="31" customWidth="1"/>
    <col min="15373" max="15616" width="9.109375" style="31"/>
    <col min="15617" max="15617" width="0" style="31" hidden="1" customWidth="1"/>
    <col min="15618" max="15618" width="9.109375" style="31"/>
    <col min="15619" max="15619" width="31.5546875" style="31" customWidth="1"/>
    <col min="15620" max="15620" width="31.88671875" style="31" customWidth="1"/>
    <col min="15621" max="15621" width="11.33203125" style="31" customWidth="1"/>
    <col min="15622" max="15622" width="16.44140625" style="31" customWidth="1"/>
    <col min="15623" max="15623" width="12.88671875" style="31" customWidth="1"/>
    <col min="15624" max="15624" width="16.44140625" style="31" customWidth="1"/>
    <col min="15625" max="15625" width="8.5546875" style="31" customWidth="1"/>
    <col min="15626" max="15628" width="9.44140625" style="31" customWidth="1"/>
    <col min="15629" max="15872" width="9.109375" style="31"/>
    <col min="15873" max="15873" width="0" style="31" hidden="1" customWidth="1"/>
    <col min="15874" max="15874" width="9.109375" style="31"/>
    <col min="15875" max="15875" width="31.5546875" style="31" customWidth="1"/>
    <col min="15876" max="15876" width="31.88671875" style="31" customWidth="1"/>
    <col min="15877" max="15877" width="11.33203125" style="31" customWidth="1"/>
    <col min="15878" max="15878" width="16.44140625" style="31" customWidth="1"/>
    <col min="15879" max="15879" width="12.88671875" style="31" customWidth="1"/>
    <col min="15880" max="15880" width="16.44140625" style="31" customWidth="1"/>
    <col min="15881" max="15881" width="8.5546875" style="31" customWidth="1"/>
    <col min="15882" max="15884" width="9.44140625" style="31" customWidth="1"/>
    <col min="15885" max="16128" width="9.109375" style="31"/>
    <col min="16129" max="16129" width="0" style="31" hidden="1" customWidth="1"/>
    <col min="16130" max="16130" width="9.109375" style="31"/>
    <col min="16131" max="16131" width="31.5546875" style="31" customWidth="1"/>
    <col min="16132" max="16132" width="31.88671875" style="31" customWidth="1"/>
    <col min="16133" max="16133" width="11.33203125" style="31" customWidth="1"/>
    <col min="16134" max="16134" width="16.44140625" style="31" customWidth="1"/>
    <col min="16135" max="16135" width="12.88671875" style="31" customWidth="1"/>
    <col min="16136" max="16136" width="16.44140625" style="31" customWidth="1"/>
    <col min="16137" max="16137" width="8.5546875" style="31" customWidth="1"/>
    <col min="16138" max="16140" width="9.44140625" style="31" customWidth="1"/>
    <col min="16141" max="16384" width="9.109375" style="31"/>
  </cols>
  <sheetData>
    <row r="1" spans="2:9" ht="15.6" x14ac:dyDescent="0.3">
      <c r="B1" s="45" t="s">
        <v>204</v>
      </c>
      <c r="C1" s="45"/>
      <c r="D1" s="45"/>
      <c r="E1" s="30"/>
      <c r="F1" s="30"/>
      <c r="G1" s="30"/>
      <c r="H1" s="28"/>
      <c r="I1" s="30"/>
    </row>
    <row r="2" spans="2:9" s="34" customFormat="1" ht="46.8" x14ac:dyDescent="0.3">
      <c r="B2" s="32" t="s">
        <v>205</v>
      </c>
      <c r="C2" s="46" t="s">
        <v>206</v>
      </c>
      <c r="D2" s="47"/>
      <c r="E2" s="32" t="s">
        <v>207</v>
      </c>
      <c r="F2" s="33" t="s">
        <v>208</v>
      </c>
      <c r="G2" s="33" t="s">
        <v>209</v>
      </c>
      <c r="H2" s="33" t="s">
        <v>210</v>
      </c>
      <c r="I2" s="32" t="s">
        <v>211</v>
      </c>
    </row>
    <row r="3" spans="2:9" s="34" customFormat="1" ht="34.200000000000003" customHeight="1" x14ac:dyDescent="0.3">
      <c r="B3" s="30">
        <v>1</v>
      </c>
      <c r="C3" s="35" t="s">
        <v>212</v>
      </c>
      <c r="D3" s="36" t="str">
        <f>C3</f>
        <v>VPCC / PCC /  VRCC OR Combined</v>
      </c>
      <c r="E3" s="30">
        <v>15</v>
      </c>
      <c r="F3" s="28">
        <v>220.26</v>
      </c>
      <c r="G3" s="37">
        <v>12</v>
      </c>
      <c r="H3" s="38">
        <f>F3/G3*12*50%</f>
        <v>110.13</v>
      </c>
      <c r="I3" s="32" t="s">
        <v>213</v>
      </c>
    </row>
    <row r="4" spans="2:9" s="34" customFormat="1" ht="34.200000000000003" customHeight="1" x14ac:dyDescent="0.3">
      <c r="B4" s="30">
        <v>2</v>
      </c>
      <c r="C4" s="35" t="s">
        <v>128</v>
      </c>
      <c r="D4" s="36" t="str">
        <f>C4</f>
        <v xml:space="preserve">Ornamental brick work in C.M (1:5) </v>
      </c>
      <c r="E4" s="30">
        <v>6</v>
      </c>
      <c r="F4" s="28">
        <v>108.02</v>
      </c>
      <c r="G4" s="32">
        <v>12</v>
      </c>
      <c r="H4" s="38">
        <f t="shared" ref="H4:H5" si="0">F4/G4*12*50%</f>
        <v>54.010000000000005</v>
      </c>
      <c r="I4" s="32" t="s">
        <v>213</v>
      </c>
    </row>
    <row r="5" spans="2:9" s="34" customFormat="1" ht="34.200000000000003" customHeight="1" x14ac:dyDescent="0.3">
      <c r="B5" s="30">
        <v>3</v>
      </c>
      <c r="C5" s="35" t="s">
        <v>131</v>
      </c>
      <c r="D5" s="36" t="str">
        <f>C5</f>
        <v xml:space="preserve">Ornamental plastering  25mm to 40mm thick </v>
      </c>
      <c r="E5" s="30">
        <v>6</v>
      </c>
      <c r="F5" s="28">
        <v>292.33</v>
      </c>
      <c r="G5" s="32">
        <v>12</v>
      </c>
      <c r="H5" s="38">
        <f t="shared" si="0"/>
        <v>146.16499999999999</v>
      </c>
      <c r="I5" s="32" t="s">
        <v>8</v>
      </c>
    </row>
    <row r="6" spans="2:9" s="34" customFormat="1" ht="34.200000000000003" customHeight="1" x14ac:dyDescent="0.3">
      <c r="B6" s="30">
        <v>4</v>
      </c>
      <c r="C6" s="35" t="s">
        <v>222</v>
      </c>
      <c r="D6" s="36" t="str">
        <f>C6</f>
        <v xml:space="preserve">Flooring </v>
      </c>
      <c r="E6" s="30">
        <v>3</v>
      </c>
      <c r="F6" s="28">
        <v>230.76</v>
      </c>
      <c r="G6" s="32">
        <v>12</v>
      </c>
      <c r="H6" s="38">
        <f t="shared" ref="H6" si="1">F6/G6*12*50%</f>
        <v>115.38</v>
      </c>
      <c r="I6" s="32" t="s">
        <v>8</v>
      </c>
    </row>
    <row r="8" spans="2:9" ht="34.200000000000003" customHeight="1" x14ac:dyDescent="0.3">
      <c r="B8" s="48" t="s">
        <v>214</v>
      </c>
      <c r="C8" s="49"/>
      <c r="D8" s="49"/>
      <c r="E8" s="49"/>
      <c r="F8" s="49"/>
    </row>
    <row r="9" spans="2:9" ht="62.4" x14ac:dyDescent="0.3">
      <c r="B9" s="32" t="s">
        <v>205</v>
      </c>
      <c r="C9" s="32"/>
      <c r="D9" s="33" t="s">
        <v>215</v>
      </c>
      <c r="E9" s="33" t="s">
        <v>209</v>
      </c>
      <c r="F9" s="33" t="s">
        <v>216</v>
      </c>
    </row>
    <row r="10" spans="2:9" ht="30.6" customHeight="1" x14ac:dyDescent="0.3">
      <c r="B10" s="30">
        <v>1</v>
      </c>
      <c r="C10" s="30"/>
      <c r="D10" s="33">
        <v>67.010000000000005</v>
      </c>
      <c r="E10" s="32">
        <v>12</v>
      </c>
      <c r="F10" s="38">
        <f>D10/E10*12*50%</f>
        <v>33.505000000000003</v>
      </c>
    </row>
    <row r="13" spans="2:9" ht="31.2" customHeight="1" x14ac:dyDescent="0.3">
      <c r="B13" s="48" t="s">
        <v>217</v>
      </c>
      <c r="C13" s="49"/>
      <c r="D13" s="49"/>
      <c r="E13" s="49"/>
      <c r="F13" s="49"/>
    </row>
    <row r="14" spans="2:9" ht="31.2" x14ac:dyDescent="0.3">
      <c r="B14" s="32" t="s">
        <v>205</v>
      </c>
      <c r="C14" s="32"/>
      <c r="D14" s="33" t="s">
        <v>215</v>
      </c>
      <c r="E14" s="50" t="s">
        <v>216</v>
      </c>
      <c r="F14" s="51"/>
    </row>
    <row r="15" spans="2:9" ht="37.799999999999997" customHeight="1" x14ac:dyDescent="0.3">
      <c r="B15" s="30">
        <v>1</v>
      </c>
      <c r="C15" s="30"/>
      <c r="D15" s="33">
        <f>D10</f>
        <v>67.010000000000005</v>
      </c>
      <c r="E15" s="52">
        <f>F10/2</f>
        <v>16.752500000000001</v>
      </c>
      <c r="F15" s="53"/>
    </row>
    <row r="24" spans="3:4" x14ac:dyDescent="0.3">
      <c r="C24" s="9">
        <v>682.75</v>
      </c>
      <c r="D24" s="9">
        <v>41.87</v>
      </c>
    </row>
    <row r="25" spans="3:4" x14ac:dyDescent="0.3">
      <c r="D25" s="9">
        <v>26.67</v>
      </c>
    </row>
    <row r="26" spans="3:4" x14ac:dyDescent="0.3">
      <c r="D26" s="9">
        <v>3427</v>
      </c>
    </row>
    <row r="27" spans="3:4" x14ac:dyDescent="0.3">
      <c r="D27" s="9">
        <v>10341.33</v>
      </c>
    </row>
  </sheetData>
  <mergeCells count="6">
    <mergeCell ref="E15:F15"/>
    <mergeCell ref="B1:D1"/>
    <mergeCell ref="C2:D2"/>
    <mergeCell ref="B8:F8"/>
    <mergeCell ref="B13:F13"/>
    <mergeCell ref="E14: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Sheet1!Print_Area</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dc:creator>
  <cp:lastModifiedBy>Pulletikurthi Gopala Krishna</cp:lastModifiedBy>
  <cp:lastPrinted>2026-07-30T09:25:11Z</cp:lastPrinted>
  <dcterms:created xsi:type="dcterms:W3CDTF">2017-10-30T06:41:12Z</dcterms:created>
  <dcterms:modified xsi:type="dcterms:W3CDTF">2026-08-18T02:10:03Z</dcterms:modified>
</cp:coreProperties>
</file>