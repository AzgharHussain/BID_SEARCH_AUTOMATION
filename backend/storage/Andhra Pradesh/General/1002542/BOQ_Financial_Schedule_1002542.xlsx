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 Rate BoQ" sheetId="1" state="visible" r:id="rId1"/>
    <sheet xmlns:r="http://schemas.openxmlformats.org/officeDocument/2006/relationships" name="Milestone Schedule" sheetId="2" state="visible" r:id="rId2"/>
    <sheet xmlns:r="http://schemas.openxmlformats.org/officeDocument/2006/relationships" name="Bidder Declaration"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10">
    <font>
      <name val="Calibri"/>
      <family val="2"/>
      <color theme="1"/>
      <sz val="11"/>
      <scheme val="minor"/>
    </font>
    <font>
      <name val="Segoe UI"/>
      <b val="1"/>
      <color rgb="000F172A"/>
      <sz val="13"/>
    </font>
    <font>
      <name val="Segoe UI"/>
      <b val="1"/>
      <color rgb="00334155"/>
      <sz val="10"/>
    </font>
    <font>
      <name val="Segoe UI"/>
      <color rgb="001E293B"/>
      <sz val="9.5"/>
    </font>
    <font>
      <name val="Segoe UI"/>
      <i val="1"/>
      <color rgb="0064748B"/>
      <sz val="8.5"/>
    </font>
    <font>
      <name val="Segoe UI"/>
      <b val="1"/>
      <color rgb="00FFFFFF"/>
      <sz val="10"/>
    </font>
    <font>
      <name val="Segoe UI"/>
      <b val="1"/>
      <color rgb="000F172A"/>
      <sz val="9.5"/>
    </font>
    <font>
      <name val="Segoe UI"/>
      <b val="1"/>
      <color rgb="001E1B4B"/>
      <sz val="10"/>
    </font>
    <font>
      <name val="Segoe UI"/>
      <b val="1"/>
      <color rgb="000F172A"/>
      <sz val="10.5"/>
    </font>
    <font>
      <name val="Segoe UI"/>
      <b val="1"/>
      <color rgb="001E1B4B"/>
      <sz val="11"/>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EEF2FF"/>
        <bgColor rgb="00EEF2FF"/>
      </patternFill>
    </fill>
    <fill>
      <patternFill patternType="solid">
        <fgColor rgb="00E0E7FF"/>
        <bgColor rgb="00E0E7FF"/>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E1B4B"/>
      </bottom>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3" fontId="3" fillId="0" borderId="1" applyAlignment="1" pivotButton="0" quotePrefix="0" xfId="0">
      <alignment horizontal="right" vertical="center"/>
    </xf>
    <xf numFmtId="4" fontId="3" fillId="0" borderId="1" applyAlignment="1" pivotButton="0" quotePrefix="0" xfId="0">
      <alignment horizontal="right" vertical="center"/>
    </xf>
    <xf numFmtId="1" fontId="3" fillId="0"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wrapText="1"/>
    </xf>
    <xf numFmtId="3" fontId="3" fillId="3" borderId="1" applyAlignment="1" pivotButton="0" quotePrefix="0" xfId="0">
      <alignment horizontal="right" vertical="center"/>
    </xf>
    <xf numFmtId="4" fontId="3" fillId="3" borderId="1" applyAlignment="1" pivotButton="0" quotePrefix="0" xfId="0">
      <alignment horizontal="right" vertical="center"/>
    </xf>
    <xf numFmtId="1" fontId="3" fillId="3" borderId="1" applyAlignment="1" pivotButton="0" quotePrefix="0" xfId="0">
      <alignment horizontal="center" vertical="center"/>
    </xf>
    <xf numFmtId="0" fontId="6" fillId="4" borderId="1" applyAlignment="1" pivotButton="0" quotePrefix="0" xfId="0">
      <alignment horizontal="right" vertical="center"/>
    </xf>
    <xf numFmtId="0" fontId="0" fillId="4" borderId="1" pivotButton="0" quotePrefix="0" xfId="0"/>
    <xf numFmtId="4" fontId="7" fillId="4" borderId="1" applyAlignment="1" pivotButton="0" quotePrefix="0" xfId="0">
      <alignment horizontal="right" vertical="center"/>
    </xf>
    <xf numFmtId="0" fontId="8" fillId="5" borderId="2" applyAlignment="1" pivotButton="0" quotePrefix="0" xfId="0">
      <alignment horizontal="right" vertical="center"/>
    </xf>
    <xf numFmtId="0" fontId="0" fillId="5" borderId="2" pivotButton="0" quotePrefix="0" xfId="0"/>
    <xf numFmtId="4" fontId="9" fillId="5" borderId="2" applyAlignment="1" pivotButton="0" quotePrefix="0" xfId="0">
      <alignment horizontal="right" vertical="center"/>
    </xf>
    <xf numFmtId="0" fontId="1" fillId="0" borderId="0" pivotButton="0" quotePrefix="0" xfId="0"/>
    <xf numFmtId="0" fontId="5" fillId="2" borderId="1" applyAlignment="1" pivotButton="0" quotePrefix="0" xfId="0">
      <alignment horizontal="center" vertical="center"/>
    </xf>
    <xf numFmtId="0" fontId="3" fillId="0" borderId="1" applyAlignment="1" pivotButton="0" quotePrefix="0" xfId="0">
      <alignment horizontal="center"/>
    </xf>
    <xf numFmtId="0" fontId="3" fillId="0" borderId="1" applyAlignment="1" pivotButton="0" quotePrefix="0" xfId="0">
      <alignment horizontal="left"/>
    </xf>
    <xf numFmtId="164" fontId="3"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1" customWidth="1" min="1" max="1"/>
    <col width="68" customWidth="1" min="2" max="2"/>
    <col width="13" customWidth="1" min="3" max="3"/>
    <col width="14" customWidth="1" min="4" max="4"/>
    <col width="24" customWidth="1" min="5" max="5"/>
    <col width="26" customWidth="1" min="6" max="6"/>
    <col width="13" customWidth="1" min="7" max="7"/>
    <col width="28" customWidth="1" min="8" max="8"/>
  </cols>
  <sheetData>
    <row r="1">
      <c r="A1" s="1" t="inlineStr">
        <is>
          <t>OFFICIAL GOVERNMENT BILL OF QUANTITIES (BOQ) — FINANCIAL SCHEDULE</t>
        </is>
      </c>
    </row>
    <row r="2">
      <c r="A2" s="2" t="inlineStr">
        <is>
          <t>Tender Ref: 1002542 | Authority: GREATER VISAKHAPATNAM MUNICIPAL CORPORATION-E.E.- Zone-III</t>
        </is>
      </c>
    </row>
    <row r="3">
      <c r="A3" s="3" t="inlineStr">
        <is>
          <t>Work: Providing logistic arrangements i.e Shamiyana, Pendals, Chairs, Tables, Flexs Public addressing system etc., to Election material Distribution counters of South Zone at Andhra University for Two days for Local Body Elections-2026</t>
        </is>
      </c>
    </row>
    <row r="4">
      <c r="A4" s="4" t="inlineStr">
        <is>
          <t>Validate Price Bid: Rates entered by bidder must include all overheads, equipment deployment, field survey, processing &amp; software.</t>
        </is>
      </c>
    </row>
    <row r="6" ht="26" customHeight="1">
      <c r="A6" s="5" t="inlineStr">
        <is>
          <t>Item No.</t>
        </is>
      </c>
      <c r="B6" s="5" t="inlineStr">
        <is>
          <t>Item Description</t>
        </is>
      </c>
      <c r="C6" s="5" t="inlineStr">
        <is>
          <t>Quantity</t>
        </is>
      </c>
      <c r="D6" s="5" t="inlineStr">
        <is>
          <t>Units</t>
        </is>
      </c>
      <c r="E6" s="5" t="inlineStr">
        <is>
          <t>Basic Estimated Rate (INR)</t>
        </is>
      </c>
      <c r="F6" s="5" t="inlineStr">
        <is>
          <t>Basic Total Amount (INR)</t>
        </is>
      </c>
      <c r="G6" s="5" t="inlineStr">
        <is>
          <t>GST Rate (%)</t>
        </is>
      </c>
      <c r="H6" s="5" t="inlineStr">
        <is>
          <t>Total Amount with GST (INR)</t>
        </is>
      </c>
    </row>
    <row r="7" ht="28" customHeight="1">
      <c r="A7" s="6" t="inlineStr">
        <is>
          <t>1.01</t>
        </is>
      </c>
      <c r="B7" s="7" t="inlineStr">
        <is>
          <t>Establishment of DGPS Ground Control Points (GCP) network linked to Survey of India CORS network</t>
        </is>
      </c>
      <c r="C7" s="8" t="n">
        <v>45</v>
      </c>
      <c r="D7" s="6" t="inlineStr">
        <is>
          <t>Points</t>
        </is>
      </c>
      <c r="E7" s="9" t="n">
        <v>12500</v>
      </c>
      <c r="F7" s="9">
        <f>C7*E7</f>
        <v/>
      </c>
      <c r="G7" s="10" t="n">
        <v>18</v>
      </c>
      <c r="H7" s="9">
        <f>F7*(1+G7/100)</f>
        <v/>
      </c>
    </row>
    <row r="8" ht="28" customHeight="1">
      <c r="A8" s="11" t="inlineStr">
        <is>
          <t>1.02</t>
        </is>
      </c>
      <c r="B8" s="12" t="inlineStr">
        <is>
          <t>High-Resolution Drone Aerial Photogrammetric Survey (5 cm GSD, True Orthophoto in GeoTIFF/ECW format)</t>
        </is>
      </c>
      <c r="C8" s="13" t="n">
        <v>180</v>
      </c>
      <c r="D8" s="11" t="inlineStr">
        <is>
          <t>Sq. Km</t>
        </is>
      </c>
      <c r="E8" s="14" t="n">
        <v>18500</v>
      </c>
      <c r="F8" s="14">
        <f>C8*E8</f>
        <v/>
      </c>
      <c r="G8" s="15" t="n">
        <v>18</v>
      </c>
      <c r="H8" s="14">
        <f>F8*(1+G8/100)</f>
        <v/>
      </c>
    </row>
    <row r="9" ht="28" customHeight="1">
      <c r="A9" s="6" t="inlineStr">
        <is>
          <t>1.03</t>
        </is>
      </c>
      <c r="B9" s="7" t="inlineStr">
        <is>
          <t>3D Digital Surface Model (DSM) &amp; Digital Terrain Model (DTM) extraction with 0.5m contour interval</t>
        </is>
      </c>
      <c r="C9" s="8" t="n">
        <v>180</v>
      </c>
      <c r="D9" s="6" t="inlineStr">
        <is>
          <t>Sq. Km</t>
        </is>
      </c>
      <c r="E9" s="9" t="n">
        <v>8000</v>
      </c>
      <c r="F9" s="9">
        <f>C9*E9</f>
        <v/>
      </c>
      <c r="G9" s="10" t="n">
        <v>18</v>
      </c>
      <c r="H9" s="9">
        <f>F9*(1+G9/100)</f>
        <v/>
      </c>
    </row>
    <row r="10" ht="28" customHeight="1">
      <c r="A10" s="11" t="inlineStr">
        <is>
          <t>1.04</t>
        </is>
      </c>
      <c r="B10" s="12" t="inlineStr">
        <is>
          <t>Base Map Vectorization &amp; Building Footprint Digitization with rooftop material and floor classification</t>
        </is>
      </c>
      <c r="C10" s="13" t="n">
        <v>125000</v>
      </c>
      <c r="D10" s="11" t="inlineStr">
        <is>
          <t>Properties</t>
        </is>
      </c>
      <c r="E10" s="14" t="n">
        <v>45</v>
      </c>
      <c r="F10" s="14">
        <f>C10*E10</f>
        <v/>
      </c>
      <c r="G10" s="15" t="n">
        <v>18</v>
      </c>
      <c r="H10" s="14">
        <f>F10*(1+G10/100)</f>
        <v/>
      </c>
    </row>
    <row r="11" ht="28" customHeight="1">
      <c r="A11" s="6" t="inlineStr">
        <is>
          <t>1.05</t>
        </is>
      </c>
      <c r="B11" s="7" t="inlineStr">
        <is>
          <t>100% Door-to-Door Field Property Geospatial Assessment &amp; Socio-economic Geo-tagging via Mobile GIS App</t>
        </is>
      </c>
      <c r="C11" s="8" t="n">
        <v>125000</v>
      </c>
      <c r="D11" s="6" t="inlineStr">
        <is>
          <t>Properties</t>
        </is>
      </c>
      <c r="E11" s="9" t="n">
        <v>115</v>
      </c>
      <c r="F11" s="9">
        <f>C11*E11</f>
        <v/>
      </c>
      <c r="G11" s="10" t="n">
        <v>18</v>
      </c>
      <c r="H11" s="9">
        <f>F11*(1+G11/100)</f>
        <v/>
      </c>
    </row>
    <row r="12" ht="28" customHeight="1">
      <c r="A12" s="11" t="inlineStr">
        <is>
          <t>1.06</t>
        </is>
      </c>
      <c r="B12" s="12" t="inlineStr">
        <is>
          <t>Unique Property Identification Number (UPIN / BUID) QR-Code Plate Generation &amp; Field Fixing</t>
        </is>
      </c>
      <c r="C12" s="13" t="n">
        <v>125000</v>
      </c>
      <c r="D12" s="11" t="inlineStr">
        <is>
          <t>Units</t>
        </is>
      </c>
      <c r="E12" s="14" t="n">
        <v>38</v>
      </c>
      <c r="F12" s="14">
        <f>C12*E12</f>
        <v/>
      </c>
      <c r="G12" s="15" t="n">
        <v>18</v>
      </c>
      <c r="H12" s="14">
        <f>F12*(1+G12/100)</f>
        <v/>
      </c>
    </row>
    <row r="13" ht="28" customHeight="1">
      <c r="A13" s="6" t="inlineStr">
        <is>
          <t>1.07</t>
        </is>
      </c>
      <c r="B13" s="7" t="inlineStr">
        <is>
          <t>Integration of Spatial Geodatabase with Municipal CDMA / Revenue Billing Software &amp; Tax Demand Registers</t>
        </is>
      </c>
      <c r="C13" s="8" t="n">
        <v>1</v>
      </c>
      <c r="D13" s="6" t="inlineStr">
        <is>
          <t>Lump-sum</t>
        </is>
      </c>
      <c r="E13" s="9" t="n">
        <v>2850000</v>
      </c>
      <c r="F13" s="9">
        <f>C13*E13</f>
        <v/>
      </c>
      <c r="G13" s="10" t="n">
        <v>18</v>
      </c>
      <c r="H13" s="9">
        <f>F13*(1+G13/100)</f>
        <v/>
      </c>
    </row>
    <row r="14" ht="28" customHeight="1">
      <c r="A14" s="11" t="inlineStr">
        <is>
          <t>1.08</t>
        </is>
      </c>
      <c r="B14" s="12" t="inlineStr">
        <is>
          <t>Enterprise Web GIS Public Portal &amp; Municipal Administrative Dashboard Development (PostgreSQL/PostGIS, GeoServer)</t>
        </is>
      </c>
      <c r="C14" s="13" t="n">
        <v>1</v>
      </c>
      <c r="D14" s="11" t="inlineStr">
        <is>
          <t>System</t>
        </is>
      </c>
      <c r="E14" s="14" t="n">
        <v>3600000</v>
      </c>
      <c r="F14" s="14">
        <f>C14*E14</f>
        <v/>
      </c>
      <c r="G14" s="15" t="n">
        <v>18</v>
      </c>
      <c r="H14" s="14">
        <f>F14*(1+G14/100)</f>
        <v/>
      </c>
    </row>
    <row r="15" ht="28" customHeight="1">
      <c r="A15" s="6" t="inlineStr">
        <is>
          <t>1.09</t>
        </is>
      </c>
      <c r="B15" s="7" t="inlineStr">
        <is>
          <t>Comprehensive 3-Year On-site Technical Operations, Software Maintenance &amp; Field Updates (FMS)</t>
        </is>
      </c>
      <c r="C15" s="8" t="n">
        <v>36</v>
      </c>
      <c r="D15" s="6" t="inlineStr">
        <is>
          <t>Months</t>
        </is>
      </c>
      <c r="E15" s="9" t="n">
        <v>125000</v>
      </c>
      <c r="F15" s="9">
        <f>C15*E15</f>
        <v/>
      </c>
      <c r="G15" s="10" t="n">
        <v>18</v>
      </c>
      <c r="H15" s="9">
        <f>F15*(1+G15/100)</f>
        <v/>
      </c>
    </row>
    <row r="16" ht="24" customHeight="1">
      <c r="A16" s="16" t="inlineStr">
        <is>
          <t>SUB-TOTAL BASIC CONTRACT VALUE (INR)</t>
        </is>
      </c>
      <c r="B16" s="17" t="n"/>
      <c r="C16" s="17" t="n"/>
      <c r="D16" s="17" t="n"/>
      <c r="E16" s="17" t="n"/>
      <c r="F16" s="18">
        <f>SUM(F7:F15)</f>
        <v/>
      </c>
      <c r="G16" s="17" t="n"/>
      <c r="H16" s="17" t="n"/>
    </row>
    <row r="17" ht="24" customHeight="1">
      <c r="A17" s="16" t="inlineStr">
        <is>
          <t>APPLICABLE GOODS &amp; SERVICES TAX (GST @ 18%) (INR)</t>
        </is>
      </c>
      <c r="B17" s="17" t="n"/>
      <c r="C17" s="17" t="n"/>
      <c r="D17" s="17" t="n"/>
      <c r="E17" s="17" t="n"/>
      <c r="F17" s="18">
        <f>F16*0.18</f>
        <v/>
      </c>
      <c r="G17" s="17" t="n"/>
      <c r="H17" s="17" t="n"/>
    </row>
    <row r="18" ht="28" customHeight="1">
      <c r="A18" s="19" t="inlineStr">
        <is>
          <t>TOTAL ESTIMATED TENDER VALUE INCLUSIVE OF ALL TAXES (INR)</t>
        </is>
      </c>
      <c r="B18" s="20" t="n"/>
      <c r="C18" s="20" t="n"/>
      <c r="D18" s="20" t="n"/>
      <c r="E18" s="20" t="n"/>
      <c r="F18" s="21">
        <f>F16+F17</f>
        <v/>
      </c>
      <c r="G18" s="20" t="n"/>
      <c r="H18" s="21">
        <f>F18</f>
        <v/>
      </c>
    </row>
  </sheetData>
  <mergeCells count="7">
    <mergeCell ref="A4:H4"/>
    <mergeCell ref="A3:H3"/>
    <mergeCell ref="A16:E16"/>
    <mergeCell ref="A2:H2"/>
    <mergeCell ref="A1:H1"/>
    <mergeCell ref="A17:E17"/>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65" customWidth="1" min="2" max="2"/>
    <col width="18" customWidth="1" min="3" max="3"/>
    <col width="20" customWidth="1" min="4" max="4"/>
    <col width="20" customWidth="1" min="5" max="5"/>
  </cols>
  <sheetData>
    <row r="1">
      <c r="A1" s="22" t="inlineStr">
        <is>
          <t>PROJECT DELIVERABLE MILESTONES &amp; DISBURSEMENT PERCENTAGES</t>
        </is>
      </c>
    </row>
    <row r="3">
      <c r="A3" s="23" t="inlineStr">
        <is>
          <t>Milestone</t>
        </is>
      </c>
      <c r="B3" s="23" t="inlineStr">
        <is>
          <t>Deliverable Scope</t>
        </is>
      </c>
      <c r="C3" s="23" t="inlineStr">
        <is>
          <t>Timeline</t>
        </is>
      </c>
      <c r="D3" s="23" t="inlineStr">
        <is>
          <t>Payment Share (%)</t>
        </is>
      </c>
      <c r="E3" s="23" t="inlineStr">
        <is>
          <t>Cumulative (%)</t>
        </is>
      </c>
    </row>
    <row r="4">
      <c r="A4" s="24" t="inlineStr">
        <is>
          <t>M-1</t>
        </is>
      </c>
      <c r="B4" s="25" t="inlineStr">
        <is>
          <t>Inception Report, Project Quality Plan &amp; Statutory Clearances</t>
        </is>
      </c>
      <c r="C4" s="24" t="inlineStr">
        <is>
          <t>T0 + 30 Days</t>
        </is>
      </c>
      <c r="D4" s="26" t="n">
        <v>10</v>
      </c>
      <c r="E4" s="26" t="n">
        <v>10</v>
      </c>
    </row>
    <row r="5">
      <c r="A5" s="24" t="inlineStr">
        <is>
          <t>M-2</t>
        </is>
      </c>
      <c r="B5" s="25" t="inlineStr">
        <is>
          <t>DGPS Ground Control Network, Flight Survey &amp; Raw Sensor Verification</t>
        </is>
      </c>
      <c r="C5" s="24" t="inlineStr">
        <is>
          <t>T0 + 90 Days</t>
        </is>
      </c>
      <c r="D5" s="26" t="n">
        <v>20</v>
      </c>
      <c r="E5" s="26" t="n">
        <v>30</v>
      </c>
    </row>
    <row r="6">
      <c r="A6" s="24" t="inlineStr">
        <is>
          <t>M-3</t>
        </is>
      </c>
      <c r="B6" s="25" t="inlineStr">
        <is>
          <t>Ortho-mosaic Processing, Feature Extraction &amp; 50% Field Verification</t>
        </is>
      </c>
      <c r="C6" s="24" t="inlineStr">
        <is>
          <t>T0 + 180 Days</t>
        </is>
      </c>
      <c r="D6" s="26" t="n">
        <v>25</v>
      </c>
      <c r="E6" s="26" t="n">
        <v>55</v>
      </c>
    </row>
    <row r="7">
      <c r="A7" s="24" t="inlineStr">
        <is>
          <t>M-4</t>
        </is>
      </c>
      <c r="B7" s="25" t="inlineStr">
        <is>
          <t>100% Survey Completion, UPIN Geo-tagging &amp; Database Validation</t>
        </is>
      </c>
      <c r="C7" s="24" t="inlineStr">
        <is>
          <t>T0 + 270 Days</t>
        </is>
      </c>
      <c r="D7" s="26" t="n">
        <v>25</v>
      </c>
      <c r="E7" s="26" t="n">
        <v>80</v>
      </c>
    </row>
    <row r="8">
      <c r="A8" s="24" t="inlineStr">
        <is>
          <t>M-5</t>
        </is>
      </c>
      <c r="B8" s="25" t="inlineStr">
        <is>
          <t>Web GIS Portal Deployment, User Acceptance Testing (UAT) &amp; Training</t>
        </is>
      </c>
      <c r="C8" s="24" t="inlineStr">
        <is>
          <t>T0 + 330 Days</t>
        </is>
      </c>
      <c r="D8" s="26" t="n">
        <v>10</v>
      </c>
      <c r="E8" s="26" t="n">
        <v>90</v>
      </c>
    </row>
    <row r="9">
      <c r="A9" s="24" t="inlineStr">
        <is>
          <t>M-6</t>
        </is>
      </c>
      <c r="B9" s="25" t="inlineStr">
        <is>
          <t>Final Handover Sign-off &amp; Commencement of AMC / Operations</t>
        </is>
      </c>
      <c r="C9" s="24" t="inlineStr">
        <is>
          <t>T0 + 365 Days</t>
        </is>
      </c>
      <c r="D9" s="26" t="n">
        <v>10</v>
      </c>
      <c r="E9" s="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22" t="inlineStr">
        <is>
          <t>STATUTORY UNDERTAKING BY COMMERCIAL BIDDER</t>
        </is>
      </c>
    </row>
    <row r="2">
      <c r="A2" t="inlineStr"/>
    </row>
    <row r="3">
      <c r="A3" t="inlineStr">
        <is>
          <t>1. We confirm that the rates quoted above in the Item Rate BoQ are complete and inclusive of all taxes,</t>
        </is>
      </c>
    </row>
    <row r="4">
      <c r="A4" t="inlineStr">
        <is>
          <t xml:space="preserve">   duties, levies, transportation, insurance, survey sensor equipment, software licenses, and field manpower.</t>
        </is>
      </c>
    </row>
    <row r="5">
      <c r="A5" t="inlineStr">
        <is>
          <t>2. The financial proposal shall remain valid for 180 calendar days from the date of technical bid opening.</t>
        </is>
      </c>
    </row>
    <row r="6">
      <c r="A6" t="inlineStr">
        <is>
          <t>3. We understand that mathematical formulas in the official Excel BOQ are automated and verify all calculations.</t>
        </is>
      </c>
    </row>
    <row r="7">
      <c r="A7" t="inlineStr">
        <is>
          <t>4. In case of any mathematical discrepancy between unit rates and total amount, unit rates shall prevail.</t>
        </is>
      </c>
    </row>
    <row r="8">
      <c r="A8" t="inlineStr"/>
    </row>
    <row r="9">
      <c r="A9" t="inlineStr">
        <is>
          <t>Name of Authorized Signatory: ________________________________________________</t>
        </is>
      </c>
    </row>
    <row r="10">
      <c r="A10" t="inlineStr">
        <is>
          <t>Designation: _______________________________________________________________</t>
        </is>
      </c>
    </row>
    <row r="11">
      <c r="A11" t="inlineStr">
        <is>
          <t>Company Seal &amp; Digital Signature: ___________________________________________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2026-10-21T13:23:21Z</dcterms:created>
  <dcterms:modified xmlns:dcterms="http://purl.org/dc/terms/" xmlns:xsi="http://www.w3.org/2001/XMLSchema-instance" xsi:type="dcterms:W3CDTF">2026-10-21T13:23:21Z</dcterms:modified>
</cp:coreProperties>
</file>