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Backup east\east backup\2026-27\54(2026-27)\item no .08\Item No 3\"/>
    </mc:Choice>
  </mc:AlternateContent>
  <xr:revisionPtr revIDLastSave="0" documentId="13_ncr:1_{670F0A22-8C73-41B9-9D94-1781859DB9E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6" i="1"/>
  <c r="H5" i="1"/>
  <c r="H3" i="1"/>
  <c r="H11" i="1" s="1"/>
  <c r="C2" i="1"/>
  <c r="D2" i="1" s="1"/>
  <c r="H7" i="1" l="1"/>
  <c r="H9" i="1" l="1"/>
  <c r="H10" i="1" s="1"/>
  <c r="H12" i="1" l="1"/>
  <c r="H13" i="1" s="1"/>
</calcChain>
</file>

<file path=xl/sharedStrings.xml><?xml version="1.0" encoding="utf-8"?>
<sst xmlns="http://schemas.openxmlformats.org/spreadsheetml/2006/main" count="20" uniqueCount="20">
  <si>
    <t>Estimate Quantity (only Figures)</t>
  </si>
  <si>
    <t>Item Detailed 
Specification Description</t>
  </si>
  <si>
    <t>Item Short Description 
( upto 100 Characters)</t>
  </si>
  <si>
    <t>APSS / Morth Cl. Number 
( upto 200 Characters)</t>
  </si>
  <si>
    <t>Work Type 
eg. Earth Work, Electrical works.. etc
( upto 200 Characters)</t>
  </si>
  <si>
    <t>Rate (INR) 
( Upto 2 Decimals )</t>
  </si>
  <si>
    <t>UOM
( upto 50 Characters)</t>
  </si>
  <si>
    <t>Amount (INR) 
( Upto 2 Decimals )</t>
  </si>
  <si>
    <t>As per Tender Process</t>
  </si>
  <si>
    <t>ECV</t>
  </si>
  <si>
    <t>Provision for Seignorage charges</t>
  </si>
  <si>
    <t>Provision Towards merit 2%</t>
  </si>
  <si>
    <t>Provision Towards DMF 30%</t>
  </si>
  <si>
    <t>Provision for NAC @ 0.10%</t>
  </si>
  <si>
    <t>Provision for GST @ 18%</t>
  </si>
  <si>
    <t>Provision for TPQA @ 0.739 %</t>
  </si>
  <si>
    <t>Unforeseen  item</t>
  </si>
  <si>
    <t xml:space="preserve">Total </t>
  </si>
  <si>
    <t>Kg</t>
  </si>
  <si>
    <t>Supply and delivery of Ferric Alum in naked slab form, conforming to required quality standards, with Alumina (Al2O3) content of 15% to 16%, insoluble matter not exceeding 0.5%, and iron content ranging from 0.50% to 0.70% (as Fe). The material shall be of approved quality, free from deleterious impurities, and suitable for use in water  treatment applications. The scope includes cost of material, conveyance from approved source to site, loading, unloading, stacking at designated locations, and proper handling, ensuring the material is delivered in good condition. The work includes all materials, labour, transportation, handling, and incidental charges, complete in all respects, as directed by the Departmental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</si>
</sst>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Verdana"/>
      <family val="2"/>
      <charset val="1"/>
    </font>
    <font>
      <sz val="11"/>
      <name val="Calibri"/>
    </font>
    <font>
      <b/>
      <sz val="11"/>
      <name val="Calibri"/>
    </font>
    <font>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4" fillId="0" borderId="1" xfId="0" applyFont="1" applyBorder="1"/>
    <xf numFmtId="2" fontId="4" fillId="0" borderId="1" xfId="0" applyNumberFormat="1" applyFont="1" applyBorder="1"/>
    <xf numFmtId="0" fontId="4" fillId="0" borderId="0" xfId="0" applyFont="1" applyAlignment="1">
      <alignment horizontal="center" wrapText="1"/>
    </xf>
    <xf numFmtId="2" fontId="2"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workbookViewId="0">
      <selection activeCell="H16" sqref="H16"/>
    </sheetView>
  </sheetViews>
  <sheetFormatPr defaultRowHeight="15"/>
  <cols>
    <col min="1" max="1" width="21.28515625" customWidth="1"/>
    <col min="2" max="2" width="62" customWidth="1"/>
    <col min="3" max="3" width="32.28515625" customWidth="1"/>
    <col min="4" max="4" width="35.5703125" customWidth="1"/>
    <col min="5" max="5" width="27.7109375" customWidth="1"/>
    <col min="6" max="6" width="18.5703125" customWidth="1"/>
    <col min="7" max="7" width="15.85546875" customWidth="1"/>
    <col min="8" max="8" width="21" customWidth="1"/>
    <col min="9" max="9" width="19.42578125" customWidth="1"/>
    <col min="10" max="10" width="9.140625" customWidth="1"/>
  </cols>
  <sheetData>
    <row r="1" spans="1:8" ht="69" customHeight="1">
      <c r="A1" s="1" t="s">
        <v>0</v>
      </c>
      <c r="B1" s="1" t="s">
        <v>1</v>
      </c>
      <c r="C1" s="1" t="s">
        <v>2</v>
      </c>
      <c r="D1" s="1" t="s">
        <v>3</v>
      </c>
      <c r="E1" s="1" t="s">
        <v>4</v>
      </c>
      <c r="F1" s="1" t="s">
        <v>5</v>
      </c>
      <c r="G1" s="1" t="s">
        <v>6</v>
      </c>
      <c r="H1" s="1" t="s">
        <v>7</v>
      </c>
    </row>
    <row r="2" spans="1:8" ht="180">
      <c r="A2" s="5">
        <v>33600</v>
      </c>
      <c r="B2" s="6" t="s">
        <v>19</v>
      </c>
      <c r="C2" s="6" t="str">
        <f t="shared" ref="C2" si="0">LEFT(B2,95)</f>
        <v>Supply and delivery of Ferric Alum in naked slab form, conforming to required quality standards</v>
      </c>
      <c r="D2" s="6" t="str">
        <f t="shared" ref="D2" si="1">C2</f>
        <v>Supply and delivery of Ferric Alum in naked slab form, conforming to required quality standards</v>
      </c>
      <c r="E2" s="7" t="s">
        <v>8</v>
      </c>
      <c r="F2" s="7">
        <v>25</v>
      </c>
      <c r="G2" s="7" t="s">
        <v>18</v>
      </c>
      <c r="H2" s="5">
        <f>ROUND(F2*A2,0)</f>
        <v>840000</v>
      </c>
    </row>
    <row r="3" spans="1:8">
      <c r="A3" s="8"/>
      <c r="B3" s="8"/>
      <c r="C3" s="8"/>
      <c r="D3" s="8"/>
      <c r="E3" s="8"/>
      <c r="F3" s="8"/>
      <c r="G3" s="9" t="s">
        <v>9</v>
      </c>
      <c r="H3" s="9">
        <f>SUM(H2:H2)</f>
        <v>840000</v>
      </c>
    </row>
    <row r="4" spans="1:8">
      <c r="A4" s="2"/>
      <c r="B4" s="2" t="s">
        <v>10</v>
      </c>
      <c r="C4" s="2"/>
      <c r="D4" s="2"/>
      <c r="E4" s="2"/>
      <c r="F4" s="2"/>
      <c r="G4" s="2"/>
      <c r="H4" s="3">
        <v>0</v>
      </c>
    </row>
    <row r="5" spans="1:8">
      <c r="A5" s="2"/>
      <c r="B5" s="2" t="s">
        <v>11</v>
      </c>
      <c r="C5" s="2"/>
      <c r="D5" s="2"/>
      <c r="E5" s="2"/>
      <c r="F5" s="2"/>
      <c r="G5" s="2"/>
      <c r="H5" s="3">
        <f>H4*2%</f>
        <v>0</v>
      </c>
    </row>
    <row r="6" spans="1:8">
      <c r="A6" s="2"/>
      <c r="B6" s="2" t="s">
        <v>12</v>
      </c>
      <c r="C6" s="2"/>
      <c r="D6" s="2"/>
      <c r="E6" s="2"/>
      <c r="F6" s="2"/>
      <c r="G6" s="2"/>
      <c r="H6" s="3">
        <f>H4*30%</f>
        <v>0</v>
      </c>
    </row>
    <row r="7" spans="1:8">
      <c r="A7" s="2"/>
      <c r="B7" s="2"/>
      <c r="C7" s="2"/>
      <c r="D7" s="2"/>
      <c r="E7" s="2"/>
      <c r="F7" s="2"/>
      <c r="G7" s="2"/>
      <c r="H7" s="3">
        <f>SUM(H3:H6)</f>
        <v>840000</v>
      </c>
    </row>
    <row r="8" spans="1:8">
      <c r="A8" s="2"/>
      <c r="B8" s="2" t="s">
        <v>13</v>
      </c>
      <c r="C8" s="2"/>
      <c r="D8" s="2"/>
      <c r="E8" s="2"/>
      <c r="F8" s="2"/>
      <c r="G8" s="2"/>
      <c r="H8" s="3">
        <v>840</v>
      </c>
    </row>
    <row r="9" spans="1:8">
      <c r="A9" s="2"/>
      <c r="B9" s="2"/>
      <c r="C9" s="2"/>
      <c r="D9" s="2"/>
      <c r="E9" s="2"/>
      <c r="F9" s="2"/>
      <c r="G9" s="2"/>
      <c r="H9" s="3">
        <f>SUM(H7:H8)</f>
        <v>840840</v>
      </c>
    </row>
    <row r="10" spans="1:8">
      <c r="A10" s="2"/>
      <c r="B10" s="2" t="s">
        <v>14</v>
      </c>
      <c r="C10" s="2"/>
      <c r="D10" s="2"/>
      <c r="E10" s="2"/>
      <c r="F10" s="2"/>
      <c r="G10" s="2"/>
      <c r="H10" s="3">
        <f>H9*18%</f>
        <v>151351.19999999998</v>
      </c>
    </row>
    <row r="11" spans="1:8">
      <c r="A11" s="2"/>
      <c r="B11" s="2" t="s">
        <v>15</v>
      </c>
      <c r="C11" s="2"/>
      <c r="D11" s="2"/>
      <c r="E11" s="2"/>
      <c r="F11" s="2"/>
      <c r="G11" s="2"/>
      <c r="H11" s="3">
        <f>H3*0.739%*0</f>
        <v>0</v>
      </c>
    </row>
    <row r="12" spans="1:8">
      <c r="A12" s="2"/>
      <c r="B12" s="2"/>
      <c r="C12" s="2"/>
      <c r="D12" s="2"/>
      <c r="E12" s="2"/>
      <c r="F12" s="2"/>
      <c r="G12" s="2"/>
      <c r="H12" s="3">
        <f>SUM(H9:H11)</f>
        <v>992191.2</v>
      </c>
    </row>
    <row r="13" spans="1:8">
      <c r="A13" s="2"/>
      <c r="B13" s="2" t="s">
        <v>16</v>
      </c>
      <c r="C13" s="2"/>
      <c r="D13" s="2"/>
      <c r="E13" s="2"/>
      <c r="F13" s="2"/>
      <c r="G13" s="2"/>
      <c r="H13" s="3">
        <f>H14-H12</f>
        <v>2808.8000000000466</v>
      </c>
    </row>
    <row r="14" spans="1:8">
      <c r="A14" s="2"/>
      <c r="B14" s="2"/>
      <c r="C14" s="2"/>
      <c r="D14" s="2"/>
      <c r="E14" s="2"/>
      <c r="F14" s="2" t="s">
        <v>17</v>
      </c>
      <c r="G14" s="2"/>
      <c r="H14" s="3">
        <v>995000</v>
      </c>
    </row>
    <row r="17" spans="6:6">
      <c r="F17"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2026-07-13T05:30:28Z</dcterms:created>
  <dcterms:modified xsi:type="dcterms:W3CDTF">2026-10-23T05:02:07Z</dcterms:modified>
</cp:coreProperties>
</file>