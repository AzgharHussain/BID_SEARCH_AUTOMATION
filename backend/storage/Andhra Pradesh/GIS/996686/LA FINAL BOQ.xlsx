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P BO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name val="Arial"/>
      <b val="1"/>
      <color rgb="000F2042"/>
      <sz val="13"/>
    </font>
    <font>
      <name val="Arial"/>
      <b val="1"/>
      <color rgb="00253858"/>
      <sz val="9"/>
    </font>
    <font>
      <name val="Arial"/>
      <b val="1"/>
      <color rgb="00FFFFFF"/>
      <sz val="9"/>
    </font>
    <font>
      <name val="Arial"/>
      <color rgb="00172B4D"/>
      <sz val="8.5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2042"/>
        <bgColor rgb="000F2042"/>
      </patternFill>
    </fill>
    <fill>
      <patternFill patternType="solid">
        <fgColor rgb="00F4F7FB"/>
        <bgColor rgb="00F4F7FB"/>
      </patternFill>
    </fill>
    <fill>
      <patternFill patternType="solid">
        <fgColor rgb="00FFE380"/>
        <bgColor rgb="00FFE380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4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4" fontId="4" fillId="3" borderId="1" pivotButton="0" quotePrefix="0" xfId="0"/>
    <xf numFmtId="0" fontId="5" fillId="4" borderId="1" applyAlignment="1" pivotButton="0" quotePrefix="0" xfId="0">
      <alignment horizontal="right"/>
    </xf>
    <xf numFmtId="0" fontId="0" fillId="0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2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GOVERNMENT OF ANDHRA PRADESH — AMARAVATI LEGISLATIVE ASSEMBLY BUILDING</t>
        </is>
      </c>
    </row>
    <row r="2">
      <c r="A2" s="2" t="inlineStr">
        <is>
          <t>BILL OF QUANTITIES (BOQ) — ELECTRICAL, HVAC, FIRE FIGHTING, LIFTS, ELV &amp; PLUMBING PACKAGE</t>
        </is>
      </c>
    </row>
    <row r="3">
      <c r="A3" s="2" t="inlineStr">
        <is>
          <t>Tender ID: 996686  |  Notice Ref: 21/MD/CE(ELE)AGICL/2026, Dt.28.09.2026  |  ECV: Rs. 3,37,90,33,865/-</t>
        </is>
      </c>
    </row>
    <row r="5">
      <c r="A5" s="3" t="inlineStr">
        <is>
          <t>Item No.</t>
        </is>
      </c>
      <c r="B5" s="3" t="inlineStr">
        <is>
          <t>Item Description</t>
        </is>
      </c>
      <c r="C5" s="3" t="inlineStr">
        <is>
          <t>Quantity</t>
        </is>
      </c>
      <c r="D5" s="3" t="inlineStr">
        <is>
          <t>Units</t>
        </is>
      </c>
      <c r="E5" s="3" t="inlineStr">
        <is>
          <t>Estimated Rate (INR)</t>
        </is>
      </c>
      <c r="F5" s="3" t="inlineStr">
        <is>
          <t>Total Amount (INR)</t>
        </is>
      </c>
    </row>
    <row r="6">
      <c r="A6" s="4" t="inlineStr">
        <is>
          <t>1.01</t>
        </is>
      </c>
      <c r="B6" s="5" t="inlineStr">
        <is>
          <t>Water Cooled Centrifugal Chiller Units (1200 TR each, Eco-refrigerant R1233zd, VFD drive)</t>
        </is>
      </c>
      <c r="C6" s="6" t="n">
        <v>4</v>
      </c>
      <c r="D6" s="4" t="inlineStr">
        <is>
          <t>Sets</t>
        </is>
      </c>
      <c r="E6" s="7" t="n">
        <v>145000000</v>
      </c>
      <c r="F6" s="7" t="n">
        <v>580000000</v>
      </c>
    </row>
    <row r="7">
      <c r="A7" s="8" t="inlineStr">
        <is>
          <t>1.02</t>
        </is>
      </c>
      <c r="B7" s="9" t="inlineStr">
        <is>
          <t>Cross-Flow Induced Draft FRP Cooling Towers (1500 TR capacity, low-noise VFD fans)</t>
        </is>
      </c>
      <c r="C7" s="10" t="n">
        <v>4</v>
      </c>
      <c r="D7" s="8" t="inlineStr">
        <is>
          <t>Nos</t>
        </is>
      </c>
      <c r="E7" s="11" t="n">
        <v>35000000</v>
      </c>
      <c r="F7" s="11" t="n">
        <v>140000000</v>
      </c>
    </row>
    <row r="8">
      <c r="A8" s="4" t="inlineStr">
        <is>
          <t>1.03</t>
        </is>
      </c>
      <c r="B8" s="5" t="inlineStr">
        <is>
          <t>Primary &amp; Secondary Chilled Water End-Suction Pumps (1800 GPM, 45m head, IE4 motor)</t>
        </is>
      </c>
      <c r="C8" s="6" t="n">
        <v>8</v>
      </c>
      <c r="D8" s="4" t="inlineStr">
        <is>
          <t>Sets</t>
        </is>
      </c>
      <c r="E8" s="7" t="n">
        <v>22500000</v>
      </c>
      <c r="F8" s="7" t="n">
        <v>180000000</v>
      </c>
    </row>
    <row r="9">
      <c r="A9" s="8" t="inlineStr">
        <is>
          <t>1.04</t>
        </is>
      </c>
      <c r="B9" s="9" t="inlineStr">
        <is>
          <t>Double-Skin Floor Mounted Air Handling Units (AHUs 5,000 to 25,000 CFM, EC Plug Fans)</t>
        </is>
      </c>
      <c r="C9" s="10" t="n">
        <v>52</v>
      </c>
      <c r="D9" s="8" t="inlineStr">
        <is>
          <t>Nos</t>
        </is>
      </c>
      <c r="E9" s="11" t="n">
        <v>1850000</v>
      </c>
      <c r="F9" s="11" t="n">
        <v>96200000</v>
      </c>
    </row>
    <row r="10">
      <c r="A10" s="4" t="inlineStr">
        <is>
          <t>1.05</t>
        </is>
      </c>
      <c r="B10" s="5" t="inlineStr">
        <is>
          <t>Factory Fabricated GI Ductwork with Class O Nitrile Rubber Thermal Insulation</t>
        </is>
      </c>
      <c r="C10" s="6" t="n">
        <v>85000</v>
      </c>
      <c r="D10" s="4" t="inlineStr">
        <is>
          <t>Sqm</t>
        </is>
      </c>
      <c r="E10" s="7" t="n">
        <v>2200</v>
      </c>
      <c r="F10" s="7" t="n">
        <v>187000000</v>
      </c>
    </row>
    <row r="11">
      <c r="A11" s="8" t="inlineStr">
        <is>
          <t>1.06</t>
        </is>
      </c>
      <c r="B11" s="9" t="inlineStr">
        <is>
          <t>Heavy Duty MS Heavy-Gauge Chilled Water Piping (150mm to 450mm dia with PUF insulation)</t>
        </is>
      </c>
      <c r="C11" s="10" t="n">
        <v>12000</v>
      </c>
      <c r="D11" s="8" t="inlineStr">
        <is>
          <t>Rmt</t>
        </is>
      </c>
      <c r="E11" s="11" t="n">
        <v>12500</v>
      </c>
      <c r="F11" s="11" t="n">
        <v>150000000</v>
      </c>
    </row>
    <row r="12">
      <c r="A12" s="4" t="inlineStr">
        <is>
          <t>2.01</t>
        </is>
      </c>
      <c r="B12" s="5" t="inlineStr">
        <is>
          <t>11kV/433V 2500 kVA Dry Type Cast Resin Transformers with Off-Circuit Tap Changer</t>
        </is>
      </c>
      <c r="C12" s="6" t="n">
        <v>4</v>
      </c>
      <c r="D12" s="4" t="inlineStr">
        <is>
          <t>Nos</t>
        </is>
      </c>
      <c r="E12" s="7" t="n">
        <v>9500000</v>
      </c>
      <c r="F12" s="7" t="n">
        <v>38000000</v>
      </c>
    </row>
    <row r="13">
      <c r="A13" s="8" t="inlineStr">
        <is>
          <t>2.02</t>
        </is>
      </c>
      <c r="B13" s="9" t="inlineStr">
        <is>
          <t>11kV Indoor Vacuum Circuit Breaker (VCB) HT Switchgear Panel (1250A, 25kA for 3 sec)</t>
        </is>
      </c>
      <c r="C13" s="10" t="n">
        <v>12</v>
      </c>
      <c r="D13" s="8" t="inlineStr">
        <is>
          <t>Panels</t>
        </is>
      </c>
      <c r="E13" s="11" t="n">
        <v>4200000</v>
      </c>
      <c r="F13" s="11" t="n">
        <v>50400000</v>
      </c>
    </row>
    <row r="14">
      <c r="A14" s="4" t="inlineStr">
        <is>
          <t>2.03</t>
        </is>
      </c>
      <c r="B14" s="5" t="inlineStr">
        <is>
          <t>Main LT Power Distribution Switchboard with Form 4b Separation &amp; ACB incomers (4000A)</t>
        </is>
      </c>
      <c r="C14" s="6" t="n">
        <v>6</v>
      </c>
      <c r="D14" s="4" t="inlineStr">
        <is>
          <t>Sets</t>
        </is>
      </c>
      <c r="E14" s="7" t="n">
        <v>18500000</v>
      </c>
      <c r="F14" s="7" t="n">
        <v>111000000</v>
      </c>
    </row>
    <row r="15">
      <c r="A15" s="8" t="inlineStr">
        <is>
          <t>2.04</t>
        </is>
      </c>
      <c r="B15" s="9" t="inlineStr">
        <is>
          <t>Sandwich Busduct Rising Mains (3200A &amp; 2500A Copper, IP68 rated)</t>
        </is>
      </c>
      <c r="C15" s="10" t="n">
        <v>2200</v>
      </c>
      <c r="D15" s="8" t="inlineStr">
        <is>
          <t>Rmt</t>
        </is>
      </c>
      <c r="E15" s="11" t="n">
        <v>45000</v>
      </c>
      <c r="F15" s="11" t="n">
        <v>99000000</v>
      </c>
    </row>
    <row r="16">
      <c r="A16" s="4" t="inlineStr">
        <is>
          <t>2.05</t>
        </is>
      </c>
      <c r="B16" s="5" t="inlineStr">
        <is>
          <t>1.1kV Grade XLPE Insulated FRLS Copper Power Cables (240 sqmm to 400 sqmm)</t>
        </is>
      </c>
      <c r="C16" s="6" t="n">
        <v>65000</v>
      </c>
      <c r="D16" s="4" t="inlineStr">
        <is>
          <t>Rmt</t>
        </is>
      </c>
      <c r="E16" s="7" t="n">
        <v>3800</v>
      </c>
      <c r="F16" s="7" t="n">
        <v>247000000</v>
      </c>
    </row>
    <row r="17">
      <c r="A17" s="8" t="inlineStr">
        <is>
          <t>2.06</t>
        </is>
      </c>
      <c r="B17" s="9" t="inlineStr">
        <is>
          <t>Perforated GI Hot-Dip Galvanized Cable Trays with covers and supports (300mm to 600mm)</t>
        </is>
      </c>
      <c r="C17" s="10" t="n">
        <v>24000</v>
      </c>
      <c r="D17" s="8" t="inlineStr">
        <is>
          <t>Rmt</t>
        </is>
      </c>
      <c r="E17" s="11" t="n">
        <v>2400</v>
      </c>
      <c r="F17" s="11" t="n">
        <v>57600000</v>
      </c>
    </row>
    <row r="18">
      <c r="A18" s="4" t="inlineStr">
        <is>
          <t>3.01</t>
        </is>
      </c>
      <c r="B18" s="5" t="inlineStr">
        <is>
          <t>Electric Motor Driven Main Fire Hydrant Pump (2850 LPM @ 105m Head, 110 kW)</t>
        </is>
      </c>
      <c r="C18" s="6" t="n">
        <v>3</v>
      </c>
      <c r="D18" s="4" t="inlineStr">
        <is>
          <t>Sets</t>
        </is>
      </c>
      <c r="E18" s="7" t="n">
        <v>3800000</v>
      </c>
      <c r="F18" s="7" t="n">
        <v>11400000</v>
      </c>
    </row>
    <row r="19">
      <c r="A19" s="8" t="inlineStr">
        <is>
          <t>3.02</t>
        </is>
      </c>
      <c r="B19" s="9" t="inlineStr">
        <is>
          <t>Diesel Engine Driven Standby Fire Pump (2850 LPM @ 105m Head)</t>
        </is>
      </c>
      <c r="C19" s="10" t="n">
        <v>3</v>
      </c>
      <c r="D19" s="8" t="inlineStr">
        <is>
          <t>Sets</t>
        </is>
      </c>
      <c r="E19" s="11" t="n">
        <v>5200000</v>
      </c>
      <c r="F19" s="11" t="n">
        <v>15600000</v>
      </c>
    </row>
    <row r="20">
      <c r="A20" s="4" t="inlineStr">
        <is>
          <t>3.03</t>
        </is>
      </c>
      <c r="B20" s="5" t="inlineStr">
        <is>
          <t>Automatic Wet Sprinkler System Network with Quartzoid Bulb Sprinkler Heads (68 deg C)</t>
        </is>
      </c>
      <c r="C20" s="6" t="n">
        <v>18000</v>
      </c>
      <c r="D20" s="4" t="inlineStr">
        <is>
          <t>Nos</t>
        </is>
      </c>
      <c r="E20" s="7" t="n">
        <v>4500</v>
      </c>
      <c r="F20" s="7" t="n">
        <v>81000000</v>
      </c>
    </row>
    <row r="21">
      <c r="A21" s="8" t="inlineStr">
        <is>
          <t>3.04</t>
        </is>
      </c>
      <c r="B21" s="9" t="inlineStr">
        <is>
          <t>FK-5-1-12 (Novec 1230) Clean Agent Total Flooding Fire Suppression System for Server &amp; Archives</t>
        </is>
      </c>
      <c r="C21" s="10" t="n">
        <v>8</v>
      </c>
      <c r="D21" s="8" t="inlineStr">
        <is>
          <t>Systems</t>
        </is>
      </c>
      <c r="E21" s="11" t="n">
        <v>6500000</v>
      </c>
      <c r="F21" s="11" t="n">
        <v>52000000</v>
      </c>
    </row>
    <row r="22">
      <c r="A22" s="4" t="inlineStr">
        <is>
          <t>4.01</t>
        </is>
      </c>
      <c r="B22" s="5" t="inlineStr">
        <is>
          <t>Machine-Room-Less (MRL) High-Speed Gearless Passenger Elevators (24 Passenger / 2.5 m/s)</t>
        </is>
      </c>
      <c r="C22" s="6" t="n">
        <v>12</v>
      </c>
      <c r="D22" s="4" t="inlineStr">
        <is>
          <t>Nos</t>
        </is>
      </c>
      <c r="E22" s="7" t="n">
        <v>8500000</v>
      </c>
      <c r="F22" s="7" t="n">
        <v>102000000</v>
      </c>
    </row>
    <row r="23">
      <c r="A23" s="8" t="inlineStr">
        <is>
          <t>4.02</t>
        </is>
      </c>
      <c r="B23" s="9" t="inlineStr">
        <is>
          <t>Inclined Panoramic Glass Capsule Elevators with Custom VVIP Interior Finishes</t>
        </is>
      </c>
      <c r="C23" s="10" t="n">
        <v>2</v>
      </c>
      <c r="D23" s="8" t="inlineStr">
        <is>
          <t>Nos</t>
        </is>
      </c>
      <c r="E23" s="11" t="n">
        <v>18500000</v>
      </c>
      <c r="F23" s="11" t="n">
        <v>37000000</v>
      </c>
    </row>
    <row r="24">
      <c r="A24" s="4" t="inlineStr">
        <is>
          <t>5.01</t>
        </is>
      </c>
      <c r="B24" s="5" t="inlineStr">
        <is>
          <t>Category 6A F/UTP Low-Smoke Zero-Halogen (LSZH) Structured Cabling Network &amp; Racks</t>
        </is>
      </c>
      <c r="C24" s="6" t="n">
        <v>12000</v>
      </c>
      <c r="D24" s="4" t="inlineStr">
        <is>
          <t>Nodes</t>
        </is>
      </c>
      <c r="E24" s="7" t="n">
        <v>6200</v>
      </c>
      <c r="F24" s="7" t="n">
        <v>74400000</v>
      </c>
    </row>
    <row r="25">
      <c r="A25" s="8" t="inlineStr">
        <is>
          <t>5.02</t>
        </is>
      </c>
      <c r="B25" s="9" t="inlineStr">
        <is>
          <t>IP-Based High-Definition CCTV Surveillance System (4K Fixed &amp; PTZ Cameras with AI Analytics)</t>
        </is>
      </c>
      <c r="C25" s="10" t="n">
        <v>450</v>
      </c>
      <c r="D25" s="8" t="inlineStr">
        <is>
          <t>Cameras</t>
        </is>
      </c>
      <c r="E25" s="11" t="n">
        <v>55000</v>
      </c>
      <c r="F25" s="11" t="n">
        <v>24750000</v>
      </c>
    </row>
    <row r="26">
      <c r="A26" s="4" t="inlineStr">
        <is>
          <t>5.03</t>
        </is>
      </c>
      <c r="B26" s="5" t="inlineStr">
        <is>
          <t>Intelligent Addressable Fire Alarm Control Panel (FACP) &amp; Multi-Sensor Optical Smoke Detectors</t>
        </is>
      </c>
      <c r="C26" s="6" t="n">
        <v>5500</v>
      </c>
      <c r="D26" s="4" t="inlineStr">
        <is>
          <t>Points</t>
        </is>
      </c>
      <c r="E26" s="7" t="n">
        <v>4800</v>
      </c>
      <c r="F26" s="7" t="n">
        <v>26400000</v>
      </c>
    </row>
    <row r="27">
      <c r="A27" s="8" t="inlineStr">
        <is>
          <t>5.04</t>
        </is>
      </c>
      <c r="B27" s="9" t="inlineStr">
        <is>
          <t>Digital Public Address &amp; Voice Alarm (PAVA) Network with EN54-24 certified ceiling speakers</t>
        </is>
      </c>
      <c r="C27" s="10" t="n">
        <v>1800</v>
      </c>
      <c r="D27" s="8" t="inlineStr">
        <is>
          <t>Speakers</t>
        </is>
      </c>
      <c r="E27" s="11" t="n">
        <v>8500</v>
      </c>
      <c r="F27" s="11" t="n">
        <v>15300000</v>
      </c>
    </row>
    <row r="28">
      <c r="A28" s="4" t="inlineStr">
        <is>
          <t>6.01</t>
        </is>
      </c>
      <c r="B28" s="5" t="inlineStr">
        <is>
          <t>Hydro-Pneumatic Domestic &amp; Flushing Water Supply Pumping Systems with VFD Controllers</t>
        </is>
      </c>
      <c r="C28" s="6" t="n">
        <v>6</v>
      </c>
      <c r="D28" s="4" t="inlineStr">
        <is>
          <t>Sets</t>
        </is>
      </c>
      <c r="E28" s="7" t="n">
        <v>4200000</v>
      </c>
      <c r="F28" s="7" t="n">
        <v>25200000</v>
      </c>
    </row>
    <row r="29">
      <c r="A29" s="8" t="inlineStr">
        <is>
          <t>6.02</t>
        </is>
      </c>
      <c r="B29" s="9" t="inlineStr">
        <is>
          <t>Composite Balance of Plant Engineering, Testing, Commissioning, Balancing &amp; Statutory Clearances</t>
        </is>
      </c>
      <c r="C29" s="10" t="n">
        <v>1</v>
      </c>
      <c r="D29" s="8" t="inlineStr">
        <is>
          <t>Lump-sum</t>
        </is>
      </c>
      <c r="E29" s="11" t="n">
        <v>977783865</v>
      </c>
      <c r="F29" s="11" t="n">
        <v>977783865</v>
      </c>
    </row>
    <row r="30">
      <c r="A30" s="12" t="inlineStr">
        <is>
          <t>TOTAL ESTIMATED CONTRACT VALUE (ECV) INR</t>
        </is>
      </c>
      <c r="B30" s="13" t="n"/>
      <c r="C30" s="13" t="n"/>
      <c r="D30" s="13" t="n"/>
      <c r="E30" s="13" t="n"/>
      <c r="F30" s="14">
        <f>SUM(F6:F29)</f>
        <v/>
      </c>
    </row>
  </sheetData>
  <mergeCells count="4">
    <mergeCell ref="A3:F3"/>
    <mergeCell ref="A2:F2"/>
    <mergeCell ref="A1:F1"/>
    <mergeCell ref="A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2026-10-21T15:49:51Z</dcterms:created>
  <dcterms:modified xmlns:dcterms="http://purl.org/dc/terms/" xmlns:xsi="http://www.w3.org/2001/XMLSchema-instance" xsi:type="dcterms:W3CDTF">2026-10-21T15:49:51Z</dcterms:modified>
</cp:coreProperties>
</file>