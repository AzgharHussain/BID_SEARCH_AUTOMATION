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Structure &amp; Spire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"/>
  </numFmts>
  <fonts count="6">
    <font>
      <name val="Calibri"/>
      <family val="2"/>
      <color theme="1"/>
      <sz val="11"/>
      <scheme val="minor"/>
    </font>
    <font>
      <name val="Arial"/>
      <b val="1"/>
      <color rgb="000F2042"/>
      <sz val="13"/>
    </font>
    <font>
      <name val="Arial"/>
      <b val="1"/>
      <color rgb="00253858"/>
      <sz val="9"/>
    </font>
    <font>
      <name val="Arial"/>
      <b val="1"/>
      <color rgb="00FFFFFF"/>
      <sz val="9"/>
    </font>
    <font>
      <name val="Arial"/>
      <color rgb="00172B4D"/>
      <sz val="8.5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2042"/>
        <bgColor rgb="000F2042"/>
      </patternFill>
    </fill>
    <fill>
      <patternFill patternType="solid">
        <fgColor rgb="00F4F7FB"/>
        <bgColor rgb="00F4F7FB"/>
      </patternFill>
    </fill>
    <fill>
      <patternFill patternType="solid">
        <fgColor rgb="00FFE380"/>
        <bgColor rgb="00FFE380"/>
      </patternFill>
    </fill>
  </fills>
  <borders count="2">
    <border>
      <left/>
      <right/>
      <top/>
      <bottom/>
      <diagonal/>
    </border>
    <border>
      <left style="thin">
        <color rgb="00DFE1E6"/>
      </left>
      <right style="thin">
        <color rgb="00DFE1E6"/>
      </right>
      <top style="thin">
        <color rgb="00DFE1E6"/>
      </top>
      <bottom style="thin">
        <color rgb="00DFE1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4" fontId="4" fillId="0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right"/>
    </xf>
    <xf numFmtId="4" fontId="4" fillId="3" borderId="1" pivotButton="0" quotePrefix="0" xfId="0"/>
    <xf numFmtId="0" fontId="5" fillId="4" borderId="1" applyAlignment="1" pivotButton="0" quotePrefix="0" xfId="0">
      <alignment horizontal="right"/>
    </xf>
    <xf numFmtId="0" fontId="0" fillId="0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2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GOVERNMENT OF ANDHRA PRADESH — AMARAVATI LEGISLATIVE ASSEMBLY BUILDING</t>
        </is>
      </c>
    </row>
    <row r="2">
      <c r="A2" s="2" t="inlineStr">
        <is>
          <t>BILL OF QUANTITIES (BOQ) — CIVIL STRUCTURE, FORM-WORK, SPIRE &amp; WATERPROOFING</t>
        </is>
      </c>
    </row>
    <row r="3">
      <c r="A3" s="2" t="inlineStr">
        <is>
          <t>Tender ID: 999239  |  Notice Ref: 23/MD/CE-Assembly/AGICL/2026 , Dated: 28.09.2026  |  ECV: Rs. 3,62,94,39,875/-</t>
        </is>
      </c>
    </row>
    <row r="5">
      <c r="A5" s="3" t="inlineStr">
        <is>
          <t>Item No.</t>
        </is>
      </c>
      <c r="B5" s="3" t="inlineStr">
        <is>
          <t>Item Description</t>
        </is>
      </c>
      <c r="C5" s="3" t="inlineStr">
        <is>
          <t>Quantity</t>
        </is>
      </c>
      <c r="D5" s="3" t="inlineStr">
        <is>
          <t>Units</t>
        </is>
      </c>
      <c r="E5" s="3" t="inlineStr">
        <is>
          <t>Estimated Rate (INR)</t>
        </is>
      </c>
      <c r="F5" s="3" t="inlineStr">
        <is>
          <t>Total Amount (INR)</t>
        </is>
      </c>
    </row>
    <row r="6">
      <c r="A6" s="4" t="inlineStr">
        <is>
          <t>1.01</t>
        </is>
      </c>
      <c r="B6" s="5" t="inlineStr">
        <is>
          <t>Earth excavation in all soils &amp; hard rock for 3-level basement raft</t>
        </is>
      </c>
      <c r="C6" s="6" t="n">
        <v>185000</v>
      </c>
      <c r="D6" s="4" t="inlineStr">
        <is>
          <t>Cum</t>
        </is>
      </c>
      <c r="E6" s="7" t="n">
        <v>700</v>
      </c>
      <c r="F6" s="7" t="n">
        <v>129500000</v>
      </c>
    </row>
    <row r="7">
      <c r="A7" s="8" t="inlineStr">
        <is>
          <t>1.02</t>
        </is>
      </c>
      <c r="B7" s="9" t="inlineStr">
        <is>
          <t>M50 Grade RCC Raft Foundation &amp; Diaphragm Retaining Walls</t>
        </is>
      </c>
      <c r="C7" s="10" t="n">
        <v>42000</v>
      </c>
      <c r="D7" s="8" t="inlineStr">
        <is>
          <t>Cum</t>
        </is>
      </c>
      <c r="E7" s="11" t="n">
        <v>11000</v>
      </c>
      <c r="F7" s="11" t="n">
        <v>462000000</v>
      </c>
    </row>
    <row r="8">
      <c r="A8" s="4" t="inlineStr">
        <is>
          <t>1.03</t>
        </is>
      </c>
      <c r="B8" s="5" t="inlineStr">
        <is>
          <t>M60 Grade Self-Compacting Concrete for Inclined Flared Shear Walls &amp; Core</t>
        </is>
      </c>
      <c r="C8" s="6" t="n">
        <v>28500</v>
      </c>
      <c r="D8" s="4" t="inlineStr">
        <is>
          <t>Cum</t>
        </is>
      </c>
      <c r="E8" s="7" t="n">
        <v>13000</v>
      </c>
      <c r="F8" s="7" t="n">
        <v>370500000</v>
      </c>
    </row>
    <row r="9">
      <c r="A9" s="8" t="inlineStr">
        <is>
          <t>1.04</t>
        </is>
      </c>
      <c r="B9" s="9" t="inlineStr">
        <is>
          <t>Modular Fair-Finish Express Formwork System (Doka/Peri F4 surface finish)</t>
        </is>
      </c>
      <c r="C9" s="10" t="n">
        <v>120000</v>
      </c>
      <c r="D9" s="8" t="inlineStr">
        <is>
          <t>Sqm</t>
        </is>
      </c>
      <c r="E9" s="11" t="n">
        <v>2400</v>
      </c>
      <c r="F9" s="11" t="n">
        <v>288000000</v>
      </c>
    </row>
    <row r="10">
      <c r="A10" s="4" t="inlineStr">
        <is>
          <t>1.05</t>
        </is>
      </c>
      <c r="B10" s="5" t="inlineStr">
        <is>
          <t>Post-Tensioned (PT) Slabs &amp; Beams with 15.2mm low-relaxation strands</t>
        </is>
      </c>
      <c r="C10" s="6" t="n">
        <v>45000</v>
      </c>
      <c r="D10" s="4" t="inlineStr">
        <is>
          <t>Sqm</t>
        </is>
      </c>
      <c r="E10" s="7" t="n">
        <v>5000</v>
      </c>
      <c r="F10" s="7" t="n">
        <v>225000000</v>
      </c>
    </row>
    <row r="11">
      <c r="A11" s="8" t="inlineStr">
        <is>
          <t>1.06</t>
        </is>
      </c>
      <c r="B11" s="9" t="inlineStr">
        <is>
          <t>High-Strength Structural Steel Spire Tubular Fabrication (S355/S460)</t>
        </is>
      </c>
      <c r="C11" s="10" t="n">
        <v>4800</v>
      </c>
      <c r="D11" s="8" t="inlineStr">
        <is>
          <t>MT</t>
        </is>
      </c>
      <c r="E11" s="11" t="n">
        <v>130000</v>
      </c>
      <c r="F11" s="11" t="n">
        <v>624000000</v>
      </c>
    </row>
    <row r="12">
      <c r="A12" s="4" t="inlineStr">
        <is>
          <t>1.07</t>
        </is>
      </c>
      <c r="B12" s="5" t="inlineStr">
        <is>
          <t>Tuned Mass Damper (TMD) 35-Ton Pendulum Stabilization Assembly</t>
        </is>
      </c>
      <c r="C12" s="6" t="n">
        <v>1</v>
      </c>
      <c r="D12" s="4" t="inlineStr">
        <is>
          <t>Set</t>
        </is>
      </c>
      <c r="E12" s="7" t="n">
        <v>145000000</v>
      </c>
      <c r="F12" s="7" t="n">
        <v>145000000</v>
      </c>
    </row>
    <row r="13">
      <c r="A13" s="8" t="inlineStr">
        <is>
          <t>1.08</t>
        </is>
      </c>
      <c r="B13" s="9" t="inlineStr">
        <is>
          <t>Inclined Panoramic Lifts (24 Passenger / 2.5 m/s) with Glazed Shafts</t>
        </is>
      </c>
      <c r="C13" s="10" t="n">
        <v>2</v>
      </c>
      <c r="D13" s="8" t="inlineStr">
        <is>
          <t>Sets</t>
        </is>
      </c>
      <c r="E13" s="11" t="n">
        <v>91000000</v>
      </c>
      <c r="F13" s="11" t="n">
        <v>182000000</v>
      </c>
    </row>
    <row r="14">
      <c r="A14" s="4" t="inlineStr">
        <is>
          <t>1.09</t>
        </is>
      </c>
      <c r="B14" s="5" t="inlineStr">
        <is>
          <t>Dual-Layer SBS Membrane &amp; Polyurethane Waterproofing System</t>
        </is>
      </c>
      <c r="C14" s="6" t="n">
        <v>65000</v>
      </c>
      <c r="D14" s="4" t="inlineStr">
        <is>
          <t>Sqm</t>
        </is>
      </c>
      <c r="E14" s="7" t="n">
        <v>1500</v>
      </c>
      <c r="F14" s="7" t="n">
        <v>97500000</v>
      </c>
    </row>
    <row r="15">
      <c r="A15" s="8" t="inlineStr">
        <is>
          <t>1.10</t>
        </is>
      </c>
      <c r="B15" s="9" t="inlineStr">
        <is>
          <t>Architectural Roof Shell, Skylight Glazing &amp; Miscellaneous Structural Package</t>
        </is>
      </c>
      <c r="C15" s="10" t="n">
        <v>1</v>
      </c>
      <c r="D15" s="8" t="inlineStr">
        <is>
          <t>Lump-sum</t>
        </is>
      </c>
      <c r="E15" s="11" t="n">
        <v>1105939875</v>
      </c>
      <c r="F15" s="11" t="n">
        <v>1105939875</v>
      </c>
    </row>
    <row r="16">
      <c r="A16" s="12" t="inlineStr">
        <is>
          <t>TOTAL ESTIMATED CONTRACT VALUE (ECV) INR</t>
        </is>
      </c>
      <c r="B16" s="13" t="n"/>
      <c r="C16" s="13" t="n"/>
      <c r="D16" s="13" t="n"/>
      <c r="E16" s="13" t="n"/>
      <c r="F16" s="14">
        <f>SUM(F6:F15)</f>
        <v/>
      </c>
    </row>
  </sheetData>
  <mergeCells count="4">
    <mergeCell ref="A3:F3"/>
    <mergeCell ref="A2:F2"/>
    <mergeCell ref="A16:E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2026-10-21T15:49:52Z</dcterms:created>
  <dcterms:modified xmlns:dcterms="http://purl.org/dc/terms/" xmlns:xsi="http://www.w3.org/2001/XMLSchema-instance" xsi:type="dcterms:W3CDTF">2026-10-21T15:49:52Z</dcterms:modified>
</cp:coreProperties>
</file>